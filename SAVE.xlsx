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mba\OneDrive\Desktop\USA 24\Applied Econometrics (ECON-6910-R02)\Paper\"/>
    </mc:Choice>
  </mc:AlternateContent>
  <xr:revisionPtr revIDLastSave="0" documentId="13_ncr:1_{7E93617D-5DA0-47AD-9D79-2FAC1E801452}" xr6:coauthVersionLast="47" xr6:coauthVersionMax="47" xr10:uidLastSave="{00000000-0000-0000-0000-000000000000}"/>
  <bookViews>
    <workbookView xWindow="-108" yWindow="-108" windowWidth="23256" windowHeight="12456" firstSheet="1" activeTab="6" xr2:uid="{C1E659D3-AD44-409B-B337-B893CA40A556}"/>
  </bookViews>
  <sheets>
    <sheet name="GDP cap" sheetId="5" r:id="rId1"/>
    <sheet name="GG" sheetId="4" r:id="rId2"/>
    <sheet name="GRI(2007-2017)" sheetId="3" r:id="rId3"/>
    <sheet name="Exp GDP" sheetId="1" r:id="rId4"/>
    <sheet name="Sheet2" sheetId="2" r:id="rId5"/>
    <sheet name="good sheet" sheetId="6" r:id="rId6"/>
    <sheet name="Sheet1" sheetId="7" r:id="rId7"/>
    <sheet name="clean" sheetId="8" r:id="rId8"/>
  </sheets>
  <externalReferences>
    <externalReference r:id="rId9"/>
  </externalReferences>
  <definedNames>
    <definedName name="_xlnm._FilterDatabase" localSheetId="1" hidden="1">GG!$A$1:$X$5911</definedName>
    <definedName name="_xlnm._FilterDatabase" localSheetId="5" hidden="1">'good sheet'!$G$3:$R$3</definedName>
    <definedName name="_xlnm._FilterDatabase" localSheetId="4" hidden="1">Sheet2!$A$1:$F$1</definedName>
    <definedName name="_xlnm.Database">'GRI(2007-2017)'!$A$1:$L$199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7" l="1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L36" i="7"/>
  <c r="M36" i="7" s="1"/>
  <c r="L37" i="7"/>
  <c r="M37" i="7" s="1"/>
  <c r="L38" i="7"/>
  <c r="M38" i="7" s="1"/>
  <c r="L39" i="7"/>
  <c r="M39" i="7" s="1"/>
  <c r="L40" i="7"/>
  <c r="M40" i="7" s="1"/>
  <c r="L41" i="7"/>
  <c r="M41" i="7" s="1"/>
  <c r="L42" i="7"/>
  <c r="M42" i="7" s="1"/>
  <c r="L43" i="7"/>
  <c r="M43" i="7" s="1"/>
  <c r="L44" i="7"/>
  <c r="M44" i="7" s="1"/>
  <c r="L45" i="7"/>
  <c r="M45" i="7" s="1"/>
  <c r="L46" i="7"/>
  <c r="M46" i="7" s="1"/>
  <c r="L47" i="7"/>
  <c r="M47" i="7" s="1"/>
  <c r="L48" i="7"/>
  <c r="M48" i="7" s="1"/>
  <c r="L49" i="7"/>
  <c r="M49" i="7" s="1"/>
  <c r="L50" i="7"/>
  <c r="M50" i="7" s="1"/>
  <c r="L51" i="7"/>
  <c r="M51" i="7" s="1"/>
  <c r="L52" i="7"/>
  <c r="M52" i="7" s="1"/>
  <c r="L53" i="7"/>
  <c r="M53" i="7" s="1"/>
  <c r="L54" i="7"/>
  <c r="M54" i="7" s="1"/>
  <c r="L55" i="7"/>
  <c r="M55" i="7" s="1"/>
  <c r="L56" i="7"/>
  <c r="M56" i="7" s="1"/>
  <c r="L57" i="7"/>
  <c r="M57" i="7" s="1"/>
  <c r="L58" i="7"/>
  <c r="M58" i="7" s="1"/>
  <c r="L59" i="7"/>
  <c r="M59" i="7" s="1"/>
  <c r="L60" i="7"/>
  <c r="M60" i="7" s="1"/>
  <c r="L61" i="7"/>
  <c r="M61" i="7" s="1"/>
  <c r="L62" i="7"/>
  <c r="M62" i="7" s="1"/>
  <c r="L63" i="7"/>
  <c r="M63" i="7" s="1"/>
  <c r="L64" i="7"/>
  <c r="M64" i="7" s="1"/>
  <c r="L65" i="7"/>
  <c r="M65" i="7" s="1"/>
  <c r="L66" i="7"/>
  <c r="M66" i="7" s="1"/>
  <c r="L67" i="7"/>
  <c r="M67" i="7" s="1"/>
  <c r="L68" i="7"/>
  <c r="M68" i="7" s="1"/>
  <c r="L69" i="7"/>
  <c r="M69" i="7" s="1"/>
  <c r="L70" i="7"/>
  <c r="M70" i="7" s="1"/>
  <c r="L71" i="7"/>
  <c r="M71" i="7" s="1"/>
  <c r="L72" i="7"/>
  <c r="M72" i="7" s="1"/>
  <c r="L73" i="7"/>
  <c r="M73" i="7" s="1"/>
  <c r="L74" i="7"/>
  <c r="M74" i="7" s="1"/>
  <c r="L75" i="7"/>
  <c r="M75" i="7" s="1"/>
  <c r="L4" i="7"/>
  <c r="M4" i="7" s="1"/>
  <c r="L5" i="7"/>
  <c r="M5" i="7" s="1"/>
  <c r="L3" i="7"/>
  <c r="M3" i="7" s="1"/>
  <c r="L2" i="7"/>
  <c r="M2" i="7" s="1"/>
  <c r="B872" i="2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827" i="2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422" i="2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632" i="2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572" i="2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557" i="2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392" i="2"/>
  <c r="B1172" i="2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57" i="2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42" i="2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27" i="2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12" i="2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097" i="2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082" i="2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902" i="2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187" i="2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62" i="2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47" i="2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812" i="2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797" i="2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737" i="2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677" i="2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542" i="2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467" i="2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1291" i="2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57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1217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93" i="2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A1" i="1"/>
  <c r="B857" i="2" l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842" i="2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1218" i="2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258" i="2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122" i="2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1311" i="2" l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767" i="2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F6" authorId="0" shapeId="0" xr:uid="{7AE63357-6159-4D5E-B720-E0CE0F14561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6" authorId="0" shapeId="0" xr:uid="{BA45496A-9118-4C93-8145-331552DB40C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6" authorId="0" shapeId="0" xr:uid="{66C26924-29B0-4B8C-982E-FA6B6D6572D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6" authorId="0" shapeId="0" xr:uid="{B2BFDC6F-CA2C-41B8-A515-1E706F893D7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6" authorId="0" shapeId="0" xr:uid="{6FAE625A-841D-4D23-96B7-64437592313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6" authorId="0" shapeId="0" xr:uid="{9574C5BA-78C1-4BD1-A42A-95C3D14343C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6" authorId="0" shapeId="0" xr:uid="{E85B9CCB-B4EF-4E8C-AAF9-1A9D023765D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20" authorId="0" shapeId="0" xr:uid="{120AA67C-109C-47D1-96DD-665159903C59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P20" authorId="0" shapeId="0" xr:uid="{C31B2822-154E-4517-8D02-2D16F90BFC3D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F22" authorId="0" shapeId="0" xr:uid="{2E4C8341-FA06-41F3-ACD3-A7848D07901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2" authorId="0" shapeId="0" xr:uid="{F6D0CC18-9119-44DC-8D55-54D2C37E01D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3" authorId="0" shapeId="0" xr:uid="{8177049F-7AC0-4D3B-9067-3C5AA2947E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23" authorId="0" shapeId="0" xr:uid="{59F7D4C5-5D05-4721-8B76-01A59239EA6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3" authorId="0" shapeId="0" xr:uid="{2DCC3B4F-E7F7-435B-A0C8-DC6D3301BDA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3" authorId="0" shapeId="0" xr:uid="{42A5A3C1-0DA8-4FFE-8D2A-F555F1DBC72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3" authorId="0" shapeId="0" xr:uid="{C2F30CDD-8B2E-4FC3-AB7C-C226FF299E8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3" authorId="0" shapeId="0" xr:uid="{9C2828D1-EDCE-42B4-9700-61FE09EC019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30" authorId="0" shapeId="0" xr:uid="{26C2D5A3-E6C4-4C45-8F37-DD1FE293D5E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0" authorId="0" shapeId="0" xr:uid="{8ABBA409-FE35-4007-B5B4-CD367A4AC0A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0" authorId="0" shapeId="0" xr:uid="{A6FE7B8A-2F17-4FE5-B78B-489E95A40ED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30" authorId="0" shapeId="0" xr:uid="{6B1742A7-C43B-4049-B254-D6C57B1F43C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30" authorId="0" shapeId="0" xr:uid="{3FF99710-F6FF-4AFD-940A-6E8D7E0E68A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30" authorId="0" shapeId="0" xr:uid="{D33E24BF-1F2B-4628-8004-B37F63FA5F6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30" authorId="0" shapeId="0" xr:uid="{373D0135-DEC5-40D7-94F0-0888FB87351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33" authorId="0" shapeId="0" xr:uid="{957E9D61-70EB-4007-9755-F87EB6700E1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3" authorId="0" shapeId="0" xr:uid="{0B94FE2A-7180-4430-B49A-120E7CE44E6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35" authorId="0" shapeId="0" xr:uid="{58249B65-ED12-4920-AEDA-032C90EB41B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5" authorId="0" shapeId="0" xr:uid="{7344A107-DF1D-4C41-9849-53DA60BC514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5" authorId="0" shapeId="0" xr:uid="{65AB7EE7-566E-4E65-9D77-5F37D08BDDF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35" authorId="0" shapeId="0" xr:uid="{53C063CE-97B1-4003-B375-F1B2CCDACAF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35" authorId="0" shapeId="0" xr:uid="{D7B460D7-5A88-4385-9564-3EF851B5F83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35" authorId="0" shapeId="0" xr:uid="{24A527FA-81D3-4138-B40A-6A88E7F5FB4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35" authorId="0" shapeId="0" xr:uid="{E6C1B1BD-24E1-409C-B1A0-B698DE43E4D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6" authorId="0" shapeId="0" xr:uid="{9B49D662-1FA2-45D0-AAC3-B9623EE1B9D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8" authorId="0" shapeId="0" xr:uid="{50D38A98-7FC5-4203-B852-69D7FD3441D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38" authorId="0" shapeId="0" xr:uid="{E86F5CEF-2AE6-45C7-B27A-B5485561CCF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38" authorId="0" shapeId="0" xr:uid="{A23B5088-9706-43BE-8207-96732E104F0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38" authorId="0" shapeId="0" xr:uid="{F07C75BF-A0C0-49AA-BD65-71D372D29E3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38" authorId="0" shapeId="0" xr:uid="{23E81ABC-34F2-493A-B34D-4F244672B57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38" authorId="0" shapeId="0" xr:uid="{0DC67A94-4206-40B5-891A-3E43B64482D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39" authorId="0" shapeId="0" xr:uid="{7B2BB091-0730-4317-9E97-B5268373489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9" authorId="0" shapeId="0" xr:uid="{F3EB79F5-FD23-4A13-90CC-B619689EFF0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9" authorId="0" shapeId="0" xr:uid="{527BE837-2111-492F-91DC-D82E2587815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39" authorId="0" shapeId="0" xr:uid="{7BAA2611-49DC-411D-8E59-61E569C641B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39" authorId="0" shapeId="0" xr:uid="{405484D8-8AC9-4860-B470-F7E55062353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39" authorId="0" shapeId="0" xr:uid="{1E873A23-4FF2-4B5D-8495-C06E41794D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41" authorId="0" shapeId="0" xr:uid="{82568CCC-9268-45B7-BA72-85882D2CEBA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46" authorId="0" shapeId="0" xr:uid="{1408624D-615A-490A-B5AF-6DD955896E7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Q46" authorId="0" shapeId="0" xr:uid="{C44E5061-E660-45FA-B4B1-81F426ECCE7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53" authorId="0" shapeId="0" xr:uid="{C971836F-E7BA-43BF-85A7-F65D978E0D7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57" authorId="0" shapeId="0" xr:uid="{DAEA6289-B279-4FFA-AA62-EDB1AC2EDA2C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K64" authorId="0" shapeId="0" xr:uid="{76E7C077-F03F-41AB-8987-CCEB73ADDF0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66" authorId="0" shapeId="0" xr:uid="{7BA9BFDF-9F4D-48FD-8AAF-9308BB9B803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66" authorId="0" shapeId="0" xr:uid="{73826161-E44E-4C10-88BE-7BC9FFE61E7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67" authorId="0" shapeId="0" xr:uid="{DEEBC548-108D-45F1-9099-2C3C09188C7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75" authorId="0" shapeId="0" xr:uid="{73C2CDDA-4E28-45EB-A51D-B2EEAF2F24A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75" authorId="0" shapeId="0" xr:uid="{2A32AFB3-03C6-4F6D-B67A-387769E2DB1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76" authorId="0" shapeId="0" xr:uid="{03585F1A-0A33-425E-9DCC-1CC87C058E3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76" authorId="0" shapeId="0" xr:uid="{FF3F1617-4C64-4D86-8A75-3598C70BCAA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76" authorId="0" shapeId="0" xr:uid="{625D4355-B89D-4FF7-A898-9A937C4CF8A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84" authorId="0" shapeId="0" xr:uid="{36501465-D1B3-485E-934B-3F9A39E54CE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84" authorId="0" shapeId="0" xr:uid="{60BFC25F-1697-43E4-B06A-374A933B163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84" authorId="0" shapeId="0" xr:uid="{4AA4E85E-A9F2-4098-A26D-CB29E9DCF63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84" authorId="0" shapeId="0" xr:uid="{64AC3BAB-D826-41F6-B3C7-C031CEF620F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84" authorId="0" shapeId="0" xr:uid="{2FFAC1A1-096D-49E2-8023-5EFD0B790FF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84" authorId="0" shapeId="0" xr:uid="{59297253-E0B0-4363-BA54-42E50FE9649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84" authorId="0" shapeId="0" xr:uid="{DD2B3B0D-2FAE-4637-AA91-A1C62F8CC14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84" authorId="0" shapeId="0" xr:uid="{0EA79C22-2E27-42B4-83BA-1FE1348B181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84" authorId="0" shapeId="0" xr:uid="{0B423A9C-0E25-4B5C-9FE0-098FA53B56B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95" authorId="0" shapeId="0" xr:uid="{723F8AC4-9D8F-4CA1-9CF8-7E60EFCA765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95" authorId="0" shapeId="0" xr:uid="{D070027D-1D4E-40C0-BB09-6CE62D7BF45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95" authorId="0" shapeId="0" xr:uid="{8A5462C0-7791-4F6E-B934-ACDB05FACD2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95" authorId="0" shapeId="0" xr:uid="{9C75FE24-7266-44DA-B201-4EEDD9E426C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95" authorId="0" shapeId="0" xr:uid="{83D7D153-B62B-470D-8B8A-B468A3C059D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95" authorId="0" shapeId="0" xr:uid="{2FC5128D-434A-4E39-8C7E-055B01DFD0E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95" authorId="0" shapeId="0" xr:uid="{417692F8-51F0-4D43-96AA-732726924D3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95" authorId="0" shapeId="0" xr:uid="{618A2FFC-1A5B-445C-A992-DFE328AA6AF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95" authorId="0" shapeId="0" xr:uid="{37FBD49F-EA07-42A3-B966-83B5C79E0EE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95" authorId="0" shapeId="0" xr:uid="{89DF7D91-847C-4FA6-BF71-59DCB64357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N95" authorId="0" shapeId="0" xr:uid="{60BB14AB-CB5C-4D2E-8ADB-C4AB0DD7915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99" authorId="0" shapeId="0" xr:uid="{3F186816-756A-4B15-89FB-38C2AFF66341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K102" authorId="0" shapeId="0" xr:uid="{783CBDC5-36E2-4F72-90E9-4351FC7F503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04" authorId="0" shapeId="0" xr:uid="{4FBC1E88-127E-481D-AA61-5AE30FC545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06" authorId="0" shapeId="0" xr:uid="{7E69CF4B-0B28-4999-AC9A-74323A672D3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06" authorId="0" shapeId="0" xr:uid="{D3BBAFEB-C85D-4C21-9604-8C826AFC4A4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28" authorId="0" shapeId="0" xr:uid="{50F4A0D7-4C7D-4EBB-9C40-83BA7ECEBC5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28" authorId="0" shapeId="0" xr:uid="{F3580929-699E-46AB-823D-B173159AA83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29" authorId="0" shapeId="0" xr:uid="{3E0A1B5C-8FE5-450B-807E-1EDDC95D496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29" authorId="0" shapeId="0" xr:uid="{901834D2-7504-4258-92C4-5828E797CE0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129" authorId="0" shapeId="0" xr:uid="{23983329-9782-4A2A-B4C7-176B23DDA55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129" authorId="0" shapeId="0" xr:uid="{47180EFE-545B-43E6-8292-55B622E4E9F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129" authorId="0" shapeId="0" xr:uid="{EF7AAC52-7DB3-4E7A-A645-5577F02E278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36" authorId="0" shapeId="0" xr:uid="{6EF39EFC-A137-4C49-B0D7-CFB4C7175922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G136" authorId="0" shapeId="0" xr:uid="{A201DF71-DFA6-4240-8238-D9F7196BE31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36" authorId="0" shapeId="0" xr:uid="{5F4625AA-2950-418E-88EA-C406A27F4A6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36" authorId="0" shapeId="0" xr:uid="{A007B533-039C-417E-AED3-2C75DF75168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136" authorId="0" shapeId="0" xr:uid="{B0190171-257E-4EEF-8E46-A9C5FCCC11FE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C145" authorId="0" shapeId="0" xr:uid="{4F5F6F0F-F5A1-40EC-B3EB-AA93157C214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45" authorId="0" shapeId="0" xr:uid="{EB4E31BA-97D6-485A-B287-8A66CEB878D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45" authorId="0" shapeId="0" xr:uid="{0652E6C0-8016-46FB-8609-C4E5830BC85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45" authorId="0" shapeId="0" xr:uid="{BB08AC70-52CF-432E-998D-911598E57AD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45" authorId="0" shapeId="0" xr:uid="{B0BA59D8-0A5B-463A-B8EF-E6EB071DBBE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45" authorId="0" shapeId="0" xr:uid="{74E7349F-5F6D-4466-90C1-A1D2B2157FF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45" authorId="0" shapeId="0" xr:uid="{ED699CF3-FAB5-4CD8-B123-21CF36C2680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47" authorId="0" shapeId="0" xr:uid="{B21F90E6-3A35-4B11-8938-CF1DD42ACE6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147" authorId="0" shapeId="0" xr:uid="{F7CB63CB-ECFD-439C-ADAD-DF14D92B814A}">
      <text>
        <r>
          <rPr>
            <sz val="9"/>
            <color indexed="81"/>
            <rFont val="Tahoma"/>
            <charset val="1"/>
          </rPr>
          <t>a: Category not applicable</t>
        </r>
      </text>
    </comment>
    <comment ref="D150" authorId="0" shapeId="0" xr:uid="{3C8232F1-8C95-4932-8494-EC3EFAF7AC7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55" authorId="0" shapeId="0" xr:uid="{B13E8B08-DA5A-4328-83A7-D1C52FFFA2B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55" authorId="0" shapeId="0" xr:uid="{D0C2F1EA-F506-4CCF-A6C2-D199303822F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62" authorId="0" shapeId="0" xr:uid="{155A178E-1F53-4EE2-9DDA-91AB55AC3DC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62" authorId="0" shapeId="0" xr:uid="{EC769CD0-2FFC-4EC1-8CFE-D9743AACD34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62" authorId="0" shapeId="0" xr:uid="{6A05B8C4-3BF0-4200-9C92-B340BA6A367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181" authorId="0" shapeId="0" xr:uid="{140390EB-0B87-48D6-B881-6E7F10B290AC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L181" authorId="0" shapeId="0" xr:uid="{F9F35AFD-C93F-4ADF-9086-60E281EE9E2A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N184" authorId="0" shapeId="0" xr:uid="{D9B80509-6B5F-4019-821E-C0C8C2B697F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184" authorId="0" shapeId="0" xr:uid="{915C5A40-C08C-4ADB-A857-BA42DB0D0EC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184" authorId="0" shapeId="0" xr:uid="{90DDBCA9-9BB8-4960-8856-7308530B7EE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93" authorId="0" shapeId="0" xr:uid="{2B4BB43B-6CCD-45B6-A747-936E9956B67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96" authorId="0" shapeId="0" xr:uid="{CCE8F0A4-0FA7-4903-974E-1BB6858C673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96" authorId="0" shapeId="0" xr:uid="{63F11857-5D6C-407A-930D-F8C054E7871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96" authorId="0" shapeId="0" xr:uid="{8A545F4F-16F2-438E-9F18-2B89E79AE9E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96" authorId="0" shapeId="0" xr:uid="{A14350A3-19DA-4589-A0B4-959E041BCC1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96" authorId="0" shapeId="0" xr:uid="{B9CE58C8-B069-4D18-9F4F-BBCB8736C9E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96" authorId="0" shapeId="0" xr:uid="{7824DEC9-FB0D-4974-B024-F1C2A834F87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96" authorId="0" shapeId="0" xr:uid="{536D2D8C-1A08-47A7-8D42-5FED793D853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196" authorId="0" shapeId="0" xr:uid="{3AC67D4E-5B02-4876-868F-EE8989A10B0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196" authorId="0" shapeId="0" xr:uid="{9505DFEA-ECA3-4AB4-BE35-0EA86D674D1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196" authorId="0" shapeId="0" xr:uid="{F2C7FA75-A32D-4E4D-9EE9-86008B68B9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N196" authorId="0" shapeId="0" xr:uid="{0A74DD19-2CEB-4875-AAEA-96DD6434293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196" authorId="0" shapeId="0" xr:uid="{BB742C7E-764C-40FC-A3BC-C34DD5D648B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196" authorId="0" shapeId="0" xr:uid="{B6A7AFE8-1265-4E93-AB30-A022484B4E8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Q196" authorId="0" shapeId="0" xr:uid="{FCA43887-7959-412D-9918-E15AD5B4B21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196" authorId="0" shapeId="0" xr:uid="{D8F25CA0-04C0-4A01-BD1A-9591983DBC2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97" authorId="0" shapeId="0" xr:uid="{E56819AE-4F73-4316-9531-D0C73EBADAA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97" authorId="0" shapeId="0" xr:uid="{B79F5F2F-3143-473B-B273-2FE995F3432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97" authorId="0" shapeId="0" xr:uid="{004596CD-6161-4C7A-AF45-F0808709E95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97" authorId="0" shapeId="0" xr:uid="{2311C29D-F10A-4FB9-9394-434C21006EB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04" authorId="0" shapeId="0" xr:uid="{3587B384-4EA1-413F-8A8B-EA3A3AC8B1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06" authorId="0" shapeId="0" xr:uid="{679FCD56-3399-4D3A-B556-EF6363960BC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06" authorId="0" shapeId="0" xr:uid="{D2D694A6-AF64-4629-BDC7-CA18276DFFF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06" authorId="0" shapeId="0" xr:uid="{8EEE54A1-506C-4718-99DE-CA11B103EB9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06" authorId="0" shapeId="0" xr:uid="{B0EA3108-BCF4-446B-B368-47A5B43D90B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206" authorId="0" shapeId="0" xr:uid="{CDC88B11-F12C-40D9-BDEE-C440C32D1AC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206" authorId="0" shapeId="0" xr:uid="{27312177-6057-4913-A2C0-153A80E389E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206" authorId="0" shapeId="0" xr:uid="{9C896920-4622-465B-957D-336A969CEE5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206" authorId="0" shapeId="0" xr:uid="{A468B7DE-F690-4F11-8F41-BA10E5D555C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N206" authorId="0" shapeId="0" xr:uid="{29D02746-92F1-44B6-89A2-8F75CDA6015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206" authorId="0" shapeId="0" xr:uid="{B249BD06-8B99-4A51-8166-A521C720D16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12" authorId="0" shapeId="0" xr:uid="{1E75026F-A70E-4DAA-921C-7B90D847D4CD}">
      <text>
        <r>
          <rPr>
            <sz val="9"/>
            <color indexed="81"/>
            <rFont val="Tahoma"/>
            <charset val="1"/>
          </rPr>
          <t>‡: UIS Estimation, n: Magnitude nil or negligible</t>
        </r>
      </text>
    </comment>
    <comment ref="E212" authorId="0" shapeId="0" xr:uid="{4AB3F80D-5C62-4AB1-A515-EF6089727C6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12" authorId="0" shapeId="0" xr:uid="{8DFA3FE4-213A-41FA-9D14-7BC19B3FA90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12" authorId="0" shapeId="0" xr:uid="{15005A01-75E0-46F4-BB0E-0BC909B510E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212" authorId="0" shapeId="0" xr:uid="{A2016D53-7BB1-4006-BE9B-EA41C9A8EF6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214" authorId="0" shapeId="0" xr:uid="{5ED9FBE0-C0F3-44B7-8A3A-C1273A6E62D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214" authorId="0" shapeId="0" xr:uid="{ED001D3F-66EA-4182-ABA1-E70DB68DDF1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S214" authorId="0" shapeId="0" xr:uid="{45538E60-B8A7-405F-816E-F3BAAD7D74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16" authorId="0" shapeId="0" xr:uid="{40F14A72-D527-4724-A314-A531D9B797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216" authorId="0" shapeId="0" xr:uid="{3FC98F4E-9457-410F-ADAE-5E82C5F64AC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16" authorId="0" shapeId="0" xr:uid="{92754298-CEA8-466D-89AD-52CD3882E7E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20" authorId="0" shapeId="0" xr:uid="{81D7F32A-AD42-4A37-BA66-840C52C162F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220" authorId="0" shapeId="0" xr:uid="{562A08CE-CB47-44B7-B588-9C2CF5C745B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20" authorId="0" shapeId="0" xr:uid="{2FD91E41-0227-4F26-A8C5-ADE63078204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20" authorId="0" shapeId="0" xr:uid="{57314E80-D572-4C40-B49A-4FCC033A707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25" authorId="0" shapeId="0" xr:uid="{11517DF7-13BA-4032-8967-CF7372B1E8A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25" authorId="0" shapeId="0" xr:uid="{DDC756F8-BC02-4120-A69C-3D915F41819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25" authorId="0" shapeId="0" xr:uid="{8822739E-E775-4EC3-9203-D70A74298B4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25" authorId="0" shapeId="0" xr:uid="{F6B49265-A948-4482-947E-11EDF468E8B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225" authorId="0" shapeId="0" xr:uid="{F870BA55-C5D7-4E3A-A7CC-800F40C612E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225" authorId="0" shapeId="0" xr:uid="{623E3FAA-1A82-43F0-9D07-C7FF0F128EB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34" authorId="0" shapeId="0" xr:uid="{35CE4941-0A13-4477-8276-95BA75B9169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234" authorId="0" shapeId="0" xr:uid="{F292D104-A8FB-48F6-B25C-BFDE49EBD25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234" authorId="0" shapeId="0" xr:uid="{513F4672-2CB7-43A4-96A5-D8C316176FF9}">
      <text>
        <r>
          <rPr>
            <sz val="9"/>
            <color indexed="81"/>
            <rFont val="Tahoma"/>
            <charset val="1"/>
          </rPr>
          <t>a: Category not applicable</t>
        </r>
      </text>
    </comment>
    <comment ref="P234" authorId="0" shapeId="0" xr:uid="{15BE090D-C544-4535-8C16-B076CCB77F94}">
      <text>
        <r>
          <rPr>
            <sz val="9"/>
            <color indexed="81"/>
            <rFont val="Tahoma"/>
            <charset val="1"/>
          </rPr>
          <t>a: Category not applicable</t>
        </r>
      </text>
    </comment>
    <comment ref="C240" authorId="0" shapeId="0" xr:uid="{2A738035-7316-4082-B08D-36BA19EE52D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F149" authorId="0" shapeId="0" xr:uid="{51304ABC-8FDB-45F0-9CCC-392854B44AD6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F150" authorId="0" shapeId="0" xr:uid="{DC5FC95E-124D-464E-817B-BBA73D1236C7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F437" authorId="0" shapeId="0" xr:uid="{362C6E09-1A77-4291-B8B1-54FBA083D13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</commentList>
</comments>
</file>

<file path=xl/sharedStrings.xml><?xml version="1.0" encoding="utf-8"?>
<sst xmlns="http://schemas.openxmlformats.org/spreadsheetml/2006/main" count="54257" uniqueCount="808">
  <si>
    <t>Sorry, the query is too large to fit into the Excel cell. You will not be able to update your table with the .Stat Populator.</t>
  </si>
  <si>
    <t>Dataset: Other policy relevant indicators</t>
  </si>
  <si>
    <t>Indicator</t>
  </si>
  <si>
    <t>Government expenditure on pre-primary education as a percentage of GDP (%)</t>
  </si>
  <si>
    <t>Time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</si>
  <si>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</si>
  <si>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</si>
  <si>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</si>
  <si>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</si>
  <si>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</si>
  <si>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</si>
  <si>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</si>
  <si>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</si>
  <si>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</si>
  <si>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</si>
  <si>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</si>
  <si>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</si>
  <si>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</si>
  <si>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</si>
  <si>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</si>
  <si>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</si>
  <si>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</si>
  <si>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Country</t>
  </si>
  <si>
    <t/>
  </si>
  <si>
    <t>Afghanistan</t>
  </si>
  <si>
    <t>..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</si>
  <si>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</si>
  <si>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</si>
  <si>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</si>
  <si>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</si>
  <si>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</si>
  <si>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</si>
  <si>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</si>
  <si>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</si>
  <si>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</si>
  <si>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</si>
  <si>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</si>
  <si>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</si>
  <si>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</si>
  <si>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</si>
  <si>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</si>
  <si>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</si>
  <si>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</si>
  <si>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</si>
  <si>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</si>
  <si>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</si>
  <si>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</si>
  <si>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</si>
  <si>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</si>
  <si>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</si>
  <si>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</si>
  <si>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</si>
  <si>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</si>
  <si>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</si>
  <si>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</si>
  <si>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</si>
  <si>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</si>
  <si>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</si>
  <si>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</si>
  <si>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</si>
  <si>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</si>
  <si>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</si>
  <si>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</si>
  <si>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Cayman Islands</t>
  </si>
  <si>
    <t>Central African Republic</t>
  </si>
  <si>
    <t>Chad</t>
  </si>
  <si>
    <t>Channel Islands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</si>
  <si>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</si>
  <si>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</si>
  <si>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</si>
  <si>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</si>
  <si>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</si>
  <si>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</si>
  <si>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</si>
  <si>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</si>
  <si>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</si>
  <si>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</si>
  <si>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</si>
  <si>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</si>
  <si>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</si>
  <si>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</si>
  <si>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</si>
  <si>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</si>
  <si>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</si>
  <si>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</si>
  <si>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</si>
  <si>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</si>
  <si>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</si>
  <si>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</si>
  <si>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</si>
  <si>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</si>
  <si>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</si>
  <si>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</si>
  <si>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</si>
  <si>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</si>
  <si>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</si>
  <si>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</si>
  <si>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</si>
  <si>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</si>
  <si>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</si>
  <si>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</si>
  <si>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</si>
  <si>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</si>
  <si>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</si>
  <si>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</si>
  <si>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</si>
  <si>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</si>
  <si>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</si>
  <si>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</si>
  <si>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</si>
  <si>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</si>
  <si>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</si>
  <si>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</si>
  <si>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</si>
  <si>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</si>
  <si>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</si>
  <si>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</si>
  <si>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</si>
  <si>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</si>
  <si>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</si>
  <si>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</si>
  <si>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</si>
  <si>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</si>
  <si>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</si>
  <si>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</si>
  <si>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</si>
  <si>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</si>
  <si>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</si>
  <si>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</si>
  <si>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</si>
  <si>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</si>
  <si>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</si>
  <si>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</si>
  <si>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</si>
  <si>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</si>
  <si>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</si>
  <si>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</si>
  <si>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</si>
  <si>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</si>
  <si>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</si>
  <si>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</si>
  <si>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</si>
  <si>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</si>
  <si>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</si>
  <si>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</si>
  <si>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</si>
  <si>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</si>
  <si>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</si>
  <si>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</si>
  <si>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</si>
  <si>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</si>
  <si>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</si>
  <si>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</si>
  <si>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</si>
  <si>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</si>
  <si>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</si>
  <si>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</si>
  <si>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</si>
  <si>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</si>
  <si>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</si>
  <si>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</si>
  <si>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</si>
  <si>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</si>
  <si>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</si>
  <si>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</si>
  <si>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</si>
  <si>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</si>
  <si>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</si>
  <si>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</si>
  <si>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</si>
  <si>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</si>
  <si>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</si>
  <si>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</si>
  <si>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</si>
  <si>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</si>
  <si>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</si>
  <si>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</si>
  <si>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</si>
  <si>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</si>
  <si>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</si>
  <si>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</si>
  <si>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</si>
  <si>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</si>
  <si>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</si>
  <si>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</si>
  <si>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</si>
  <si>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</si>
  <si>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</si>
  <si>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</si>
  <si>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</si>
  <si>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</si>
  <si>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</si>
  <si>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</si>
  <si>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</si>
  <si>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</si>
  <si>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</si>
  <si>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</si>
  <si>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</si>
  <si>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</si>
  <si>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</si>
  <si>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</si>
  <si>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</si>
  <si>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</si>
  <si>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</si>
  <si>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</si>
  <si>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</si>
  <si>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Saint-Barthélemy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</si>
  <si>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</si>
  <si>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</si>
  <si>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</si>
  <si>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</si>
  <si>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</si>
  <si>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</si>
  <si>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</si>
  <si>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</si>
  <si>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</si>
  <si>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</si>
  <si>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</si>
  <si>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</si>
  <si>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</si>
  <si>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</si>
  <si>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</si>
  <si>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</si>
  <si>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</si>
  <si>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</si>
  <si>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</si>
  <si>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</si>
  <si>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</si>
  <si>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</si>
  <si>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</si>
  <si>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</si>
  <si>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</si>
  <si>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</si>
  <si>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</si>
  <si>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</si>
  <si>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</si>
  <si>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</si>
  <si>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</si>
  <si>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</si>
  <si>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</si>
  <si>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</si>
  <si>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</si>
  <si>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</si>
  <si>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</si>
  <si>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</si>
  <si>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</si>
  <si>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</si>
  <si>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</si>
  <si>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</si>
  <si>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</si>
  <si>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</si>
  <si>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</si>
  <si>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</si>
  <si>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</si>
  <si>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</si>
  <si>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</si>
  <si>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</si>
  <si>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</si>
  <si>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</si>
  <si>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</si>
  <si>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</si>
  <si>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Sustainable Development Goal Regions</t>
  </si>
  <si>
    <t xml:space="preserve">  World</t>
  </si>
  <si>
    <t xml:space="preserve">  Landlocked Developing Countries</t>
  </si>
  <si>
    <t xml:space="preserve">  Least Developed Countries</t>
  </si>
  <si>
    <t xml:space="preserve">  Small Island Developing States</t>
  </si>
  <si>
    <t xml:space="preserve">  Sub-Saharan Africa</t>
  </si>
  <si>
    <t xml:space="preserve">  Northern Africa and Western Asia</t>
  </si>
  <si>
    <t xml:space="preserve">  Northern Africa</t>
  </si>
  <si>
    <t xml:space="preserve">  Western Asia</t>
  </si>
  <si>
    <t xml:space="preserve">  Central and Southern Asia</t>
  </si>
  <si>
    <t xml:space="preserve">  Central Asia</t>
  </si>
  <si>
    <t xml:space="preserve">  Southern Asia</t>
  </si>
  <si>
    <t xml:space="preserve">  Eastern and South-Eastern Asia</t>
  </si>
  <si>
    <t xml:space="preserve">  Eastern Asia</t>
  </si>
  <si>
    <t xml:space="preserve">  South-Eastern Asia</t>
  </si>
  <si>
    <t xml:space="preserve">  Latin America and the Caribbean</t>
  </si>
  <si>
    <t xml:space="preserve">  Oceania</t>
  </si>
  <si>
    <t xml:space="preserve">  Australia and New Zealand</t>
  </si>
  <si>
    <t xml:space="preserve">  Oceania (excluding Australia and New Zealand)</t>
  </si>
  <si>
    <t xml:space="preserve">  Europe and Northern America</t>
  </si>
  <si>
    <t xml:space="preserve">  Europe</t>
  </si>
  <si>
    <t xml:space="preserve">  Northern America </t>
  </si>
  <si>
    <t>UIS Regions</t>
  </si>
  <si>
    <t xml:space="preserve">  Arab States</t>
  </si>
  <si>
    <t xml:space="preserve">  Central and Eastern Europe</t>
  </si>
  <si>
    <t xml:space="preserve">  East Asia and the Pacific</t>
  </si>
  <si>
    <t xml:space="preserve">  North America and Western Europe</t>
  </si>
  <si>
    <t xml:space="preserve">  South and West Asia</t>
  </si>
  <si>
    <t>World Bank Income Groups</t>
  </si>
  <si>
    <t xml:space="preserve">  Low income countries</t>
  </si>
  <si>
    <t xml:space="preserve">  Lower middle income countries</t>
  </si>
  <si>
    <t xml:space="preserve">  Middle income countries</t>
  </si>
  <si>
    <t xml:space="preserve">  Upper middle income countries</t>
  </si>
  <si>
    <t xml:space="preserve">  High income countries</t>
  </si>
  <si>
    <t>Data extracted on 27 Nov 2024 23:49 UTC (GMT) from UIS.Stat</t>
  </si>
  <si>
    <t>Legend:</t>
  </si>
  <si>
    <t>+:</t>
  </si>
  <si>
    <t>National Estimation</t>
  </si>
  <si>
    <t>a:</t>
  </si>
  <si>
    <t>Category not applicable</t>
  </si>
  <si>
    <t>n:</t>
  </si>
  <si>
    <t>Magnitude nil or negligible</t>
  </si>
  <si>
    <t>‡:</t>
  </si>
  <si>
    <t>UIS Estimation</t>
  </si>
  <si>
    <t>Bolivia</t>
  </si>
  <si>
    <t>Brunei</t>
  </si>
  <si>
    <t>Cape Verde</t>
  </si>
  <si>
    <t>Congo DR</t>
  </si>
  <si>
    <t>Cote d'Ivoire</t>
  </si>
  <si>
    <t>Czech Republic</t>
  </si>
  <si>
    <t>Hong Kong</t>
  </si>
  <si>
    <t>Iran</t>
  </si>
  <si>
    <t>Kosovo</t>
  </si>
  <si>
    <t>Laos</t>
  </si>
  <si>
    <t>Macau</t>
  </si>
  <si>
    <t>Macedonia</t>
  </si>
  <si>
    <t>Micronesia</t>
  </si>
  <si>
    <t>Moldova</t>
  </si>
  <si>
    <t>Russia</t>
  </si>
  <si>
    <t>Saint Vincent</t>
  </si>
  <si>
    <t>South Korea</t>
  </si>
  <si>
    <t>Swaziland</t>
  </si>
  <si>
    <t>Syria</t>
  </si>
  <si>
    <t>Taiwan</t>
  </si>
  <si>
    <t>Tanzania</t>
  </si>
  <si>
    <t>Turkey</t>
  </si>
  <si>
    <t>United Kingdom</t>
  </si>
  <si>
    <t>United States</t>
  </si>
  <si>
    <t>Venezuela</t>
  </si>
  <si>
    <t>Vietnam</t>
  </si>
  <si>
    <t>Economy ISO3</t>
  </si>
  <si>
    <t>Economy Name</t>
  </si>
  <si>
    <t>Indicator ID</t>
  </si>
  <si>
    <t>Attribute 1</t>
  </si>
  <si>
    <t>Attribute 2</t>
  </si>
  <si>
    <t>Attribute 3</t>
  </si>
  <si>
    <t>Partner</t>
  </si>
  <si>
    <t>2006</t>
  </si>
  <si>
    <t>AFG</t>
  </si>
  <si>
    <t>WEF.GGR.EA</t>
  </si>
  <si>
    <t>Global Gender Gap Educational Attainment Subindex</t>
  </si>
  <si>
    <t>Index</t>
  </si>
  <si>
    <t>-</t>
  </si>
  <si>
    <t>Rank</t>
  </si>
  <si>
    <t>WEF.GGR.ECO.EEI</t>
  </si>
  <si>
    <t>Global Gender Gap Report: Estimated earned income (PPP, US$)</t>
  </si>
  <si>
    <t>WEF.GGR.ECO.LFP</t>
  </si>
  <si>
    <t>Global Gender Gap Report: Labour force participation</t>
  </si>
  <si>
    <t>WEF.GGR.ECO.LSM</t>
  </si>
  <si>
    <t>Global Gender Gap Report: Legislators, senior officials and managers</t>
  </si>
  <si>
    <t>WEF.GGR.ECO.PTW</t>
  </si>
  <si>
    <t>Global Gender Gap Report: Professional and technical workers</t>
  </si>
  <si>
    <t>WEF.GGR.EDU.LR</t>
  </si>
  <si>
    <t>Global Gender Gap Report: Literacy rate</t>
  </si>
  <si>
    <t>WEF.GGR.EDU.SEC</t>
  </si>
  <si>
    <t>Global Gender Gap Report: Enrolment in secondary education</t>
  </si>
  <si>
    <t>WEF.GGR.EDU.TER</t>
  </si>
  <si>
    <t>Global Gender Gap Report: Enrolment in tertiary education</t>
  </si>
  <si>
    <t>WEF.GGR.EPO</t>
  </si>
  <si>
    <t>Global Gender Gap Economic Participation and Opportunity Subindex</t>
  </si>
  <si>
    <t>WEF.GGR.HS</t>
  </si>
  <si>
    <t>Global Gender Gap Health and Survival Subindex</t>
  </si>
  <si>
    <t>WEF.GGR.HS.HLE</t>
  </si>
  <si>
    <t>Global Gender Gap Report: Healthy life expectancy</t>
  </si>
  <si>
    <t>WEF.GGR.HS.SRB</t>
  </si>
  <si>
    <t>Global Gender Gap Report: Sex ratio at birth</t>
  </si>
  <si>
    <t>WEF.GGR.INDEX</t>
  </si>
  <si>
    <t>Overall Global Gender Gap Index</t>
  </si>
  <si>
    <t>WEF.GGR.PE</t>
  </si>
  <si>
    <t>Global Gender Gap Political Empowerment subindex</t>
  </si>
  <si>
    <t>WEF.GGR.POL.FHOS</t>
  </si>
  <si>
    <t>Global Gender Gap Report: Years with female head of state (last 50)</t>
  </si>
  <si>
    <t>WEF.GGR.POL.MIN</t>
  </si>
  <si>
    <t>Global Gender Gap Report: Women in ministerial positions</t>
  </si>
  <si>
    <t>WEF.GGR.POL.PARL</t>
  </si>
  <si>
    <t>Global Gender Gap Report: Women in parliament</t>
  </si>
  <si>
    <t>AGO</t>
  </si>
  <si>
    <t>WEF.GGR.ECO.WE</t>
  </si>
  <si>
    <t>Global Gender Gap Report: Wage equality between women and men for similar work</t>
  </si>
  <si>
    <t>WEF.GGR.EDU.PR</t>
  </si>
  <si>
    <t>Global Gender Gap Report: Enrolment in primary education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</si>
  <si>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</si>
  <si>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</si>
  <si>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</si>
  <si>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</si>
  <si>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</si>
  <si>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</si>
  <si>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</si>
  <si>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</si>
  <si>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</si>
  <si>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</si>
  <si>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</si>
  <si>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</si>
  <si>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</si>
  <si>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</si>
  <si>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</si>
  <si>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Bahamas, The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</si>
  <si>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</si>
  <si>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</si>
  <si>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</si>
  <si>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</si>
  <si>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</si>
  <si>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</si>
  <si>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</si>
  <si>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</si>
  <si>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</si>
  <si>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CAN</t>
  </si>
  <si>
    <t>CHE</t>
  </si>
  <si>
    <t>CHL</t>
  </si>
  <si>
    <t>CHN</t>
  </si>
  <si>
    <t>CIV</t>
  </si>
  <si>
    <t>CMR</t>
  </si>
  <si>
    <t>COD</t>
  </si>
  <si>
    <t>Congo, Dem. Rep.</t>
  </si>
  <si>
    <t>COL</t>
  </si>
  <si>
    <t>COM</t>
  </si>
  <si>
    <t>CPV</t>
  </si>
  <si>
    <t>CRI</t>
  </si>
  <si>
    <t>CUB</t>
  </si>
  <si>
    <t>CYP</t>
  </si>
  <si>
    <t>CZE</t>
  </si>
  <si>
    <t>DEU</t>
  </si>
  <si>
    <t>DNK</t>
  </si>
  <si>
    <t>DOM</t>
  </si>
  <si>
    <t>DZA</t>
  </si>
  <si>
    <t>ECU</t>
  </si>
  <si>
    <t>EGY</t>
  </si>
  <si>
    <t>Egypt, Arab Rep.</t>
  </si>
  <si>
    <t>ESP</t>
  </si>
  <si>
    <t>EST</t>
  </si>
  <si>
    <t>ETH</t>
  </si>
  <si>
    <t>FIN</t>
  </si>
  <si>
    <t>FJI</t>
  </si>
  <si>
    <t>FRA</t>
  </si>
  <si>
    <t>GBR</t>
  </si>
  <si>
    <t>GEO</t>
  </si>
  <si>
    <t>GHA</t>
  </si>
  <si>
    <t>GIN</t>
  </si>
  <si>
    <t>GMB</t>
  </si>
  <si>
    <t>Gambia, The</t>
  </si>
  <si>
    <t>GRC</t>
  </si>
  <si>
    <t>GTM</t>
  </si>
  <si>
    <t>GUY</t>
  </si>
  <si>
    <t>HND</t>
  </si>
  <si>
    <t>HRV</t>
  </si>
  <si>
    <t>HUN</t>
  </si>
  <si>
    <t>IDN</t>
  </si>
  <si>
    <t>IND</t>
  </si>
  <si>
    <t>IRL</t>
  </si>
  <si>
    <t>IRN</t>
  </si>
  <si>
    <t>Iran, Islamic Rep.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</si>
  <si>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</si>
  <si>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</si>
  <si>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</si>
  <si>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</si>
  <si>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</si>
  <si>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</si>
  <si>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</si>
  <si>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</si>
  <si>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</si>
  <si>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</si>
  <si>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Kyrgyz Republic</t>
  </si>
  <si>
    <t>KHM</t>
  </si>
  <si>
    <t>KOR</t>
  </si>
  <si>
    <t>Korea, Rep.</t>
  </si>
  <si>
    <t>KWT</t>
  </si>
  <si>
    <t>LAO</t>
  </si>
  <si>
    <t>Lao PDR</t>
  </si>
  <si>
    <t>LBN</t>
  </si>
  <si>
    <t>LBR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</si>
  <si>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</si>
  <si>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</si>
  <si>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</si>
  <si>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</si>
  <si>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</si>
  <si>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</si>
  <si>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</si>
  <si>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</si>
  <si>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</si>
  <si>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</si>
  <si>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</si>
  <si>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</si>
  <si>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</si>
  <si>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</si>
  <si>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</si>
  <si>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</si>
  <si>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</si>
  <si>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</si>
  <si>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</si>
  <si>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</si>
  <si>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</si>
  <si>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</si>
  <si>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</si>
  <si>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</si>
  <si>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</si>
  <si>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</si>
  <si>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</si>
  <si>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</si>
  <si>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</si>
  <si>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</si>
  <si>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</si>
  <si>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</si>
  <si>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</si>
  <si>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</si>
  <si>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</si>
  <si>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</si>
  <si>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</si>
  <si>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</si>
  <si>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</si>
  <si>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</si>
  <si>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</si>
  <si>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</si>
  <si>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</si>
  <si>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SEN</t>
  </si>
  <si>
    <t>SGP</t>
  </si>
  <si>
    <t>SLE</t>
  </si>
  <si>
    <t>SLV</t>
  </si>
  <si>
    <t>SRB</t>
  </si>
  <si>
    <t>SUR</t>
  </si>
  <si>
    <t>SVK</t>
  </si>
  <si>
    <t>Slovak Republic</t>
  </si>
  <si>
    <t>SVN</t>
  </si>
  <si>
    <t>SWE</t>
  </si>
  <si>
    <t>SWZ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</si>
  <si>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</si>
  <si>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</si>
  <si>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</si>
  <si>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</si>
  <si>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</si>
  <si>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</si>
  <si>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</si>
  <si>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</si>
  <si>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</si>
  <si>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Turkiye</t>
  </si>
  <si>
    <t>TZA</t>
  </si>
  <si>
    <t>UGA</t>
  </si>
  <si>
    <t>UKR</t>
  </si>
  <si>
    <t>URY</t>
  </si>
  <si>
    <t>USA</t>
  </si>
  <si>
    <t>UZB</t>
  </si>
  <si>
    <t>VEN</t>
  </si>
  <si>
    <t>Venezuela, RB</t>
  </si>
  <si>
    <t>VNM</t>
  </si>
  <si>
    <t>VUT</t>
  </si>
  <si>
    <t>YEM</t>
  </si>
  <si>
    <t>Yemen, Rep.</t>
  </si>
  <si>
    <t>ZAF</t>
  </si>
  <si>
    <t>ZMB</t>
  </si>
  <si>
    <t>ZWE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</si>
  <si>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</si>
  <si>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</si>
  <si>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</si>
  <si>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</si>
  <si>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</si>
  <si>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</si>
  <si>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</si>
  <si>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</si>
  <si>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</si>
  <si>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</si>
  <si>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</si>
  <si>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</si>
  <si>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</si>
  <si>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</si>
  <si>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</si>
  <si>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</si>
  <si>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</si>
  <si>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</si>
  <si>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</si>
  <si>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</si>
  <si>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</si>
  <si>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</si>
  <si>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</si>
  <si>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</si>
  <si>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</si>
  <si>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</si>
  <si>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</si>
  <si>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</si>
  <si>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</si>
  <si>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</si>
  <si>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</si>
  <si>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</si>
  <si>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</si>
  <si>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</si>
  <si>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</si>
  <si>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</si>
  <si>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</si>
  <si>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</si>
  <si>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</si>
  <si>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</si>
  <si>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</si>
  <si>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</si>
  <si>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</si>
  <si>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</si>
  <si>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</si>
  <si>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</si>
  <si>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</si>
  <si>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</si>
  <si>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</si>
  <si>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</si>
  <si>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</si>
  <si>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</si>
  <si>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</si>
  <si>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ABW</t>
  </si>
  <si>
    <t>GDP per capita growth (annual %)</t>
  </si>
  <si>
    <t>NY.GDP.PCAP.KD.ZG</t>
  </si>
  <si>
    <t>Africa Eastern and Southern</t>
  </si>
  <si>
    <t>AFE</t>
  </si>
  <si>
    <t>Africa Western and Central</t>
  </si>
  <si>
    <t>AFW</t>
  </si>
  <si>
    <t>AND</t>
  </si>
  <si>
    <t>Arab World</t>
  </si>
  <si>
    <t>ARB</t>
  </si>
  <si>
    <t>ASM</t>
  </si>
  <si>
    <t>ATG</t>
  </si>
  <si>
    <t>BMU</t>
  </si>
  <si>
    <t>CAF</t>
  </si>
  <si>
    <t>Central Europe and the Baltics</t>
  </si>
  <si>
    <t>CEB</t>
  </si>
  <si>
    <t>CHI</t>
  </si>
  <si>
    <t>Congo, Rep.</t>
  </si>
  <si>
    <t>COG</t>
  </si>
  <si>
    <t>Caribbean small states</t>
  </si>
  <si>
    <t>CSS</t>
  </si>
  <si>
    <t>Curacao</t>
  </si>
  <si>
    <t>CUW</t>
  </si>
  <si>
    <t>CYM</t>
  </si>
  <si>
    <t>DJI</t>
  </si>
  <si>
    <t>DMA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</si>
  <si>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</si>
  <si>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</si>
  <si>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</si>
  <si>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</si>
  <si>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</si>
  <si>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</si>
  <si>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</si>
  <si>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</si>
  <si>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</si>
  <si>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</si>
  <si>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Euro area</t>
  </si>
  <si>
    <t>EMU</t>
  </si>
  <si>
    <t>ERI</t>
  </si>
  <si>
    <t>European Union</t>
  </si>
  <si>
    <t>EUU</t>
  </si>
  <si>
    <t>Fragile and conflict affected situations</t>
  </si>
  <si>
    <t>FCS</t>
  </si>
  <si>
    <t>Faroe Islands</t>
  </si>
  <si>
    <t>FRO</t>
  </si>
  <si>
    <t>Micronesia, Fed. Sts.</t>
  </si>
  <si>
    <t>FSM</t>
  </si>
  <si>
    <t>GAB</t>
  </si>
  <si>
    <t>GIB</t>
  </si>
  <si>
    <t>GNB</t>
  </si>
  <si>
    <t>GNQ</t>
  </si>
  <si>
    <t>GRD</t>
  </si>
  <si>
    <t>Greenland</t>
  </si>
  <si>
    <t>GRL</t>
  </si>
  <si>
    <t>GUM</t>
  </si>
  <si>
    <t>High income</t>
  </si>
  <si>
    <t>HIC</t>
  </si>
  <si>
    <t>Hong Kong SAR, China</t>
  </si>
  <si>
    <t>HKG</t>
  </si>
  <si>
    <t>Heavily indebted poor countries (HIPC)</t>
  </si>
  <si>
    <t>HPC</t>
  </si>
  <si>
    <t>HTI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</si>
  <si>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</si>
  <si>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</si>
  <si>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</si>
  <si>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</si>
  <si>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</si>
  <si>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</si>
  <si>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</si>
  <si>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</si>
  <si>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</si>
  <si>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</si>
  <si>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IMN</t>
  </si>
  <si>
    <t>Not classified</t>
  </si>
  <si>
    <t>INX</t>
  </si>
  <si>
    <t>KIR</t>
  </si>
  <si>
    <t>St. Kitts and Nevis</t>
  </si>
  <si>
    <t>KNA</t>
  </si>
  <si>
    <t>Latin America &amp; Caribbean (excluding high income)</t>
  </si>
  <si>
    <t>LAC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</si>
  <si>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</si>
  <si>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</si>
  <si>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</si>
  <si>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</si>
  <si>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</si>
  <si>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</si>
  <si>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</si>
  <si>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</si>
  <si>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</si>
  <si>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</t>
  </si>
  <si>
    <t>Lower middle income</t>
  </si>
  <si>
    <t>LMC</t>
  </si>
  <si>
    <t>Low &amp; middle income</t>
  </si>
  <si>
    <t>LMY</t>
  </si>
  <si>
    <t>Late-demographic dividend</t>
  </si>
  <si>
    <t>LTE</t>
  </si>
  <si>
    <t>Macao SAR, China</t>
  </si>
  <si>
    <t>MAC</t>
  </si>
  <si>
    <t>St. Martin (French part)</t>
  </si>
  <si>
    <t>MAF</t>
  </si>
  <si>
    <t>MCO</t>
  </si>
  <si>
    <t>Middle East &amp; North Africa</t>
  </si>
  <si>
    <t>MEA</t>
  </si>
  <si>
    <t>MHL</t>
  </si>
  <si>
    <t>Middle income</t>
  </si>
  <si>
    <t>MIC</t>
  </si>
  <si>
    <t>Middle East &amp; North Africa (excluding high income)</t>
  </si>
  <si>
    <t>MNA</t>
  </si>
  <si>
    <t>MNP</t>
  </si>
  <si>
    <t>North America</t>
  </si>
  <si>
    <t>NAC</t>
  </si>
  <si>
    <t>NRU</t>
  </si>
  <si>
    <t>OECD members</t>
  </si>
  <si>
    <t>OED</t>
  </si>
  <si>
    <t>Other small states</t>
  </si>
  <si>
    <t>OSS</t>
  </si>
  <si>
    <t>PLW</t>
  </si>
  <si>
    <t>Pre-demographic dividend</t>
  </si>
  <si>
    <t>PRE</t>
  </si>
  <si>
    <t>PRI</t>
  </si>
  <si>
    <t>Korea, Dem. People's Rep.</t>
  </si>
  <si>
    <t>PRK</t>
  </si>
  <si>
    <t>West Bank and Gaza</t>
  </si>
  <si>
    <t>PSE</t>
  </si>
  <si>
    <t>Pacific island small states</t>
  </si>
  <si>
    <t>PSS</t>
  </si>
  <si>
    <t>Post-demographic dividend</t>
  </si>
  <si>
    <t>PST</t>
  </si>
  <si>
    <t>PYF</t>
  </si>
  <si>
    <t>South Asia</t>
  </si>
  <si>
    <t>SAS</t>
  </si>
  <si>
    <t>SDN</t>
  </si>
  <si>
    <t>SLB</t>
  </si>
  <si>
    <t>SMR</t>
  </si>
  <si>
    <t>SOM</t>
  </si>
  <si>
    <t>Sub-Saharan Africa (excluding high income)</t>
  </si>
  <si>
    <t>SSA</t>
  </si>
  <si>
    <t>SSD</t>
  </si>
  <si>
    <t>Sub-Saharan Africa</t>
  </si>
  <si>
    <t>SSF</t>
  </si>
  <si>
    <t>Small states</t>
  </si>
  <si>
    <t>SST</t>
  </si>
  <si>
    <t>STP</t>
  </si>
  <si>
    <t>SXM</t>
  </si>
  <si>
    <t>SYC</t>
  </si>
  <si>
    <t>TCA</t>
  </si>
  <si>
    <t>East Asia &amp; Pacific (IDA &amp; IBRD countries)</t>
  </si>
  <si>
    <t>TEA</t>
  </si>
  <si>
    <t>Europe &amp; Central Asia (IDA &amp; IBRD countries)</t>
  </si>
  <si>
    <t>TEC</t>
  </si>
  <si>
    <t>TKM</t>
  </si>
  <si>
    <t>Latin America &amp; the Caribbean (IDA &amp; IBRD countries)</t>
  </si>
  <si>
    <t>TLA</t>
  </si>
  <si>
    <t>Middle East &amp; North Africa (IDA &amp; IBRD countries)</t>
  </si>
  <si>
    <t>TMN</t>
  </si>
  <si>
    <t>TON</t>
  </si>
  <si>
    <t>South Asia (IDA &amp; IBRD)</t>
  </si>
  <si>
    <t>TSA</t>
  </si>
  <si>
    <t>Sub-Saharan Africa (IDA &amp; IBRD countries)</t>
  </si>
  <si>
    <t>TSS</t>
  </si>
  <si>
    <t>TUV</t>
  </si>
  <si>
    <t>Upper middle income</t>
  </si>
  <si>
    <t>UMC</t>
  </si>
  <si>
    <t>St. Vincent and the Grenadines</t>
  </si>
  <si>
    <t>VCT</t>
  </si>
  <si>
    <t>VGB</t>
  </si>
  <si>
    <t>Virgin Islands (U.S.)</t>
  </si>
  <si>
    <t>VIR</t>
  </si>
  <si>
    <t>World</t>
  </si>
  <si>
    <t>WLD</t>
  </si>
  <si>
    <t>WSM</t>
  </si>
  <si>
    <t>XKX</t>
  </si>
  <si>
    <t>Bosnia and Herzegovia</t>
  </si>
  <si>
    <t>Year</t>
  </si>
  <si>
    <t>GDP CAP</t>
  </si>
  <si>
    <t>GG</t>
  </si>
  <si>
    <t>GRI</t>
  </si>
  <si>
    <t>GOVEXP</t>
  </si>
  <si>
    <t>Cote d ivoire</t>
  </si>
  <si>
    <t>Congo Rep Dem</t>
  </si>
  <si>
    <t xml:space="preserve">Congo </t>
  </si>
  <si>
    <t>Cabo verde</t>
  </si>
  <si>
    <t>Caribean small isles</t>
  </si>
  <si>
    <t>FFI</t>
  </si>
  <si>
    <t>Material</t>
  </si>
  <si>
    <t>Water</t>
  </si>
  <si>
    <t>Food</t>
  </si>
  <si>
    <t>Housing</t>
  </si>
  <si>
    <t>Employment</t>
  </si>
  <si>
    <t>Spiritual</t>
  </si>
  <si>
    <t>Education</t>
  </si>
  <si>
    <t>Gender</t>
  </si>
  <si>
    <t>Religion</t>
  </si>
  <si>
    <t>1,00</t>
  </si>
  <si>
    <t>0,85</t>
  </si>
  <si>
    <t>0,73</t>
  </si>
  <si>
    <t>GDPCAP</t>
  </si>
  <si>
    <t>LOGGDP</t>
  </si>
  <si>
    <t>=VLOOKUP(H4;'[imf-dm-export-20241203 (2).xls]PPPPC'!$A$3:$AS$228;2;1)</t>
  </si>
  <si>
    <t>Congo, Dem. Rep. of the</t>
  </si>
  <si>
    <t>logdgp</t>
  </si>
  <si>
    <t>LOGC</t>
  </si>
  <si>
    <t>RE</t>
  </si>
  <si>
    <t>GE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</si>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</sst>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"/>
  </numFmts>
  <fonts count="32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  <font>
      <sz val="9"/>
      <color indexed="81"/>
      <name val="Tahoma"/>
      <charset val="1"/>
    </font>
    <font>
      <sz val="11"/>
      <color theme="1"/>
      <name val="Aptos Narrow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i/>
      <sz val="9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1F487C"/>
        <bgColor indexed="64"/>
      </patternFill>
    </fill>
    <fill>
      <patternFill patternType="solid">
        <fgColor rgb="FFA6B6CA"/>
        <bgColor indexed="64"/>
      </patternFill>
    </fill>
    <fill>
      <patternFill patternType="solid">
        <fgColor rgb="FFD2DBE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28" fillId="0" borderId="0"/>
  </cellStyleXfs>
  <cellXfs count="68">
    <xf numFmtId="0" fontId="0" fillId="0" borderId="0" xfId="0"/>
    <xf numFmtId="0" fontId="24" fillId="0" borderId="10" xfId="0" applyFont="1" applyBorder="1"/>
    <xf numFmtId="0" fontId="25" fillId="0" borderId="10" xfId="0" applyFont="1" applyBorder="1" applyAlignment="1">
      <alignment horizontal="left" wrapText="1"/>
    </xf>
    <xf numFmtId="0" fontId="22" fillId="34" borderId="10" xfId="0" applyFont="1" applyFill="1" applyBorder="1" applyAlignment="1">
      <alignment horizontal="center" vertical="top" wrapText="1"/>
    </xf>
    <xf numFmtId="0" fontId="21" fillId="35" borderId="10" xfId="0" applyFont="1" applyFill="1" applyBorder="1" applyAlignment="1">
      <alignment wrapText="1"/>
    </xf>
    <xf numFmtId="0" fontId="26" fillId="36" borderId="10" xfId="0" applyFont="1" applyFill="1" applyBorder="1" applyAlignment="1">
      <alignment horizontal="center"/>
    </xf>
    <xf numFmtId="0" fontId="19" fillId="35" borderId="10" xfId="0" applyFont="1" applyFill="1" applyBorder="1" applyAlignment="1">
      <alignment vertical="top" wrapText="1"/>
    </xf>
    <xf numFmtId="0" fontId="24" fillId="0" borderId="10" xfId="0" applyFont="1" applyBorder="1" applyAlignment="1">
      <alignment horizontal="right"/>
    </xf>
    <xf numFmtId="0" fontId="24" fillId="37" borderId="10" xfId="0" applyFont="1" applyFill="1" applyBorder="1" applyAlignment="1">
      <alignment horizontal="righ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" fontId="1" fillId="0" borderId="0" xfId="42" applyNumberFormat="1"/>
    <xf numFmtId="164" fontId="1" fillId="0" borderId="0" xfId="42" applyNumberFormat="1"/>
    <xf numFmtId="0" fontId="1" fillId="0" borderId="0" xfId="42"/>
    <xf numFmtId="2" fontId="1" fillId="0" borderId="0" xfId="42" applyNumberFormat="1"/>
    <xf numFmtId="0" fontId="28" fillId="0" borderId="0" xfId="43"/>
    <xf numFmtId="14" fontId="28" fillId="0" borderId="0" xfId="43" applyNumberFormat="1"/>
    <xf numFmtId="12" fontId="1" fillId="0" borderId="0" xfId="42" applyNumberFormat="1"/>
    <xf numFmtId="165" fontId="28" fillId="0" borderId="0" xfId="43" applyNumberFormat="1"/>
    <xf numFmtId="49" fontId="0" fillId="0" borderId="0" xfId="0" applyNumberFormat="1"/>
    <xf numFmtId="49" fontId="29" fillId="38" borderId="15" xfId="0" applyNumberFormat="1" applyFont="1" applyFill="1" applyBorder="1" applyAlignment="1">
      <alignment horizontal="center" vertical="center" wrapText="1"/>
    </xf>
    <xf numFmtId="49" fontId="29" fillId="38" borderId="15" xfId="0" applyNumberFormat="1" applyFont="1" applyFill="1" applyBorder="1" applyAlignment="1">
      <alignment horizontal="left" vertical="center" wrapText="1"/>
    </xf>
    <xf numFmtId="49" fontId="29" fillId="38" borderId="18" xfId="0" applyNumberFormat="1" applyFont="1" applyFill="1" applyBorder="1" applyAlignment="1">
      <alignment horizontal="left" vertical="center" wrapText="1"/>
    </xf>
    <xf numFmtId="49" fontId="29" fillId="38" borderId="16" xfId="0" applyNumberFormat="1" applyFont="1" applyFill="1" applyBorder="1" applyAlignment="1">
      <alignment horizontal="center" vertical="center" wrapText="1"/>
    </xf>
    <xf numFmtId="49" fontId="30" fillId="39" borderId="19" xfId="0" applyNumberFormat="1" applyFont="1" applyFill="1" applyBorder="1" applyAlignment="1">
      <alignment horizontal="left" vertical="center" wrapText="1" indent="1"/>
    </xf>
    <xf numFmtId="49" fontId="30" fillId="39" borderId="19" xfId="0" applyNumberFormat="1" applyFont="1" applyFill="1" applyBorder="1" applyAlignment="1">
      <alignment horizontal="right" vertical="center" wrapText="1"/>
    </xf>
    <xf numFmtId="49" fontId="30" fillId="39" borderId="19" xfId="0" applyNumberFormat="1" applyFont="1" applyFill="1" applyBorder="1" applyAlignment="1">
      <alignment horizontal="center" vertical="center" wrapText="1"/>
    </xf>
    <xf numFmtId="49" fontId="29" fillId="38" borderId="15" xfId="0" applyNumberFormat="1" applyFont="1" applyFill="1" applyBorder="1" applyAlignment="1">
      <alignment vertical="center" wrapText="1"/>
    </xf>
    <xf numFmtId="49" fontId="30" fillId="40" borderId="19" xfId="0" applyNumberFormat="1" applyFont="1" applyFill="1" applyBorder="1" applyAlignment="1">
      <alignment horizontal="left" vertical="center" wrapText="1" indent="1"/>
    </xf>
    <xf numFmtId="49" fontId="30" fillId="40" borderId="19" xfId="0" applyNumberFormat="1" applyFont="1" applyFill="1" applyBorder="1" applyAlignment="1">
      <alignment horizontal="left" vertical="center" wrapText="1" indent="2"/>
    </xf>
    <xf numFmtId="49" fontId="30" fillId="40" borderId="19" xfId="0" applyNumberFormat="1" applyFont="1" applyFill="1" applyBorder="1" applyAlignment="1">
      <alignment horizontal="right" vertical="center" wrapText="1"/>
    </xf>
    <xf numFmtId="49" fontId="30" fillId="40" borderId="19" xfId="0" applyNumberFormat="1" applyFont="1" applyFill="1" applyBorder="1" applyAlignment="1">
      <alignment horizontal="center" vertical="center" wrapText="1"/>
    </xf>
    <xf numFmtId="49" fontId="30" fillId="40" borderId="19" xfId="0" quotePrefix="1" applyNumberFormat="1" applyFont="1" applyFill="1" applyBorder="1" applyAlignment="1">
      <alignment horizontal="right" vertical="center" wrapText="1"/>
    </xf>
    <xf numFmtId="49" fontId="30" fillId="40" borderId="19" xfId="0" quotePrefix="1" applyNumberFormat="1" applyFont="1" applyFill="1" applyBorder="1" applyAlignment="1">
      <alignment horizontal="left" vertical="center" wrapText="1" indent="1"/>
    </xf>
    <xf numFmtId="49" fontId="30" fillId="40" borderId="19" xfId="0" applyNumberFormat="1" applyFont="1" applyFill="1" applyBorder="1" applyAlignment="1">
      <alignment horizontal="left" vertical="center" wrapText="1"/>
    </xf>
    <xf numFmtId="49" fontId="29" fillId="38" borderId="14" xfId="0" applyNumberFormat="1" applyFont="1" applyFill="1" applyBorder="1" applyAlignment="1">
      <alignment horizontal="center" vertical="center" wrapText="1"/>
    </xf>
    <xf numFmtId="49" fontId="30" fillId="39" borderId="19" xfId="0" applyNumberFormat="1" applyFont="1" applyFill="1" applyBorder="1" applyAlignment="1">
      <alignment horizontal="left" vertical="center" wrapText="1"/>
    </xf>
    <xf numFmtId="49" fontId="30" fillId="39" borderId="19" xfId="0" applyNumberFormat="1" applyFont="1" applyFill="1" applyBorder="1" applyAlignment="1">
      <alignment horizontal="left" vertical="center" wrapText="1" indent="2"/>
    </xf>
    <xf numFmtId="49" fontId="30" fillId="39" borderId="17" xfId="0" applyNumberFormat="1" applyFont="1" applyFill="1" applyBorder="1" applyAlignment="1">
      <alignment horizontal="center" vertical="center" wrapText="1"/>
    </xf>
    <xf numFmtId="49" fontId="30" fillId="39" borderId="17" xfId="0" applyNumberFormat="1" applyFont="1" applyFill="1" applyBorder="1" applyAlignment="1">
      <alignment horizontal="right" vertical="center" wrapText="1"/>
    </xf>
    <xf numFmtId="49" fontId="30" fillId="39" borderId="17" xfId="0" applyNumberFormat="1" applyFont="1" applyFill="1" applyBorder="1" applyAlignment="1">
      <alignment horizontal="left" vertical="center" wrapText="1" indent="1"/>
    </xf>
    <xf numFmtId="49" fontId="29" fillId="38" borderId="16" xfId="0" applyNumberFormat="1" applyFont="1" applyFill="1" applyBorder="1" applyAlignment="1">
      <alignment vertical="center" wrapText="1"/>
    </xf>
    <xf numFmtId="49" fontId="31" fillId="38" borderId="16" xfId="0" applyNumberFormat="1" applyFont="1" applyFill="1" applyBorder="1" applyAlignment="1">
      <alignment horizontal="left" vertical="center" wrapText="1"/>
    </xf>
    <xf numFmtId="49" fontId="29" fillId="38" borderId="20" xfId="0" applyNumberFormat="1" applyFont="1" applyFill="1" applyBorder="1" applyAlignment="1">
      <alignment horizontal="center" vertical="center" wrapText="1"/>
    </xf>
    <xf numFmtId="49" fontId="30" fillId="40" borderId="21" xfId="0" applyNumberFormat="1" applyFont="1" applyFill="1" applyBorder="1" applyAlignment="1">
      <alignment horizontal="center" vertical="center" wrapText="1"/>
    </xf>
    <xf numFmtId="49" fontId="30" fillId="39" borderId="17" xfId="0" applyNumberFormat="1" applyFont="1" applyFill="1" applyBorder="1" applyAlignment="1">
      <alignment horizontal="left" vertical="center" wrapText="1"/>
    </xf>
    <xf numFmtId="49" fontId="30" fillId="39" borderId="19" xfId="0" applyNumberFormat="1" applyFont="1" applyFill="1" applyBorder="1" applyAlignment="1">
      <alignment vertical="center" wrapText="1"/>
    </xf>
    <xf numFmtId="49" fontId="30" fillId="40" borderId="15" xfId="0" applyNumberFormat="1" applyFont="1" applyFill="1" applyBorder="1" applyAlignment="1">
      <alignment horizontal="left" vertical="center" wrapText="1" indent="1"/>
    </xf>
    <xf numFmtId="49" fontId="30" fillId="40" borderId="19" xfId="0" applyNumberFormat="1" applyFont="1" applyFill="1" applyBorder="1" applyAlignment="1">
      <alignment vertical="center" wrapText="1"/>
    </xf>
    <xf numFmtId="49" fontId="30" fillId="40" borderId="15" xfId="0" applyNumberFormat="1" applyFont="1" applyFill="1" applyBorder="1" applyAlignment="1">
      <alignment horizontal="center" vertical="center" wrapText="1"/>
    </xf>
    <xf numFmtId="49" fontId="30" fillId="40" borderId="15" xfId="0" applyNumberFormat="1" applyFont="1" applyFill="1" applyBorder="1" applyAlignment="1">
      <alignment horizontal="right" vertical="center" wrapText="1"/>
    </xf>
    <xf numFmtId="49" fontId="30" fillId="40" borderId="19" xfId="0" quotePrefix="1" applyNumberFormat="1" applyFont="1" applyFill="1" applyBorder="1" applyAlignment="1">
      <alignment vertical="center" wrapText="1"/>
    </xf>
    <xf numFmtId="49" fontId="29" fillId="38" borderId="20" xfId="0" applyNumberFormat="1" applyFont="1" applyFill="1" applyBorder="1" applyAlignment="1">
      <alignment vertical="center" wrapText="1"/>
    </xf>
    <xf numFmtId="2" fontId="30" fillId="39" borderId="19" xfId="0" applyNumberFormat="1" applyFont="1" applyFill="1" applyBorder="1" applyAlignment="1">
      <alignment horizontal="center" vertical="center" wrapText="1"/>
    </xf>
    <xf numFmtId="2" fontId="30" fillId="40" borderId="15" xfId="0" applyNumberFormat="1" applyFont="1" applyFill="1" applyBorder="1" applyAlignment="1">
      <alignment horizontal="center" vertical="center" wrapText="1"/>
    </xf>
    <xf numFmtId="2" fontId="30" fillId="40" borderId="19" xfId="0" applyNumberFormat="1" applyFont="1" applyFill="1" applyBorder="1" applyAlignment="1">
      <alignment horizontal="center" vertical="center" wrapText="1"/>
    </xf>
    <xf numFmtId="2" fontId="30" fillId="39" borderId="17" xfId="0" applyNumberFormat="1" applyFont="1" applyFill="1" applyBorder="1" applyAlignment="1">
      <alignment horizontal="center" vertical="center" wrapText="1"/>
    </xf>
    <xf numFmtId="2" fontId="30" fillId="40" borderId="19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3" fillId="34" borderId="11" xfId="0" applyFont="1" applyFill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right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CE71CB64-853B-4253-B16A-C981F27B7987}"/>
    <cellStyle name="Normal 3" xfId="43" xr:uid="{EDE09828-062A-4C25-9818-CD8B6282520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mba\Downloads\imf-dm-export-20241203%20(2).xls" TargetMode="External"/><Relationship Id="rId1" Type="http://schemas.openxmlformats.org/officeDocument/2006/relationships/externalLinkPath" Target="file:///C:\Users\bomba\Downloads\imf-dm-export-20241203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PPC"/>
      <sheetName val="Sheet1"/>
    </sheetNames>
    <sheetDataSet>
      <sheetData sheetId="0"/>
      <sheetData sheetId="1">
        <row r="3">
          <cell r="A3" t="str">
            <v>Afghanistan</v>
          </cell>
          <cell r="B3">
            <v>2173.7449999999999</v>
          </cell>
        </row>
        <row r="4">
          <cell r="A4" t="str">
            <v>Albania</v>
          </cell>
          <cell r="B4">
            <v>20018.303</v>
          </cell>
        </row>
        <row r="5">
          <cell r="A5" t="str">
            <v>Algeria</v>
          </cell>
          <cell r="B5">
            <v>16900.135999999999</v>
          </cell>
        </row>
        <row r="6">
          <cell r="A6" t="str">
            <v>Andorra</v>
          </cell>
          <cell r="B6">
            <v>67395.98</v>
          </cell>
        </row>
        <row r="7">
          <cell r="A7" t="str">
            <v>Angola</v>
          </cell>
          <cell r="B7">
            <v>9673.9490000000005</v>
          </cell>
        </row>
        <row r="8">
          <cell r="A8" t="str">
            <v>Antigua and Barbuda</v>
          </cell>
          <cell r="B8">
            <v>29422.924999999999</v>
          </cell>
        </row>
        <row r="9">
          <cell r="A9" t="str">
            <v>Argentina</v>
          </cell>
          <cell r="B9">
            <v>29335.855</v>
          </cell>
        </row>
        <row r="10">
          <cell r="A10" t="str">
            <v>Armenia</v>
          </cell>
          <cell r="B10">
            <v>21532.118999999999</v>
          </cell>
        </row>
        <row r="11">
          <cell r="A11" t="str">
            <v>Aruba</v>
          </cell>
          <cell r="B11">
            <v>48967.953000000001</v>
          </cell>
        </row>
        <row r="12">
          <cell r="A12" t="str">
            <v>Australia</v>
          </cell>
          <cell r="B12">
            <v>67900.528999999995</v>
          </cell>
        </row>
        <row r="13">
          <cell r="A13" t="str">
            <v>Austria</v>
          </cell>
          <cell r="B13">
            <v>71988.370999999999</v>
          </cell>
        </row>
        <row r="14">
          <cell r="A14" t="str">
            <v>Azerbaijan</v>
          </cell>
          <cell r="B14">
            <v>23660.457999999999</v>
          </cell>
        </row>
        <row r="15">
          <cell r="A15" t="str">
            <v>Bahamas, The</v>
          </cell>
          <cell r="B15">
            <v>36353.911</v>
          </cell>
        </row>
        <row r="16">
          <cell r="A16" t="str">
            <v>Bahrain</v>
          </cell>
          <cell r="B16">
            <v>63497.707999999999</v>
          </cell>
        </row>
        <row r="17">
          <cell r="A17" t="str">
            <v>Bangladesh</v>
          </cell>
          <cell r="B17">
            <v>9211.6370000000006</v>
          </cell>
        </row>
        <row r="18">
          <cell r="A18" t="str">
            <v>Barbados</v>
          </cell>
          <cell r="B18">
            <v>20765.473000000002</v>
          </cell>
        </row>
        <row r="19">
          <cell r="A19" t="str">
            <v>Belarus</v>
          </cell>
          <cell r="B19">
            <v>30115.083999999999</v>
          </cell>
        </row>
        <row r="20">
          <cell r="A20" t="str">
            <v>Belgium</v>
          </cell>
          <cell r="B20">
            <v>71035.464000000007</v>
          </cell>
        </row>
        <row r="21">
          <cell r="A21" t="str">
            <v>Belize</v>
          </cell>
          <cell r="B21">
            <v>14088.47</v>
          </cell>
        </row>
        <row r="22">
          <cell r="A22" t="str">
            <v>Benin</v>
          </cell>
          <cell r="B22">
            <v>4243.9639999999999</v>
          </cell>
        </row>
        <row r="23">
          <cell r="A23" t="str">
            <v>Bhutan</v>
          </cell>
          <cell r="B23">
            <v>15705.502</v>
          </cell>
        </row>
        <row r="24">
          <cell r="A24" t="str">
            <v>Bolivia</v>
          </cell>
          <cell r="B24">
            <v>11028.11</v>
          </cell>
        </row>
        <row r="25">
          <cell r="A25" t="str">
            <v>Bosnia and Herzegovina</v>
          </cell>
          <cell r="B25">
            <v>20431.303</v>
          </cell>
        </row>
        <row r="26">
          <cell r="A26" t="str">
            <v>Botswana</v>
          </cell>
          <cell r="B26">
            <v>19391.042000000001</v>
          </cell>
        </row>
        <row r="27">
          <cell r="A27" t="str">
            <v>Brazil</v>
          </cell>
          <cell r="B27">
            <v>21052.021000000001</v>
          </cell>
        </row>
        <row r="28">
          <cell r="A28" t="str">
            <v>Brunei Darussalam</v>
          </cell>
          <cell r="B28">
            <v>86866.544999999998</v>
          </cell>
        </row>
        <row r="29">
          <cell r="A29" t="str">
            <v>Bulgaria</v>
          </cell>
          <cell r="B29">
            <v>36860.957999999999</v>
          </cell>
        </row>
        <row r="30">
          <cell r="A30" t="str">
            <v>Burkina Faso</v>
          </cell>
          <cell r="B30">
            <v>2712.681</v>
          </cell>
        </row>
        <row r="31">
          <cell r="A31" t="str">
            <v>Burundi</v>
          </cell>
          <cell r="B31">
            <v>969.88400000000001</v>
          </cell>
        </row>
        <row r="32">
          <cell r="A32" t="str">
            <v>Cabo Verde</v>
          </cell>
          <cell r="B32">
            <v>10681.55</v>
          </cell>
        </row>
        <row r="33">
          <cell r="A33" t="str">
            <v>Cambodia</v>
          </cell>
          <cell r="B33">
            <v>7608.1570000000002</v>
          </cell>
        </row>
        <row r="34">
          <cell r="A34" t="str">
            <v>Cameroon</v>
          </cell>
          <cell r="B34">
            <v>5361.0940000000001</v>
          </cell>
        </row>
        <row r="35">
          <cell r="A35" t="str">
            <v>Canada</v>
          </cell>
          <cell r="B35">
            <v>62266.065999999999</v>
          </cell>
        </row>
        <row r="36">
          <cell r="A36" t="str">
            <v>Central African Republic</v>
          </cell>
          <cell r="B36">
            <v>1291.2529999999999</v>
          </cell>
        </row>
        <row r="37">
          <cell r="A37" t="str">
            <v>Chad</v>
          </cell>
          <cell r="B37">
            <v>2757.7620000000002</v>
          </cell>
        </row>
        <row r="38">
          <cell r="A38" t="str">
            <v>Chile</v>
          </cell>
          <cell r="B38">
            <v>32204.173999999999</v>
          </cell>
        </row>
        <row r="39">
          <cell r="A39" t="str">
            <v>China</v>
          </cell>
          <cell r="B39">
            <v>24502.813999999998</v>
          </cell>
        </row>
        <row r="40">
          <cell r="A40" t="str">
            <v>Colombia</v>
          </cell>
          <cell r="B40">
            <v>20787.614000000001</v>
          </cell>
        </row>
        <row r="41">
          <cell r="A41" t="str">
            <v>Comoros</v>
          </cell>
          <cell r="B41">
            <v>3725.5929999999998</v>
          </cell>
        </row>
        <row r="42">
          <cell r="A42" t="str">
            <v>Congo, Dem. Rep. of the</v>
          </cell>
          <cell r="B42">
            <v>1774.336</v>
          </cell>
        </row>
        <row r="43">
          <cell r="A43" t="str">
            <v xml:space="preserve">Congo, Republic of </v>
          </cell>
          <cell r="B43">
            <v>6252.1570000000002</v>
          </cell>
        </row>
        <row r="44">
          <cell r="A44" t="str">
            <v>Costa Rica</v>
          </cell>
          <cell r="B44">
            <v>28226.753000000001</v>
          </cell>
        </row>
        <row r="45">
          <cell r="A45" t="str">
            <v>Croatia</v>
          </cell>
          <cell r="B45">
            <v>46005.224999999999</v>
          </cell>
        </row>
        <row r="46">
          <cell r="A46" t="str">
            <v>Cyprus</v>
          </cell>
          <cell r="B46">
            <v>56628.362999999998</v>
          </cell>
        </row>
        <row r="47">
          <cell r="A47" t="str">
            <v>Czech Republic</v>
          </cell>
          <cell r="B47">
            <v>55206.512999999999</v>
          </cell>
        </row>
        <row r="48">
          <cell r="A48" t="str">
            <v>Côte d'Ivoire</v>
          </cell>
          <cell r="B48">
            <v>7214.3519999999999</v>
          </cell>
        </row>
        <row r="49">
          <cell r="A49" t="str">
            <v>Denmark</v>
          </cell>
          <cell r="B49">
            <v>80210.524000000005</v>
          </cell>
        </row>
        <row r="50">
          <cell r="A50" t="str">
            <v>Djibouti</v>
          </cell>
          <cell r="B50">
            <v>7988.5550000000003</v>
          </cell>
        </row>
        <row r="51">
          <cell r="A51" t="str">
            <v>Dominica</v>
          </cell>
          <cell r="B51">
            <v>17265.606</v>
          </cell>
        </row>
        <row r="52">
          <cell r="A52" t="str">
            <v>Dominican Republic</v>
          </cell>
          <cell r="B52">
            <v>27112.85</v>
          </cell>
        </row>
        <row r="53">
          <cell r="A53" t="str">
            <v>Ecuador</v>
          </cell>
          <cell r="B53">
            <v>16192.852999999999</v>
          </cell>
        </row>
        <row r="54">
          <cell r="A54" t="str">
            <v>Egypt</v>
          </cell>
          <cell r="B54">
            <v>20180.861000000001</v>
          </cell>
        </row>
        <row r="55">
          <cell r="A55" t="str">
            <v>El Salvador</v>
          </cell>
          <cell r="B55">
            <v>12546.846</v>
          </cell>
        </row>
        <row r="56">
          <cell r="A56" t="str">
            <v>Equatorial Guinea</v>
          </cell>
          <cell r="B56">
            <v>20675.689999999999</v>
          </cell>
        </row>
        <row r="57">
          <cell r="A57" t="str">
            <v>Eritrea</v>
          </cell>
          <cell r="B57" t="str">
            <v>no data</v>
          </cell>
        </row>
        <row r="58">
          <cell r="A58" t="str">
            <v>Estonia</v>
          </cell>
          <cell r="B58">
            <v>47127.95</v>
          </cell>
        </row>
        <row r="59">
          <cell r="A59" t="str">
            <v>Eswatini</v>
          </cell>
          <cell r="B59">
            <v>12232.254999999999</v>
          </cell>
        </row>
        <row r="60">
          <cell r="A60" t="str">
            <v>Ethiopia</v>
          </cell>
          <cell r="B60">
            <v>3783.9470000000001</v>
          </cell>
        </row>
        <row r="61">
          <cell r="A61" t="str">
            <v>Fiji</v>
          </cell>
          <cell r="B61">
            <v>15266.481</v>
          </cell>
        </row>
        <row r="62">
          <cell r="A62" t="str">
            <v>Finland</v>
          </cell>
          <cell r="B62">
            <v>63558.656000000003</v>
          </cell>
        </row>
        <row r="63">
          <cell r="A63" t="str">
            <v>France</v>
          </cell>
          <cell r="B63">
            <v>63880.887999999999</v>
          </cell>
        </row>
        <row r="64">
          <cell r="A64" t="str">
            <v>Gabon</v>
          </cell>
          <cell r="B64">
            <v>23345.612000000001</v>
          </cell>
        </row>
        <row r="65">
          <cell r="A65" t="str">
            <v>Gambia</v>
          </cell>
          <cell r="B65">
            <v>3318.3389999999999</v>
          </cell>
        </row>
        <row r="66">
          <cell r="A66" t="str">
            <v>Georgia</v>
          </cell>
          <cell r="B66">
            <v>24849.107</v>
          </cell>
        </row>
        <row r="67">
          <cell r="A67" t="str">
            <v>Germany</v>
          </cell>
          <cell r="B67">
            <v>69531.553</v>
          </cell>
        </row>
        <row r="68">
          <cell r="A68" t="str">
            <v>Ghana</v>
          </cell>
          <cell r="B68">
            <v>7746.1450000000004</v>
          </cell>
        </row>
        <row r="69">
          <cell r="A69" t="str">
            <v>Greece</v>
          </cell>
          <cell r="B69">
            <v>40047.873</v>
          </cell>
        </row>
        <row r="70">
          <cell r="A70" t="str">
            <v>Grenada</v>
          </cell>
          <cell r="B70">
            <v>19358.429</v>
          </cell>
        </row>
        <row r="71">
          <cell r="A71" t="str">
            <v>Guatemala</v>
          </cell>
          <cell r="B71">
            <v>14158.391</v>
          </cell>
        </row>
        <row r="72">
          <cell r="A72" t="str">
            <v>Guinea</v>
          </cell>
          <cell r="B72">
            <v>4156.7330000000002</v>
          </cell>
        </row>
        <row r="73">
          <cell r="A73" t="str">
            <v>Guinea-Bissau</v>
          </cell>
          <cell r="B73">
            <v>2954.5839999999998</v>
          </cell>
        </row>
        <row r="74">
          <cell r="A74" t="str">
            <v>Guyana</v>
          </cell>
          <cell r="B74">
            <v>53584.550999999999</v>
          </cell>
        </row>
        <row r="75">
          <cell r="A75" t="str">
            <v>Haiti</v>
          </cell>
          <cell r="B75">
            <v>3132.982</v>
          </cell>
        </row>
        <row r="76">
          <cell r="A76" t="str">
            <v>Honduras</v>
          </cell>
          <cell r="B76">
            <v>7295.076</v>
          </cell>
        </row>
        <row r="77">
          <cell r="A77" t="str">
            <v>Hong Kong SAR</v>
          </cell>
          <cell r="B77">
            <v>71627.002999999997</v>
          </cell>
        </row>
        <row r="78">
          <cell r="A78" t="str">
            <v>Hungary</v>
          </cell>
          <cell r="B78">
            <v>44960.951999999997</v>
          </cell>
        </row>
        <row r="79">
          <cell r="A79" t="str">
            <v>Iceland</v>
          </cell>
          <cell r="B79">
            <v>78250.289000000004</v>
          </cell>
        </row>
        <row r="80">
          <cell r="A80" t="str">
            <v>India</v>
          </cell>
          <cell r="B80">
            <v>10233.445</v>
          </cell>
        </row>
        <row r="81">
          <cell r="A81" t="str">
            <v>Indonesia</v>
          </cell>
          <cell r="B81">
            <v>15553.573</v>
          </cell>
        </row>
        <row r="82">
          <cell r="A82" t="str">
            <v>Iran</v>
          </cell>
          <cell r="B82">
            <v>18658.141</v>
          </cell>
        </row>
        <row r="83">
          <cell r="A83" t="str">
            <v>Iraq</v>
          </cell>
          <cell r="B83">
            <v>14766.838</v>
          </cell>
        </row>
        <row r="84">
          <cell r="A84" t="str">
            <v>Ireland</v>
          </cell>
          <cell r="B84">
            <v>126991.82</v>
          </cell>
        </row>
        <row r="85">
          <cell r="A85" t="str">
            <v>Israel</v>
          </cell>
          <cell r="B85">
            <v>53810.400999999998</v>
          </cell>
        </row>
        <row r="86">
          <cell r="A86" t="str">
            <v>Italy</v>
          </cell>
          <cell r="B86">
            <v>59164.514999999999</v>
          </cell>
        </row>
        <row r="87">
          <cell r="A87" t="str">
            <v>Jamaica</v>
          </cell>
          <cell r="B87">
            <v>11856.177</v>
          </cell>
        </row>
        <row r="88">
          <cell r="A88" t="str">
            <v>Japan</v>
          </cell>
          <cell r="B88">
            <v>51399.027000000002</v>
          </cell>
        </row>
        <row r="89">
          <cell r="A89" t="str">
            <v>Jordan</v>
          </cell>
          <cell r="B89">
            <v>10455.864</v>
          </cell>
        </row>
        <row r="90">
          <cell r="A90" t="str">
            <v>Kazakhstan</v>
          </cell>
          <cell r="B90">
            <v>39463.307000000001</v>
          </cell>
        </row>
        <row r="91">
          <cell r="A91" t="str">
            <v>Kenya</v>
          </cell>
          <cell r="B91">
            <v>6772.2839999999997</v>
          </cell>
        </row>
        <row r="92">
          <cell r="A92" t="str">
            <v>Kiribati</v>
          </cell>
          <cell r="B92">
            <v>3386.6120000000001</v>
          </cell>
        </row>
        <row r="93">
          <cell r="A93" t="str">
            <v>Korea, Republic of</v>
          </cell>
          <cell r="B93">
            <v>60046.345000000001</v>
          </cell>
        </row>
        <row r="94">
          <cell r="A94" t="str">
            <v>Kosovo</v>
          </cell>
          <cell r="B94">
            <v>15864.08</v>
          </cell>
        </row>
        <row r="95">
          <cell r="A95" t="str">
            <v>Kuwait</v>
          </cell>
          <cell r="B95">
            <v>50933.256000000001</v>
          </cell>
        </row>
        <row r="96">
          <cell r="A96" t="str">
            <v>Kyrgyz Republic</v>
          </cell>
          <cell r="B96">
            <v>7279.2629999999999</v>
          </cell>
        </row>
        <row r="97">
          <cell r="A97" t="str">
            <v>Laos</v>
          </cell>
          <cell r="B97">
            <v>9250.1720000000005</v>
          </cell>
        </row>
        <row r="98">
          <cell r="A98" t="str">
            <v>Latvia</v>
          </cell>
          <cell r="B98">
            <v>41938.071000000004</v>
          </cell>
        </row>
        <row r="99">
          <cell r="A99" t="str">
            <v>Lebanon</v>
          </cell>
          <cell r="B99">
            <v>12453.967000000001</v>
          </cell>
        </row>
        <row r="100">
          <cell r="A100" t="str">
            <v>Lesotho</v>
          </cell>
          <cell r="B100">
            <v>3135.2530000000002</v>
          </cell>
        </row>
        <row r="101">
          <cell r="A101" t="str">
            <v>Liberia</v>
          </cell>
          <cell r="B101">
            <v>1810.556</v>
          </cell>
        </row>
        <row r="102">
          <cell r="A102" t="str">
            <v>Libya</v>
          </cell>
          <cell r="B102">
            <v>14781.325999999999</v>
          </cell>
        </row>
        <row r="103">
          <cell r="A103" t="str">
            <v>Lithuania</v>
          </cell>
          <cell r="B103">
            <v>51129.222000000002</v>
          </cell>
        </row>
        <row r="104">
          <cell r="A104" t="str">
            <v>Luxembourg</v>
          </cell>
          <cell r="B104">
            <v>148693.70199999999</v>
          </cell>
        </row>
        <row r="105">
          <cell r="A105" t="str">
            <v>Macao SAR</v>
          </cell>
          <cell r="B105">
            <v>117032.90700000001</v>
          </cell>
        </row>
        <row r="106">
          <cell r="A106" t="str">
            <v>Madagascar</v>
          </cell>
          <cell r="B106">
            <v>1911.404</v>
          </cell>
        </row>
        <row r="107">
          <cell r="A107" t="str">
            <v>Malawi</v>
          </cell>
          <cell r="B107">
            <v>1691.672</v>
          </cell>
        </row>
        <row r="108">
          <cell r="A108" t="str">
            <v>Malaysia</v>
          </cell>
          <cell r="B108">
            <v>38693.714999999997</v>
          </cell>
        </row>
        <row r="109">
          <cell r="A109" t="str">
            <v>Maldives</v>
          </cell>
          <cell r="B109">
            <v>32541.080999999998</v>
          </cell>
        </row>
        <row r="110">
          <cell r="A110" t="str">
            <v>Mali</v>
          </cell>
          <cell r="B110">
            <v>2762.817</v>
          </cell>
        </row>
        <row r="111">
          <cell r="A111" t="str">
            <v>Malta</v>
          </cell>
          <cell r="B111">
            <v>69181.837</v>
          </cell>
        </row>
        <row r="112">
          <cell r="A112" t="str">
            <v>Marshall Islands</v>
          </cell>
          <cell r="B112">
            <v>6270.5410000000002</v>
          </cell>
        </row>
        <row r="113">
          <cell r="A113" t="str">
            <v>Mauritania</v>
          </cell>
          <cell r="B113">
            <v>7874.9780000000001</v>
          </cell>
        </row>
        <row r="114">
          <cell r="A114" t="str">
            <v>Mauritius</v>
          </cell>
          <cell r="B114">
            <v>29511.256000000001</v>
          </cell>
        </row>
        <row r="115">
          <cell r="A115" t="str">
            <v>Mexico</v>
          </cell>
          <cell r="B115">
            <v>24248.718000000001</v>
          </cell>
        </row>
        <row r="116">
          <cell r="A116" t="str">
            <v>Micronesia, Fed. States of</v>
          </cell>
          <cell r="B116">
            <v>4526.9080000000004</v>
          </cell>
        </row>
        <row r="117">
          <cell r="A117" t="str">
            <v>Moldova</v>
          </cell>
          <cell r="B117">
            <v>17320.302</v>
          </cell>
        </row>
        <row r="118">
          <cell r="A118" t="str">
            <v>Mongolia</v>
          </cell>
          <cell r="B118">
            <v>17883.656999999999</v>
          </cell>
        </row>
        <row r="119">
          <cell r="A119" t="str">
            <v>Montenegro</v>
          </cell>
          <cell r="B119">
            <v>30007.337</v>
          </cell>
        </row>
        <row r="120">
          <cell r="A120" t="str">
            <v>Morocco</v>
          </cell>
          <cell r="B120">
            <v>10180.615</v>
          </cell>
        </row>
        <row r="121">
          <cell r="A121" t="str">
            <v>Mozambique</v>
          </cell>
          <cell r="B121">
            <v>1664.7070000000001</v>
          </cell>
        </row>
        <row r="122">
          <cell r="A122" t="str">
            <v>Myanmar</v>
          </cell>
          <cell r="B122">
            <v>5061.1019999999999</v>
          </cell>
        </row>
        <row r="123">
          <cell r="A123" t="str">
            <v>Namibia</v>
          </cell>
          <cell r="B123">
            <v>11349.849</v>
          </cell>
        </row>
        <row r="124">
          <cell r="A124" t="str">
            <v>Nauru</v>
          </cell>
          <cell r="B124">
            <v>10625.931</v>
          </cell>
        </row>
        <row r="125">
          <cell r="A125" t="str">
            <v>Nepal</v>
          </cell>
          <cell r="B125">
            <v>5153.1260000000002</v>
          </cell>
        </row>
        <row r="126">
          <cell r="A126" t="str">
            <v>Netherlands</v>
          </cell>
          <cell r="B126">
            <v>79586.244999999995</v>
          </cell>
        </row>
        <row r="127">
          <cell r="A127" t="str">
            <v>New Zealand</v>
          </cell>
          <cell r="B127">
            <v>52856.074000000001</v>
          </cell>
        </row>
        <row r="128">
          <cell r="A128" t="str">
            <v>Nicaragua</v>
          </cell>
          <cell r="B128">
            <v>8492.3359999999993</v>
          </cell>
        </row>
        <row r="129">
          <cell r="A129" t="str">
            <v>Niger</v>
          </cell>
          <cell r="B129">
            <v>1824.328</v>
          </cell>
        </row>
        <row r="130">
          <cell r="A130" t="str">
            <v>Nigeria</v>
          </cell>
          <cell r="B130">
            <v>6366.7060000000001</v>
          </cell>
        </row>
        <row r="131">
          <cell r="A131" t="str">
            <v xml:space="preserve">North Macedonia </v>
          </cell>
          <cell r="B131">
            <v>25718.080000000002</v>
          </cell>
        </row>
        <row r="132">
          <cell r="A132" t="str">
            <v>Norway</v>
          </cell>
          <cell r="B132">
            <v>100153.712</v>
          </cell>
        </row>
        <row r="133">
          <cell r="A133" t="str">
            <v>Oman</v>
          </cell>
          <cell r="B133">
            <v>41558.705000000002</v>
          </cell>
        </row>
        <row r="134">
          <cell r="A134" t="str">
            <v>Pakistan</v>
          </cell>
          <cell r="B134">
            <v>6530.8879999999999</v>
          </cell>
        </row>
        <row r="135">
          <cell r="A135" t="str">
            <v>Palau</v>
          </cell>
          <cell r="B135">
            <v>15539.460999999999</v>
          </cell>
        </row>
        <row r="136">
          <cell r="A136" t="str">
            <v>Panama</v>
          </cell>
          <cell r="B136">
            <v>39846.203000000001</v>
          </cell>
        </row>
        <row r="137">
          <cell r="A137" t="str">
            <v>Papua New Guinea</v>
          </cell>
          <cell r="B137">
            <v>3375.5329999999999</v>
          </cell>
        </row>
        <row r="138">
          <cell r="A138" t="str">
            <v>Paraguay</v>
          </cell>
          <cell r="B138">
            <v>15869.084999999999</v>
          </cell>
        </row>
        <row r="139">
          <cell r="A139" t="str">
            <v>Peru</v>
          </cell>
          <cell r="B139">
            <v>17024.651000000002</v>
          </cell>
        </row>
        <row r="140">
          <cell r="A140" t="str">
            <v>Philippines</v>
          </cell>
          <cell r="B140">
            <v>11281.377</v>
          </cell>
        </row>
        <row r="141">
          <cell r="A141" t="str">
            <v>Poland</v>
          </cell>
          <cell r="B141">
            <v>48799.413</v>
          </cell>
        </row>
        <row r="142">
          <cell r="A142" t="str">
            <v>Portugal</v>
          </cell>
          <cell r="B142">
            <v>47226.150999999998</v>
          </cell>
        </row>
        <row r="143">
          <cell r="A143" t="str">
            <v>Puerto Rico</v>
          </cell>
          <cell r="B143">
            <v>47717.536</v>
          </cell>
        </row>
        <row r="144">
          <cell r="A144" t="str">
            <v>Qatar</v>
          </cell>
          <cell r="B144">
            <v>111789.459</v>
          </cell>
        </row>
        <row r="145">
          <cell r="A145" t="str">
            <v>Romania</v>
          </cell>
          <cell r="B145">
            <v>44974.057000000001</v>
          </cell>
        </row>
        <row r="146">
          <cell r="A146" t="str">
            <v>Russian Federation</v>
          </cell>
          <cell r="B146">
            <v>44512.053</v>
          </cell>
        </row>
        <row r="147">
          <cell r="A147" t="str">
            <v>Rwanda</v>
          </cell>
          <cell r="B147">
            <v>3510.6509999999998</v>
          </cell>
        </row>
        <row r="148">
          <cell r="A148" t="str">
            <v>Saint Kitts and Nevis</v>
          </cell>
          <cell r="B148">
            <v>33051.449999999997</v>
          </cell>
        </row>
        <row r="149">
          <cell r="A149" t="str">
            <v>Saint Lucia</v>
          </cell>
          <cell r="B149">
            <v>25597.791000000001</v>
          </cell>
        </row>
        <row r="150">
          <cell r="A150" t="str">
            <v>Saint Vincent and the Grenadines</v>
          </cell>
          <cell r="B150">
            <v>18174.580000000002</v>
          </cell>
        </row>
        <row r="151">
          <cell r="A151" t="str">
            <v>Samoa</v>
          </cell>
          <cell r="B151">
            <v>6316.2190000000001</v>
          </cell>
        </row>
        <row r="152">
          <cell r="A152" t="str">
            <v>San Marino</v>
          </cell>
          <cell r="B152">
            <v>78121.941000000006</v>
          </cell>
        </row>
        <row r="153">
          <cell r="A153" t="str">
            <v>Saudi Arabia</v>
          </cell>
          <cell r="B153">
            <v>61932.610999999997</v>
          </cell>
        </row>
        <row r="154">
          <cell r="A154" t="str">
            <v>Senegal</v>
          </cell>
          <cell r="B154">
            <v>4786.4949999999999</v>
          </cell>
        </row>
        <row r="155">
          <cell r="A155" t="str">
            <v>Serbia</v>
          </cell>
          <cell r="B155">
            <v>27183.330999999998</v>
          </cell>
        </row>
        <row r="156">
          <cell r="A156" t="str">
            <v>Seychelles</v>
          </cell>
          <cell r="B156">
            <v>39248.892999999996</v>
          </cell>
        </row>
        <row r="157">
          <cell r="A157" t="str">
            <v>Sierra Leone</v>
          </cell>
          <cell r="B157">
            <v>3359.6619999999998</v>
          </cell>
        </row>
        <row r="158">
          <cell r="A158" t="str">
            <v>Singapore</v>
          </cell>
          <cell r="B158">
            <v>141553.67499999999</v>
          </cell>
        </row>
        <row r="159">
          <cell r="A159" t="str">
            <v>Slovak Republic</v>
          </cell>
          <cell r="B159">
            <v>43555.921000000002</v>
          </cell>
        </row>
        <row r="160">
          <cell r="A160" t="str">
            <v>Slovenia</v>
          </cell>
          <cell r="B160">
            <v>53631.544999999998</v>
          </cell>
        </row>
        <row r="161">
          <cell r="A161" t="str">
            <v>Solomon Islands</v>
          </cell>
          <cell r="B161">
            <v>2554.413</v>
          </cell>
        </row>
        <row r="162">
          <cell r="A162" t="str">
            <v>Somalia</v>
          </cell>
          <cell r="B162">
            <v>1780.2760000000001</v>
          </cell>
        </row>
        <row r="163">
          <cell r="A163" t="str">
            <v>South Africa</v>
          </cell>
          <cell r="B163">
            <v>15423.596</v>
          </cell>
        </row>
        <row r="164">
          <cell r="A164" t="str">
            <v>South Sudan, Republic of</v>
          </cell>
          <cell r="B164">
            <v>1042.097</v>
          </cell>
        </row>
        <row r="165">
          <cell r="A165" t="str">
            <v>Spain</v>
          </cell>
          <cell r="B165">
            <v>52907.923999999999</v>
          </cell>
        </row>
        <row r="166">
          <cell r="A166" t="str">
            <v>Sri Lanka</v>
          </cell>
          <cell r="B166" t="str">
            <v>no data</v>
          </cell>
        </row>
        <row r="167">
          <cell r="A167" t="str">
            <v>Sudan</v>
          </cell>
          <cell r="B167">
            <v>3158.0770000000002</v>
          </cell>
        </row>
        <row r="168">
          <cell r="A168" t="str">
            <v>Suriname</v>
          </cell>
          <cell r="B168">
            <v>20614.284</v>
          </cell>
        </row>
        <row r="169">
          <cell r="A169" t="str">
            <v>Sweden</v>
          </cell>
          <cell r="B169">
            <v>70046.951000000001</v>
          </cell>
        </row>
        <row r="170">
          <cell r="A170" t="str">
            <v>Switzerland</v>
          </cell>
          <cell r="B170">
            <v>93054.781000000003</v>
          </cell>
        </row>
        <row r="171">
          <cell r="A171" t="str">
            <v>Syria</v>
          </cell>
          <cell r="B171" t="str">
            <v>no data</v>
          </cell>
        </row>
        <row r="172">
          <cell r="A172" t="str">
            <v>São Tomé and Príncipe</v>
          </cell>
          <cell r="B172">
            <v>6123.6670000000004</v>
          </cell>
        </row>
        <row r="173">
          <cell r="A173" t="str">
            <v>Taiwan Province of China</v>
          </cell>
          <cell r="B173">
            <v>74408.881999999998</v>
          </cell>
        </row>
        <row r="174">
          <cell r="A174" t="str">
            <v>Tajikistan</v>
          </cell>
          <cell r="B174">
            <v>5147.9449999999997</v>
          </cell>
        </row>
        <row r="175">
          <cell r="A175" t="str">
            <v>Tanzania</v>
          </cell>
          <cell r="B175">
            <v>3943.7359999999999</v>
          </cell>
        </row>
        <row r="176">
          <cell r="A176" t="str">
            <v>Thailand</v>
          </cell>
          <cell r="B176">
            <v>23981.206999999999</v>
          </cell>
        </row>
        <row r="177">
          <cell r="A177" t="str">
            <v>Timor-Leste</v>
          </cell>
          <cell r="B177">
            <v>5152.0320000000002</v>
          </cell>
        </row>
        <row r="178">
          <cell r="A178" t="str">
            <v>Togo</v>
          </cell>
          <cell r="B178">
            <v>3125.2190000000001</v>
          </cell>
        </row>
        <row r="179">
          <cell r="A179" t="str">
            <v>Tonga</v>
          </cell>
          <cell r="B179">
            <v>7477.1379999999999</v>
          </cell>
        </row>
        <row r="180">
          <cell r="A180" t="str">
            <v>Trinidad and Tobago</v>
          </cell>
          <cell r="B180">
            <v>33790.980000000003</v>
          </cell>
        </row>
        <row r="181">
          <cell r="A181" t="str">
            <v>Tunisia</v>
          </cell>
          <cell r="B181">
            <v>13892.913</v>
          </cell>
        </row>
        <row r="182">
          <cell r="A182" t="str">
            <v>Turkmenistan</v>
          </cell>
          <cell r="B182">
            <v>25977.504000000001</v>
          </cell>
        </row>
        <row r="183">
          <cell r="A183" t="str">
            <v>Tuvalu</v>
          </cell>
          <cell r="B183">
            <v>6138.2650000000003</v>
          </cell>
        </row>
        <row r="184">
          <cell r="A184" t="str">
            <v>Türkiye</v>
          </cell>
          <cell r="B184">
            <v>38390.949000000001</v>
          </cell>
        </row>
        <row r="185">
          <cell r="A185" t="str">
            <v>Uganda</v>
          </cell>
          <cell r="B185">
            <v>3460.145</v>
          </cell>
        </row>
        <row r="186">
          <cell r="A186" t="str">
            <v>Ukraine</v>
          </cell>
          <cell r="B186">
            <v>18269.595000000001</v>
          </cell>
        </row>
        <row r="187">
          <cell r="A187" t="str">
            <v>United Arab Emirates</v>
          </cell>
          <cell r="B187">
            <v>74713.616999999998</v>
          </cell>
        </row>
        <row r="188">
          <cell r="A188" t="str">
            <v>United Kingdom</v>
          </cell>
          <cell r="B188">
            <v>60735.428999999996</v>
          </cell>
        </row>
        <row r="189">
          <cell r="A189" t="str">
            <v>United States</v>
          </cell>
          <cell r="B189">
            <v>82715.100000000006</v>
          </cell>
        </row>
        <row r="190">
          <cell r="A190" t="str">
            <v>Uruguay</v>
          </cell>
          <cell r="B190">
            <v>32703.996999999999</v>
          </cell>
        </row>
        <row r="191">
          <cell r="A191" t="str">
            <v>Uzbekistan</v>
          </cell>
          <cell r="B191">
            <v>10992.111999999999</v>
          </cell>
        </row>
        <row r="192">
          <cell r="A192" t="str">
            <v>Vanuatu</v>
          </cell>
          <cell r="B192">
            <v>2882.8029999999999</v>
          </cell>
        </row>
        <row r="193">
          <cell r="A193" t="str">
            <v>Venezuela</v>
          </cell>
          <cell r="B193">
            <v>7943.2510000000002</v>
          </cell>
        </row>
        <row r="194">
          <cell r="A194" t="str">
            <v>Vietnam</v>
          </cell>
          <cell r="B194">
            <v>14981.697</v>
          </cell>
        </row>
        <row r="195">
          <cell r="A195" t="str">
            <v>West Bank and Gaza</v>
          </cell>
          <cell r="B195">
            <v>5561.5529999999999</v>
          </cell>
        </row>
        <row r="196">
          <cell r="A196" t="str">
            <v>Yemen</v>
          </cell>
          <cell r="B196">
            <v>2012.953</v>
          </cell>
        </row>
        <row r="197">
          <cell r="A197" t="str">
            <v>Zambia</v>
          </cell>
          <cell r="B197">
            <v>4110.1859999999997</v>
          </cell>
        </row>
        <row r="198">
          <cell r="A198" t="str">
            <v>Zimbabwe</v>
          </cell>
          <cell r="B198">
            <v>4965.1940000000004</v>
          </cell>
        </row>
        <row r="199">
          <cell r="A199" t="str">
            <v>Africa (Region)</v>
          </cell>
          <cell r="B199">
            <v>6889.0379999999996</v>
          </cell>
        </row>
        <row r="200">
          <cell r="A200" t="str">
            <v>Asia and Pacific</v>
          </cell>
          <cell r="B200">
            <v>18710.916000000001</v>
          </cell>
        </row>
        <row r="201">
          <cell r="A201" t="str">
            <v>Australia and New Zealand</v>
          </cell>
          <cell r="B201">
            <v>65451.252999999997</v>
          </cell>
        </row>
        <row r="202">
          <cell r="A202" t="str">
            <v>Caribbean</v>
          </cell>
          <cell r="B202">
            <v>11239.165999999999</v>
          </cell>
        </row>
        <row r="203">
          <cell r="A203" t="str">
            <v>Central America</v>
          </cell>
          <cell r="B203">
            <v>17527.321</v>
          </cell>
        </row>
        <row r="204">
          <cell r="A204" t="str">
            <v>Central Asia and the Caucasus</v>
          </cell>
          <cell r="B204">
            <v>23317.466</v>
          </cell>
        </row>
        <row r="205">
          <cell r="A205" t="str">
            <v>East Asia</v>
          </cell>
          <cell r="B205">
            <v>28626.652999999998</v>
          </cell>
        </row>
        <row r="206">
          <cell r="A206" t="str">
            <v xml:space="preserve">Eastern Europe </v>
          </cell>
          <cell r="B206">
            <v>40847.417999999998</v>
          </cell>
        </row>
        <row r="207">
          <cell r="A207" t="str">
            <v>Europe</v>
          </cell>
          <cell r="B207">
            <v>54931.192999999999</v>
          </cell>
        </row>
        <row r="208">
          <cell r="A208" t="str">
            <v>Middle East (Region)</v>
          </cell>
          <cell r="B208">
            <v>26794.985000000001</v>
          </cell>
        </row>
        <row r="209">
          <cell r="A209" t="str">
            <v>North Africa</v>
          </cell>
          <cell r="B209">
            <v>17117.562000000002</v>
          </cell>
        </row>
        <row r="210">
          <cell r="A210" t="str">
            <v>North America</v>
          </cell>
          <cell r="B210">
            <v>65840.823000000004</v>
          </cell>
        </row>
        <row r="211">
          <cell r="A211" t="str">
            <v xml:space="preserve">Pacific Islands </v>
          </cell>
          <cell r="B211">
            <v>4131.2089999999998</v>
          </cell>
        </row>
        <row r="212">
          <cell r="A212" t="str">
            <v>South America</v>
          </cell>
          <cell r="B212">
            <v>20834.444</v>
          </cell>
        </row>
        <row r="213">
          <cell r="A213" t="str">
            <v>South Asia</v>
          </cell>
          <cell r="B213">
            <v>9655.9179999999997</v>
          </cell>
        </row>
        <row r="214">
          <cell r="A214" t="str">
            <v>Southeast Asia</v>
          </cell>
          <cell r="B214">
            <v>16777.378000000001</v>
          </cell>
        </row>
        <row r="215">
          <cell r="A215" t="str">
            <v xml:space="preserve">Sub-Saharan Africa (Region) </v>
          </cell>
          <cell r="B215">
            <v>5109.8639999999996</v>
          </cell>
        </row>
        <row r="216">
          <cell r="A216" t="str">
            <v>Western Europe</v>
          </cell>
          <cell r="B216">
            <v>65024.720999999998</v>
          </cell>
        </row>
        <row r="217">
          <cell r="A217" t="str">
            <v>Western Hemisphere (Region)</v>
          </cell>
          <cell r="B217">
            <v>42872.455999999998</v>
          </cell>
        </row>
        <row r="218">
          <cell r="A218" t="str">
            <v>ASEAN-5</v>
          </cell>
          <cell r="B218">
            <v>18803.078000000001</v>
          </cell>
        </row>
        <row r="219">
          <cell r="A219" t="str">
            <v>Advanced economies</v>
          </cell>
          <cell r="B219">
            <v>68728.351999999999</v>
          </cell>
        </row>
        <row r="220">
          <cell r="A220" t="str">
            <v>Emerging and Developing Asia</v>
          </cell>
          <cell r="B220">
            <v>16488.175999999999</v>
          </cell>
        </row>
        <row r="221">
          <cell r="A221" t="str">
            <v>Emerging and Developing Europe</v>
          </cell>
          <cell r="B221">
            <v>39451.095999999998</v>
          </cell>
        </row>
        <row r="222">
          <cell r="A222" t="str">
            <v>Emerging market and developing economies</v>
          </cell>
          <cell r="B222">
            <v>16076.477999999999</v>
          </cell>
        </row>
        <row r="223">
          <cell r="A223" t="str">
            <v>European Union</v>
          </cell>
          <cell r="B223">
            <v>60687.995000000003</v>
          </cell>
        </row>
        <row r="224">
          <cell r="A224" t="str">
            <v>Latin America and the Caribbean</v>
          </cell>
          <cell r="B224">
            <v>20920.535</v>
          </cell>
        </row>
        <row r="225">
          <cell r="A225" t="str">
            <v>Major advanced economies (G7)</v>
          </cell>
          <cell r="B225">
            <v>69901.304000000004</v>
          </cell>
        </row>
        <row r="226">
          <cell r="A226" t="str">
            <v>Middle East and Central Asia</v>
          </cell>
          <cell r="B226">
            <v>15149.898999999999</v>
          </cell>
        </row>
        <row r="227">
          <cell r="A227" t="str">
            <v>Other advanced economies</v>
          </cell>
          <cell r="B227">
            <v>69737.653000000006</v>
          </cell>
        </row>
        <row r="228">
          <cell r="A228" t="str">
            <v>Sub-Saharan Africa</v>
          </cell>
          <cell r="B228">
            <v>5178.6229999999996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data.uis.unesco.org/" TargetMode="External"/><Relationship Id="rId1" Type="http://schemas.openxmlformats.org/officeDocument/2006/relationships/hyperlink" Target="http://data.uis.unesco.org/OECDStat_Metadata/ShowMetadata.ashx?Dataset=NATMON_DS&amp;ShowOnWeb=true&amp;Lang=en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9E39-BE8B-4350-B130-F4299B599274}">
  <dimension ref="A1:BP268"/>
  <sheetViews>
    <sheetView workbookViewId="0">
      <selection activeCell="AZ53" sqref="AZ53"/>
    </sheetView>
  </sheetViews>
  <sheetFormatPr defaultRowHeight="14.4" x14ac:dyDescent="0.3"/>
  <cols>
    <col min="1" max="1" width="23.88671875" style="16" customWidth="1"/>
    <col min="2" max="2" width="13.88671875" style="16" customWidth="1"/>
    <col min="3" max="3" width="28.109375" style="16" hidden="1" customWidth="1"/>
    <col min="4" max="4" width="17.33203125" style="16" hidden="1" customWidth="1"/>
    <col min="5" max="5" width="5" style="16" hidden="1" customWidth="1"/>
    <col min="6" max="51" width="12.109375" style="16" hidden="1" customWidth="1"/>
    <col min="52" max="66" width="12.109375" style="16" bestFit="1" customWidth="1"/>
    <col min="67" max="68" width="12.109375" style="16" hidden="1" customWidth="1"/>
    <col min="69" max="256" width="8.88671875" style="16"/>
    <col min="257" max="257" width="23.88671875" style="16" customWidth="1"/>
    <col min="258" max="258" width="13.88671875" style="16" customWidth="1"/>
    <col min="259" max="307" width="0" style="16" hidden="1" customWidth="1"/>
    <col min="308" max="322" width="12.109375" style="16" bestFit="1" customWidth="1"/>
    <col min="323" max="324" width="0" style="16" hidden="1" customWidth="1"/>
    <col min="325" max="512" width="8.88671875" style="16"/>
    <col min="513" max="513" width="23.88671875" style="16" customWidth="1"/>
    <col min="514" max="514" width="13.88671875" style="16" customWidth="1"/>
    <col min="515" max="563" width="0" style="16" hidden="1" customWidth="1"/>
    <col min="564" max="578" width="12.109375" style="16" bestFit="1" customWidth="1"/>
    <col min="579" max="580" width="0" style="16" hidden="1" customWidth="1"/>
    <col min="581" max="768" width="8.88671875" style="16"/>
    <col min="769" max="769" width="23.88671875" style="16" customWidth="1"/>
    <col min="770" max="770" width="13.88671875" style="16" customWidth="1"/>
    <col min="771" max="819" width="0" style="16" hidden="1" customWidth="1"/>
    <col min="820" max="834" width="12.109375" style="16" bestFit="1" customWidth="1"/>
    <col min="835" max="836" width="0" style="16" hidden="1" customWidth="1"/>
    <col min="837" max="1024" width="8.88671875" style="16"/>
    <col min="1025" max="1025" width="23.88671875" style="16" customWidth="1"/>
    <col min="1026" max="1026" width="13.88671875" style="16" customWidth="1"/>
    <col min="1027" max="1075" width="0" style="16" hidden="1" customWidth="1"/>
    <col min="1076" max="1090" width="12.109375" style="16" bestFit="1" customWidth="1"/>
    <col min="1091" max="1092" width="0" style="16" hidden="1" customWidth="1"/>
    <col min="1093" max="1280" width="8.88671875" style="16"/>
    <col min="1281" max="1281" width="23.88671875" style="16" customWidth="1"/>
    <col min="1282" max="1282" width="13.88671875" style="16" customWidth="1"/>
    <col min="1283" max="1331" width="0" style="16" hidden="1" customWidth="1"/>
    <col min="1332" max="1346" width="12.109375" style="16" bestFit="1" customWidth="1"/>
    <col min="1347" max="1348" width="0" style="16" hidden="1" customWidth="1"/>
    <col min="1349" max="1536" width="8.88671875" style="16"/>
    <col min="1537" max="1537" width="23.88671875" style="16" customWidth="1"/>
    <col min="1538" max="1538" width="13.88671875" style="16" customWidth="1"/>
    <col min="1539" max="1587" width="0" style="16" hidden="1" customWidth="1"/>
    <col min="1588" max="1602" width="12.109375" style="16" bestFit="1" customWidth="1"/>
    <col min="1603" max="1604" width="0" style="16" hidden="1" customWidth="1"/>
    <col min="1605" max="1792" width="8.88671875" style="16"/>
    <col min="1793" max="1793" width="23.88671875" style="16" customWidth="1"/>
    <col min="1794" max="1794" width="13.88671875" style="16" customWidth="1"/>
    <col min="1795" max="1843" width="0" style="16" hidden="1" customWidth="1"/>
    <col min="1844" max="1858" width="12.109375" style="16" bestFit="1" customWidth="1"/>
    <col min="1859" max="1860" width="0" style="16" hidden="1" customWidth="1"/>
    <col min="1861" max="2048" width="8.88671875" style="16"/>
    <col min="2049" max="2049" width="23.88671875" style="16" customWidth="1"/>
    <col min="2050" max="2050" width="13.88671875" style="16" customWidth="1"/>
    <col min="2051" max="2099" width="0" style="16" hidden="1" customWidth="1"/>
    <col min="2100" max="2114" width="12.109375" style="16" bestFit="1" customWidth="1"/>
    <col min="2115" max="2116" width="0" style="16" hidden="1" customWidth="1"/>
    <col min="2117" max="2304" width="8.88671875" style="16"/>
    <col min="2305" max="2305" width="23.88671875" style="16" customWidth="1"/>
    <col min="2306" max="2306" width="13.88671875" style="16" customWidth="1"/>
    <col min="2307" max="2355" width="0" style="16" hidden="1" customWidth="1"/>
    <col min="2356" max="2370" width="12.109375" style="16" bestFit="1" customWidth="1"/>
    <col min="2371" max="2372" width="0" style="16" hidden="1" customWidth="1"/>
    <col min="2373" max="2560" width="8.88671875" style="16"/>
    <col min="2561" max="2561" width="23.88671875" style="16" customWidth="1"/>
    <col min="2562" max="2562" width="13.88671875" style="16" customWidth="1"/>
    <col min="2563" max="2611" width="0" style="16" hidden="1" customWidth="1"/>
    <col min="2612" max="2626" width="12.109375" style="16" bestFit="1" customWidth="1"/>
    <col min="2627" max="2628" width="0" style="16" hidden="1" customWidth="1"/>
    <col min="2629" max="2816" width="8.88671875" style="16"/>
    <col min="2817" max="2817" width="23.88671875" style="16" customWidth="1"/>
    <col min="2818" max="2818" width="13.88671875" style="16" customWidth="1"/>
    <col min="2819" max="2867" width="0" style="16" hidden="1" customWidth="1"/>
    <col min="2868" max="2882" width="12.109375" style="16" bestFit="1" customWidth="1"/>
    <col min="2883" max="2884" width="0" style="16" hidden="1" customWidth="1"/>
    <col min="2885" max="3072" width="8.88671875" style="16"/>
    <col min="3073" max="3073" width="23.88671875" style="16" customWidth="1"/>
    <col min="3074" max="3074" width="13.88671875" style="16" customWidth="1"/>
    <col min="3075" max="3123" width="0" style="16" hidden="1" customWidth="1"/>
    <col min="3124" max="3138" width="12.109375" style="16" bestFit="1" customWidth="1"/>
    <col min="3139" max="3140" width="0" style="16" hidden="1" customWidth="1"/>
    <col min="3141" max="3328" width="8.88671875" style="16"/>
    <col min="3329" max="3329" width="23.88671875" style="16" customWidth="1"/>
    <col min="3330" max="3330" width="13.88671875" style="16" customWidth="1"/>
    <col min="3331" max="3379" width="0" style="16" hidden="1" customWidth="1"/>
    <col min="3380" max="3394" width="12.109375" style="16" bestFit="1" customWidth="1"/>
    <col min="3395" max="3396" width="0" style="16" hidden="1" customWidth="1"/>
    <col min="3397" max="3584" width="8.88671875" style="16"/>
    <col min="3585" max="3585" width="23.88671875" style="16" customWidth="1"/>
    <col min="3586" max="3586" width="13.88671875" style="16" customWidth="1"/>
    <col min="3587" max="3635" width="0" style="16" hidden="1" customWidth="1"/>
    <col min="3636" max="3650" width="12.109375" style="16" bestFit="1" customWidth="1"/>
    <col min="3651" max="3652" width="0" style="16" hidden="1" customWidth="1"/>
    <col min="3653" max="3840" width="8.88671875" style="16"/>
    <col min="3841" max="3841" width="23.88671875" style="16" customWidth="1"/>
    <col min="3842" max="3842" width="13.88671875" style="16" customWidth="1"/>
    <col min="3843" max="3891" width="0" style="16" hidden="1" customWidth="1"/>
    <col min="3892" max="3906" width="12.109375" style="16" bestFit="1" customWidth="1"/>
    <col min="3907" max="3908" width="0" style="16" hidden="1" customWidth="1"/>
    <col min="3909" max="4096" width="8.88671875" style="16"/>
    <col min="4097" max="4097" width="23.88671875" style="16" customWidth="1"/>
    <col min="4098" max="4098" width="13.88671875" style="16" customWidth="1"/>
    <col min="4099" max="4147" width="0" style="16" hidden="1" customWidth="1"/>
    <col min="4148" max="4162" width="12.109375" style="16" bestFit="1" customWidth="1"/>
    <col min="4163" max="4164" width="0" style="16" hidden="1" customWidth="1"/>
    <col min="4165" max="4352" width="8.88671875" style="16"/>
    <col min="4353" max="4353" width="23.88671875" style="16" customWidth="1"/>
    <col min="4354" max="4354" width="13.88671875" style="16" customWidth="1"/>
    <col min="4355" max="4403" width="0" style="16" hidden="1" customWidth="1"/>
    <col min="4404" max="4418" width="12.109375" style="16" bestFit="1" customWidth="1"/>
    <col min="4419" max="4420" width="0" style="16" hidden="1" customWidth="1"/>
    <col min="4421" max="4608" width="8.88671875" style="16"/>
    <col min="4609" max="4609" width="23.88671875" style="16" customWidth="1"/>
    <col min="4610" max="4610" width="13.88671875" style="16" customWidth="1"/>
    <col min="4611" max="4659" width="0" style="16" hidden="1" customWidth="1"/>
    <col min="4660" max="4674" width="12.109375" style="16" bestFit="1" customWidth="1"/>
    <col min="4675" max="4676" width="0" style="16" hidden="1" customWidth="1"/>
    <col min="4677" max="4864" width="8.88671875" style="16"/>
    <col min="4865" max="4865" width="23.88671875" style="16" customWidth="1"/>
    <col min="4866" max="4866" width="13.88671875" style="16" customWidth="1"/>
    <col min="4867" max="4915" width="0" style="16" hidden="1" customWidth="1"/>
    <col min="4916" max="4930" width="12.109375" style="16" bestFit="1" customWidth="1"/>
    <col min="4931" max="4932" width="0" style="16" hidden="1" customWidth="1"/>
    <col min="4933" max="5120" width="8.88671875" style="16"/>
    <col min="5121" max="5121" width="23.88671875" style="16" customWidth="1"/>
    <col min="5122" max="5122" width="13.88671875" style="16" customWidth="1"/>
    <col min="5123" max="5171" width="0" style="16" hidden="1" customWidth="1"/>
    <col min="5172" max="5186" width="12.109375" style="16" bestFit="1" customWidth="1"/>
    <col min="5187" max="5188" width="0" style="16" hidden="1" customWidth="1"/>
    <col min="5189" max="5376" width="8.88671875" style="16"/>
    <col min="5377" max="5377" width="23.88671875" style="16" customWidth="1"/>
    <col min="5378" max="5378" width="13.88671875" style="16" customWidth="1"/>
    <col min="5379" max="5427" width="0" style="16" hidden="1" customWidth="1"/>
    <col min="5428" max="5442" width="12.109375" style="16" bestFit="1" customWidth="1"/>
    <col min="5443" max="5444" width="0" style="16" hidden="1" customWidth="1"/>
    <col min="5445" max="5632" width="8.88671875" style="16"/>
    <col min="5633" max="5633" width="23.88671875" style="16" customWidth="1"/>
    <col min="5634" max="5634" width="13.88671875" style="16" customWidth="1"/>
    <col min="5635" max="5683" width="0" style="16" hidden="1" customWidth="1"/>
    <col min="5684" max="5698" width="12.109375" style="16" bestFit="1" customWidth="1"/>
    <col min="5699" max="5700" width="0" style="16" hidden="1" customWidth="1"/>
    <col min="5701" max="5888" width="8.88671875" style="16"/>
    <col min="5889" max="5889" width="23.88671875" style="16" customWidth="1"/>
    <col min="5890" max="5890" width="13.88671875" style="16" customWidth="1"/>
    <col min="5891" max="5939" width="0" style="16" hidden="1" customWidth="1"/>
    <col min="5940" max="5954" width="12.109375" style="16" bestFit="1" customWidth="1"/>
    <col min="5955" max="5956" width="0" style="16" hidden="1" customWidth="1"/>
    <col min="5957" max="6144" width="8.88671875" style="16"/>
    <col min="6145" max="6145" width="23.88671875" style="16" customWidth="1"/>
    <col min="6146" max="6146" width="13.88671875" style="16" customWidth="1"/>
    <col min="6147" max="6195" width="0" style="16" hidden="1" customWidth="1"/>
    <col min="6196" max="6210" width="12.109375" style="16" bestFit="1" customWidth="1"/>
    <col min="6211" max="6212" width="0" style="16" hidden="1" customWidth="1"/>
    <col min="6213" max="6400" width="8.88671875" style="16"/>
    <col min="6401" max="6401" width="23.88671875" style="16" customWidth="1"/>
    <col min="6402" max="6402" width="13.88671875" style="16" customWidth="1"/>
    <col min="6403" max="6451" width="0" style="16" hidden="1" customWidth="1"/>
    <col min="6452" max="6466" width="12.109375" style="16" bestFit="1" customWidth="1"/>
    <col min="6467" max="6468" width="0" style="16" hidden="1" customWidth="1"/>
    <col min="6469" max="6656" width="8.88671875" style="16"/>
    <col min="6657" max="6657" width="23.88671875" style="16" customWidth="1"/>
    <col min="6658" max="6658" width="13.88671875" style="16" customWidth="1"/>
    <col min="6659" max="6707" width="0" style="16" hidden="1" customWidth="1"/>
    <col min="6708" max="6722" width="12.109375" style="16" bestFit="1" customWidth="1"/>
    <col min="6723" max="6724" width="0" style="16" hidden="1" customWidth="1"/>
    <col min="6725" max="6912" width="8.88671875" style="16"/>
    <col min="6913" max="6913" width="23.88671875" style="16" customWidth="1"/>
    <col min="6914" max="6914" width="13.88671875" style="16" customWidth="1"/>
    <col min="6915" max="6963" width="0" style="16" hidden="1" customWidth="1"/>
    <col min="6964" max="6978" width="12.109375" style="16" bestFit="1" customWidth="1"/>
    <col min="6979" max="6980" width="0" style="16" hidden="1" customWidth="1"/>
    <col min="6981" max="7168" width="8.88671875" style="16"/>
    <col min="7169" max="7169" width="23.88671875" style="16" customWidth="1"/>
    <col min="7170" max="7170" width="13.88671875" style="16" customWidth="1"/>
    <col min="7171" max="7219" width="0" style="16" hidden="1" customWidth="1"/>
    <col min="7220" max="7234" width="12.109375" style="16" bestFit="1" customWidth="1"/>
    <col min="7235" max="7236" width="0" style="16" hidden="1" customWidth="1"/>
    <col min="7237" max="7424" width="8.88671875" style="16"/>
    <col min="7425" max="7425" width="23.88671875" style="16" customWidth="1"/>
    <col min="7426" max="7426" width="13.88671875" style="16" customWidth="1"/>
    <col min="7427" max="7475" width="0" style="16" hidden="1" customWidth="1"/>
    <col min="7476" max="7490" width="12.109375" style="16" bestFit="1" customWidth="1"/>
    <col min="7491" max="7492" width="0" style="16" hidden="1" customWidth="1"/>
    <col min="7493" max="7680" width="8.88671875" style="16"/>
    <col min="7681" max="7681" width="23.88671875" style="16" customWidth="1"/>
    <col min="7682" max="7682" width="13.88671875" style="16" customWidth="1"/>
    <col min="7683" max="7731" width="0" style="16" hidden="1" customWidth="1"/>
    <col min="7732" max="7746" width="12.109375" style="16" bestFit="1" customWidth="1"/>
    <col min="7747" max="7748" width="0" style="16" hidden="1" customWidth="1"/>
    <col min="7749" max="7936" width="8.88671875" style="16"/>
    <col min="7937" max="7937" width="23.88671875" style="16" customWidth="1"/>
    <col min="7938" max="7938" width="13.88671875" style="16" customWidth="1"/>
    <col min="7939" max="7987" width="0" style="16" hidden="1" customWidth="1"/>
    <col min="7988" max="8002" width="12.109375" style="16" bestFit="1" customWidth="1"/>
    <col min="8003" max="8004" width="0" style="16" hidden="1" customWidth="1"/>
    <col min="8005" max="8192" width="8.88671875" style="16"/>
    <col min="8193" max="8193" width="23.88671875" style="16" customWidth="1"/>
    <col min="8194" max="8194" width="13.88671875" style="16" customWidth="1"/>
    <col min="8195" max="8243" width="0" style="16" hidden="1" customWidth="1"/>
    <col min="8244" max="8258" width="12.109375" style="16" bestFit="1" customWidth="1"/>
    <col min="8259" max="8260" width="0" style="16" hidden="1" customWidth="1"/>
    <col min="8261" max="8448" width="8.88671875" style="16"/>
    <col min="8449" max="8449" width="23.88671875" style="16" customWidth="1"/>
    <col min="8450" max="8450" width="13.88671875" style="16" customWidth="1"/>
    <col min="8451" max="8499" width="0" style="16" hidden="1" customWidth="1"/>
    <col min="8500" max="8514" width="12.109375" style="16" bestFit="1" customWidth="1"/>
    <col min="8515" max="8516" width="0" style="16" hidden="1" customWidth="1"/>
    <col min="8517" max="8704" width="8.88671875" style="16"/>
    <col min="8705" max="8705" width="23.88671875" style="16" customWidth="1"/>
    <col min="8706" max="8706" width="13.88671875" style="16" customWidth="1"/>
    <col min="8707" max="8755" width="0" style="16" hidden="1" customWidth="1"/>
    <col min="8756" max="8770" width="12.109375" style="16" bestFit="1" customWidth="1"/>
    <col min="8771" max="8772" width="0" style="16" hidden="1" customWidth="1"/>
    <col min="8773" max="8960" width="8.88671875" style="16"/>
    <col min="8961" max="8961" width="23.88671875" style="16" customWidth="1"/>
    <col min="8962" max="8962" width="13.88671875" style="16" customWidth="1"/>
    <col min="8963" max="9011" width="0" style="16" hidden="1" customWidth="1"/>
    <col min="9012" max="9026" width="12.109375" style="16" bestFit="1" customWidth="1"/>
    <col min="9027" max="9028" width="0" style="16" hidden="1" customWidth="1"/>
    <col min="9029" max="9216" width="8.88671875" style="16"/>
    <col min="9217" max="9217" width="23.88671875" style="16" customWidth="1"/>
    <col min="9218" max="9218" width="13.88671875" style="16" customWidth="1"/>
    <col min="9219" max="9267" width="0" style="16" hidden="1" customWidth="1"/>
    <col min="9268" max="9282" width="12.109375" style="16" bestFit="1" customWidth="1"/>
    <col min="9283" max="9284" width="0" style="16" hidden="1" customWidth="1"/>
    <col min="9285" max="9472" width="8.88671875" style="16"/>
    <col min="9473" max="9473" width="23.88671875" style="16" customWidth="1"/>
    <col min="9474" max="9474" width="13.88671875" style="16" customWidth="1"/>
    <col min="9475" max="9523" width="0" style="16" hidden="1" customWidth="1"/>
    <col min="9524" max="9538" width="12.109375" style="16" bestFit="1" customWidth="1"/>
    <col min="9539" max="9540" width="0" style="16" hidden="1" customWidth="1"/>
    <col min="9541" max="9728" width="8.88671875" style="16"/>
    <col min="9729" max="9729" width="23.88671875" style="16" customWidth="1"/>
    <col min="9730" max="9730" width="13.88671875" style="16" customWidth="1"/>
    <col min="9731" max="9779" width="0" style="16" hidden="1" customWidth="1"/>
    <col min="9780" max="9794" width="12.109375" style="16" bestFit="1" customWidth="1"/>
    <col min="9795" max="9796" width="0" style="16" hidden="1" customWidth="1"/>
    <col min="9797" max="9984" width="8.88671875" style="16"/>
    <col min="9985" max="9985" width="23.88671875" style="16" customWidth="1"/>
    <col min="9986" max="9986" width="13.88671875" style="16" customWidth="1"/>
    <col min="9987" max="10035" width="0" style="16" hidden="1" customWidth="1"/>
    <col min="10036" max="10050" width="12.109375" style="16" bestFit="1" customWidth="1"/>
    <col min="10051" max="10052" width="0" style="16" hidden="1" customWidth="1"/>
    <col min="10053" max="10240" width="8.88671875" style="16"/>
    <col min="10241" max="10241" width="23.88671875" style="16" customWidth="1"/>
    <col min="10242" max="10242" width="13.88671875" style="16" customWidth="1"/>
    <col min="10243" max="10291" width="0" style="16" hidden="1" customWidth="1"/>
    <col min="10292" max="10306" width="12.109375" style="16" bestFit="1" customWidth="1"/>
    <col min="10307" max="10308" width="0" style="16" hidden="1" customWidth="1"/>
    <col min="10309" max="10496" width="8.88671875" style="16"/>
    <col min="10497" max="10497" width="23.88671875" style="16" customWidth="1"/>
    <col min="10498" max="10498" width="13.88671875" style="16" customWidth="1"/>
    <col min="10499" max="10547" width="0" style="16" hidden="1" customWidth="1"/>
    <col min="10548" max="10562" width="12.109375" style="16" bestFit="1" customWidth="1"/>
    <col min="10563" max="10564" width="0" style="16" hidden="1" customWidth="1"/>
    <col min="10565" max="10752" width="8.88671875" style="16"/>
    <col min="10753" max="10753" width="23.88671875" style="16" customWidth="1"/>
    <col min="10754" max="10754" width="13.88671875" style="16" customWidth="1"/>
    <col min="10755" max="10803" width="0" style="16" hidden="1" customWidth="1"/>
    <col min="10804" max="10818" width="12.109375" style="16" bestFit="1" customWidth="1"/>
    <col min="10819" max="10820" width="0" style="16" hidden="1" customWidth="1"/>
    <col min="10821" max="11008" width="8.88671875" style="16"/>
    <col min="11009" max="11009" width="23.88671875" style="16" customWidth="1"/>
    <col min="11010" max="11010" width="13.88671875" style="16" customWidth="1"/>
    <col min="11011" max="11059" width="0" style="16" hidden="1" customWidth="1"/>
    <col min="11060" max="11074" width="12.109375" style="16" bestFit="1" customWidth="1"/>
    <col min="11075" max="11076" width="0" style="16" hidden="1" customWidth="1"/>
    <col min="11077" max="11264" width="8.88671875" style="16"/>
    <col min="11265" max="11265" width="23.88671875" style="16" customWidth="1"/>
    <col min="11266" max="11266" width="13.88671875" style="16" customWidth="1"/>
    <col min="11267" max="11315" width="0" style="16" hidden="1" customWidth="1"/>
    <col min="11316" max="11330" width="12.109375" style="16" bestFit="1" customWidth="1"/>
    <col min="11331" max="11332" width="0" style="16" hidden="1" customWidth="1"/>
    <col min="11333" max="11520" width="8.88671875" style="16"/>
    <col min="11521" max="11521" width="23.88671875" style="16" customWidth="1"/>
    <col min="11522" max="11522" width="13.88671875" style="16" customWidth="1"/>
    <col min="11523" max="11571" width="0" style="16" hidden="1" customWidth="1"/>
    <col min="11572" max="11586" width="12.109375" style="16" bestFit="1" customWidth="1"/>
    <col min="11587" max="11588" width="0" style="16" hidden="1" customWidth="1"/>
    <col min="11589" max="11776" width="8.88671875" style="16"/>
    <col min="11777" max="11777" width="23.88671875" style="16" customWidth="1"/>
    <col min="11778" max="11778" width="13.88671875" style="16" customWidth="1"/>
    <col min="11779" max="11827" width="0" style="16" hidden="1" customWidth="1"/>
    <col min="11828" max="11842" width="12.109375" style="16" bestFit="1" customWidth="1"/>
    <col min="11843" max="11844" width="0" style="16" hidden="1" customWidth="1"/>
    <col min="11845" max="12032" width="8.88671875" style="16"/>
    <col min="12033" max="12033" width="23.88671875" style="16" customWidth="1"/>
    <col min="12034" max="12034" width="13.88671875" style="16" customWidth="1"/>
    <col min="12035" max="12083" width="0" style="16" hidden="1" customWidth="1"/>
    <col min="12084" max="12098" width="12.109375" style="16" bestFit="1" customWidth="1"/>
    <col min="12099" max="12100" width="0" style="16" hidden="1" customWidth="1"/>
    <col min="12101" max="12288" width="8.88671875" style="16"/>
    <col min="12289" max="12289" width="23.88671875" style="16" customWidth="1"/>
    <col min="12290" max="12290" width="13.88671875" style="16" customWidth="1"/>
    <col min="12291" max="12339" width="0" style="16" hidden="1" customWidth="1"/>
    <col min="12340" max="12354" width="12.109375" style="16" bestFit="1" customWidth="1"/>
    <col min="12355" max="12356" width="0" style="16" hidden="1" customWidth="1"/>
    <col min="12357" max="12544" width="8.88671875" style="16"/>
    <col min="12545" max="12545" width="23.88671875" style="16" customWidth="1"/>
    <col min="12546" max="12546" width="13.88671875" style="16" customWidth="1"/>
    <col min="12547" max="12595" width="0" style="16" hidden="1" customWidth="1"/>
    <col min="12596" max="12610" width="12.109375" style="16" bestFit="1" customWidth="1"/>
    <col min="12611" max="12612" width="0" style="16" hidden="1" customWidth="1"/>
    <col min="12613" max="12800" width="8.88671875" style="16"/>
    <col min="12801" max="12801" width="23.88671875" style="16" customWidth="1"/>
    <col min="12802" max="12802" width="13.88671875" style="16" customWidth="1"/>
    <col min="12803" max="12851" width="0" style="16" hidden="1" customWidth="1"/>
    <col min="12852" max="12866" width="12.109375" style="16" bestFit="1" customWidth="1"/>
    <col min="12867" max="12868" width="0" style="16" hidden="1" customWidth="1"/>
    <col min="12869" max="13056" width="8.88671875" style="16"/>
    <col min="13057" max="13057" width="23.88671875" style="16" customWidth="1"/>
    <col min="13058" max="13058" width="13.88671875" style="16" customWidth="1"/>
    <col min="13059" max="13107" width="0" style="16" hidden="1" customWidth="1"/>
    <col min="13108" max="13122" width="12.109375" style="16" bestFit="1" customWidth="1"/>
    <col min="13123" max="13124" width="0" style="16" hidden="1" customWidth="1"/>
    <col min="13125" max="13312" width="8.88671875" style="16"/>
    <col min="13313" max="13313" width="23.88671875" style="16" customWidth="1"/>
    <col min="13314" max="13314" width="13.88671875" style="16" customWidth="1"/>
    <col min="13315" max="13363" width="0" style="16" hidden="1" customWidth="1"/>
    <col min="13364" max="13378" width="12.109375" style="16" bestFit="1" customWidth="1"/>
    <col min="13379" max="13380" width="0" style="16" hidden="1" customWidth="1"/>
    <col min="13381" max="13568" width="8.88671875" style="16"/>
    <col min="13569" max="13569" width="23.88671875" style="16" customWidth="1"/>
    <col min="13570" max="13570" width="13.88671875" style="16" customWidth="1"/>
    <col min="13571" max="13619" width="0" style="16" hidden="1" customWidth="1"/>
    <col min="13620" max="13634" width="12.109375" style="16" bestFit="1" customWidth="1"/>
    <col min="13635" max="13636" width="0" style="16" hidden="1" customWidth="1"/>
    <col min="13637" max="13824" width="8.88671875" style="16"/>
    <col min="13825" max="13825" width="23.88671875" style="16" customWidth="1"/>
    <col min="13826" max="13826" width="13.88671875" style="16" customWidth="1"/>
    <col min="13827" max="13875" width="0" style="16" hidden="1" customWidth="1"/>
    <col min="13876" max="13890" width="12.109375" style="16" bestFit="1" customWidth="1"/>
    <col min="13891" max="13892" width="0" style="16" hidden="1" customWidth="1"/>
    <col min="13893" max="14080" width="8.88671875" style="16"/>
    <col min="14081" max="14081" width="23.88671875" style="16" customWidth="1"/>
    <col min="14082" max="14082" width="13.88671875" style="16" customWidth="1"/>
    <col min="14083" max="14131" width="0" style="16" hidden="1" customWidth="1"/>
    <col min="14132" max="14146" width="12.109375" style="16" bestFit="1" customWidth="1"/>
    <col min="14147" max="14148" width="0" style="16" hidden="1" customWidth="1"/>
    <col min="14149" max="14336" width="8.88671875" style="16"/>
    <col min="14337" max="14337" width="23.88671875" style="16" customWidth="1"/>
    <col min="14338" max="14338" width="13.88671875" style="16" customWidth="1"/>
    <col min="14339" max="14387" width="0" style="16" hidden="1" customWidth="1"/>
    <col min="14388" max="14402" width="12.109375" style="16" bestFit="1" customWidth="1"/>
    <col min="14403" max="14404" width="0" style="16" hidden="1" customWidth="1"/>
    <col min="14405" max="14592" width="8.88671875" style="16"/>
    <col min="14593" max="14593" width="23.88671875" style="16" customWidth="1"/>
    <col min="14594" max="14594" width="13.88671875" style="16" customWidth="1"/>
    <col min="14595" max="14643" width="0" style="16" hidden="1" customWidth="1"/>
    <col min="14644" max="14658" width="12.109375" style="16" bestFit="1" customWidth="1"/>
    <col min="14659" max="14660" width="0" style="16" hidden="1" customWidth="1"/>
    <col min="14661" max="14848" width="8.88671875" style="16"/>
    <col min="14849" max="14849" width="23.88671875" style="16" customWidth="1"/>
    <col min="14850" max="14850" width="13.88671875" style="16" customWidth="1"/>
    <col min="14851" max="14899" width="0" style="16" hidden="1" customWidth="1"/>
    <col min="14900" max="14914" width="12.109375" style="16" bestFit="1" customWidth="1"/>
    <col min="14915" max="14916" width="0" style="16" hidden="1" customWidth="1"/>
    <col min="14917" max="15104" width="8.88671875" style="16"/>
    <col min="15105" max="15105" width="23.88671875" style="16" customWidth="1"/>
    <col min="15106" max="15106" width="13.88671875" style="16" customWidth="1"/>
    <col min="15107" max="15155" width="0" style="16" hidden="1" customWidth="1"/>
    <col min="15156" max="15170" width="12.109375" style="16" bestFit="1" customWidth="1"/>
    <col min="15171" max="15172" width="0" style="16" hidden="1" customWidth="1"/>
    <col min="15173" max="15360" width="8.88671875" style="16"/>
    <col min="15361" max="15361" width="23.88671875" style="16" customWidth="1"/>
    <col min="15362" max="15362" width="13.88671875" style="16" customWidth="1"/>
    <col min="15363" max="15411" width="0" style="16" hidden="1" customWidth="1"/>
    <col min="15412" max="15426" width="12.109375" style="16" bestFit="1" customWidth="1"/>
    <col min="15427" max="15428" width="0" style="16" hidden="1" customWidth="1"/>
    <col min="15429" max="15616" width="8.88671875" style="16"/>
    <col min="15617" max="15617" width="23.88671875" style="16" customWidth="1"/>
    <col min="15618" max="15618" width="13.88671875" style="16" customWidth="1"/>
    <col min="15619" max="15667" width="0" style="16" hidden="1" customWidth="1"/>
    <col min="15668" max="15682" width="12.109375" style="16" bestFit="1" customWidth="1"/>
    <col min="15683" max="15684" width="0" style="16" hidden="1" customWidth="1"/>
    <col min="15685" max="15872" width="8.88671875" style="16"/>
    <col min="15873" max="15873" width="23.88671875" style="16" customWidth="1"/>
    <col min="15874" max="15874" width="13.88671875" style="16" customWidth="1"/>
    <col min="15875" max="15923" width="0" style="16" hidden="1" customWidth="1"/>
    <col min="15924" max="15938" width="12.109375" style="16" bestFit="1" customWidth="1"/>
    <col min="15939" max="15940" width="0" style="16" hidden="1" customWidth="1"/>
    <col min="15941" max="16128" width="8.88671875" style="16"/>
    <col min="16129" max="16129" width="23.88671875" style="16" customWidth="1"/>
    <col min="16130" max="16130" width="13.88671875" style="16" customWidth="1"/>
    <col min="16131" max="16179" width="0" style="16" hidden="1" customWidth="1"/>
    <col min="16180" max="16194" width="12.109375" style="16" bestFit="1" customWidth="1"/>
    <col min="16195" max="16196" width="0" style="16" hidden="1" customWidth="1"/>
    <col min="16197" max="16384" width="8.88671875" style="16"/>
  </cols>
  <sheetData>
    <row r="1" spans="1:68" x14ac:dyDescent="0.3">
      <c r="A1" s="16" t="s">
        <v>550</v>
      </c>
      <c r="B1" s="16" t="s">
        <v>551</v>
      </c>
    </row>
    <row r="2" spans="1:68" x14ac:dyDescent="0.3">
      <c r="A2" s="16" t="s">
        <v>552</v>
      </c>
      <c r="B2" s="17">
        <v>45589</v>
      </c>
    </row>
    <row r="4" spans="1:68" x14ac:dyDescent="0.3">
      <c r="A4" s="16" t="s">
        <v>553</v>
      </c>
      <c r="B4" s="16" t="s">
        <v>554</v>
      </c>
      <c r="C4" s="16" t="s">
        <v>555</v>
      </c>
      <c r="D4" s="16" t="s">
        <v>556</v>
      </c>
      <c r="E4" s="16" t="s">
        <v>557</v>
      </c>
      <c r="F4" s="16" t="s">
        <v>558</v>
      </c>
      <c r="G4" s="16" t="s">
        <v>559</v>
      </c>
      <c r="H4" s="16" t="s">
        <v>560</v>
      </c>
      <c r="I4" s="16" t="s">
        <v>561</v>
      </c>
      <c r="J4" s="16" t="s">
        <v>562</v>
      </c>
      <c r="K4" s="16" t="s">
        <v>563</v>
      </c>
      <c r="L4" s="16" t="s">
        <v>564</v>
      </c>
      <c r="M4" s="16" t="s">
        <v>565</v>
      </c>
      <c r="N4" s="16" t="s">
        <v>566</v>
      </c>
      <c r="O4" s="16" t="s">
        <v>567</v>
      </c>
      <c r="P4" s="16" t="s">
        <v>568</v>
      </c>
      <c r="Q4" s="16" t="s">
        <v>569</v>
      </c>
      <c r="R4" s="16" t="s">
        <v>570</v>
      </c>
      <c r="S4" s="16" t="s">
        <v>571</v>
      </c>
      <c r="T4" s="16" t="s">
        <v>572</v>
      </c>
      <c r="U4" s="16" t="s">
        <v>573</v>
      </c>
      <c r="V4" s="16" t="s">
        <v>574</v>
      </c>
      <c r="W4" s="16" t="s">
        <v>575</v>
      </c>
      <c r="X4" s="16" t="s">
        <v>576</v>
      </c>
      <c r="Y4" s="16" t="s">
        <v>577</v>
      </c>
      <c r="Z4" s="16" t="s">
        <v>578</v>
      </c>
      <c r="AA4" s="16" t="s">
        <v>579</v>
      </c>
      <c r="AB4" s="16" t="s">
        <v>580</v>
      </c>
      <c r="AC4" s="16" t="s">
        <v>581</v>
      </c>
      <c r="AD4" s="16" t="s">
        <v>582</v>
      </c>
      <c r="AE4" s="16" t="s">
        <v>583</v>
      </c>
      <c r="AF4" s="16" t="s">
        <v>584</v>
      </c>
      <c r="AG4" s="16" t="s">
        <v>585</v>
      </c>
      <c r="AH4" s="16" t="s">
        <v>586</v>
      </c>
      <c r="AI4" s="16" t="s">
        <v>587</v>
      </c>
      <c r="AJ4" s="16" t="s">
        <v>588</v>
      </c>
      <c r="AK4" s="16" t="s">
        <v>589</v>
      </c>
      <c r="AL4" s="16" t="s">
        <v>590</v>
      </c>
      <c r="AM4" s="16" t="s">
        <v>591</v>
      </c>
      <c r="AN4" s="16" t="s">
        <v>592</v>
      </c>
      <c r="AO4" s="16" t="s">
        <v>593</v>
      </c>
      <c r="AP4" s="16" t="s">
        <v>594</v>
      </c>
      <c r="AQ4" s="16" t="s">
        <v>595</v>
      </c>
      <c r="AR4" s="16" t="s">
        <v>596</v>
      </c>
      <c r="AS4" s="16" t="s">
        <v>597</v>
      </c>
      <c r="AT4" s="16" t="s">
        <v>598</v>
      </c>
      <c r="AU4" s="16" t="s">
        <v>599</v>
      </c>
      <c r="AV4" s="16" t="s">
        <v>600</v>
      </c>
      <c r="AW4" s="16" t="s">
        <v>601</v>
      </c>
      <c r="AX4" s="16" t="s">
        <v>602</v>
      </c>
      <c r="AY4" s="16" t="s">
        <v>338</v>
      </c>
      <c r="AZ4" s="16" t="s">
        <v>5</v>
      </c>
      <c r="BA4" s="16" t="s">
        <v>6</v>
      </c>
      <c r="BB4" s="16" t="s">
        <v>7</v>
      </c>
      <c r="BC4" s="16" t="s">
        <v>8</v>
      </c>
      <c r="BD4" s="16" t="s">
        <v>9</v>
      </c>
      <c r="BE4" s="16" t="s">
        <v>10</v>
      </c>
      <c r="BF4" s="16" t="s">
        <v>11</v>
      </c>
      <c r="BG4" s="16" t="s">
        <v>12</v>
      </c>
      <c r="BH4" s="16" t="s">
        <v>13</v>
      </c>
      <c r="BI4" s="16" t="s">
        <v>14</v>
      </c>
      <c r="BJ4" s="16" t="s">
        <v>15</v>
      </c>
      <c r="BK4" s="16" t="s">
        <v>16</v>
      </c>
      <c r="BL4" s="16" t="s">
        <v>17</v>
      </c>
      <c r="BM4" s="16" t="s">
        <v>18</v>
      </c>
      <c r="BN4" s="16" t="s">
        <v>19</v>
      </c>
      <c r="BO4" s="16" t="s">
        <v>20</v>
      </c>
      <c r="BP4" s="16" t="s">
        <v>21</v>
      </c>
    </row>
    <row r="5" spans="1:68" x14ac:dyDescent="0.3">
      <c r="A5" s="16" t="s">
        <v>36</v>
      </c>
      <c r="B5" s="16" t="s">
        <v>603</v>
      </c>
      <c r="C5" s="16" t="s">
        <v>604</v>
      </c>
      <c r="D5" s="16" t="s">
        <v>605</v>
      </c>
      <c r="AF5" s="16">
        <v>16.263940735331815</v>
      </c>
      <c r="AG5" s="16">
        <v>18.866278141600134</v>
      </c>
      <c r="AH5" s="16">
        <v>11.671572574928874</v>
      </c>
      <c r="AI5" s="16">
        <v>2.1958045097105128</v>
      </c>
      <c r="AJ5" s="16">
        <v>4.539317282666218</v>
      </c>
      <c r="AK5" s="16">
        <v>2.3706415075051837</v>
      </c>
      <c r="AL5" s="16">
        <v>4.0926147633372665</v>
      </c>
      <c r="AM5" s="16">
        <v>4.8003519953182803</v>
      </c>
      <c r="AN5" s="16">
        <v>-0.56720175393539307</v>
      </c>
      <c r="AO5" s="16">
        <v>-1.8300237380000368</v>
      </c>
      <c r="AP5" s="16">
        <v>3.8547444510298448</v>
      </c>
      <c r="AQ5" s="16">
        <v>-1.027089526035013</v>
      </c>
      <c r="AR5" s="16">
        <v>-1.6895366527225519</v>
      </c>
      <c r="AS5" s="16">
        <v>4.924526638791221</v>
      </c>
      <c r="AT5" s="16">
        <v>2.3554765883848603</v>
      </c>
      <c r="AU5" s="16">
        <v>-2.1213407585409385</v>
      </c>
      <c r="AV5" s="16">
        <v>0.10704547568485623</v>
      </c>
      <c r="AW5" s="16">
        <v>6.331365040691054</v>
      </c>
      <c r="AX5" s="16">
        <v>-1.3773768598038316</v>
      </c>
      <c r="AY5" s="16">
        <v>-6.0443723572859653E-2</v>
      </c>
      <c r="AZ5" s="19">
        <v>1.8316404109855142</v>
      </c>
      <c r="BA5" s="19">
        <v>0.57938319751835365</v>
      </c>
      <c r="BB5" s="19">
        <v>-12.760270362801577</v>
      </c>
      <c r="BC5" s="19">
        <v>-3.8278641362767445</v>
      </c>
      <c r="BD5" s="19">
        <v>2.4027784959850038</v>
      </c>
      <c r="BE5" s="19">
        <v>-1.8393581428994423</v>
      </c>
      <c r="BF5" s="19">
        <v>5.6369707589314544</v>
      </c>
      <c r="BG5" s="19">
        <v>-2.2648691064653548</v>
      </c>
      <c r="BH5" s="19">
        <v>-1.2555886101676208</v>
      </c>
      <c r="BI5" s="19">
        <v>1.1211829579195154</v>
      </c>
      <c r="BJ5" s="19">
        <v>6.4749086232516646</v>
      </c>
      <c r="BK5" s="19">
        <v>1.8764014374955735</v>
      </c>
      <c r="BL5" s="19">
        <v>-2.7434014797617152</v>
      </c>
      <c r="BM5" s="19">
        <v>-24.084569897394445</v>
      </c>
      <c r="BN5" s="19">
        <v>27.696864587184677</v>
      </c>
      <c r="BO5" s="16">
        <v>10.5537860480283</v>
      </c>
    </row>
    <row r="6" spans="1:68" hidden="1" x14ac:dyDescent="0.3">
      <c r="A6" s="16" t="s">
        <v>606</v>
      </c>
      <c r="B6" s="16" t="s">
        <v>607</v>
      </c>
      <c r="C6" s="16" t="s">
        <v>604</v>
      </c>
      <c r="D6" s="16" t="s">
        <v>605</v>
      </c>
      <c r="F6" s="16">
        <v>-2.1430646955192429</v>
      </c>
      <c r="G6" s="16">
        <v>4.9987810490879951</v>
      </c>
      <c r="H6" s="16">
        <v>2.7864343321750766</v>
      </c>
      <c r="I6" s="16">
        <v>1.8104038258909441</v>
      </c>
      <c r="J6" s="16">
        <v>2.2347190314758336</v>
      </c>
      <c r="K6" s="16">
        <v>1.9610595465937735</v>
      </c>
      <c r="L6" s="16">
        <v>2.4739503731444614</v>
      </c>
      <c r="M6" s="16">
        <v>1.2329086082963414</v>
      </c>
      <c r="N6" s="16">
        <v>2.1192291346285685</v>
      </c>
      <c r="O6" s="16">
        <v>-1.7240543000121278</v>
      </c>
      <c r="P6" s="16">
        <v>2.4865748697230572</v>
      </c>
      <c r="Q6" s="16">
        <v>-7.9061745061508759E-2</v>
      </c>
      <c r="R6" s="16">
        <v>1.6263606033998457</v>
      </c>
      <c r="S6" s="16">
        <v>2.4102883299753586</v>
      </c>
      <c r="T6" s="16">
        <v>-1.5121380461015121</v>
      </c>
      <c r="U6" s="16">
        <v>-0.57739333041016039</v>
      </c>
      <c r="V6" s="16">
        <v>-1.6937158875221456</v>
      </c>
      <c r="W6" s="16">
        <v>-1.4521913716583015</v>
      </c>
      <c r="X6" s="16">
        <v>-0.2195375983975083</v>
      </c>
      <c r="Y6" s="16">
        <v>2.4201818350586279</v>
      </c>
      <c r="Z6" s="16">
        <v>0.97014556943189234</v>
      </c>
      <c r="AA6" s="16">
        <v>-2.7258371048022809</v>
      </c>
      <c r="AB6" s="16">
        <v>-2.902709449483396</v>
      </c>
      <c r="AC6" s="16">
        <v>0.41530123207216718</v>
      </c>
      <c r="AD6" s="16">
        <v>-2.9968185461529231</v>
      </c>
      <c r="AE6" s="16">
        <v>-0.73919043969516451</v>
      </c>
      <c r="AF6" s="16">
        <v>0.87490306805489126</v>
      </c>
      <c r="AG6" s="16">
        <v>1.3146936077179134</v>
      </c>
      <c r="AH6" s="16">
        <v>-0.14297932526383761</v>
      </c>
      <c r="AI6" s="16">
        <v>-2.6517880753357304</v>
      </c>
      <c r="AJ6" s="16">
        <v>-2.8067434460086673</v>
      </c>
      <c r="AK6" s="16">
        <v>-4.8607735719663907</v>
      </c>
      <c r="AL6" s="16">
        <v>-3.1659401549380419</v>
      </c>
      <c r="AM6" s="16">
        <v>-0.70253125529083604</v>
      </c>
      <c r="AN6" s="16">
        <v>1.6136926483901988</v>
      </c>
      <c r="AO6" s="16">
        <v>2.6892498787471055</v>
      </c>
      <c r="AP6" s="16">
        <v>1.2267388486750832</v>
      </c>
      <c r="AQ6" s="16">
        <v>-0.73772806178287453</v>
      </c>
      <c r="AR6" s="16">
        <v>9.3893224966350886E-2</v>
      </c>
      <c r="AS6" s="16">
        <v>0.6202003839191832</v>
      </c>
      <c r="AT6" s="16">
        <v>0.89695534828622669</v>
      </c>
      <c r="AU6" s="16">
        <v>1.2036734090306709</v>
      </c>
      <c r="AV6" s="16">
        <v>0.33682362373632202</v>
      </c>
      <c r="AW6" s="16">
        <v>2.8373481352598589</v>
      </c>
      <c r="AX6" s="16">
        <v>3.4077358028933133</v>
      </c>
      <c r="AY6" s="16">
        <v>3.7731041424218859</v>
      </c>
      <c r="AZ6" s="19">
        <v>3.795225659737028</v>
      </c>
      <c r="BA6" s="19">
        <v>1.5620774096793753</v>
      </c>
      <c r="BB6" s="19">
        <v>-1.8251183272685978</v>
      </c>
      <c r="BC6" s="19">
        <v>2.4093993038876107</v>
      </c>
      <c r="BD6" s="19">
        <v>1.2953654260238636</v>
      </c>
      <c r="BE6" s="19">
        <v>-0.95794311137730404</v>
      </c>
      <c r="BF6" s="19">
        <v>1.4303709933983839</v>
      </c>
      <c r="BG6" s="19">
        <v>1.1755695518992155</v>
      </c>
      <c r="BH6" s="19">
        <v>0.20328881733624371</v>
      </c>
      <c r="BI6" s="19">
        <v>-0.53011536156452621</v>
      </c>
      <c r="BJ6" s="19">
        <v>-4.1613455320259618E-3</v>
      </c>
      <c r="BK6" s="19">
        <v>-6.4791405489614817E-3</v>
      </c>
      <c r="BL6" s="19">
        <v>-0.4887229065478067</v>
      </c>
      <c r="BM6" s="19">
        <v>-5.3161850654907141</v>
      </c>
      <c r="BN6" s="19">
        <v>1.8418817434488517</v>
      </c>
      <c r="BO6" s="16">
        <v>0.9855946759594616</v>
      </c>
      <c r="BP6" s="16">
        <v>8.8483654287259128E-2</v>
      </c>
    </row>
    <row r="7" spans="1:68" x14ac:dyDescent="0.3">
      <c r="A7" s="16" t="s">
        <v>24</v>
      </c>
      <c r="B7" s="16" t="s">
        <v>339</v>
      </c>
      <c r="C7" s="16" t="s">
        <v>604</v>
      </c>
      <c r="D7" s="16" t="s">
        <v>605</v>
      </c>
      <c r="AT7" s="16">
        <v>-10.101966425490218</v>
      </c>
      <c r="AU7" s="16">
        <v>20.567963460616596</v>
      </c>
      <c r="AV7" s="16">
        <v>0.92702911944661537</v>
      </c>
      <c r="AW7" s="16">
        <v>-2.497254626457277</v>
      </c>
      <c r="AX7" s="16">
        <v>7.3218738446614253</v>
      </c>
      <c r="AY7" s="16">
        <v>1.0849881970576973</v>
      </c>
      <c r="AZ7" s="19">
        <v>11.803382663996629</v>
      </c>
      <c r="BA7" s="19">
        <v>1.8647544641205371</v>
      </c>
      <c r="BB7" s="19">
        <v>17.143534324727199</v>
      </c>
      <c r="BC7" s="19">
        <v>11.099219918375994</v>
      </c>
      <c r="BD7" s="19">
        <v>-3.2113643031494377</v>
      </c>
      <c r="BE7" s="19">
        <v>8.2471442559073154</v>
      </c>
      <c r="BF7" s="19">
        <v>2.0025221457611337</v>
      </c>
      <c r="BG7" s="19">
        <v>-0.9648033309305788</v>
      </c>
      <c r="BH7" s="19">
        <v>-1.6664164146545914</v>
      </c>
      <c r="BI7" s="19">
        <v>-0.34580249552627151</v>
      </c>
      <c r="BJ7" s="19">
        <v>-0.25359378104697328</v>
      </c>
      <c r="BK7" s="19">
        <v>-1.6885765916365756</v>
      </c>
      <c r="BL7" s="19">
        <v>0.93283338563287543</v>
      </c>
      <c r="BM7" s="19">
        <v>-5.3646659295942811</v>
      </c>
      <c r="BN7" s="19">
        <v>-22.966941994595828</v>
      </c>
      <c r="BO7" s="16">
        <v>-8.5866519007537647</v>
      </c>
    </row>
    <row r="8" spans="1:68" hidden="1" x14ac:dyDescent="0.3">
      <c r="A8" s="16" t="s">
        <v>608</v>
      </c>
      <c r="B8" s="16" t="s">
        <v>609</v>
      </c>
      <c r="C8" s="16" t="s">
        <v>604</v>
      </c>
      <c r="D8" s="16" t="s">
        <v>605</v>
      </c>
      <c r="F8" s="16">
        <v>-0.2373129790712909</v>
      </c>
      <c r="G8" s="16">
        <v>1.5291098069181857</v>
      </c>
      <c r="H8" s="16">
        <v>4.8487303198174914</v>
      </c>
      <c r="I8" s="16">
        <v>3.1259181349527125</v>
      </c>
      <c r="J8" s="16">
        <v>1.8191286468987755</v>
      </c>
      <c r="K8" s="16">
        <v>-3.7257279243145831</v>
      </c>
      <c r="L8" s="16">
        <v>-11.124031927483685</v>
      </c>
      <c r="M8" s="16">
        <v>-0.71554243236813875</v>
      </c>
      <c r="N8" s="16">
        <v>12.648552565240735</v>
      </c>
      <c r="O8" s="16">
        <v>14.846616457305046</v>
      </c>
      <c r="P8" s="16">
        <v>7.9934013631945362</v>
      </c>
      <c r="Q8" s="16">
        <v>0.72251669085127901</v>
      </c>
      <c r="R8" s="16">
        <v>1.4758681658750987</v>
      </c>
      <c r="S8" s="16">
        <v>7.2691739383140828</v>
      </c>
      <c r="T8" s="16">
        <v>-4.7147600158539973</v>
      </c>
      <c r="U8" s="16">
        <v>5.6231736648320094</v>
      </c>
      <c r="V8" s="16">
        <v>1.8017249901687507</v>
      </c>
      <c r="W8" s="16">
        <v>-4.6342571837918882</v>
      </c>
      <c r="X8" s="16">
        <v>2.1853369394021769</v>
      </c>
      <c r="Y8" s="16">
        <v>-0.90080638626039899</v>
      </c>
      <c r="Z8" s="16">
        <v>-9.3775480905952691</v>
      </c>
      <c r="AA8" s="16">
        <v>-6.0198214027441423</v>
      </c>
      <c r="AB8" s="16">
        <v>-8.8432202020663624</v>
      </c>
      <c r="AC8" s="16">
        <v>-2.0538673017256031</v>
      </c>
      <c r="AD8" s="16">
        <v>2.6230539614440147</v>
      </c>
      <c r="AE8" s="16">
        <v>-1.3157489529725552</v>
      </c>
      <c r="AF8" s="16">
        <v>-1.2744362516922934</v>
      </c>
      <c r="AG8" s="16">
        <v>1.9412947580524929</v>
      </c>
      <c r="AH8" s="16">
        <v>-1.0234282899197922</v>
      </c>
      <c r="AI8" s="16">
        <v>3.0382338396912019</v>
      </c>
      <c r="AJ8" s="16">
        <v>-1.5775405897019823</v>
      </c>
      <c r="AK8" s="16">
        <v>-0.24019987437685586</v>
      </c>
      <c r="AL8" s="16">
        <v>-3.8851843889557074</v>
      </c>
      <c r="AM8" s="16">
        <v>-2.8783718322857084</v>
      </c>
      <c r="AN8" s="16">
        <v>-0.7538204218743374</v>
      </c>
      <c r="AO8" s="16">
        <v>1.9109525091339776</v>
      </c>
      <c r="AP8" s="16">
        <v>1.7119630662478329</v>
      </c>
      <c r="AQ8" s="16">
        <v>0.86385743325783437</v>
      </c>
      <c r="AR8" s="16">
        <v>-1.1306679915743842</v>
      </c>
      <c r="AS8" s="16">
        <v>1.0804524271947713</v>
      </c>
      <c r="AT8" s="16">
        <v>2.3438217438965836</v>
      </c>
      <c r="AU8" s="16">
        <v>6.9213830496984912</v>
      </c>
      <c r="AV8" s="16">
        <v>2.6420724588684266</v>
      </c>
      <c r="AW8" s="16">
        <v>5.022001903731848</v>
      </c>
      <c r="AX8" s="16">
        <v>2.9051863322616498</v>
      </c>
      <c r="AY8" s="16">
        <v>2.4719567243858904</v>
      </c>
      <c r="AZ8" s="19">
        <v>2.6201994632733374</v>
      </c>
      <c r="BA8" s="19">
        <v>3.3535460101056032</v>
      </c>
      <c r="BB8" s="19">
        <v>3.3429893351593734</v>
      </c>
      <c r="BC8" s="19">
        <v>4.0099210418733691</v>
      </c>
      <c r="BD8" s="19">
        <v>1.9450520936635201</v>
      </c>
      <c r="BE8" s="19">
        <v>2.2590379139996344</v>
      </c>
      <c r="BF8" s="19">
        <v>3.2548768480016719</v>
      </c>
      <c r="BG8" s="19">
        <v>3.0898585674335095</v>
      </c>
      <c r="BH8" s="19">
        <v>8.8258121324841454E-2</v>
      </c>
      <c r="BI8" s="19">
        <v>-2.5036445511095877</v>
      </c>
      <c r="BJ8" s="19">
        <v>-0.41020350710593334</v>
      </c>
      <c r="BK8" s="19">
        <v>0.1688980428363891</v>
      </c>
      <c r="BL8" s="19">
        <v>0.57295491921489372</v>
      </c>
      <c r="BM8" s="19">
        <v>-3.5277890553140452</v>
      </c>
      <c r="BN8" s="19">
        <v>1.3858147519621298</v>
      </c>
      <c r="BO8" s="16">
        <v>1.2138567094575876</v>
      </c>
      <c r="BP8" s="16">
        <v>0.78204090702422491</v>
      </c>
    </row>
    <row r="9" spans="1:68" x14ac:dyDescent="0.3">
      <c r="A9" s="16" t="s">
        <v>31</v>
      </c>
      <c r="B9" s="16" t="s">
        <v>377</v>
      </c>
      <c r="C9" s="16" t="s">
        <v>604</v>
      </c>
      <c r="D9" s="16" t="s">
        <v>605</v>
      </c>
      <c r="Z9" s="16">
        <v>-7.7383478770056513</v>
      </c>
      <c r="AA9" s="16">
        <v>-3.5284412291196219</v>
      </c>
      <c r="AB9" s="16">
        <v>0.49829655947328888</v>
      </c>
      <c r="AC9" s="16">
        <v>2.2417789701647166</v>
      </c>
      <c r="AD9" s="16">
        <v>-0.16347506380982679</v>
      </c>
      <c r="AE9" s="16">
        <v>-0.70461452552929416</v>
      </c>
      <c r="AF9" s="16">
        <v>0.5645193770375414</v>
      </c>
      <c r="AG9" s="16">
        <v>2.6149748287816834</v>
      </c>
      <c r="AH9" s="16">
        <v>-3.2749125677434421</v>
      </c>
      <c r="AI9" s="16">
        <v>-6.6264093133029291</v>
      </c>
      <c r="AJ9" s="16">
        <v>-2.3125017786597084</v>
      </c>
      <c r="AK9" s="16">
        <v>-8.848293617151171</v>
      </c>
      <c r="AL9" s="16">
        <v>-26.34912367367123</v>
      </c>
      <c r="AM9" s="16">
        <v>-1.8506210457431678</v>
      </c>
      <c r="AN9" s="16">
        <v>11.278422365418422</v>
      </c>
      <c r="AO9" s="16">
        <v>9.8254578216156148</v>
      </c>
      <c r="AP9" s="16">
        <v>3.7555193922741239</v>
      </c>
      <c r="AQ9" s="16">
        <v>1.3139261061491538</v>
      </c>
      <c r="AR9" s="16">
        <v>-1.0627248864548875</v>
      </c>
      <c r="AS9" s="16">
        <v>-0.2349456327227557</v>
      </c>
      <c r="AT9" s="16">
        <v>0.83822732204326655</v>
      </c>
      <c r="AU9" s="16">
        <v>9.9373072488730116</v>
      </c>
      <c r="AV9" s="16">
        <v>-0.46606074802606656</v>
      </c>
      <c r="AW9" s="16">
        <v>7.1270765608228572</v>
      </c>
      <c r="AX9" s="16">
        <v>11.009565573226382</v>
      </c>
      <c r="AY9" s="16">
        <v>7.6142192031651348</v>
      </c>
      <c r="AZ9" s="19">
        <v>9.9351087072150506</v>
      </c>
      <c r="BA9" s="19">
        <v>7.1630460121253918</v>
      </c>
      <c r="BB9" s="19">
        <v>-2.7972899835541796</v>
      </c>
      <c r="BC9" s="19">
        <v>0.57122094112722266</v>
      </c>
      <c r="BD9" s="19">
        <v>-0.34506243533569148</v>
      </c>
      <c r="BE9" s="19">
        <v>4.5380537801738399</v>
      </c>
      <c r="BF9" s="19">
        <v>1.1063310346265212</v>
      </c>
      <c r="BG9" s="19">
        <v>1.0307291179667146</v>
      </c>
      <c r="BH9" s="19">
        <v>-2.6429753303070385</v>
      </c>
      <c r="BI9" s="19">
        <v>-6.0118907775114252</v>
      </c>
      <c r="BJ9" s="19">
        <v>-3.6306950380174783</v>
      </c>
      <c r="BK9" s="19">
        <v>-4.6766695843259924</v>
      </c>
      <c r="BL9" s="19">
        <v>-4.0171141610325378</v>
      </c>
      <c r="BM9" s="19">
        <v>-8.6724321291184339</v>
      </c>
      <c r="BN9" s="19">
        <v>-1.9545980063689399</v>
      </c>
      <c r="BO9" s="16">
        <v>-9.6754729759283009E-2</v>
      </c>
      <c r="BP9" s="16">
        <v>-2.155077377934731</v>
      </c>
    </row>
    <row r="10" spans="1:68" x14ac:dyDescent="0.3">
      <c r="A10" s="16" t="s">
        <v>27</v>
      </c>
      <c r="B10" s="16" t="s">
        <v>382</v>
      </c>
      <c r="C10" s="16" t="s">
        <v>604</v>
      </c>
      <c r="D10" s="16" t="s">
        <v>605</v>
      </c>
      <c r="Z10" s="16">
        <v>3.6486485472307066</v>
      </c>
      <c r="AA10" s="16">
        <v>0.79584007109325228</v>
      </c>
      <c r="AB10" s="16">
        <v>-1.0168021722855229</v>
      </c>
      <c r="AC10" s="16">
        <v>-3.3074972023194533</v>
      </c>
      <c r="AD10" s="16">
        <v>-0.2905953483221424</v>
      </c>
      <c r="AE10" s="16">
        <v>3.6146555440662382</v>
      </c>
      <c r="AF10" s="16">
        <v>-2.7494963794896137</v>
      </c>
      <c r="AG10" s="16">
        <v>-3.2625223344682155</v>
      </c>
      <c r="AH10" s="16">
        <v>6.9236172850875022</v>
      </c>
      <c r="AI10" s="16">
        <v>-11.187905298960956</v>
      </c>
      <c r="AJ10" s="16">
        <v>-27.566820836998204</v>
      </c>
      <c r="AK10" s="16">
        <v>-6.6225512123550203</v>
      </c>
      <c r="AL10" s="16">
        <v>10.229949353134174</v>
      </c>
      <c r="AM10" s="16">
        <v>8.9697616585509081</v>
      </c>
      <c r="AN10" s="16">
        <v>14.024495929868806</v>
      </c>
      <c r="AO10" s="16">
        <v>9.7801798793029349</v>
      </c>
      <c r="AP10" s="16">
        <v>-10.361104970941057</v>
      </c>
      <c r="AQ10" s="16">
        <v>9.5164844382228182</v>
      </c>
      <c r="AR10" s="16">
        <v>13.608069123712909</v>
      </c>
      <c r="AS10" s="16">
        <v>7.6300224393701939</v>
      </c>
      <c r="AT10" s="16">
        <v>9.3143971393935487</v>
      </c>
      <c r="AU10" s="16">
        <v>4.8504753341914295</v>
      </c>
      <c r="AV10" s="16">
        <v>5.924211542457698</v>
      </c>
      <c r="AW10" s="16">
        <v>5.9565695961824048</v>
      </c>
      <c r="AX10" s="16">
        <v>6.0678824393572341</v>
      </c>
      <c r="AY10" s="16">
        <v>6.5729229823636217</v>
      </c>
      <c r="AZ10" s="19">
        <v>6.7872289358866595</v>
      </c>
      <c r="BA10" s="19">
        <v>8.3281084229243021</v>
      </c>
      <c r="BB10" s="19">
        <v>4.053139863801519</v>
      </c>
      <c r="BC10" s="19">
        <v>4.223083827210445</v>
      </c>
      <c r="BD10" s="19">
        <v>2.8216424551400507</v>
      </c>
      <c r="BE10" s="19">
        <v>1.5848728145101916</v>
      </c>
      <c r="BF10" s="19">
        <v>1.1872343528619922</v>
      </c>
      <c r="BG10" s="19">
        <v>1.9853880918038413</v>
      </c>
      <c r="BH10" s="19">
        <v>2.5168270541712729</v>
      </c>
      <c r="BI10" s="19">
        <v>3.4802932167138607</v>
      </c>
      <c r="BJ10" s="19">
        <v>3.898112267466928</v>
      </c>
      <c r="BK10" s="19">
        <v>4.2763115510529275</v>
      </c>
      <c r="BL10" s="19">
        <v>2.5235408428056587</v>
      </c>
      <c r="BM10" s="19">
        <v>-2.745238677571038</v>
      </c>
      <c r="BN10" s="19">
        <v>9.9227137080536494</v>
      </c>
      <c r="BO10" s="16">
        <v>6.1390167898709933</v>
      </c>
      <c r="BP10" s="16">
        <v>4.6339102267876342</v>
      </c>
    </row>
    <row r="11" spans="1:68" x14ac:dyDescent="0.3">
      <c r="A11" s="16" t="s">
        <v>30</v>
      </c>
      <c r="B11" s="16" t="s">
        <v>610</v>
      </c>
      <c r="C11" s="16" t="s">
        <v>604</v>
      </c>
      <c r="D11" s="16" t="s">
        <v>605</v>
      </c>
      <c r="P11" s="16">
        <v>-2.5261053338239066</v>
      </c>
      <c r="Q11" s="16">
        <v>0.99723329743687827</v>
      </c>
      <c r="R11" s="16">
        <v>0.89067696413943054</v>
      </c>
      <c r="S11" s="16">
        <v>-0.920696155915806</v>
      </c>
      <c r="T11" s="16">
        <v>-5.4124828596563361</v>
      </c>
      <c r="U11" s="16">
        <v>-2.5289590376218172</v>
      </c>
      <c r="V11" s="16">
        <v>-2.6607246535953379</v>
      </c>
      <c r="W11" s="16">
        <v>-3.598624899085209</v>
      </c>
      <c r="X11" s="16">
        <v>-4.5529352680941457</v>
      </c>
      <c r="Y11" s="16">
        <v>-2.0075151468886503</v>
      </c>
      <c r="Z11" s="16">
        <v>-3.847772184981693</v>
      </c>
      <c r="AA11" s="16">
        <v>-2.9793549639171601</v>
      </c>
      <c r="AB11" s="16">
        <v>-2.8461855264876164</v>
      </c>
      <c r="AC11" s="16">
        <v>-2.4357304888830527</v>
      </c>
      <c r="AD11" s="16">
        <v>-1.4809658564806938</v>
      </c>
      <c r="AE11" s="16">
        <v>-0.81296406759045681</v>
      </c>
      <c r="AF11" s="16">
        <v>1.0491551716047951</v>
      </c>
      <c r="AG11" s="16">
        <v>0.82104621352631568</v>
      </c>
      <c r="AH11" s="16">
        <v>0.79748946859385228</v>
      </c>
      <c r="AI11" s="16">
        <v>4.2320624589791578E-2</v>
      </c>
      <c r="AJ11" s="16">
        <v>-0.90401445386901003</v>
      </c>
      <c r="AK11" s="16">
        <v>-2.3286131819153582</v>
      </c>
      <c r="AL11" s="16">
        <v>-4.1650300952111365</v>
      </c>
      <c r="AM11" s="16">
        <v>-0.77199847510171082</v>
      </c>
      <c r="AN11" s="16">
        <v>-0.33038351816834677</v>
      </c>
      <c r="AO11" s="16">
        <v>2.6610559320217959</v>
      </c>
      <c r="AP11" s="16">
        <v>8.165547742552917</v>
      </c>
      <c r="AQ11" s="16">
        <v>2.3969199864858126</v>
      </c>
      <c r="AR11" s="16">
        <v>3.355457445664527</v>
      </c>
      <c r="AS11" s="16">
        <v>2.836053539890699</v>
      </c>
      <c r="AT11" s="16">
        <v>5.3725329892534859</v>
      </c>
      <c r="AU11" s="16">
        <v>7.6702357542174582E-2</v>
      </c>
      <c r="AV11" s="16">
        <v>4.1968370936950095</v>
      </c>
      <c r="AW11" s="16">
        <v>3.8823837773149563</v>
      </c>
      <c r="AX11" s="16">
        <v>1.578040218905258</v>
      </c>
      <c r="AY11" s="16">
        <v>4.2926214345355902</v>
      </c>
      <c r="AZ11" s="19">
        <v>4.2203754203989661</v>
      </c>
      <c r="BA11" s="19">
        <v>-2.9353820268668898</v>
      </c>
      <c r="BB11" s="19">
        <v>-2.4780370723148053</v>
      </c>
      <c r="BC11" s="19">
        <v>1.2226877027027001</v>
      </c>
      <c r="BD11" s="19">
        <v>1.3408938924110316</v>
      </c>
      <c r="BE11" s="19">
        <v>-5.5712555431521054</v>
      </c>
      <c r="BF11" s="19">
        <v>-4.0260270342698448</v>
      </c>
      <c r="BG11" s="19">
        <v>2.1409389822477891</v>
      </c>
      <c r="BH11" s="19">
        <v>1.2574160126914933</v>
      </c>
      <c r="BI11" s="19">
        <v>2.5745045877466595</v>
      </c>
      <c r="BJ11" s="19">
        <v>-1.4165790203586113</v>
      </c>
      <c r="BK11" s="19">
        <v>-3.8702955573626241E-3</v>
      </c>
      <c r="BL11" s="19">
        <v>0.23829656950252343</v>
      </c>
      <c r="BM11" s="19">
        <v>-12.735077561117208</v>
      </c>
      <c r="BN11" s="19">
        <v>6.4594405318001833</v>
      </c>
      <c r="BO11" s="16">
        <v>8.4794695051763682</v>
      </c>
      <c r="BP11" s="16">
        <v>1.1097862608741451</v>
      </c>
    </row>
    <row r="12" spans="1:68" hidden="1" x14ac:dyDescent="0.3">
      <c r="A12" s="16" t="s">
        <v>611</v>
      </c>
      <c r="B12" s="16" t="s">
        <v>612</v>
      </c>
      <c r="C12" s="16" t="s">
        <v>604</v>
      </c>
      <c r="D12" s="16" t="s">
        <v>605</v>
      </c>
      <c r="L12" s="16">
        <v>3.7950925489770526</v>
      </c>
      <c r="M12" s="16">
        <v>7.7390663463978484</v>
      </c>
      <c r="N12" s="16">
        <v>4.4624109759023156</v>
      </c>
      <c r="O12" s="16">
        <v>18.911052427123764</v>
      </c>
      <c r="P12" s="16">
        <v>6.083447333234588</v>
      </c>
      <c r="Q12" s="16">
        <v>12.24686285024903</v>
      </c>
      <c r="R12" s="16">
        <v>10.815204838966025</v>
      </c>
      <c r="S12" s="16">
        <v>7.4454840975457444</v>
      </c>
      <c r="T12" s="16">
        <v>-4.7207751896560808</v>
      </c>
      <c r="U12" s="16">
        <v>11.416932563983352</v>
      </c>
      <c r="V12" s="16">
        <v>3.4931183713812715</v>
      </c>
      <c r="W12" s="16">
        <v>-2.4642528746237531</v>
      </c>
      <c r="X12" s="16">
        <v>7.4129494316854903</v>
      </c>
      <c r="Y12" s="16">
        <v>2.6340187984078369</v>
      </c>
      <c r="Z12" s="16">
        <v>-2.7109574257028157</v>
      </c>
      <c r="AA12" s="16">
        <v>-10.588406236528201</v>
      </c>
      <c r="AB12" s="16">
        <v>-8.2862338741500281</v>
      </c>
      <c r="AC12" s="16">
        <v>-1.8182526398803844</v>
      </c>
      <c r="AD12" s="16">
        <v>-4.218412137152157</v>
      </c>
      <c r="AE12" s="16">
        <v>0.33024752972548299</v>
      </c>
      <c r="AF12" s="16">
        <v>-3.6274835667486514</v>
      </c>
      <c r="AG12" s="16">
        <v>2.3227636738363628</v>
      </c>
      <c r="AH12" s="16">
        <v>0.91628829874814244</v>
      </c>
      <c r="AI12" s="16">
        <v>6.1709135618713162</v>
      </c>
      <c r="AJ12" s="16">
        <v>-0.74329083774647131</v>
      </c>
      <c r="AK12" s="16">
        <v>3.7007188463829266</v>
      </c>
      <c r="AL12" s="16">
        <v>-0.10600285836048329</v>
      </c>
      <c r="AM12" s="16">
        <v>0.44014658477220792</v>
      </c>
      <c r="AN12" s="16">
        <v>0.22443465300325727</v>
      </c>
      <c r="AO12" s="16">
        <v>2.1350500096635443</v>
      </c>
      <c r="AP12" s="16">
        <v>2.5153226690112831</v>
      </c>
      <c r="AQ12" s="16">
        <v>2.4718379189689017</v>
      </c>
      <c r="AR12" s="16">
        <v>-0.41828151331448282</v>
      </c>
      <c r="AS12" s="16">
        <v>4.2157960838706146</v>
      </c>
      <c r="AT12" s="16">
        <v>-0.55457873212290565</v>
      </c>
      <c r="AU12" s="16">
        <v>-1.5164983886011356</v>
      </c>
      <c r="AV12" s="16">
        <v>2.6288951259704447</v>
      </c>
      <c r="AW12" s="16">
        <v>6.5523897019279929</v>
      </c>
      <c r="AX12" s="16">
        <v>3.0617905551190319</v>
      </c>
      <c r="AY12" s="16">
        <v>3.5353042253267262</v>
      </c>
      <c r="AZ12" s="19">
        <v>1.7718661615613911</v>
      </c>
      <c r="BA12" s="19">
        <v>2.7699467477247879</v>
      </c>
      <c r="BB12" s="19">
        <v>-2.1661108634553869</v>
      </c>
      <c r="BC12" s="19">
        <v>2.320163351710903</v>
      </c>
      <c r="BD12" s="19">
        <v>1.3689091401418665</v>
      </c>
      <c r="BE12" s="19">
        <v>2.7862784018966522</v>
      </c>
      <c r="BF12" s="19">
        <v>0.21523415346189267</v>
      </c>
      <c r="BG12" s="19">
        <v>0.12172962039149127</v>
      </c>
      <c r="BH12" s="19">
        <v>1.2056016288998848</v>
      </c>
      <c r="BI12" s="19">
        <v>1.4687629721628355</v>
      </c>
      <c r="BJ12" s="19">
        <v>-0.54615638963349511</v>
      </c>
      <c r="BK12" s="19">
        <v>0.51614364897997689</v>
      </c>
      <c r="BL12" s="19">
        <v>-0.38366226113151924</v>
      </c>
      <c r="BM12" s="19">
        <v>-7.0352064000660448</v>
      </c>
      <c r="BN12" s="19">
        <v>3.4375095396055144</v>
      </c>
      <c r="BO12" s="16">
        <v>3.9344098764644002</v>
      </c>
      <c r="BP12" s="16">
        <v>-0.90150319773898957</v>
      </c>
    </row>
    <row r="13" spans="1:68" x14ac:dyDescent="0.3">
      <c r="A13" s="16" t="s">
        <v>246</v>
      </c>
      <c r="B13" s="16" t="s">
        <v>383</v>
      </c>
      <c r="C13" s="16" t="s">
        <v>604</v>
      </c>
      <c r="D13" s="16" t="s">
        <v>605</v>
      </c>
      <c r="P13" s="16">
        <v>18.20153097344172</v>
      </c>
      <c r="Q13" s="16">
        <v>22.116847409384548</v>
      </c>
      <c r="R13" s="16">
        <v>56.948759566702876</v>
      </c>
      <c r="S13" s="16">
        <v>2.7658060790584784</v>
      </c>
      <c r="T13" s="16">
        <v>-3.8283432459169262</v>
      </c>
      <c r="U13" s="16">
        <v>3.0973069070140866</v>
      </c>
      <c r="V13" s="16">
        <v>5.5161389381258203</v>
      </c>
      <c r="W13" s="16">
        <v>-13.61178170279004</v>
      </c>
      <c r="X13" s="16">
        <v>7.1838794701077262</v>
      </c>
      <c r="Y13" s="16">
        <v>10.975305919435357</v>
      </c>
      <c r="Z13" s="16">
        <v>-3.5344863677013336</v>
      </c>
      <c r="AA13" s="16">
        <v>-12.124831555595861</v>
      </c>
      <c r="AB13" s="16">
        <v>-10.111763339328405</v>
      </c>
      <c r="AC13" s="16">
        <v>-1.6086399932511313</v>
      </c>
      <c r="AD13" s="16">
        <v>-8.570465037842439</v>
      </c>
      <c r="AE13" s="16">
        <v>-20.120819940184518</v>
      </c>
      <c r="AF13" s="16">
        <v>-3.6512854548861498</v>
      </c>
      <c r="AG13" s="16">
        <v>-8.8522470828138466</v>
      </c>
      <c r="AH13" s="16">
        <v>5.5569543776267096</v>
      </c>
      <c r="AI13" s="16">
        <v>11.583141339082317</v>
      </c>
      <c r="AJ13" s="16">
        <v>-4.5752799277504153</v>
      </c>
      <c r="AK13" s="16">
        <v>-1.9217512692435008</v>
      </c>
      <c r="AL13" s="16">
        <v>-3.6146208149122998</v>
      </c>
      <c r="AM13" s="16">
        <v>2.0429573677563297</v>
      </c>
      <c r="AN13" s="16">
        <v>2.0870472960334183</v>
      </c>
      <c r="AO13" s="16">
        <v>9.272075187811879E-2</v>
      </c>
      <c r="AP13" s="16">
        <v>1.3594914381602763</v>
      </c>
      <c r="AQ13" s="16">
        <v>-5.7167085303573231</v>
      </c>
      <c r="AR13" s="16">
        <v>-2.9589573063919232</v>
      </c>
      <c r="AS13" s="16">
        <v>4.8361296477331877</v>
      </c>
      <c r="AT13" s="16">
        <v>-3.851554140292194</v>
      </c>
      <c r="AU13" s="16">
        <v>-2.6254716946754968</v>
      </c>
      <c r="AV13" s="16">
        <v>3.6710471691518478</v>
      </c>
      <c r="AW13" s="16">
        <v>4.6305762748587824</v>
      </c>
      <c r="AX13" s="16">
        <v>-2.1904206134813506</v>
      </c>
      <c r="AY13" s="16">
        <v>-4.0177153998840964</v>
      </c>
      <c r="AZ13" s="19">
        <v>-13.923387402839936</v>
      </c>
      <c r="BA13" s="19">
        <v>-13.287427562873575</v>
      </c>
      <c r="BB13" s="19">
        <v>-17.145393897890344</v>
      </c>
      <c r="BC13" s="19">
        <v>-4.2563858646072106</v>
      </c>
      <c r="BD13" s="19">
        <v>5.0588087114973774</v>
      </c>
      <c r="BE13" s="19">
        <v>0.76963884703815211</v>
      </c>
      <c r="BF13" s="19">
        <v>4.012692145430691</v>
      </c>
      <c r="BG13" s="19">
        <v>3.174202486920791</v>
      </c>
      <c r="BH13" s="19">
        <v>5.8173578713258678</v>
      </c>
      <c r="BI13" s="19">
        <v>4.6535053950016447</v>
      </c>
      <c r="BJ13" s="19">
        <v>-8.7326071374505432E-2</v>
      </c>
      <c r="BK13" s="19">
        <v>0.51723988870180904</v>
      </c>
      <c r="BL13" s="19">
        <v>0.32368652680685273</v>
      </c>
      <c r="BM13" s="19">
        <v>-5.7310445216162407</v>
      </c>
      <c r="BN13" s="19">
        <v>3.4872146628586336</v>
      </c>
      <c r="BO13" s="16">
        <v>6.9824174662305865</v>
      </c>
      <c r="BP13" s="16">
        <v>2.5808960718623979</v>
      </c>
    </row>
    <row r="14" spans="1:68" x14ac:dyDescent="0.3">
      <c r="A14" s="16" t="s">
        <v>34</v>
      </c>
      <c r="B14" s="16" t="s">
        <v>384</v>
      </c>
      <c r="C14" s="16" t="s">
        <v>604</v>
      </c>
      <c r="D14" s="16" t="s">
        <v>605</v>
      </c>
      <c r="F14" s="16">
        <v>3.7409028140110934</v>
      </c>
      <c r="G14" s="16">
        <v>-2.4543330322291013</v>
      </c>
      <c r="H14" s="16">
        <v>-6.8313933148613728</v>
      </c>
      <c r="I14" s="16">
        <v>8.3827514767043283</v>
      </c>
      <c r="J14" s="16">
        <v>8.8388502121035941</v>
      </c>
      <c r="K14" s="16">
        <v>-2.2092854101143047</v>
      </c>
      <c r="L14" s="16">
        <v>1.5872412182659161</v>
      </c>
      <c r="M14" s="16">
        <v>3.2081560501284088</v>
      </c>
      <c r="N14" s="16">
        <v>8.0017331259565054</v>
      </c>
      <c r="O14" s="16">
        <v>1.443199663462309</v>
      </c>
      <c r="P14" s="16">
        <v>3.998125312439214</v>
      </c>
      <c r="Q14" s="16">
        <v>2.0487332387261858E-2</v>
      </c>
      <c r="R14" s="16">
        <v>1.1360933215490547</v>
      </c>
      <c r="S14" s="16">
        <v>3.7541596613955619</v>
      </c>
      <c r="T14" s="16">
        <v>-1.6735283950232116</v>
      </c>
      <c r="U14" s="16">
        <v>-3.5638025213075935</v>
      </c>
      <c r="V14" s="16">
        <v>5.2388028423995934</v>
      </c>
      <c r="W14" s="16">
        <v>-6.0270020388376935</v>
      </c>
      <c r="X14" s="16">
        <v>8.4725180766792789</v>
      </c>
      <c r="Y14" s="16">
        <v>-7.7522757567990652E-2</v>
      </c>
      <c r="Z14" s="16">
        <v>-6.6765872456420254</v>
      </c>
      <c r="AA14" s="16">
        <v>-2.2851504148082284</v>
      </c>
      <c r="AB14" s="16">
        <v>2.7351300377588075</v>
      </c>
      <c r="AC14" s="16">
        <v>2.1379787568932329E-2</v>
      </c>
      <c r="AD14" s="16">
        <v>-6.6130932770873301</v>
      </c>
      <c r="AE14" s="16">
        <v>4.5611140026924062</v>
      </c>
      <c r="AF14" s="16">
        <v>1.164689931348974</v>
      </c>
      <c r="AG14" s="16">
        <v>-2.5703918325237254</v>
      </c>
      <c r="AH14" s="16">
        <v>-8.5279114106008933</v>
      </c>
      <c r="AI14" s="16">
        <v>-3.877389883057262</v>
      </c>
      <c r="AJ14" s="16">
        <v>7.589999663851188</v>
      </c>
      <c r="AK14" s="16">
        <v>6.4500731309061052</v>
      </c>
      <c r="AL14" s="16">
        <v>6.747497372254017</v>
      </c>
      <c r="AM14" s="16">
        <v>4.420120784864352</v>
      </c>
      <c r="AN14" s="16">
        <v>-4.1168808006171389</v>
      </c>
      <c r="AO14" s="16">
        <v>4.2049673185842664</v>
      </c>
      <c r="AP14" s="16">
        <v>6.8233210923934138</v>
      </c>
      <c r="AQ14" s="16">
        <v>2.6543475973445823</v>
      </c>
      <c r="AR14" s="16">
        <v>-4.492112128935986</v>
      </c>
      <c r="AS14" s="16">
        <v>-1.9069874983516684</v>
      </c>
      <c r="AT14" s="16">
        <v>-5.4537969784805398</v>
      </c>
      <c r="AU14" s="16">
        <v>-11.845950393822704</v>
      </c>
      <c r="AV14" s="16">
        <v>7.7192296366372091</v>
      </c>
      <c r="AW14" s="16">
        <v>7.9281570508041881</v>
      </c>
      <c r="AX14" s="16">
        <v>7.7324969985169076</v>
      </c>
      <c r="AY14" s="16">
        <v>6.9349817376444918</v>
      </c>
      <c r="AZ14" s="19">
        <v>7.9162105716445836</v>
      </c>
      <c r="BA14" s="19">
        <v>3.0297854066404284</v>
      </c>
      <c r="BB14" s="19">
        <v>-6.8679552250698066</v>
      </c>
      <c r="BC14" s="19">
        <v>9.8442963984772405</v>
      </c>
      <c r="BD14" s="19">
        <v>4.7886831385943509</v>
      </c>
      <c r="BE14" s="19">
        <v>-2.1452844498181207</v>
      </c>
      <c r="BF14" s="19">
        <v>1.2656851753707627</v>
      </c>
      <c r="BG14" s="19">
        <v>-3.5785805098328893</v>
      </c>
      <c r="BH14" s="19">
        <v>1.6296642794626308</v>
      </c>
      <c r="BI14" s="19">
        <v>-3.1100638982146478</v>
      </c>
      <c r="BJ14" s="19">
        <v>1.7576481826569363</v>
      </c>
      <c r="BK14" s="19">
        <v>-3.6016097565715484</v>
      </c>
      <c r="BL14" s="19">
        <v>-2.9695624986621851</v>
      </c>
      <c r="BM14" s="19">
        <v>-10.770273227749399</v>
      </c>
      <c r="BN14" s="19">
        <v>9.6739209346542907</v>
      </c>
      <c r="BO14" s="16">
        <v>3.9891310845051748</v>
      </c>
      <c r="BP14" s="16">
        <v>-2.4362511141416974</v>
      </c>
    </row>
    <row r="15" spans="1:68" x14ac:dyDescent="0.3">
      <c r="A15" s="16" t="s">
        <v>35</v>
      </c>
      <c r="B15" s="16" t="s">
        <v>385</v>
      </c>
      <c r="C15" s="16" t="s">
        <v>604</v>
      </c>
      <c r="D15" s="16" t="s">
        <v>605</v>
      </c>
      <c r="AJ15" s="16">
        <v>-13.191146609831122</v>
      </c>
      <c r="AK15" s="16">
        <v>-41.098650246851079</v>
      </c>
      <c r="AL15" s="16">
        <v>-5.708269453434184</v>
      </c>
      <c r="AM15" s="16">
        <v>8.0129205443922871</v>
      </c>
      <c r="AN15" s="16">
        <v>8.5385422121116363</v>
      </c>
      <c r="AO15" s="16">
        <v>6.6318655602602092</v>
      </c>
      <c r="AP15" s="16">
        <v>4.1889795745207579</v>
      </c>
      <c r="AQ15" s="16">
        <v>8.3220908055096032</v>
      </c>
      <c r="AR15" s="16">
        <v>4.4122528491264745</v>
      </c>
      <c r="AS15" s="16">
        <v>7.1535781845376363</v>
      </c>
      <c r="AT15" s="16">
        <v>10.837976171999713</v>
      </c>
      <c r="AU15" s="16">
        <v>14.22429284853348</v>
      </c>
      <c r="AV15" s="16">
        <v>14.773836275458208</v>
      </c>
      <c r="AW15" s="16">
        <v>11.161649451066992</v>
      </c>
      <c r="AX15" s="16">
        <v>14.59145585793911</v>
      </c>
      <c r="AY15" s="16">
        <v>13.976488640084</v>
      </c>
      <c r="AZ15" s="19">
        <v>14.536100371915751</v>
      </c>
      <c r="BA15" s="19">
        <v>7.651455058233708</v>
      </c>
      <c r="BB15" s="19">
        <v>-13.545791682776539</v>
      </c>
      <c r="BC15" s="19">
        <v>2.82448188304339</v>
      </c>
      <c r="BD15" s="19">
        <v>5.3190183518381957</v>
      </c>
      <c r="BE15" s="19">
        <v>7.7353708344902969</v>
      </c>
      <c r="BF15" s="19">
        <v>3.7641296484265183</v>
      </c>
      <c r="BG15" s="19">
        <v>4.010645933192734</v>
      </c>
      <c r="BH15" s="19">
        <v>3.606369078322075</v>
      </c>
      <c r="BI15" s="19">
        <v>0.64613594275282082</v>
      </c>
      <c r="BJ15" s="19">
        <v>8.024397048834814</v>
      </c>
      <c r="BK15" s="19">
        <v>5.7698821490317584</v>
      </c>
      <c r="BL15" s="19">
        <v>8.208649499594884</v>
      </c>
      <c r="BM15" s="19">
        <v>-6.704049317567268</v>
      </c>
      <c r="BN15" s="19">
        <v>6.3547444017184631</v>
      </c>
      <c r="BO15" s="16">
        <v>13.025418517299258</v>
      </c>
      <c r="BP15" s="16">
        <v>8.7977841013401985</v>
      </c>
    </row>
    <row r="16" spans="1:68" x14ac:dyDescent="0.3">
      <c r="A16" s="16" t="s">
        <v>29</v>
      </c>
      <c r="B16" s="16" t="s">
        <v>613</v>
      </c>
      <c r="C16" s="16" t="s">
        <v>604</v>
      </c>
      <c r="D16" s="16" t="s">
        <v>605</v>
      </c>
      <c r="AV16" s="16">
        <v>1.3767607834128484</v>
      </c>
      <c r="AW16" s="16">
        <v>0.95870460339794761</v>
      </c>
      <c r="AX16" s="16">
        <v>0.23892101291561119</v>
      </c>
      <c r="AY16" s="16">
        <v>-3.3947523793234353</v>
      </c>
      <c r="AZ16" s="19">
        <v>2.671970340416479</v>
      </c>
      <c r="BA16" s="19">
        <v>-1.8004500017704288</v>
      </c>
      <c r="BB16" s="19">
        <v>-3.2579410950162071</v>
      </c>
      <c r="BC16" s="19">
        <v>1.2452642573314847</v>
      </c>
      <c r="BD16" s="19">
        <v>0.99245074571901171</v>
      </c>
      <c r="BE16" s="19">
        <v>-3.2319106405225995</v>
      </c>
      <c r="BF16" s="19">
        <v>-1.2195018397962087</v>
      </c>
      <c r="BG16" s="19">
        <v>3.2790216419350742</v>
      </c>
      <c r="BH16" s="19">
        <v>4.8544423011599491</v>
      </c>
      <c r="BI16" s="19">
        <v>0.11364434211449748</v>
      </c>
      <c r="BJ16" s="19">
        <v>-5.1353398857769719</v>
      </c>
      <c r="BK16" s="19">
        <v>4.8740611245075911</v>
      </c>
      <c r="BL16" s="19">
        <v>1.8317139660059212</v>
      </c>
      <c r="BM16" s="19">
        <v>6.9706882081677293</v>
      </c>
      <c r="BN16" s="19">
        <v>1.7599283325627511</v>
      </c>
      <c r="BO16" s="16">
        <v>3.4860171059388279</v>
      </c>
    </row>
    <row r="17" spans="1:68" x14ac:dyDescent="0.3">
      <c r="A17" s="16" t="s">
        <v>33</v>
      </c>
      <c r="B17" s="16" t="s">
        <v>614</v>
      </c>
      <c r="C17" s="16" t="s">
        <v>604</v>
      </c>
      <c r="D17" s="16" t="s">
        <v>605</v>
      </c>
      <c r="W17" s="16">
        <v>4.0394692110250929</v>
      </c>
      <c r="X17" s="16">
        <v>7.6118838157995299</v>
      </c>
      <c r="Y17" s="16">
        <v>7.6942886289075716</v>
      </c>
      <c r="Z17" s="16">
        <v>3.516873136879255</v>
      </c>
      <c r="AA17" s="16">
        <v>-0.32166791239149006</v>
      </c>
      <c r="AB17" s="16">
        <v>5.0786548490846286</v>
      </c>
      <c r="AC17" s="16">
        <v>10.242689392313537</v>
      </c>
      <c r="AD17" s="16">
        <v>8.1634138983480113</v>
      </c>
      <c r="AE17" s="16">
        <v>12.073102186010004</v>
      </c>
      <c r="AF17" s="16">
        <v>7.2208886938100107</v>
      </c>
      <c r="AG17" s="16">
        <v>5.8236636081407767</v>
      </c>
      <c r="AH17" s="16">
        <v>5.8245008878811575</v>
      </c>
      <c r="AI17" s="16">
        <v>3.5123210259084772</v>
      </c>
      <c r="AJ17" s="16">
        <v>1.6854901511341041</v>
      </c>
      <c r="AK17" s="16">
        <v>-0.44506434294784469</v>
      </c>
      <c r="AL17" s="16">
        <v>3.4012340571290594</v>
      </c>
      <c r="AM17" s="16">
        <v>4.7069204651164966</v>
      </c>
      <c r="AN17" s="16">
        <v>-6.213512283051557</v>
      </c>
      <c r="AO17" s="16">
        <v>4.466598528787415</v>
      </c>
      <c r="AP17" s="16">
        <v>3.3682278423026588</v>
      </c>
      <c r="AQ17" s="16">
        <v>2.7772236163450259</v>
      </c>
      <c r="AR17" s="16">
        <v>1.9530461461666278</v>
      </c>
      <c r="AS17" s="16">
        <v>4.4573707157990867</v>
      </c>
      <c r="AT17" s="16">
        <v>-6.000856090013329</v>
      </c>
      <c r="AU17" s="16">
        <v>-0.25532803477592836</v>
      </c>
      <c r="AV17" s="16">
        <v>4.8812806469224768</v>
      </c>
      <c r="AW17" s="16">
        <v>4.6064512593856648</v>
      </c>
      <c r="AX17" s="16">
        <v>5.2367939688526093</v>
      </c>
      <c r="AY17" s="16">
        <v>11.278524665974828</v>
      </c>
      <c r="AZ17" s="19">
        <v>7.8212014922653026</v>
      </c>
      <c r="BA17" s="19">
        <v>-1.4972643305154492</v>
      </c>
      <c r="BB17" s="19">
        <v>-13.299132760644426</v>
      </c>
      <c r="BC17" s="19">
        <v>-9.0890123691164177</v>
      </c>
      <c r="BD17" s="19">
        <v>-3.127588990430425</v>
      </c>
      <c r="BE17" s="19">
        <v>2.2586243188430473</v>
      </c>
      <c r="BF17" s="19">
        <v>-1.5251040350871108</v>
      </c>
      <c r="BG17" s="19">
        <v>1.3649974568930645</v>
      </c>
      <c r="BH17" s="19">
        <v>0.64998030083656033</v>
      </c>
      <c r="BI17" s="19">
        <v>3.3836514765602175</v>
      </c>
      <c r="BJ17" s="19">
        <v>1.8392357570840829</v>
      </c>
      <c r="BK17" s="19">
        <v>6.3613751941035588</v>
      </c>
      <c r="BL17" s="19">
        <v>2.5509014329405488</v>
      </c>
      <c r="BM17" s="19">
        <v>-19.359252064975621</v>
      </c>
      <c r="BN17" s="19">
        <v>7.5475750602971345</v>
      </c>
      <c r="BO17" s="16">
        <v>8.8809966138055074</v>
      </c>
      <c r="BP17" s="16">
        <v>3.2727507340365065</v>
      </c>
    </row>
    <row r="18" spans="1:68" x14ac:dyDescent="0.3">
      <c r="A18" s="16" t="s">
        <v>37</v>
      </c>
      <c r="B18" s="16" t="s">
        <v>386</v>
      </c>
      <c r="C18" s="16" t="s">
        <v>604</v>
      </c>
      <c r="D18" s="16" t="s">
        <v>605</v>
      </c>
      <c r="F18" s="16">
        <v>0.46363353564314025</v>
      </c>
      <c r="G18" s="16">
        <v>-1.148044394854395</v>
      </c>
      <c r="H18" s="16">
        <v>4.1987382645618538</v>
      </c>
      <c r="I18" s="16">
        <v>4.9015670186107343</v>
      </c>
      <c r="J18" s="16">
        <v>3.9236546904210172</v>
      </c>
      <c r="K18" s="16">
        <v>6.7792435244868443E-2</v>
      </c>
      <c r="L18" s="16">
        <v>4.9716356517352551</v>
      </c>
      <c r="M18" s="16">
        <v>3.2559882967222649</v>
      </c>
      <c r="N18" s="16">
        <v>4.827990487850073</v>
      </c>
      <c r="O18" s="16">
        <v>5.0848985679564862</v>
      </c>
      <c r="P18" s="16">
        <v>0.5438669689546316</v>
      </c>
      <c r="Q18" s="16">
        <v>2.0176760805864262</v>
      </c>
      <c r="R18" s="16">
        <v>1.0624137451519857</v>
      </c>
      <c r="S18" s="16">
        <v>1.5052101074601865</v>
      </c>
      <c r="T18" s="16">
        <v>9.6451786347302004E-2</v>
      </c>
      <c r="U18" s="16">
        <v>1.5653273142616229</v>
      </c>
      <c r="V18" s="16">
        <v>2.4345224619081876</v>
      </c>
      <c r="W18" s="16">
        <v>-0.27309783609550209</v>
      </c>
      <c r="X18" s="16">
        <v>2.9320655513409548</v>
      </c>
      <c r="Y18" s="16">
        <v>1.7873751554977133</v>
      </c>
      <c r="Z18" s="16">
        <v>1.7384478320977763</v>
      </c>
      <c r="AA18" s="16">
        <v>1.5492592793997915</v>
      </c>
      <c r="AB18" s="16">
        <v>-3.5534155112404591</v>
      </c>
      <c r="AC18" s="16">
        <v>3.3435499795931349</v>
      </c>
      <c r="AD18" s="16">
        <v>3.8854159163618078</v>
      </c>
      <c r="AE18" s="16">
        <v>2.4726901064096012</v>
      </c>
      <c r="AF18" s="16">
        <v>1.0142383400244483</v>
      </c>
      <c r="AG18" s="16">
        <v>4.0376947168207806</v>
      </c>
      <c r="AH18" s="16">
        <v>2.1349104862948138</v>
      </c>
      <c r="AI18" s="16">
        <v>2.0573923545979653</v>
      </c>
      <c r="AJ18" s="16">
        <v>-1.6435710884729673</v>
      </c>
      <c r="AK18" s="16">
        <v>-0.69043666646439306</v>
      </c>
      <c r="AL18" s="16">
        <v>3.1237382100752598</v>
      </c>
      <c r="AM18" s="16">
        <v>2.9830922892792699</v>
      </c>
      <c r="AN18" s="16">
        <v>2.7326014495456548</v>
      </c>
      <c r="AO18" s="16">
        <v>2.6107978138057319</v>
      </c>
      <c r="AP18" s="16">
        <v>2.7948684913141904</v>
      </c>
      <c r="AQ18" s="16">
        <v>3.6252184764435214</v>
      </c>
      <c r="AR18" s="16">
        <v>3.8849323298094873</v>
      </c>
      <c r="AS18" s="16">
        <v>2.7389442953762284</v>
      </c>
      <c r="AT18" s="16">
        <v>0.72353115671668888</v>
      </c>
      <c r="AU18" s="16">
        <v>2.8035271603898337</v>
      </c>
      <c r="AV18" s="16">
        <v>1.9117386764348225</v>
      </c>
      <c r="AW18" s="16">
        <v>3.1158934431981606</v>
      </c>
      <c r="AX18" s="16">
        <v>1.9060652376379466</v>
      </c>
      <c r="AY18" s="16">
        <v>1.3779800336601795</v>
      </c>
      <c r="AZ18" s="19">
        <v>1.8967083916534762</v>
      </c>
      <c r="BA18" s="19">
        <v>1.5311118678101394</v>
      </c>
      <c r="BB18" s="19">
        <v>-0.18577315288420948</v>
      </c>
      <c r="BC18" s="19">
        <v>0.64850006825250261</v>
      </c>
      <c r="BD18" s="19">
        <v>0.99581200160159256</v>
      </c>
      <c r="BE18" s="19">
        <v>2.1199260681508747</v>
      </c>
      <c r="BF18" s="19">
        <v>0.85530140286311962</v>
      </c>
      <c r="BG18" s="19">
        <v>1.0883007815054384</v>
      </c>
      <c r="BH18" s="19">
        <v>0.74143884360408663</v>
      </c>
      <c r="BI18" s="19">
        <v>1.1862658506417887</v>
      </c>
      <c r="BJ18" s="19">
        <v>0.64749521850477265</v>
      </c>
      <c r="BK18" s="19">
        <v>1.378345353319574</v>
      </c>
      <c r="BL18" s="19">
        <v>0.6824909451504908</v>
      </c>
      <c r="BM18" s="19">
        <v>-1.5564363010269489</v>
      </c>
      <c r="BN18" s="19">
        <v>1.968061645749458</v>
      </c>
      <c r="BO18" s="16">
        <v>2.9503255840324272</v>
      </c>
      <c r="BP18" s="16">
        <v>0.60328493571294928</v>
      </c>
    </row>
    <row r="19" spans="1:68" x14ac:dyDescent="0.3">
      <c r="A19" s="16" t="s">
        <v>38</v>
      </c>
      <c r="B19" s="16" t="s">
        <v>387</v>
      </c>
      <c r="C19" s="16" t="s">
        <v>604</v>
      </c>
      <c r="D19" s="16" t="s">
        <v>605</v>
      </c>
      <c r="F19" s="16">
        <v>4.9607171834916528</v>
      </c>
      <c r="G19" s="16">
        <v>2.0214696667764258</v>
      </c>
      <c r="H19" s="16">
        <v>3.4714661593240521</v>
      </c>
      <c r="I19" s="16">
        <v>5.4193360141517246</v>
      </c>
      <c r="J19" s="16">
        <v>2.8100127856154558</v>
      </c>
      <c r="K19" s="16">
        <v>4.9044790037778796</v>
      </c>
      <c r="L19" s="16">
        <v>2.2410097584841822</v>
      </c>
      <c r="M19" s="16">
        <v>3.9312418288779867</v>
      </c>
      <c r="N19" s="16">
        <v>5.9094959264346443</v>
      </c>
      <c r="O19" s="16">
        <v>6.7494345678530578</v>
      </c>
      <c r="P19" s="16">
        <v>4.6469427313418947</v>
      </c>
      <c r="Q19" s="16">
        <v>5.5923815308111386</v>
      </c>
      <c r="R19" s="16">
        <v>4.3109057811672784</v>
      </c>
      <c r="S19" s="16">
        <v>3.7653730317990295</v>
      </c>
      <c r="T19" s="16">
        <v>-9.9030081968237482E-2</v>
      </c>
      <c r="U19" s="16">
        <v>4.7633698692336708</v>
      </c>
      <c r="V19" s="16">
        <v>5.0396476132279275</v>
      </c>
      <c r="W19" s="16">
        <v>-0.12983048767274852</v>
      </c>
      <c r="X19" s="16">
        <v>5.5364479333417762</v>
      </c>
      <c r="Y19" s="16">
        <v>1.7313777924516103</v>
      </c>
      <c r="Z19" s="16">
        <v>-0.39862051772210805</v>
      </c>
      <c r="AA19" s="16">
        <v>1.9381215052179641</v>
      </c>
      <c r="AB19" s="16">
        <v>3.1396280799306169</v>
      </c>
      <c r="AC19" s="16">
        <v>5.7573092990907071E-2</v>
      </c>
      <c r="AD19" s="16">
        <v>2.4505656714384401</v>
      </c>
      <c r="AE19" s="16">
        <v>2.2364023548953753</v>
      </c>
      <c r="AF19" s="16">
        <v>1.2930452791779885</v>
      </c>
      <c r="AG19" s="16">
        <v>3.1497465084623855</v>
      </c>
      <c r="AH19" s="16">
        <v>3.420101784771461</v>
      </c>
      <c r="AI19" s="16">
        <v>3.553547646971225</v>
      </c>
      <c r="AJ19" s="16">
        <v>2.4139864538772287</v>
      </c>
      <c r="AK19" s="16">
        <v>0.97609224004663986</v>
      </c>
      <c r="AL19" s="16">
        <v>-0.29875436100003583</v>
      </c>
      <c r="AM19" s="16">
        <v>2.0087619437807973</v>
      </c>
      <c r="AN19" s="16">
        <v>2.5109126936983444</v>
      </c>
      <c r="AO19" s="16">
        <v>2.2114349326934075</v>
      </c>
      <c r="AP19" s="16">
        <v>1.9779759080570187</v>
      </c>
      <c r="AQ19" s="16">
        <v>3.4678299412491498</v>
      </c>
      <c r="AR19" s="16">
        <v>3.3550446614236193</v>
      </c>
      <c r="AS19" s="16">
        <v>3.1274366501477147</v>
      </c>
      <c r="AT19" s="16">
        <v>0.88025909788611045</v>
      </c>
      <c r="AU19" s="16">
        <v>1.1526763313577391</v>
      </c>
      <c r="AV19" s="16">
        <v>0.45094652723453521</v>
      </c>
      <c r="AW19" s="16">
        <v>2.099711168897116</v>
      </c>
      <c r="AX19" s="16">
        <v>1.549877316935877</v>
      </c>
      <c r="AY19" s="16">
        <v>2.9434178587044642</v>
      </c>
      <c r="AZ19" s="19">
        <v>3.3917308268146087</v>
      </c>
      <c r="BA19" s="19">
        <v>1.1433071188860424</v>
      </c>
      <c r="BB19" s="19">
        <v>-4.0163400421177187</v>
      </c>
      <c r="BC19" s="19">
        <v>1.5925771284998689</v>
      </c>
      <c r="BD19" s="19">
        <v>2.5764483181144584</v>
      </c>
      <c r="BE19" s="19">
        <v>0.22245057694307491</v>
      </c>
      <c r="BF19" s="19">
        <v>-0.56229894252744828</v>
      </c>
      <c r="BG19" s="19">
        <v>-0.12237066733756308</v>
      </c>
      <c r="BH19" s="19">
        <v>-0.1115401895044954</v>
      </c>
      <c r="BI19" s="19">
        <v>0.89246913963229701</v>
      </c>
      <c r="BJ19" s="19">
        <v>1.5507240862715292</v>
      </c>
      <c r="BK19" s="19">
        <v>1.927713059872957</v>
      </c>
      <c r="BL19" s="19">
        <v>1.0004069531778441</v>
      </c>
      <c r="BM19" s="19">
        <v>-7.0198259520297626</v>
      </c>
      <c r="BN19" s="19">
        <v>3.7847196965403924</v>
      </c>
      <c r="BO19" s="16">
        <v>3.8089560624093366</v>
      </c>
      <c r="BP19" s="16">
        <v>-1.8119282273813155</v>
      </c>
    </row>
    <row r="20" spans="1:68" x14ac:dyDescent="0.3">
      <c r="A20" s="16" t="s">
        <v>39</v>
      </c>
      <c r="B20" s="16" t="s">
        <v>388</v>
      </c>
      <c r="C20" s="16" t="s">
        <v>604</v>
      </c>
      <c r="D20" s="16" t="s">
        <v>605</v>
      </c>
      <c r="AJ20" s="16">
        <v>-2.0123831035275117</v>
      </c>
      <c r="AK20" s="16">
        <v>-23.761202155725769</v>
      </c>
      <c r="AL20" s="16">
        <v>-24.25686416480805</v>
      </c>
      <c r="AM20" s="16">
        <v>-20.775558548680806</v>
      </c>
      <c r="AN20" s="16">
        <v>-12.813429438630592</v>
      </c>
      <c r="AO20" s="16">
        <v>0.28021388957033366</v>
      </c>
      <c r="AP20" s="16">
        <v>4.7842823523868816</v>
      </c>
      <c r="AQ20" s="16">
        <v>8.9608867629380882</v>
      </c>
      <c r="AR20" s="16">
        <v>6.4615840761167647</v>
      </c>
      <c r="AS20" s="16">
        <v>10.191029267481639</v>
      </c>
      <c r="AT20" s="16">
        <v>9.0518220381875238</v>
      </c>
      <c r="AU20" s="16">
        <v>8.6253510657364245</v>
      </c>
      <c r="AV20" s="16">
        <v>9.3764603643061548</v>
      </c>
      <c r="AW20" s="16">
        <v>8.3015384793905866</v>
      </c>
      <c r="AX20" s="16">
        <v>26.660094770029559</v>
      </c>
      <c r="AY20" s="16">
        <v>33.030487768944738</v>
      </c>
      <c r="AZ20" s="19">
        <v>23.590685413704662</v>
      </c>
      <c r="BA20" s="19">
        <v>8.4574501255559653</v>
      </c>
      <c r="BB20" s="19">
        <v>7.0506025194907949</v>
      </c>
      <c r="BC20" s="19">
        <v>3.8064910206256286</v>
      </c>
      <c r="BD20" s="19">
        <v>-1.1958429622770836</v>
      </c>
      <c r="BE20" s="19">
        <v>0.81668412824123493</v>
      </c>
      <c r="BF20" s="19">
        <v>4.4500200988202465</v>
      </c>
      <c r="BG20" s="19">
        <v>1.4759369407786949</v>
      </c>
      <c r="BH20" s="19">
        <v>-0.10312136489147861</v>
      </c>
      <c r="BI20" s="19">
        <v>-4.1771716800523677</v>
      </c>
      <c r="BJ20" s="19">
        <v>-0.77841612623278422</v>
      </c>
      <c r="BK20" s="19">
        <v>0.62448616773966137</v>
      </c>
      <c r="BL20" s="19">
        <v>1.6358504813074148</v>
      </c>
      <c r="BM20" s="19">
        <v>-4.9527017386949126</v>
      </c>
      <c r="BN20" s="19">
        <v>5.1515000687066106</v>
      </c>
      <c r="BO20" s="16">
        <v>4.6734399524038395</v>
      </c>
      <c r="BP20" s="16">
        <v>1.4159797771854841</v>
      </c>
    </row>
    <row r="21" spans="1:68" x14ac:dyDescent="0.3">
      <c r="A21" s="16" t="s">
        <v>58</v>
      </c>
      <c r="B21" s="16" t="s">
        <v>389</v>
      </c>
      <c r="C21" s="16" t="s">
        <v>604</v>
      </c>
      <c r="D21" s="16" t="s">
        <v>605</v>
      </c>
      <c r="F21" s="16">
        <v>-15.870157597821887</v>
      </c>
      <c r="G21" s="16">
        <v>6.3652461397228421</v>
      </c>
      <c r="H21" s="16">
        <v>1.9900958060750327</v>
      </c>
      <c r="I21" s="16">
        <v>3.2918636808222601</v>
      </c>
      <c r="J21" s="16">
        <v>1.1359909579916803</v>
      </c>
      <c r="K21" s="16">
        <v>2.1480482390298334</v>
      </c>
      <c r="L21" s="16">
        <v>11.001957686425584</v>
      </c>
      <c r="M21" s="16">
        <v>-2.6147911490192968</v>
      </c>
      <c r="N21" s="16">
        <v>-3.5323148318586277</v>
      </c>
      <c r="O21" s="16">
        <v>18.779549087256768</v>
      </c>
      <c r="P21" s="16">
        <v>0.33063308687255244</v>
      </c>
      <c r="Q21" s="16">
        <v>-6.3287836051387814</v>
      </c>
      <c r="R21" s="16">
        <v>7.1208489235632442</v>
      </c>
      <c r="S21" s="16">
        <v>-3.1295002766015045</v>
      </c>
      <c r="T21" s="16">
        <v>-1.6978382778139149</v>
      </c>
      <c r="U21" s="16">
        <v>5.6418180471688402</v>
      </c>
      <c r="V21" s="16">
        <v>8.7294538568093429</v>
      </c>
      <c r="W21" s="16">
        <v>-3.6867375366718562</v>
      </c>
      <c r="X21" s="16">
        <v>-0.74376101061346844</v>
      </c>
      <c r="Y21" s="16">
        <v>-3.1161109780442899</v>
      </c>
      <c r="Z21" s="16">
        <v>7.7197221994054814</v>
      </c>
      <c r="AA21" s="16">
        <v>-3.4513930225773066</v>
      </c>
      <c r="AB21" s="16">
        <v>0.98919617747159805</v>
      </c>
      <c r="AC21" s="16">
        <v>-2.2388311277471189</v>
      </c>
      <c r="AD21" s="16">
        <v>9.3939957278674768</v>
      </c>
      <c r="AE21" s="16">
        <v>1.3316466527279545</v>
      </c>
      <c r="AF21" s="16">
        <v>3.1290064995878879</v>
      </c>
      <c r="AG21" s="16">
        <v>2.7583844579673666</v>
      </c>
      <c r="AH21" s="16">
        <v>-0.57155067162064199</v>
      </c>
      <c r="AI21" s="16">
        <v>1.4218960696294545</v>
      </c>
      <c r="AJ21" s="16">
        <v>2.9130684151962072</v>
      </c>
      <c r="AK21" s="16">
        <v>-1.5975617345025341</v>
      </c>
      <c r="AL21" s="16">
        <v>-3.0692484560441358</v>
      </c>
      <c r="AM21" s="16">
        <v>-4.3669013396230127</v>
      </c>
      <c r="AN21" s="16">
        <v>-13.295927287570819</v>
      </c>
      <c r="AO21" s="16">
        <v>-7.9646923927050466</v>
      </c>
      <c r="AP21" s="16">
        <v>-1.4796101109999142</v>
      </c>
      <c r="AQ21" s="16">
        <v>2.8151760250375588</v>
      </c>
      <c r="AR21" s="16">
        <v>-3.3299504834592426</v>
      </c>
      <c r="AS21" s="16">
        <v>-2.860565879764863</v>
      </c>
      <c r="AT21" s="16">
        <v>-0.43918787668596337</v>
      </c>
      <c r="AU21" s="16">
        <v>1.5685346310696104</v>
      </c>
      <c r="AV21" s="16">
        <v>-4.2745881975000373</v>
      </c>
      <c r="AW21" s="16">
        <v>1.0108820458013383</v>
      </c>
      <c r="AX21" s="16">
        <v>-2.7648804937772695</v>
      </c>
      <c r="AY21" s="16">
        <v>1.7067138389191854</v>
      </c>
      <c r="AZ21" s="19">
        <v>-0.27770051717379829</v>
      </c>
      <c r="BA21" s="19">
        <v>0.63715464555005497</v>
      </c>
      <c r="BB21" s="19">
        <v>-1.3276946069600086</v>
      </c>
      <c r="BC21" s="19">
        <v>0.31822181783593351</v>
      </c>
      <c r="BD21" s="19">
        <v>0.41151195973219501</v>
      </c>
      <c r="BE21" s="19">
        <v>0.82408096596731184</v>
      </c>
      <c r="BF21" s="19">
        <v>1.2635993343632634</v>
      </c>
      <c r="BG21" s="19">
        <v>0.81060280131232787</v>
      </c>
      <c r="BH21" s="19">
        <v>-5.9804956121318043</v>
      </c>
      <c r="BI21" s="19">
        <v>-2.2061338298141635</v>
      </c>
      <c r="BJ21" s="19">
        <v>-1.7726464864145441</v>
      </c>
      <c r="BK21" s="19">
        <v>-1.3771396218608771</v>
      </c>
      <c r="BL21" s="19">
        <v>-1.457193032886579</v>
      </c>
      <c r="BM21" s="19">
        <v>-2.5084611684656863</v>
      </c>
      <c r="BN21" s="19">
        <v>0.38116663976546761</v>
      </c>
      <c r="BO21" s="16">
        <v>-0.82462869206707978</v>
      </c>
      <c r="BP21" s="16">
        <v>-7.2845620328791938E-3</v>
      </c>
    </row>
    <row r="22" spans="1:68" x14ac:dyDescent="0.3">
      <c r="A22" s="16" t="s">
        <v>45</v>
      </c>
      <c r="B22" s="16" t="s">
        <v>390</v>
      </c>
      <c r="C22" s="16" t="s">
        <v>604</v>
      </c>
      <c r="D22" s="16" t="s">
        <v>605</v>
      </c>
      <c r="F22" s="16">
        <v>4.6302571341074525</v>
      </c>
      <c r="G22" s="16">
        <v>4.7940345176651817</v>
      </c>
      <c r="H22" s="16">
        <v>3.5743535407998195</v>
      </c>
      <c r="I22" s="16">
        <v>5.9491393563045278</v>
      </c>
      <c r="J22" s="16">
        <v>2.6244446611205063</v>
      </c>
      <c r="K22" s="16">
        <v>2.4614624534384575</v>
      </c>
      <c r="L22" s="16">
        <v>3.2915757417693641</v>
      </c>
      <c r="M22" s="16">
        <v>3.7850443643077796</v>
      </c>
      <c r="N22" s="16">
        <v>6.3282836465599246</v>
      </c>
      <c r="O22" s="16">
        <v>6.247845513244215</v>
      </c>
      <c r="P22" s="16">
        <v>3.7964885702162121</v>
      </c>
      <c r="Q22" s="16">
        <v>4.8840882396575864</v>
      </c>
      <c r="R22" s="16">
        <v>6.0474886986084329</v>
      </c>
      <c r="S22" s="16">
        <v>4.2367774958487701</v>
      </c>
      <c r="T22" s="16">
        <v>-2.2488296459420951</v>
      </c>
      <c r="U22" s="16">
        <v>5.4641400191008529</v>
      </c>
      <c r="V22" s="16">
        <v>0.50197871673982775</v>
      </c>
      <c r="W22" s="16">
        <v>2.7459897901395323</v>
      </c>
      <c r="X22" s="16">
        <v>2.2491275158490964</v>
      </c>
      <c r="Y22" s="16">
        <v>4.3290082750077232</v>
      </c>
      <c r="Z22" s="16">
        <v>-0.27665345547693221</v>
      </c>
      <c r="AA22" s="16">
        <v>0.62232906957062539</v>
      </c>
      <c r="AB22" s="16">
        <v>0.31981226409345709</v>
      </c>
      <c r="AC22" s="16">
        <v>2.4679215624831841</v>
      </c>
      <c r="AD22" s="16">
        <v>1.6215189754227026</v>
      </c>
      <c r="AE22" s="16">
        <v>1.7864696558454511</v>
      </c>
      <c r="AF22" s="16">
        <v>2.2194781156721177</v>
      </c>
      <c r="AG22" s="16">
        <v>4.3907950097802768</v>
      </c>
      <c r="AH22" s="16">
        <v>3.093999125987267</v>
      </c>
      <c r="AI22" s="16">
        <v>2.8302679750892565</v>
      </c>
      <c r="AJ22" s="16">
        <v>1.4553717259308172</v>
      </c>
      <c r="AK22" s="16">
        <v>1.1195658601555607</v>
      </c>
      <c r="AL22" s="16">
        <v>-1.3479997097210088</v>
      </c>
      <c r="AM22" s="16">
        <v>2.9093187690796753</v>
      </c>
      <c r="AN22" s="16">
        <v>2.1705502738405613</v>
      </c>
      <c r="AO22" s="16">
        <v>1.123669018334823</v>
      </c>
      <c r="AP22" s="16">
        <v>3.5427890641204698</v>
      </c>
      <c r="AQ22" s="16">
        <v>1.7443238954726041</v>
      </c>
      <c r="AR22" s="16">
        <v>3.305706513821832</v>
      </c>
      <c r="AS22" s="16">
        <v>3.4654525713040414</v>
      </c>
      <c r="AT22" s="16">
        <v>0.75248290959370934</v>
      </c>
      <c r="AU22" s="16">
        <v>1.2519846063501205</v>
      </c>
      <c r="AV22" s="16">
        <v>0.61587978034486923</v>
      </c>
      <c r="AW22" s="16">
        <v>3.1239289183955918</v>
      </c>
      <c r="AX22" s="16">
        <v>1.7604555940757223</v>
      </c>
      <c r="AY22" s="16">
        <v>1.8781831999730798</v>
      </c>
      <c r="AZ22" s="19">
        <v>2.9183383488137196</v>
      </c>
      <c r="BA22" s="19">
        <v>-0.34345271809542055</v>
      </c>
      <c r="BB22" s="19">
        <v>-2.8059207402515796</v>
      </c>
      <c r="BC22" s="19">
        <v>1.9287641957029962</v>
      </c>
      <c r="BD22" s="19">
        <v>0.38003456979618022</v>
      </c>
      <c r="BE22" s="19">
        <v>0.11640257847660962</v>
      </c>
      <c r="BF22" s="19">
        <v>-1.3148386096446529E-2</v>
      </c>
      <c r="BG22" s="19">
        <v>1.1285957247117153</v>
      </c>
      <c r="BH22" s="19">
        <v>1.4518933675875587</v>
      </c>
      <c r="BI22" s="19">
        <v>0.75526891910284633</v>
      </c>
      <c r="BJ22" s="19">
        <v>1.228866236169182</v>
      </c>
      <c r="BK22" s="19">
        <v>1.3306522272452241</v>
      </c>
      <c r="BL22" s="19">
        <v>1.6897536885610123</v>
      </c>
      <c r="BM22" s="19">
        <v>-5.711729807523767</v>
      </c>
      <c r="BN22" s="19">
        <v>6.4887704127265948</v>
      </c>
      <c r="BO22" s="16">
        <v>2.1365440757733722</v>
      </c>
      <c r="BP22" s="16">
        <v>0.19234204512221709</v>
      </c>
    </row>
    <row r="23" spans="1:68" x14ac:dyDescent="0.3">
      <c r="A23" s="16" t="s">
        <v>47</v>
      </c>
      <c r="B23" s="16" t="s">
        <v>391</v>
      </c>
      <c r="C23" s="16" t="s">
        <v>604</v>
      </c>
      <c r="D23" s="16" t="s">
        <v>605</v>
      </c>
      <c r="F23" s="16">
        <v>1.5673265729585069</v>
      </c>
      <c r="G23" s="16">
        <v>-4.9936766168600002</v>
      </c>
      <c r="H23" s="16">
        <v>2.9522929905285906</v>
      </c>
      <c r="I23" s="16">
        <v>4.7629793885755731</v>
      </c>
      <c r="J23" s="16">
        <v>3.3609014099792915</v>
      </c>
      <c r="K23" s="16">
        <v>1.6147999727593998</v>
      </c>
      <c r="L23" s="16">
        <v>-0.87997955700150499</v>
      </c>
      <c r="M23" s="16">
        <v>1.7850088118808571</v>
      </c>
      <c r="N23" s="16">
        <v>0.79477101832175379</v>
      </c>
      <c r="O23" s="16">
        <v>-5.2561190503155331E-3</v>
      </c>
      <c r="P23" s="16">
        <v>-3.5680234861817439</v>
      </c>
      <c r="Q23" s="16">
        <v>4.1326632756193646</v>
      </c>
      <c r="R23" s="16">
        <v>1.4256052471163656</v>
      </c>
      <c r="S23" s="16">
        <v>1.0261575435210375</v>
      </c>
      <c r="T23" s="16">
        <v>-7.0747817829875714</v>
      </c>
      <c r="U23" s="16">
        <v>-1.4954134722869981</v>
      </c>
      <c r="V23" s="16">
        <v>2.4341542653578898</v>
      </c>
      <c r="W23" s="16">
        <v>-1.2637656758497968</v>
      </c>
      <c r="X23" s="16">
        <v>3.8107810265686908</v>
      </c>
      <c r="Y23" s="16">
        <v>3.9535617989197505</v>
      </c>
      <c r="Z23" s="16">
        <v>6.9517786156954315</v>
      </c>
      <c r="AA23" s="16">
        <v>-0.60969340244005821</v>
      </c>
      <c r="AB23" s="16">
        <v>-7.0338402014320565</v>
      </c>
      <c r="AC23" s="16">
        <v>4.8741650901066009</v>
      </c>
      <c r="AD23" s="16">
        <v>4.4529426630893596</v>
      </c>
      <c r="AE23" s="16">
        <v>-0.78822801702936829</v>
      </c>
      <c r="AF23" s="16">
        <v>-4.3865474027953866</v>
      </c>
      <c r="AG23" s="16">
        <v>0.34828245635615929</v>
      </c>
      <c r="AH23" s="16">
        <v>-5.742503605332999</v>
      </c>
      <c r="AI23" s="16">
        <v>5.7124455942041692</v>
      </c>
      <c r="AJ23" s="16">
        <v>1.0825711766903225</v>
      </c>
      <c r="AK23" s="16">
        <v>-0.14985961996099206</v>
      </c>
      <c r="AL23" s="16">
        <v>1.2288834878884387</v>
      </c>
      <c r="AM23" s="16">
        <v>-1.7207245294536477</v>
      </c>
      <c r="AN23" s="16">
        <v>3.8859423913526285</v>
      </c>
      <c r="AO23" s="16">
        <v>1.67829882726042</v>
      </c>
      <c r="AP23" s="16">
        <v>2.7024477156425206</v>
      </c>
      <c r="AQ23" s="16">
        <v>0.84800005009073232</v>
      </c>
      <c r="AR23" s="16">
        <v>2.1695937330679556</v>
      </c>
      <c r="AS23" s="16">
        <v>2.6896473790017694</v>
      </c>
      <c r="AT23" s="16">
        <v>2.2073649238800499</v>
      </c>
      <c r="AU23" s="16">
        <v>1.5489592476095311</v>
      </c>
      <c r="AV23" s="16">
        <v>0.37202480236229007</v>
      </c>
      <c r="AW23" s="16">
        <v>1.3165120375806794</v>
      </c>
      <c r="AX23" s="16">
        <v>-1.4678138210441602</v>
      </c>
      <c r="AY23" s="16">
        <v>0.81141015679833117</v>
      </c>
      <c r="AZ23" s="19">
        <v>2.9820533185392719</v>
      </c>
      <c r="BA23" s="19">
        <v>1.8496250694941807</v>
      </c>
      <c r="BB23" s="19">
        <v>-0.64843689101040525</v>
      </c>
      <c r="BC23" s="19">
        <v>-0.83935582390523678</v>
      </c>
      <c r="BD23" s="19">
        <v>-7.4281916885610144E-3</v>
      </c>
      <c r="BE23" s="19">
        <v>1.8000644925315612</v>
      </c>
      <c r="BF23" s="19">
        <v>4.1276062345628759</v>
      </c>
      <c r="BG23" s="19">
        <v>3.2905049991402251</v>
      </c>
      <c r="BH23" s="19">
        <v>-1.1816848360066814</v>
      </c>
      <c r="BI23" s="19">
        <v>0.33585224805771929</v>
      </c>
      <c r="BJ23" s="19">
        <v>2.6035565269206131</v>
      </c>
      <c r="BK23" s="19">
        <v>3.6242625450376096</v>
      </c>
      <c r="BL23" s="19">
        <v>3.8245068777058577</v>
      </c>
      <c r="BM23" s="19">
        <v>0.9519378608852378</v>
      </c>
      <c r="BN23" s="19">
        <v>4.2387089591678091</v>
      </c>
      <c r="BO23" s="16">
        <v>3.4206794554873881</v>
      </c>
      <c r="BP23" s="16">
        <v>3.5610424752024841</v>
      </c>
    </row>
    <row r="24" spans="1:68" x14ac:dyDescent="0.3">
      <c r="A24" s="16" t="s">
        <v>57</v>
      </c>
      <c r="B24" s="16" t="s">
        <v>392</v>
      </c>
      <c r="C24" s="16" t="s">
        <v>604</v>
      </c>
      <c r="D24" s="16" t="s">
        <v>605</v>
      </c>
      <c r="F24" s="16">
        <v>2.5522730524549502</v>
      </c>
      <c r="G24" s="16">
        <v>4.5843538885561372</v>
      </c>
      <c r="H24" s="16">
        <v>-2.733075015993677</v>
      </c>
      <c r="I24" s="16">
        <v>0.72241569422801888</v>
      </c>
      <c r="J24" s="16">
        <v>2.1185732135168536</v>
      </c>
      <c r="K24" s="16">
        <v>-1.0898438152396608</v>
      </c>
      <c r="L24" s="16">
        <v>7.0305702702893456</v>
      </c>
      <c r="M24" s="16">
        <v>1.3313074598791275</v>
      </c>
      <c r="N24" s="16">
        <v>0.2942217083889318</v>
      </c>
      <c r="O24" s="16">
        <v>-1.5942590726983497</v>
      </c>
      <c r="P24" s="16">
        <v>-0.29459874251982399</v>
      </c>
      <c r="Q24" s="16">
        <v>0.59334856485047283</v>
      </c>
      <c r="R24" s="16">
        <v>-1.2927828021830265</v>
      </c>
      <c r="S24" s="16">
        <v>6.299980300886503</v>
      </c>
      <c r="T24" s="16">
        <v>0.9797908145087888</v>
      </c>
      <c r="U24" s="16">
        <v>6.2616182204632338</v>
      </c>
      <c r="V24" s="16">
        <v>-1.9260090850611533</v>
      </c>
      <c r="W24" s="16">
        <v>2.0440679217442721</v>
      </c>
      <c r="X24" s="16">
        <v>1.0206122492513146</v>
      </c>
      <c r="Y24" s="16">
        <v>-1.8641248659054241</v>
      </c>
      <c r="Z24" s="16">
        <v>1.4634998813042301</v>
      </c>
      <c r="AA24" s="16">
        <v>6.5980626039546593</v>
      </c>
      <c r="AB24" s="16">
        <v>-2.4436347654499997</v>
      </c>
      <c r="AC24" s="16">
        <v>-4.5700834312691399</v>
      </c>
      <c r="AD24" s="16">
        <v>5.4205097778697677</v>
      </c>
      <c r="AE24" s="16">
        <v>4.9480953917264969</v>
      </c>
      <c r="AF24" s="16">
        <v>-2.9231444186842452</v>
      </c>
      <c r="AG24" s="16">
        <v>3.0025674276016616</v>
      </c>
      <c r="AH24" s="16">
        <v>-0.508371835133687</v>
      </c>
      <c r="AI24" s="16">
        <v>-3.1732279441527567</v>
      </c>
      <c r="AJ24" s="16">
        <v>6.3481682941470865</v>
      </c>
      <c r="AK24" s="16">
        <v>-2.2055141447669939</v>
      </c>
      <c r="AL24" s="16">
        <v>0.9219740416166502</v>
      </c>
      <c r="AM24" s="16">
        <v>-1.2068200248774303</v>
      </c>
      <c r="AN24" s="16">
        <v>3.0410404951730214</v>
      </c>
      <c r="AO24" s="16">
        <v>8.2141149792888086</v>
      </c>
      <c r="AP24" s="16">
        <v>3.6227263863073347</v>
      </c>
      <c r="AQ24" s="16">
        <v>4.398136184689605</v>
      </c>
      <c r="AR24" s="16">
        <v>4.299232006918146</v>
      </c>
      <c r="AS24" s="16">
        <v>-1.1068508280879144</v>
      </c>
      <c r="AT24" s="16">
        <v>3.4203728146196397</v>
      </c>
      <c r="AU24" s="16">
        <v>1.1931569551422996</v>
      </c>
      <c r="AV24" s="16">
        <v>4.5071633107784521</v>
      </c>
      <c r="AW24" s="16">
        <v>1.250803724152135</v>
      </c>
      <c r="AX24" s="16">
        <v>5.29343297349088</v>
      </c>
      <c r="AY24" s="16">
        <v>2.9866921336638939</v>
      </c>
      <c r="AZ24" s="19">
        <v>1.0013026274653782</v>
      </c>
      <c r="BA24" s="19">
        <v>2.7310856339255025</v>
      </c>
      <c r="BB24" s="19">
        <v>-1.2474271014013993E-2</v>
      </c>
      <c r="BC24" s="19">
        <v>5.3051445552425349</v>
      </c>
      <c r="BD24" s="19">
        <v>3.5027065941213067</v>
      </c>
      <c r="BE24" s="19">
        <v>3.2735914956890042</v>
      </c>
      <c r="BF24" s="19">
        <v>2.6572953305616664</v>
      </c>
      <c r="BG24" s="19">
        <v>1.2639963853762453</v>
      </c>
      <c r="BH24" s="19">
        <v>0.87778560482701096</v>
      </c>
      <c r="BI24" s="19">
        <v>2.8934983269067942</v>
      </c>
      <c r="BJ24" s="19">
        <v>3.2032568361281619</v>
      </c>
      <c r="BK24" s="19">
        <v>3.6935133275967331</v>
      </c>
      <c r="BL24" s="19">
        <v>3.0644536044552666</v>
      </c>
      <c r="BM24" s="19">
        <v>-0.69553398680940859</v>
      </c>
      <c r="BN24" s="19">
        <v>4.1420956597542897</v>
      </c>
      <c r="BO24" s="16">
        <v>-0.7945198731775065</v>
      </c>
      <c r="BP24" s="16">
        <v>0.40195785761318348</v>
      </c>
    </row>
    <row r="25" spans="1:68" x14ac:dyDescent="0.3">
      <c r="A25" s="16" t="s">
        <v>42</v>
      </c>
      <c r="B25" s="16" t="s">
        <v>393</v>
      </c>
      <c r="C25" s="16" t="s">
        <v>604</v>
      </c>
      <c r="D25" s="16" t="s">
        <v>605</v>
      </c>
      <c r="F25" s="16">
        <v>3.0198016592358101</v>
      </c>
      <c r="G25" s="16">
        <v>2.3386693159363858</v>
      </c>
      <c r="H25" s="16">
        <v>-3.4054139172675804</v>
      </c>
      <c r="I25" s="16">
        <v>7.6689263690343523</v>
      </c>
      <c r="J25" s="16">
        <v>-1.3910209782758756</v>
      </c>
      <c r="K25" s="16">
        <v>-0.43725174734548489</v>
      </c>
      <c r="L25" s="16">
        <v>-4.7818174584469944</v>
      </c>
      <c r="M25" s="16">
        <v>6.2538824204945769</v>
      </c>
      <c r="N25" s="16">
        <v>-1.6547915397514146</v>
      </c>
      <c r="O25" s="16">
        <v>3.0006146402174068</v>
      </c>
      <c r="P25" s="16">
        <v>-6.6328466478898775</v>
      </c>
      <c r="Q25" s="16">
        <v>-15.177658756412583</v>
      </c>
      <c r="R25" s="16">
        <v>0.71422859876338407</v>
      </c>
      <c r="S25" s="16">
        <v>6.8832649795381542</v>
      </c>
      <c r="T25" s="16">
        <v>-6.3383917777689476</v>
      </c>
      <c r="U25" s="16">
        <v>3.3376782912375944</v>
      </c>
      <c r="V25" s="16">
        <v>0.36342767912751128</v>
      </c>
      <c r="W25" s="16">
        <v>4.5715414744837943</v>
      </c>
      <c r="X25" s="16">
        <v>2.3698120152385371</v>
      </c>
      <c r="Y25" s="16">
        <v>-1.6092860990591902</v>
      </c>
      <c r="Z25" s="16">
        <v>4.4644748013542284</v>
      </c>
      <c r="AA25" s="16">
        <v>-0.63426257384350038</v>
      </c>
      <c r="AB25" s="16">
        <v>1.0398448121431159</v>
      </c>
      <c r="AC25" s="16">
        <v>2.0147013364915267</v>
      </c>
      <c r="AD25" s="16">
        <v>0.73059040918212759</v>
      </c>
      <c r="AE25" s="16">
        <v>1.7218512648012734</v>
      </c>
      <c r="AF25" s="16">
        <v>1.4814323556054489</v>
      </c>
      <c r="AG25" s="16">
        <v>0.22351573502893984</v>
      </c>
      <c r="AH25" s="16">
        <v>0.67498072899805095</v>
      </c>
      <c r="AI25" s="16">
        <v>3.400369596039468</v>
      </c>
      <c r="AJ25" s="16">
        <v>1.5004707190381623</v>
      </c>
      <c r="AK25" s="16">
        <v>3.5197285481000335</v>
      </c>
      <c r="AL25" s="16">
        <v>2.7297061348707103</v>
      </c>
      <c r="AM25" s="16">
        <v>1.9167072996689285</v>
      </c>
      <c r="AN25" s="16">
        <v>3.1771855032285572</v>
      </c>
      <c r="AO25" s="16">
        <v>2.7062498167405238</v>
      </c>
      <c r="AP25" s="16">
        <v>2.6384871514969745</v>
      </c>
      <c r="AQ25" s="16">
        <v>3.2221498588485673</v>
      </c>
      <c r="AR25" s="16">
        <v>2.6847171047829477</v>
      </c>
      <c r="AS25" s="16">
        <v>3.3059009346319499</v>
      </c>
      <c r="AT25" s="16">
        <v>3.1004366918193256</v>
      </c>
      <c r="AU25" s="16">
        <v>1.9216894198361985</v>
      </c>
      <c r="AV25" s="16">
        <v>2.9261345429623162</v>
      </c>
      <c r="AW25" s="16">
        <v>3.5057432399859323</v>
      </c>
      <c r="AX25" s="16">
        <v>4.9309682028053885</v>
      </c>
      <c r="AY25" s="16">
        <v>5.388330721005957</v>
      </c>
      <c r="AZ25" s="19">
        <v>5.9391815120126523</v>
      </c>
      <c r="BA25" s="19">
        <v>5.0767302463891326</v>
      </c>
      <c r="BB25" s="19">
        <v>4.1246858122890444</v>
      </c>
      <c r="BC25" s="19">
        <v>4.3734846638358533</v>
      </c>
      <c r="BD25" s="19">
        <v>5.1745208767040936</v>
      </c>
      <c r="BE25" s="19">
        <v>5.2049911186146716</v>
      </c>
      <c r="BF25" s="19">
        <v>4.6787219182313748</v>
      </c>
      <c r="BG25" s="19">
        <v>4.7477792265044059</v>
      </c>
      <c r="BH25" s="19">
        <v>5.2910608076876713</v>
      </c>
      <c r="BI25" s="19">
        <v>5.8032103970802922</v>
      </c>
      <c r="BJ25" s="19">
        <v>5.2664551128306414</v>
      </c>
      <c r="BK25" s="19">
        <v>6.0802377688242188</v>
      </c>
      <c r="BL25" s="19">
        <v>6.6876627268888313</v>
      </c>
      <c r="BM25" s="19">
        <v>2.2711012940570328</v>
      </c>
      <c r="BN25" s="19">
        <v>5.7166490872249511</v>
      </c>
      <c r="BO25" s="16">
        <v>5.9548448412891446</v>
      </c>
      <c r="BP25" s="16">
        <v>4.6938743086613925</v>
      </c>
    </row>
    <row r="26" spans="1:68" x14ac:dyDescent="0.3">
      <c r="A26" s="16" t="s">
        <v>56</v>
      </c>
      <c r="B26" s="16" t="s">
        <v>394</v>
      </c>
      <c r="C26" s="16" t="s">
        <v>604</v>
      </c>
      <c r="D26" s="16" t="s">
        <v>605</v>
      </c>
      <c r="Z26" s="16">
        <v>4.5511442294511255</v>
      </c>
      <c r="AA26" s="16">
        <v>2.0322941641451422</v>
      </c>
      <c r="AB26" s="16">
        <v>3.1725208819083548</v>
      </c>
      <c r="AC26" s="16">
        <v>3.1548073657987175</v>
      </c>
      <c r="AD26" s="16">
        <v>2.6849533954787859</v>
      </c>
      <c r="AE26" s="16">
        <v>4.2352412682820813</v>
      </c>
      <c r="AF26" s="16">
        <v>5.8986124944203198</v>
      </c>
      <c r="AG26" s="16">
        <v>10.820090846544844</v>
      </c>
      <c r="AH26" s="16">
        <v>-2.1516907051585861</v>
      </c>
      <c r="AI26" s="16">
        <v>-7.4632076536531997</v>
      </c>
      <c r="AJ26" s="16">
        <v>-7.534068849206605</v>
      </c>
      <c r="AK26" s="16">
        <v>-6.2712638648104786</v>
      </c>
      <c r="AL26" s="16">
        <v>-0.69121355765055625</v>
      </c>
      <c r="AM26" s="16">
        <v>2.1643588682235873</v>
      </c>
      <c r="AN26" s="16">
        <v>3.3211867662132306</v>
      </c>
      <c r="AO26" s="16">
        <v>5.7493699987213347</v>
      </c>
      <c r="AP26" s="16">
        <v>-13.590922650635576</v>
      </c>
      <c r="AQ26" s="16">
        <v>4.4840249507254129</v>
      </c>
      <c r="AR26" s="16">
        <v>-7.8810745182813804</v>
      </c>
      <c r="AS26" s="16">
        <v>5.105057144383025</v>
      </c>
      <c r="AT26" s="16">
        <v>5.9111599059956461</v>
      </c>
      <c r="AU26" s="16">
        <v>8.1952148307681227</v>
      </c>
      <c r="AV26" s="16">
        <v>6.0740623588927463</v>
      </c>
      <c r="AW26" s="16">
        <v>7.3174048138614722</v>
      </c>
      <c r="AX26" s="16">
        <v>7.8655023126151775</v>
      </c>
      <c r="AY26" s="16">
        <v>7.6168498513710716</v>
      </c>
      <c r="AZ26" s="19">
        <v>7.4414886031963619</v>
      </c>
      <c r="BA26" s="19">
        <v>6.8771268799311827</v>
      </c>
      <c r="BB26" s="19">
        <v>-2.7224155764344431</v>
      </c>
      <c r="BC26" s="19">
        <v>2.2260786772168046</v>
      </c>
      <c r="BD26" s="19">
        <v>2.7469107653366791</v>
      </c>
      <c r="BE26" s="19">
        <v>1.3340660003801901</v>
      </c>
      <c r="BF26" s="19">
        <v>1.541884674132632E-2</v>
      </c>
      <c r="BG26" s="19">
        <v>1.5248681107659507</v>
      </c>
      <c r="BH26" s="19">
        <v>4.0594114079006545</v>
      </c>
      <c r="BI26" s="19">
        <v>3.7517787845785335</v>
      </c>
      <c r="BJ26" s="19">
        <v>3.4991755485791032</v>
      </c>
      <c r="BK26" s="19">
        <v>3.4391300631909445</v>
      </c>
      <c r="BL26" s="19">
        <v>4.7700819526402114</v>
      </c>
      <c r="BM26" s="19">
        <v>-3.3879876659231627</v>
      </c>
      <c r="BN26" s="19">
        <v>8.5426099918781659</v>
      </c>
      <c r="BO26" s="16">
        <v>10.559716540161261</v>
      </c>
      <c r="BP26" s="16">
        <v>2.3964076105220187</v>
      </c>
    </row>
    <row r="27" spans="1:68" x14ac:dyDescent="0.3">
      <c r="A27" s="16" t="s">
        <v>41</v>
      </c>
      <c r="B27" s="16" t="s">
        <v>395</v>
      </c>
      <c r="C27" s="16" t="s">
        <v>604</v>
      </c>
      <c r="D27" s="16" t="s">
        <v>605</v>
      </c>
      <c r="P27" s="16">
        <v>-2.1040656023162114</v>
      </c>
      <c r="Q27" s="16">
        <v>5.5212628514302935</v>
      </c>
      <c r="R27" s="16">
        <v>7.9360151613291094</v>
      </c>
      <c r="S27" s="16">
        <v>2.8627717619975215</v>
      </c>
      <c r="T27" s="16">
        <v>-13.467650924199731</v>
      </c>
      <c r="U27" s="16">
        <v>23.98474895248151</v>
      </c>
      <c r="V27" s="16">
        <v>7.5365962771813315</v>
      </c>
      <c r="W27" s="16">
        <v>-1.0262057857152911</v>
      </c>
      <c r="X27" s="16">
        <v>-1.241653611289891</v>
      </c>
      <c r="Y27" s="16">
        <v>-1.917359349150999</v>
      </c>
      <c r="Z27" s="16">
        <v>-9.0382531241535133</v>
      </c>
      <c r="AA27" s="16">
        <v>-10.768440377529217</v>
      </c>
      <c r="AB27" s="16">
        <v>2.7614848039548008</v>
      </c>
      <c r="AC27" s="16">
        <v>1.3855254365397371</v>
      </c>
      <c r="AD27" s="16">
        <v>-8.0818349622298342</v>
      </c>
      <c r="AE27" s="16">
        <v>-2.3728265416493315</v>
      </c>
      <c r="AF27" s="16">
        <v>6.5257625528602432</v>
      </c>
      <c r="AG27" s="16">
        <v>3.2870463132911141</v>
      </c>
      <c r="AH27" s="16">
        <v>-3.0483959833281915</v>
      </c>
      <c r="AI27" s="16">
        <v>0.99271275685764238</v>
      </c>
      <c r="AJ27" s="16">
        <v>7.4912049695215757</v>
      </c>
      <c r="AK27" s="16">
        <v>3.0234737234765134</v>
      </c>
      <c r="AL27" s="16">
        <v>9.0762304435264127</v>
      </c>
      <c r="AM27" s="16">
        <v>-3.5285722502737258</v>
      </c>
      <c r="AN27" s="16">
        <v>0.593021767804359</v>
      </c>
      <c r="AO27" s="16">
        <v>0.84860908180348815</v>
      </c>
      <c r="AP27" s="16">
        <v>-4.8396791119458271E-2</v>
      </c>
      <c r="AQ27" s="16">
        <v>1.6982735498999375</v>
      </c>
      <c r="AR27" s="16">
        <v>1.339020825290163</v>
      </c>
      <c r="AS27" s="16">
        <v>2.4421574605878931</v>
      </c>
      <c r="AT27" s="16">
        <v>-0.14972112001109394</v>
      </c>
      <c r="AU27" s="16">
        <v>0.85337710018487201</v>
      </c>
      <c r="AV27" s="16">
        <v>2.2082433637054635</v>
      </c>
      <c r="AW27" s="16">
        <v>-0.10381597925231745</v>
      </c>
      <c r="AX27" s="16">
        <v>-1.3364495952026942</v>
      </c>
      <c r="AY27" s="16">
        <v>-1.1053530223242092</v>
      </c>
      <c r="AZ27" s="19">
        <v>1.0554005156669888</v>
      </c>
      <c r="BA27" s="19">
        <v>-0.43497049858164871</v>
      </c>
      <c r="BB27" s="19">
        <v>-3.4684344610000579</v>
      </c>
      <c r="BC27" s="19">
        <v>1.39489073188075</v>
      </c>
      <c r="BD27" s="19">
        <v>2.1154456987907224</v>
      </c>
      <c r="BE27" s="19">
        <v>2.6389513943689167</v>
      </c>
      <c r="BF27" s="19">
        <v>2.3475958827441303</v>
      </c>
      <c r="BG27" s="19">
        <v>0.41389413903054617</v>
      </c>
      <c r="BH27" s="19">
        <v>-0.98885529990906207</v>
      </c>
      <c r="BI27" s="19">
        <v>-1.4526319313944214E-2</v>
      </c>
      <c r="BJ27" s="19">
        <v>0.45023218838487367</v>
      </c>
      <c r="BK27" s="19">
        <v>0.19145763348838329</v>
      </c>
      <c r="BL27" s="19">
        <v>1.6987241435001437</v>
      </c>
      <c r="BM27" s="19">
        <v>-3.5655986053501465</v>
      </c>
      <c r="BN27" s="19">
        <v>3.5862590018989096</v>
      </c>
      <c r="BO27" s="16">
        <v>4.2525612795754739</v>
      </c>
      <c r="BP27" s="16">
        <v>1.5655880647954348</v>
      </c>
    </row>
    <row r="28" spans="1:68" x14ac:dyDescent="0.3">
      <c r="A28" s="16" t="s">
        <v>397</v>
      </c>
      <c r="B28" s="16" t="s">
        <v>396</v>
      </c>
      <c r="C28" s="16" t="s">
        <v>604</v>
      </c>
      <c r="D28" s="16" t="s">
        <v>605</v>
      </c>
      <c r="F28" s="16">
        <v>5.405126232599855</v>
      </c>
      <c r="G28" s="16">
        <v>5.1272257889568351</v>
      </c>
      <c r="H28" s="16">
        <v>5.2461251386360459</v>
      </c>
      <c r="I28" s="16">
        <v>5.6080799213156496</v>
      </c>
      <c r="J28" s="16">
        <v>5.802707708879467</v>
      </c>
      <c r="K28" s="16">
        <v>4.4055417997122817</v>
      </c>
      <c r="L28" s="16">
        <v>4.8358400258361627</v>
      </c>
      <c r="M28" s="16">
        <v>3.6650090103161403</v>
      </c>
      <c r="N28" s="16">
        <v>4.3831657259556778</v>
      </c>
      <c r="O28" s="16">
        <v>-9.0122130209905293</v>
      </c>
      <c r="P28" s="16">
        <v>-1.2971784958647277</v>
      </c>
      <c r="Q28" s="16">
        <v>-5.9183065568166739</v>
      </c>
      <c r="R28" s="16">
        <v>5.1323870654778432</v>
      </c>
      <c r="S28" s="16">
        <v>-18.523812579816294</v>
      </c>
      <c r="T28" s="16">
        <v>-16.5392973149347</v>
      </c>
      <c r="U28" s="16">
        <v>3.0339760452978197</v>
      </c>
      <c r="V28" s="16">
        <v>6.8539727203325214</v>
      </c>
      <c r="W28" s="16">
        <v>11.799452565593953</v>
      </c>
      <c r="X28" s="16">
        <v>23.604161854112292</v>
      </c>
      <c r="Y28" s="16">
        <v>4.4363122153203705</v>
      </c>
      <c r="Z28" s="16">
        <v>-10.900465833101137</v>
      </c>
      <c r="AA28" s="16">
        <v>4.7591016212022339</v>
      </c>
      <c r="AB28" s="16">
        <v>1.666424520229242</v>
      </c>
      <c r="AC28" s="16">
        <v>12.002916531490655</v>
      </c>
      <c r="AD28" s="16">
        <v>2.7964057640526647</v>
      </c>
      <c r="AE28" s="16">
        <v>-0.17924255220100349</v>
      </c>
      <c r="AF28" s="16">
        <v>1.0450335639776682</v>
      </c>
      <c r="AG28" s="16">
        <v>0.41083521293496972</v>
      </c>
      <c r="AH28" s="16">
        <v>4.7008640567336215</v>
      </c>
      <c r="AI28" s="16">
        <v>-3.4815887411839981</v>
      </c>
      <c r="AJ28" s="16">
        <v>-6.0488063666649339</v>
      </c>
      <c r="AK28" s="16">
        <v>-5.843050922473509</v>
      </c>
      <c r="AL28" s="16">
        <v>-1.8472357778999395</v>
      </c>
      <c r="AM28" s="16">
        <v>1.1024065625021819</v>
      </c>
      <c r="AN28" s="16">
        <v>2.4424309539597004</v>
      </c>
      <c r="AO28" s="16">
        <v>2.3850334799147959</v>
      </c>
      <c r="AP28" s="16">
        <v>-0.42273955910732752</v>
      </c>
      <c r="AQ28" s="16">
        <v>2.9813572837856555</v>
      </c>
      <c r="AR28" s="16">
        <v>5.5135512439048284</v>
      </c>
      <c r="AS28" s="16">
        <v>2.6288792127887177</v>
      </c>
      <c r="AT28" s="16">
        <v>1.1901062351231673</v>
      </c>
      <c r="AU28" s="16">
        <v>1.3593448781022062</v>
      </c>
      <c r="AV28" s="16">
        <v>-2.5740337961495925</v>
      </c>
      <c r="AW28" s="16">
        <v>-0.46992270582263984</v>
      </c>
      <c r="AX28" s="16">
        <v>1.9943966542443263</v>
      </c>
      <c r="AY28" s="16">
        <v>1.1038292524489606</v>
      </c>
      <c r="AZ28" s="19">
        <v>2.7364578941458717E-2</v>
      </c>
      <c r="BA28" s="19">
        <v>-3.7045436424270122</v>
      </c>
      <c r="BB28" s="19">
        <v>-5.5454030809039665</v>
      </c>
      <c r="BC28" s="19">
        <v>0.12006123940469138</v>
      </c>
      <c r="BD28" s="19">
        <v>-0.63214851983762799</v>
      </c>
      <c r="BE28" s="19">
        <v>1.8896393950684569</v>
      </c>
      <c r="BF28" s="19">
        <v>-3.7672988412766841</v>
      </c>
      <c r="BG28" s="19">
        <v>0.93617867579638414</v>
      </c>
      <c r="BH28" s="19">
        <v>7.9627995373272142E-2</v>
      </c>
      <c r="BI28" s="19">
        <v>-1.7820238876750381</v>
      </c>
      <c r="BJ28" s="19">
        <v>2.0152929495595799</v>
      </c>
      <c r="BK28" s="19">
        <v>1.8929268334212423</v>
      </c>
      <c r="BL28" s="19">
        <v>-2.003655927853174</v>
      </c>
      <c r="BM28" s="19">
        <v>-21.793466071455441</v>
      </c>
      <c r="BN28" s="19">
        <v>14.997164429850685</v>
      </c>
      <c r="BO28" s="16">
        <v>10.220515621147428</v>
      </c>
      <c r="BP28" s="16">
        <v>1.9826105845098994</v>
      </c>
    </row>
    <row r="29" spans="1:68" x14ac:dyDescent="0.3">
      <c r="A29" s="16" t="s">
        <v>51</v>
      </c>
      <c r="B29" s="16" t="s">
        <v>398</v>
      </c>
      <c r="C29" s="16" t="s">
        <v>604</v>
      </c>
      <c r="D29" s="16" t="s">
        <v>605</v>
      </c>
      <c r="AJ29" s="16">
        <v>-9.5106288608405691</v>
      </c>
      <c r="AK29" s="16">
        <v>-1.4771379761038617</v>
      </c>
      <c r="AL29" s="16">
        <v>6.0735881858822438</v>
      </c>
      <c r="AM29" s="16">
        <v>16.46804730139921</v>
      </c>
      <c r="AN29" s="16">
        <v>16.333256031782057</v>
      </c>
      <c r="AO29" s="16">
        <v>47.995263428468547</v>
      </c>
      <c r="AP29" s="16">
        <v>31.915204802320233</v>
      </c>
      <c r="AQ29" s="16">
        <v>14.708852689953773</v>
      </c>
      <c r="AR29" s="16">
        <v>8.5206365996274798</v>
      </c>
      <c r="AS29" s="16">
        <v>4.7500520272898399</v>
      </c>
      <c r="AT29" s="16">
        <v>2.0428636041308437</v>
      </c>
      <c r="AU29" s="16">
        <v>4.9404385430638058</v>
      </c>
      <c r="AV29" s="16">
        <v>4.2309183322262243</v>
      </c>
      <c r="AW29" s="16">
        <v>7.374875474866343</v>
      </c>
      <c r="AX29" s="16">
        <v>5.1295162044492599</v>
      </c>
      <c r="AY29" s="16">
        <v>6.3546308722615805</v>
      </c>
      <c r="AZ29" s="19">
        <v>7.1832867108151817</v>
      </c>
      <c r="BA29" s="19">
        <v>7.1680927869293214</v>
      </c>
      <c r="BB29" s="19">
        <v>-1.3625291674916582</v>
      </c>
      <c r="BC29" s="19">
        <v>2.629970489761547</v>
      </c>
      <c r="BD29" s="19">
        <v>2.7921414149466557</v>
      </c>
      <c r="BE29" s="19">
        <v>1.0343392850664657</v>
      </c>
      <c r="BF29" s="19">
        <v>3.9572961290077444</v>
      </c>
      <c r="BG29" s="19">
        <v>2.4707522798610881</v>
      </c>
      <c r="BH29" s="19">
        <v>5.6983035145196368</v>
      </c>
      <c r="BI29" s="19">
        <v>4.5276131121432002</v>
      </c>
      <c r="BJ29" s="19">
        <v>4.4733864067052309</v>
      </c>
      <c r="BK29" s="19">
        <v>5.0458381459326489</v>
      </c>
      <c r="BL29" s="19">
        <v>4.0941157503269636</v>
      </c>
      <c r="BM29" s="19">
        <v>-1.7787038867086835</v>
      </c>
      <c r="BN29" s="19">
        <v>8.9482766160143399</v>
      </c>
      <c r="BO29" s="16">
        <v>5.4328797382818834</v>
      </c>
      <c r="BP29" s="16">
        <v>2.3943875772482954</v>
      </c>
    </row>
    <row r="30" spans="1:68" x14ac:dyDescent="0.3">
      <c r="A30" s="16" t="s">
        <v>44</v>
      </c>
      <c r="B30" s="16" t="s">
        <v>399</v>
      </c>
      <c r="C30" s="16" t="s">
        <v>604</v>
      </c>
      <c r="D30" s="16" t="s">
        <v>605</v>
      </c>
      <c r="AJ30" s="16">
        <v>-1.2455670756386752</v>
      </c>
      <c r="AK30" s="16">
        <v>-9.7983837027585992</v>
      </c>
      <c r="AL30" s="16">
        <v>-7.8037700179743581</v>
      </c>
      <c r="AM30" s="16">
        <v>-11.595575053538226</v>
      </c>
      <c r="AN30" s="16">
        <v>-10.108852835102809</v>
      </c>
      <c r="AO30" s="16">
        <v>3.1466860428502486</v>
      </c>
      <c r="AP30" s="16">
        <v>11.863952254655558</v>
      </c>
      <c r="AQ30" s="16">
        <v>8.8893644285111577</v>
      </c>
      <c r="AR30" s="16">
        <v>3.8663787325278349</v>
      </c>
      <c r="AS30" s="16">
        <v>6.2996363683710115</v>
      </c>
      <c r="AT30" s="16">
        <v>5.2638921870102706</v>
      </c>
      <c r="AU30" s="16">
        <v>5.7160824361651095</v>
      </c>
      <c r="AV30" s="16">
        <v>7.7949178650823114</v>
      </c>
      <c r="AW30" s="16">
        <v>12.212618273779839</v>
      </c>
      <c r="AX30" s="16">
        <v>10.149767237988087</v>
      </c>
      <c r="AY30" s="16">
        <v>10.675586708179623</v>
      </c>
      <c r="AZ30" s="19">
        <v>9.099460041594682</v>
      </c>
      <c r="BA30" s="19">
        <v>10.581305025009996</v>
      </c>
      <c r="BB30" s="19">
        <v>0.446705735139588</v>
      </c>
      <c r="BC30" s="19">
        <v>8.0340881465819507</v>
      </c>
      <c r="BD30" s="19">
        <v>5.6258812410737278</v>
      </c>
      <c r="BE30" s="19">
        <v>1.8465202654741404</v>
      </c>
      <c r="BF30" s="19">
        <v>1.0422433439175336</v>
      </c>
      <c r="BG30" s="19">
        <v>1.6691051620507409</v>
      </c>
      <c r="BH30" s="19">
        <v>-3.9573436434146601</v>
      </c>
      <c r="BI30" s="19">
        <v>-2.6112993178811621</v>
      </c>
      <c r="BJ30" s="19">
        <v>2.6442470875854838</v>
      </c>
      <c r="BK30" s="19">
        <v>3.3704343700900807</v>
      </c>
      <c r="BL30" s="19">
        <v>1.6511181957527867</v>
      </c>
      <c r="BM30" s="19">
        <v>-0.25138657609306847</v>
      </c>
      <c r="BN30" s="19">
        <v>3.29082150587152</v>
      </c>
      <c r="BO30" s="16">
        <v>-3.8883878390116706</v>
      </c>
      <c r="BP30" s="16">
        <v>4.4496069351066154</v>
      </c>
    </row>
    <row r="31" spans="1:68" x14ac:dyDescent="0.3">
      <c r="A31" s="16" t="s">
        <v>46</v>
      </c>
      <c r="B31" s="16" t="s">
        <v>400</v>
      </c>
      <c r="C31" s="16" t="s">
        <v>604</v>
      </c>
      <c r="D31" s="16" t="s">
        <v>605</v>
      </c>
      <c r="F31" s="16">
        <v>2.2586987067707724</v>
      </c>
      <c r="G31" s="16">
        <v>2.2416558247065268</v>
      </c>
      <c r="H31" s="16">
        <v>2.1175931332626305</v>
      </c>
      <c r="I31" s="16">
        <v>1.9975840870107646</v>
      </c>
      <c r="J31" s="16">
        <v>1.8618345897030792</v>
      </c>
      <c r="K31" s="16">
        <v>1.6450358123341005</v>
      </c>
      <c r="L31" s="16">
        <v>1.759448484796593</v>
      </c>
      <c r="M31" s="16">
        <v>4.1749615101773969</v>
      </c>
      <c r="N31" s="16">
        <v>2.1527740096977794</v>
      </c>
      <c r="O31" s="16">
        <v>2.4151601047899049</v>
      </c>
      <c r="P31" s="16">
        <v>2.1132026223403813</v>
      </c>
      <c r="Q31" s="16">
        <v>8.48818300776135</v>
      </c>
      <c r="R31" s="16">
        <v>3.839808994228548</v>
      </c>
      <c r="S31" s="16">
        <v>12.019305851910616</v>
      </c>
      <c r="T31" s="16">
        <v>1.8654985802030666</v>
      </c>
      <c r="U31" s="16">
        <v>-2.0337749280395059</v>
      </c>
      <c r="V31" s="16">
        <v>4.3757806487501938</v>
      </c>
      <c r="W31" s="16">
        <v>5.7846536388050964</v>
      </c>
      <c r="X31" s="16">
        <v>5.3260920297295513</v>
      </c>
      <c r="Y31" s="16">
        <v>10.849569138732605</v>
      </c>
      <c r="Z31" s="16">
        <v>-1.3346806963317732</v>
      </c>
      <c r="AA31" s="16">
        <v>-2.496725483445104</v>
      </c>
      <c r="AB31" s="16">
        <v>-4.4282385869583578</v>
      </c>
      <c r="AC31" s="16">
        <v>-0.36972806652735812</v>
      </c>
      <c r="AD31" s="16">
        <v>-1.2835621596821341</v>
      </c>
      <c r="AE31" s="16">
        <v>2.1915694464764499</v>
      </c>
      <c r="AF31" s="16">
        <v>8.2813559086179396</v>
      </c>
      <c r="AG31" s="16">
        <v>7.3780175982826677</v>
      </c>
      <c r="AH31" s="16">
        <v>10.556719607553532</v>
      </c>
      <c r="AI31" s="16">
        <v>7.1399314423251496</v>
      </c>
      <c r="AJ31" s="16">
        <v>9.4569503445918883</v>
      </c>
      <c r="AK31" s="16">
        <v>10.463119486170939</v>
      </c>
      <c r="AL31" s="16">
        <v>4.0181564724765622</v>
      </c>
      <c r="AM31" s="16">
        <v>-2.1559803150783523</v>
      </c>
      <c r="AN31" s="16">
        <v>-1.812017956367626</v>
      </c>
      <c r="AO31" s="16">
        <v>-1.9224564418738055</v>
      </c>
      <c r="AP31" s="16">
        <v>0.74103791588808576</v>
      </c>
      <c r="AQ31" s="16">
        <v>0.29452700139604815</v>
      </c>
      <c r="AR31" s="16">
        <v>5.7436706571518243</v>
      </c>
      <c r="AS31" s="16">
        <v>8.6582482335147972</v>
      </c>
      <c r="AT31" s="16">
        <v>1.7375355874802239</v>
      </c>
      <c r="AU31" s="16">
        <v>2.1517100058306937</v>
      </c>
      <c r="AV31" s="16">
        <v>6.3374420828656355</v>
      </c>
      <c r="AW31" s="16">
        <v>1.65027562537297</v>
      </c>
      <c r="AX31" s="16">
        <v>-0.78750409991852166</v>
      </c>
      <c r="AY31" s="16">
        <v>1.4875517164717706</v>
      </c>
      <c r="AZ31" s="19">
        <v>0.3618985504139971</v>
      </c>
      <c r="BA31" s="19">
        <v>-4.2759325265272423</v>
      </c>
      <c r="BB31" s="19">
        <v>-3.1440316004069899</v>
      </c>
      <c r="BC31" s="19">
        <v>-1.254067768448266</v>
      </c>
      <c r="BD31" s="19">
        <v>-2.5467353026105854</v>
      </c>
      <c r="BE31" s="19">
        <v>1.3485358262069695</v>
      </c>
      <c r="BF31" s="19">
        <v>2.1261192556082875</v>
      </c>
      <c r="BG31" s="19">
        <v>1.7480101606643501</v>
      </c>
      <c r="BH31" s="19">
        <v>1.0638648526027481</v>
      </c>
      <c r="BI31" s="19">
        <v>-2.0368758138389467</v>
      </c>
      <c r="BJ31" s="19">
        <v>-3.7472613385834563</v>
      </c>
      <c r="BK31" s="19">
        <v>-0.89454369701937253</v>
      </c>
      <c r="BL31" s="19">
        <v>2.353207273447893</v>
      </c>
      <c r="BM31" s="19">
        <v>-15.004348570966258</v>
      </c>
      <c r="BN31" s="19">
        <v>16.356871750373074</v>
      </c>
      <c r="BO31" s="16">
        <v>7.3281532866391785</v>
      </c>
      <c r="BP31" s="16">
        <v>3.1285738893753319</v>
      </c>
    </row>
    <row r="32" spans="1:68" x14ac:dyDescent="0.3">
      <c r="A32" s="16" t="s">
        <v>48</v>
      </c>
      <c r="B32" s="16" t="s">
        <v>615</v>
      </c>
      <c r="C32" s="16" t="s">
        <v>604</v>
      </c>
      <c r="D32" s="16" t="s">
        <v>605</v>
      </c>
      <c r="F32" s="16">
        <v>2.1492747242105423</v>
      </c>
      <c r="G32" s="16">
        <v>2.0039699560021376</v>
      </c>
      <c r="H32" s="16">
        <v>-1.2607547166222872</v>
      </c>
      <c r="I32" s="16">
        <v>8.383374233969576</v>
      </c>
      <c r="J32" s="16">
        <v>2.2507784434921092</v>
      </c>
      <c r="K32" s="16">
        <v>12.345454546293652</v>
      </c>
      <c r="L32" s="16">
        <v>11.096673596606891</v>
      </c>
      <c r="M32" s="16">
        <v>0.17874875907932619</v>
      </c>
      <c r="N32" s="16">
        <v>1.5209367412970067</v>
      </c>
      <c r="O32" s="16">
        <v>4.3793415899740182</v>
      </c>
      <c r="P32" s="16">
        <v>4.1952838834829151</v>
      </c>
      <c r="Q32" s="16">
        <v>2.56407397946478</v>
      </c>
      <c r="R32" s="16">
        <v>2.2382050238378497</v>
      </c>
      <c r="S32" s="16">
        <v>1.632827386986051</v>
      </c>
      <c r="T32" s="16">
        <v>4.551271531610837</v>
      </c>
      <c r="U32" s="16">
        <v>8.5290040763065917</v>
      </c>
      <c r="V32" s="16">
        <v>5.5008162857181873</v>
      </c>
      <c r="W32" s="16">
        <v>1.0742293378754937</v>
      </c>
      <c r="X32" s="16">
        <v>1.7682391252813261</v>
      </c>
      <c r="Y32" s="16">
        <v>6.2261418972153706</v>
      </c>
      <c r="Z32" s="16">
        <v>1.6742355439413075</v>
      </c>
      <c r="AA32" s="16">
        <v>-5.9669596379738437</v>
      </c>
      <c r="AB32" s="16">
        <v>1.1316481383615269</v>
      </c>
      <c r="AC32" s="16">
        <v>-0.39656299068317935</v>
      </c>
      <c r="AD32" s="16">
        <v>-2.82158592105705</v>
      </c>
      <c r="AE32" s="16">
        <v>5.76696524931981</v>
      </c>
      <c r="AF32" s="16">
        <v>2.9124531114356245</v>
      </c>
      <c r="AG32" s="16">
        <v>3.1680901188145327</v>
      </c>
      <c r="AH32" s="16">
        <v>-0.39943287396931737</v>
      </c>
      <c r="AI32" s="16">
        <v>-0.79846153837253553</v>
      </c>
      <c r="AJ32" s="16">
        <v>-3.0358813385258685</v>
      </c>
      <c r="AK32" s="16">
        <v>0.66685196431170368</v>
      </c>
      <c r="AL32" s="16">
        <v>2.4577659243951047</v>
      </c>
      <c r="AM32" s="16">
        <v>-9.5697514628682256E-2</v>
      </c>
      <c r="AN32" s="16">
        <v>3.6547631462102714</v>
      </c>
      <c r="AO32" s="16">
        <v>1.9469474792546606</v>
      </c>
      <c r="AP32" s="16">
        <v>3.9637246585238586</v>
      </c>
      <c r="AQ32" s="16">
        <v>3.1396272861633463</v>
      </c>
      <c r="AR32" s="16">
        <v>2.8057217479465919</v>
      </c>
      <c r="AS32" s="16">
        <v>8.3483242061618768</v>
      </c>
      <c r="AT32" s="16">
        <v>6.071369137844755</v>
      </c>
      <c r="AU32" s="16">
        <v>-2.1167316810454651</v>
      </c>
      <c r="AV32" s="16">
        <v>2.7362712744663185</v>
      </c>
      <c r="AW32" s="16">
        <v>1.6550713352859248</v>
      </c>
      <c r="AX32" s="16">
        <v>1.0180798970143172</v>
      </c>
      <c r="AY32" s="16">
        <v>4.9402725194238855</v>
      </c>
      <c r="AZ32" s="19">
        <v>2.7638153345666154</v>
      </c>
      <c r="BA32" s="19">
        <v>-2.4447802561598166</v>
      </c>
      <c r="BB32" s="19">
        <v>-6.148629405486588</v>
      </c>
      <c r="BC32" s="19">
        <v>-1.7363632364089199</v>
      </c>
      <c r="BD32" s="19">
        <v>-2.9078508290504885</v>
      </c>
      <c r="BE32" s="19">
        <v>-5.6472627477452875</v>
      </c>
      <c r="BF32" s="19">
        <v>-0.59113789520654336</v>
      </c>
      <c r="BG32" s="19">
        <v>-3.9036061078688533</v>
      </c>
      <c r="BH32" s="19">
        <v>0.62259842682104249</v>
      </c>
      <c r="BI32" s="19">
        <v>0.39386919987983049</v>
      </c>
      <c r="BJ32" s="19">
        <v>4.7161022053394248</v>
      </c>
      <c r="BK32" s="19">
        <v>-0.50289929998704963</v>
      </c>
      <c r="BL32" s="19">
        <v>0.31725301094776626</v>
      </c>
      <c r="BM32" s="19">
        <v>-6.8166253225697204</v>
      </c>
      <c r="BN32" s="19">
        <v>5.63236664329429</v>
      </c>
      <c r="BO32" s="16">
        <v>6.7139685217773319</v>
      </c>
    </row>
    <row r="33" spans="1:68" x14ac:dyDescent="0.3">
      <c r="A33" s="16" t="s">
        <v>305</v>
      </c>
      <c r="B33" s="16" t="s">
        <v>401</v>
      </c>
      <c r="C33" s="16" t="s">
        <v>604</v>
      </c>
      <c r="D33" s="16" t="s">
        <v>605</v>
      </c>
      <c r="F33" s="16">
        <v>6.1288216757020564E-3</v>
      </c>
      <c r="G33" s="16">
        <v>3.409601073787627</v>
      </c>
      <c r="H33" s="16">
        <v>4.5892856984935975</v>
      </c>
      <c r="I33" s="16">
        <v>1.7961057126675968</v>
      </c>
      <c r="J33" s="16">
        <v>2.7201183005107055</v>
      </c>
      <c r="K33" s="16">
        <v>4.9131592002724034</v>
      </c>
      <c r="L33" s="16">
        <v>4.0597227947426973</v>
      </c>
      <c r="M33" s="16">
        <v>6.2056749270850133</v>
      </c>
      <c r="N33" s="16">
        <v>2.2186379423065858</v>
      </c>
      <c r="O33" s="16">
        <v>2.9455548126188376</v>
      </c>
      <c r="P33" s="16">
        <v>2.7646690052471854</v>
      </c>
      <c r="Q33" s="16">
        <v>5.5905493803390556</v>
      </c>
      <c r="R33" s="16">
        <v>3.4000759403988781</v>
      </c>
      <c r="S33" s="16">
        <v>0.64996871791900901</v>
      </c>
      <c r="T33" s="16">
        <v>4.9250639684871373</v>
      </c>
      <c r="U33" s="16">
        <v>2.2890457272668954</v>
      </c>
      <c r="V33" s="16">
        <v>2.6314015833728064</v>
      </c>
      <c r="W33" s="16">
        <v>-0.22074144767933035</v>
      </c>
      <c r="X33" s="16">
        <v>-2.0842183510448251</v>
      </c>
      <c r="Y33" s="16">
        <v>-3.5332385594216049</v>
      </c>
      <c r="Z33" s="16">
        <v>-1.8948079764950023</v>
      </c>
      <c r="AA33" s="16">
        <v>-5.9931353517659858</v>
      </c>
      <c r="AB33" s="16">
        <v>-6.0724283287048024</v>
      </c>
      <c r="AC33" s="16">
        <v>-2.2967000067993695</v>
      </c>
      <c r="AD33" s="16">
        <v>-3.735115385560988</v>
      </c>
      <c r="AE33" s="16">
        <v>-4.6107406544922327</v>
      </c>
      <c r="AF33" s="16">
        <v>0.31850571271027661</v>
      </c>
      <c r="AG33" s="16">
        <v>0.7521420463060764</v>
      </c>
      <c r="AH33" s="16">
        <v>1.6234563685321461</v>
      </c>
      <c r="AI33" s="16">
        <v>2.4674115745136902</v>
      </c>
      <c r="AJ33" s="16">
        <v>3.1059949610917812</v>
      </c>
      <c r="AK33" s="16">
        <v>-0.40897062111713467</v>
      </c>
      <c r="AL33" s="16">
        <v>2.1952400383013639</v>
      </c>
      <c r="AM33" s="16">
        <v>2.6370630791132612</v>
      </c>
      <c r="AN33" s="16">
        <v>2.7059284638291956</v>
      </c>
      <c r="AO33" s="16">
        <v>2.4294460926862769</v>
      </c>
      <c r="AP33" s="16">
        <v>3.0421419142888624</v>
      </c>
      <c r="AQ33" s="16">
        <v>3.136997547889095</v>
      </c>
      <c r="AR33" s="16">
        <v>-1.383429233373235</v>
      </c>
      <c r="AS33" s="16">
        <v>0.67536112504322432</v>
      </c>
      <c r="AT33" s="16">
        <v>-9.9986842878834636E-2</v>
      </c>
      <c r="AU33" s="16">
        <v>0.70659042566714447</v>
      </c>
      <c r="AV33" s="16">
        <v>0.93327288101312433</v>
      </c>
      <c r="AW33" s="16">
        <v>2.3772083784331102</v>
      </c>
      <c r="AX33" s="16">
        <v>2.6274119485262446</v>
      </c>
      <c r="AY33" s="16">
        <v>2.9819677146674763</v>
      </c>
      <c r="AZ33" s="19">
        <v>2.7501866802633259</v>
      </c>
      <c r="BA33" s="19">
        <v>4.3281711362999715</v>
      </c>
      <c r="BB33" s="19">
        <v>1.6014564553965727</v>
      </c>
      <c r="BC33" s="19">
        <v>2.3753355759725139</v>
      </c>
      <c r="BD33" s="19">
        <v>3.4536737732665728</v>
      </c>
      <c r="BE33" s="19">
        <v>3.3971964398801617</v>
      </c>
      <c r="BF33" s="19">
        <v>5.0697954244661787</v>
      </c>
      <c r="BG33" s="19">
        <v>3.7831870593498422</v>
      </c>
      <c r="BH33" s="19">
        <v>3.2205388234180248</v>
      </c>
      <c r="BI33" s="19">
        <v>2.6630742135253911</v>
      </c>
      <c r="BJ33" s="19">
        <v>2.6233033356185729</v>
      </c>
      <c r="BK33" s="19">
        <v>2.6847973391909647</v>
      </c>
      <c r="BL33" s="19">
        <v>0.73769715524475998</v>
      </c>
      <c r="BM33" s="19">
        <v>-9.9524048445553461</v>
      </c>
      <c r="BN33" s="19">
        <v>4.8524748892548928</v>
      </c>
      <c r="BO33" s="16">
        <v>2.3797982635037016</v>
      </c>
      <c r="BP33" s="16">
        <v>1.0835123365967831</v>
      </c>
    </row>
    <row r="34" spans="1:68" x14ac:dyDescent="0.3">
      <c r="A34" s="16" t="s">
        <v>53</v>
      </c>
      <c r="B34" s="16" t="s">
        <v>402</v>
      </c>
      <c r="C34" s="16" t="s">
        <v>604</v>
      </c>
      <c r="D34" s="16" t="s">
        <v>605</v>
      </c>
      <c r="F34" s="16">
        <v>5.3743035444787211</v>
      </c>
      <c r="G34" s="16">
        <v>3.4827290759552767</v>
      </c>
      <c r="H34" s="16">
        <v>-2.3158716622814524</v>
      </c>
      <c r="I34" s="16">
        <v>0.44964418543804641</v>
      </c>
      <c r="J34" s="16">
        <v>-0.45690005194404648</v>
      </c>
      <c r="K34" s="16">
        <v>3.8103959180717482</v>
      </c>
      <c r="L34" s="16">
        <v>1.4656031090122923</v>
      </c>
      <c r="M34" s="16">
        <v>7.001720507279714</v>
      </c>
      <c r="N34" s="16">
        <v>6.7728378356252961</v>
      </c>
      <c r="O34" s="16">
        <v>7.6855403454658529</v>
      </c>
      <c r="P34" s="16">
        <v>8.6413561945200428</v>
      </c>
      <c r="Q34" s="16">
        <v>9.2543986267646972</v>
      </c>
      <c r="R34" s="16">
        <v>11.25050802567749</v>
      </c>
      <c r="S34" s="16">
        <v>5.6066828030311768</v>
      </c>
      <c r="T34" s="16">
        <v>2.7158588466779605</v>
      </c>
      <c r="U34" s="16">
        <v>7.6950603359148317</v>
      </c>
      <c r="V34" s="16">
        <v>2.4906635458276298</v>
      </c>
      <c r="W34" s="16">
        <v>2.5185062579298005</v>
      </c>
      <c r="X34" s="16">
        <v>4.27224216380786</v>
      </c>
      <c r="Y34" s="16">
        <v>6.6629974786727786</v>
      </c>
      <c r="Z34" s="16">
        <v>-6.4528708661774061</v>
      </c>
      <c r="AA34" s="16">
        <v>-1.4509340753626816</v>
      </c>
      <c r="AB34" s="16">
        <v>-5.0883463941137137</v>
      </c>
      <c r="AC34" s="16">
        <v>3.1080820479535021</v>
      </c>
      <c r="AD34" s="16">
        <v>5.5678365114048205</v>
      </c>
      <c r="AE34" s="16">
        <v>5.2883899717245839</v>
      </c>
      <c r="AF34" s="16">
        <v>1.4785966672781825</v>
      </c>
      <c r="AG34" s="16">
        <v>-1.9780448679361626</v>
      </c>
      <c r="AH34" s="16">
        <v>1.243611572439022</v>
      </c>
      <c r="AI34" s="16">
        <v>-6.0655556687338503</v>
      </c>
      <c r="AJ34" s="16">
        <v>-0.70069627590581263</v>
      </c>
      <c r="AK34" s="16">
        <v>-2.1799798059824411</v>
      </c>
      <c r="AL34" s="16">
        <v>3.2425632721546265</v>
      </c>
      <c r="AM34" s="16">
        <v>4.1829558149572961</v>
      </c>
      <c r="AN34" s="16">
        <v>2.6080900058011309</v>
      </c>
      <c r="AO34" s="16">
        <v>0.65650216285347085</v>
      </c>
      <c r="AP34" s="16">
        <v>1.8553430248840215</v>
      </c>
      <c r="AQ34" s="16">
        <v>-1.1244424257402414</v>
      </c>
      <c r="AR34" s="16">
        <v>-0.94884592255172606</v>
      </c>
      <c r="AS34" s="16">
        <v>2.9709107810716517</v>
      </c>
      <c r="AT34" s="16">
        <v>5.9648943668406673E-2</v>
      </c>
      <c r="AU34" s="16">
        <v>1.7602427785657682</v>
      </c>
      <c r="AV34" s="16">
        <v>-5.1285666497420834E-2</v>
      </c>
      <c r="AW34" s="16">
        <v>4.5617819574883924</v>
      </c>
      <c r="AX34" s="16">
        <v>2.0555715014644278</v>
      </c>
      <c r="AY34" s="16">
        <v>2.8479620076530949</v>
      </c>
      <c r="AZ34" s="19">
        <v>4.9808299200050357</v>
      </c>
      <c r="BA34" s="19">
        <v>4.0617221662156311</v>
      </c>
      <c r="BB34" s="19">
        <v>-1.0732383326647863</v>
      </c>
      <c r="BC34" s="19">
        <v>6.5228161792292667</v>
      </c>
      <c r="BD34" s="19">
        <v>3.0133962726197439</v>
      </c>
      <c r="BE34" s="19">
        <v>1.0076540328270482</v>
      </c>
      <c r="BF34" s="19">
        <v>2.1142564519430351</v>
      </c>
      <c r="BG34" s="19">
        <v>-0.35451480226443266</v>
      </c>
      <c r="BH34" s="19">
        <v>-4.3583171793933673</v>
      </c>
      <c r="BI34" s="19">
        <v>-4.0574230024056845</v>
      </c>
      <c r="BJ34" s="19">
        <v>0.5232965885742118</v>
      </c>
      <c r="BK34" s="19">
        <v>0.97893849269739519</v>
      </c>
      <c r="BL34" s="19">
        <v>0.44828040714865836</v>
      </c>
      <c r="BM34" s="19">
        <v>-3.9180041715403888</v>
      </c>
      <c r="BN34" s="19">
        <v>4.210300253531571</v>
      </c>
      <c r="BO34" s="16">
        <v>2.5443328537780587</v>
      </c>
      <c r="BP34" s="16">
        <v>2.3811777242889889</v>
      </c>
    </row>
    <row r="35" spans="1:68" x14ac:dyDescent="0.3">
      <c r="A35" s="16" t="s">
        <v>43</v>
      </c>
      <c r="B35" s="16" t="s">
        <v>403</v>
      </c>
      <c r="C35" s="16" t="s">
        <v>604</v>
      </c>
      <c r="D35" s="16" t="s">
        <v>605</v>
      </c>
      <c r="F35" s="16">
        <v>7.1674896858158661</v>
      </c>
      <c r="G35" s="16">
        <v>8.535492477567459</v>
      </c>
      <c r="H35" s="16">
        <v>-5.4993557711666057</v>
      </c>
      <c r="I35" s="16">
        <v>4.5796847872494197</v>
      </c>
      <c r="J35" s="16">
        <v>11.031661400397468</v>
      </c>
      <c r="K35" s="16">
        <v>3.6545042151016531</v>
      </c>
      <c r="L35" s="16">
        <v>10.292071716029085</v>
      </c>
      <c r="M35" s="16">
        <v>6.6245500859136968</v>
      </c>
      <c r="N35" s="16">
        <v>7.210499439655365</v>
      </c>
      <c r="O35" s="16">
        <v>9.1451231957273365</v>
      </c>
      <c r="P35" s="16">
        <v>3.504103395494738</v>
      </c>
      <c r="Q35" s="16">
        <v>0.81289418640251654</v>
      </c>
      <c r="R35" s="16">
        <v>0.84982707021430315</v>
      </c>
      <c r="S35" s="16">
        <v>-5.1193436448184713</v>
      </c>
      <c r="T35" s="16">
        <v>-2.3919094267302654</v>
      </c>
      <c r="U35" s="16">
        <v>3.8269784350666356</v>
      </c>
      <c r="V35" s="16">
        <v>3.1008783143317942</v>
      </c>
      <c r="W35" s="16">
        <v>4.3145516698088784</v>
      </c>
      <c r="X35" s="16">
        <v>7.3264644452829515</v>
      </c>
      <c r="Y35" s="16">
        <v>3.8622614087928184</v>
      </c>
      <c r="Z35" s="16">
        <v>-2.3269208297468538</v>
      </c>
      <c r="AA35" s="16">
        <v>-5.2573153676789985</v>
      </c>
      <c r="AB35" s="16">
        <v>0.1631210049841485</v>
      </c>
      <c r="AC35" s="16">
        <v>3.2887019519713903</v>
      </c>
      <c r="AD35" s="16">
        <v>0.8505028456183652</v>
      </c>
      <c r="AE35" s="16">
        <v>4.9174467978738505</v>
      </c>
      <c r="AF35" s="16">
        <v>2.4783229591650837</v>
      </c>
      <c r="AG35" s="16">
        <v>3.4621820368512743</v>
      </c>
      <c r="AH35" s="16">
        <v>3.6012011176422902</v>
      </c>
      <c r="AI35" s="16">
        <v>-3.3483070007862636</v>
      </c>
      <c r="AJ35" s="16">
        <v>-4.0977366434849785</v>
      </c>
      <c r="AK35" s="16">
        <v>-5.986085477373166</v>
      </c>
      <c r="AL35" s="16">
        <v>0.49068300142687349</v>
      </c>
      <c r="AM35" s="16">
        <v>1.7313083361625985</v>
      </c>
      <c r="AN35" s="16">
        <v>1.7841482737550223</v>
      </c>
      <c r="AO35" s="16">
        <v>3.7826041524209586</v>
      </c>
      <c r="AP35" s="16">
        <v>4.568602084366205</v>
      </c>
      <c r="AQ35" s="16">
        <v>3.5640051475165961</v>
      </c>
      <c r="AR35" s="16">
        <v>0.13411525371587629</v>
      </c>
      <c r="AS35" s="16">
        <v>4.2549945127736635</v>
      </c>
      <c r="AT35" s="16">
        <v>-2.6303585642141059</v>
      </c>
      <c r="AU35" s="16">
        <v>0.37964484703434209</v>
      </c>
      <c r="AV35" s="16">
        <v>1.7767084301824667</v>
      </c>
      <c r="AW35" s="16">
        <v>1.0316427008267368</v>
      </c>
      <c r="AX35" s="16">
        <v>3.5804916331814098</v>
      </c>
      <c r="AY35" s="16">
        <v>5.6987054697535768</v>
      </c>
      <c r="AZ35" s="19">
        <v>1.6959789246799915</v>
      </c>
      <c r="BA35" s="19">
        <v>0.19384599843503736</v>
      </c>
      <c r="BB35" s="19">
        <v>-5.418311891980963</v>
      </c>
      <c r="BC35" s="19">
        <v>-2.5451807834260194</v>
      </c>
      <c r="BD35" s="19">
        <v>-1.05154423827166</v>
      </c>
      <c r="BE35" s="19">
        <v>-0.50589405927603082</v>
      </c>
      <c r="BF35" s="19">
        <v>-1.5516470666634632</v>
      </c>
      <c r="BG35" s="19">
        <v>-0.28446800299660424</v>
      </c>
      <c r="BH35" s="19">
        <v>2.2066157705039871</v>
      </c>
      <c r="BI35" s="19">
        <v>2.3443699936477174</v>
      </c>
      <c r="BJ35" s="19">
        <v>0.32105880202082915</v>
      </c>
      <c r="BK35" s="19">
        <v>-0.92414374051395498</v>
      </c>
      <c r="BL35" s="19">
        <v>0.20362523472373084</v>
      </c>
      <c r="BM35" s="19">
        <v>-12.699510624482315</v>
      </c>
      <c r="BN35" s="19">
        <v>-1.3613625505985567</v>
      </c>
      <c r="BO35" s="16">
        <v>13.305584438493895</v>
      </c>
      <c r="BP35" s="16">
        <v>4.3830619873407528</v>
      </c>
    </row>
    <row r="36" spans="1:68" x14ac:dyDescent="0.3">
      <c r="A36" s="16" t="s">
        <v>55</v>
      </c>
      <c r="B36" s="16" t="s">
        <v>404</v>
      </c>
      <c r="C36" s="16" t="s">
        <v>604</v>
      </c>
      <c r="D36" s="16" t="s">
        <v>605</v>
      </c>
      <c r="T36" s="16">
        <v>-3.0005516468704769</v>
      </c>
      <c r="U36" s="16">
        <v>16.216553429164165</v>
      </c>
      <c r="V36" s="16">
        <v>7.342598984501052</v>
      </c>
      <c r="W36" s="16">
        <v>3.3721183308786209</v>
      </c>
      <c r="X36" s="16">
        <v>18.67238129988263</v>
      </c>
      <c r="Y36" s="16">
        <v>-9.9512939194995766</v>
      </c>
      <c r="Z36" s="16">
        <v>-22.378560796389777</v>
      </c>
      <c r="AA36" s="16">
        <v>0.57261011257112671</v>
      </c>
      <c r="AB36" s="16">
        <v>-2.8367500627397249</v>
      </c>
      <c r="AC36" s="16">
        <v>-2.7548272348484346</v>
      </c>
      <c r="AD36" s="16">
        <v>-4.7890409828277285</v>
      </c>
      <c r="AE36" s="16">
        <v>-5.9733153647265738</v>
      </c>
      <c r="AF36" s="16">
        <v>-1.3797024629845822</v>
      </c>
      <c r="AG36" s="16">
        <v>-2.2009720313784982</v>
      </c>
      <c r="AH36" s="16">
        <v>-4.2280064552246017</v>
      </c>
      <c r="AI36" s="16">
        <v>-2.0394237739455576</v>
      </c>
      <c r="AJ36" s="16">
        <v>0.11417078847395601</v>
      </c>
      <c r="AK36" s="16">
        <v>1.905263672507914</v>
      </c>
      <c r="AL36" s="16">
        <v>-2.2661649153605765</v>
      </c>
      <c r="AM36" s="16">
        <v>0.59374699376495244</v>
      </c>
      <c r="AN36" s="16">
        <v>1.9769219592822935</v>
      </c>
      <c r="AO36" s="16">
        <v>0.49313577982069035</v>
      </c>
      <c r="AP36" s="16">
        <v>-3.6791560133327437</v>
      </c>
      <c r="AQ36" s="16">
        <v>-2.7131904526490445</v>
      </c>
      <c r="AR36" s="16">
        <v>0.88016698985823894</v>
      </c>
      <c r="AS36" s="16">
        <v>0.73006945099547238</v>
      </c>
      <c r="AT36" s="16">
        <v>0.68703697130274577</v>
      </c>
      <c r="AU36" s="16">
        <v>1.8646857286271086</v>
      </c>
      <c r="AV36" s="16">
        <v>0.99088274581464475</v>
      </c>
      <c r="AW36" s="16">
        <v>-1.2846012307221031</v>
      </c>
      <c r="AX36" s="16">
        <v>-1.3250510999311587</v>
      </c>
      <c r="AY36" s="16">
        <v>2.6920521206136954</v>
      </c>
      <c r="AZ36" s="19">
        <v>-1.4161676468992681</v>
      </c>
      <c r="BA36" s="19">
        <v>-3.423745708574728</v>
      </c>
      <c r="BB36" s="19">
        <v>-3.209963091116208</v>
      </c>
      <c r="BC36" s="19">
        <v>1.1114798258206093</v>
      </c>
      <c r="BD36" s="19">
        <v>2.3363151965061206</v>
      </c>
      <c r="BE36" s="19">
        <v>-0.35975494439166766</v>
      </c>
      <c r="BF36" s="19">
        <v>-3.3308448347230382</v>
      </c>
      <c r="BG36" s="19">
        <v>-3.6675189324305677</v>
      </c>
      <c r="BH36" s="19">
        <v>-1.522384231884061</v>
      </c>
      <c r="BI36" s="19">
        <v>-3.521143981982803</v>
      </c>
      <c r="BJ36" s="19">
        <v>0.32020543877322893</v>
      </c>
      <c r="BK36" s="19">
        <v>-0.86886005686672263</v>
      </c>
      <c r="BL36" s="19">
        <v>2.9742261522544027</v>
      </c>
      <c r="BM36" s="19">
        <v>0.29171891700163144</v>
      </c>
      <c r="BN36" s="19">
        <v>-2.3968215628809588</v>
      </c>
      <c r="BO36" s="16">
        <v>-2.4234077025460294</v>
      </c>
      <c r="BP36" s="16">
        <v>0.6178157381090017</v>
      </c>
    </row>
    <row r="37" spans="1:68" x14ac:dyDescent="0.3">
      <c r="A37" s="16" t="s">
        <v>49</v>
      </c>
      <c r="B37" s="16" t="s">
        <v>405</v>
      </c>
      <c r="C37" s="16" t="s">
        <v>604</v>
      </c>
      <c r="D37" s="16" t="s">
        <v>605</v>
      </c>
      <c r="P37" s="16">
        <v>-0.62858636221901065</v>
      </c>
      <c r="Q37" s="16">
        <v>-2.0989796206270341</v>
      </c>
      <c r="R37" s="16">
        <v>-1.8162844736221047</v>
      </c>
      <c r="S37" s="16">
        <v>1.7515323048474158</v>
      </c>
      <c r="T37" s="16">
        <v>-6.4438647783157279</v>
      </c>
      <c r="U37" s="16">
        <v>5.4087968612703321</v>
      </c>
      <c r="V37" s="16">
        <v>4.3842896315918267</v>
      </c>
      <c r="W37" s="16">
        <v>3.6338427223298737</v>
      </c>
      <c r="X37" s="16">
        <v>1.4050814140708354</v>
      </c>
      <c r="Y37" s="16">
        <v>1.6722836437014195</v>
      </c>
      <c r="Z37" s="16">
        <v>11.527685847552107</v>
      </c>
      <c r="AA37" s="16">
        <v>0.26781509377843804</v>
      </c>
      <c r="AB37" s="16">
        <v>7.0815175234925505</v>
      </c>
      <c r="AC37" s="16">
        <v>1.4139437613703905</v>
      </c>
      <c r="AD37" s="16">
        <v>0.94478589068533836</v>
      </c>
      <c r="AE37" s="16">
        <v>8.128880273996586</v>
      </c>
      <c r="AF37" s="16">
        <v>25.319720798124791</v>
      </c>
      <c r="AG37" s="16">
        <v>1.7919892122445873</v>
      </c>
      <c r="AH37" s="16">
        <v>4.3653637574201838</v>
      </c>
      <c r="AI37" s="16">
        <v>7.5697856132186558</v>
      </c>
      <c r="AJ37" s="16">
        <v>-2.0337405981654513</v>
      </c>
      <c r="AK37" s="16">
        <v>8.7711779020071816</v>
      </c>
      <c r="AL37" s="16">
        <v>6.9024244390615053</v>
      </c>
      <c r="AM37" s="16">
        <v>4.8665373536967564</v>
      </c>
      <c r="AN37" s="16">
        <v>5.8002759982946657</v>
      </c>
      <c r="AO37" s="16">
        <v>3.6093967785560324</v>
      </c>
      <c r="AP37" s="16">
        <v>3.5681676183463509</v>
      </c>
      <c r="AQ37" s="16">
        <v>3.9601618721491576</v>
      </c>
      <c r="AR37" s="16">
        <v>5.3652674253811909</v>
      </c>
      <c r="AS37" s="16">
        <v>0.50069302886231526</v>
      </c>
      <c r="AT37" s="16">
        <v>4.4768245437483785</v>
      </c>
      <c r="AU37" s="16">
        <v>7.6224184689004346</v>
      </c>
      <c r="AV37" s="16">
        <v>5.140586087030897</v>
      </c>
      <c r="AW37" s="16">
        <v>2.6716288391361616</v>
      </c>
      <c r="AX37" s="16">
        <v>4.7858042576241786</v>
      </c>
      <c r="AY37" s="16">
        <v>4.0815968136806333</v>
      </c>
      <c r="AZ37" s="19">
        <v>14.681779774574878</v>
      </c>
      <c r="BA37" s="19">
        <v>3.298410322521292</v>
      </c>
      <c r="BB37" s="19">
        <v>6.4420165285707043</v>
      </c>
      <c r="BC37" s="19">
        <v>10.68835564193445</v>
      </c>
      <c r="BD37" s="19">
        <v>7.1210678747336544</v>
      </c>
      <c r="BE37" s="19">
        <v>3.9567255726462633</v>
      </c>
      <c r="BF37" s="19">
        <v>0.57839663873315317</v>
      </c>
      <c r="BG37" s="19">
        <v>4.6456940695834987</v>
      </c>
      <c r="BH37" s="19">
        <v>5.5767150682372488</v>
      </c>
      <c r="BI37" s="19">
        <v>7.4626623573832944</v>
      </c>
      <c r="BJ37" s="19">
        <v>2.636928803707363</v>
      </c>
      <c r="BK37" s="19">
        <v>2.6903944524498797</v>
      </c>
      <c r="BL37" s="19">
        <v>5.016132015854339</v>
      </c>
      <c r="BM37" s="19">
        <v>-10.804966001834799</v>
      </c>
      <c r="BN37" s="19">
        <v>3.7525213785901883</v>
      </c>
      <c r="BO37" s="16">
        <v>4.5457045450386033</v>
      </c>
    </row>
    <row r="38" spans="1:68" x14ac:dyDescent="0.3">
      <c r="A38" s="16" t="s">
        <v>52</v>
      </c>
      <c r="B38" s="16" t="s">
        <v>406</v>
      </c>
      <c r="C38" s="16" t="s">
        <v>604</v>
      </c>
      <c r="D38" s="16" t="s">
        <v>605</v>
      </c>
      <c r="F38" s="16">
        <v>4.0035015148457234</v>
      </c>
      <c r="G38" s="16">
        <v>4.2755422931570308</v>
      </c>
      <c r="H38" s="16">
        <v>3.4877438644961103</v>
      </c>
      <c r="I38" s="16">
        <v>4.3180252605266531</v>
      </c>
      <c r="J38" s="16">
        <v>4.2014725116717813</v>
      </c>
      <c r="K38" s="16">
        <v>5.6262471463962385</v>
      </c>
      <c r="L38" s="16">
        <v>5.216593957389918</v>
      </c>
      <c r="M38" s="16">
        <v>9.8209036911772358</v>
      </c>
      <c r="N38" s="16">
        <v>14.322477309122121</v>
      </c>
      <c r="O38" s="16">
        <v>16.031221072847671</v>
      </c>
      <c r="P38" s="16">
        <v>23.343793107152663</v>
      </c>
      <c r="Q38" s="16">
        <v>21.832197270799085</v>
      </c>
      <c r="R38" s="16">
        <v>15.647256058806462</v>
      </c>
      <c r="S38" s="16">
        <v>3.3980929084662819</v>
      </c>
      <c r="T38" s="16">
        <v>3.0292266151433722</v>
      </c>
      <c r="U38" s="16">
        <v>5.0900610195153746</v>
      </c>
      <c r="V38" s="16">
        <v>6.3842876212858926</v>
      </c>
      <c r="W38" s="16">
        <v>8.6220437539352872</v>
      </c>
      <c r="X38" s="16">
        <v>6.612578106188721</v>
      </c>
      <c r="Y38" s="16">
        <v>6.6083973715474116</v>
      </c>
      <c r="Z38" s="16">
        <v>4.1630000290512328</v>
      </c>
      <c r="AA38" s="16">
        <v>7.7510949894576555</v>
      </c>
      <c r="AB38" s="16">
        <v>9.1244150317007211</v>
      </c>
      <c r="AC38" s="16">
        <v>4.7480678125696016</v>
      </c>
      <c r="AD38" s="16">
        <v>3.4060514579881556</v>
      </c>
      <c r="AE38" s="16">
        <v>4.4524772068751588</v>
      </c>
      <c r="AF38" s="16">
        <v>8.11408937273535</v>
      </c>
      <c r="AG38" s="16">
        <v>15.575454175978635</v>
      </c>
      <c r="AH38" s="16">
        <v>9.5504647349500971</v>
      </c>
      <c r="AI38" s="16">
        <v>3.6047556044133984</v>
      </c>
      <c r="AJ38" s="16">
        <v>4.4145553558750095</v>
      </c>
      <c r="AK38" s="16">
        <v>1.1375015575950442E-2</v>
      </c>
      <c r="AL38" s="16">
        <v>-0.9810118104251444</v>
      </c>
      <c r="AM38" s="16">
        <v>0.78266012026296039</v>
      </c>
      <c r="AN38" s="16">
        <v>4.2507039534185935</v>
      </c>
      <c r="AO38" s="16">
        <v>3.2522300174619545</v>
      </c>
      <c r="AP38" s="16">
        <v>5.8384185632007757</v>
      </c>
      <c r="AQ38" s="16">
        <v>-1.7612208482547231</v>
      </c>
      <c r="AR38" s="16">
        <v>7.3424267830726251</v>
      </c>
      <c r="AS38" s="16">
        <v>-0.10445789094487168</v>
      </c>
      <c r="AT38" s="16">
        <v>-1.7377322297118383</v>
      </c>
      <c r="AU38" s="16">
        <v>4.1078298157804625</v>
      </c>
      <c r="AV38" s="16">
        <v>2.8085206399368019</v>
      </c>
      <c r="AW38" s="16">
        <v>0.92570568827805744</v>
      </c>
      <c r="AX38" s="16">
        <v>2.6938782370513366</v>
      </c>
      <c r="AY38" s="16">
        <v>6.3470049067110068</v>
      </c>
      <c r="AZ38" s="19">
        <v>3.7340678095605853</v>
      </c>
      <c r="BA38" s="19">
        <v>1.1769188323962538</v>
      </c>
      <c r="BB38" s="19">
        <v>-15.89055768753019</v>
      </c>
      <c r="BC38" s="19">
        <v>7.8758711323136907</v>
      </c>
      <c r="BD38" s="19">
        <v>4.7171658630536797</v>
      </c>
      <c r="BE38" s="19">
        <v>-2.0701741261028133</v>
      </c>
      <c r="BF38" s="19">
        <v>9.0056638893299521</v>
      </c>
      <c r="BG38" s="19">
        <v>3.6795226120321303</v>
      </c>
      <c r="BH38" s="19">
        <v>-6.7003023417430541</v>
      </c>
      <c r="BI38" s="19">
        <v>5.0513731527322108</v>
      </c>
      <c r="BJ38" s="19">
        <v>1.9719443891535349</v>
      </c>
      <c r="BK38" s="19">
        <v>2.0813461242524625</v>
      </c>
      <c r="BL38" s="19">
        <v>1.0416716395978938</v>
      </c>
      <c r="BM38" s="19">
        <v>-10.402630907344204</v>
      </c>
      <c r="BN38" s="19">
        <v>10.103693502393995</v>
      </c>
      <c r="BO38" s="16">
        <v>3.806743238977802</v>
      </c>
      <c r="BP38" s="16">
        <v>1.0008123947117724</v>
      </c>
    </row>
    <row r="39" spans="1:68" x14ac:dyDescent="0.3">
      <c r="A39" s="16" t="s">
        <v>64</v>
      </c>
      <c r="B39" s="16" t="s">
        <v>616</v>
      </c>
      <c r="C39" s="16" t="s">
        <v>604</v>
      </c>
      <c r="D39" s="16" t="s">
        <v>605</v>
      </c>
      <c r="F39" s="16">
        <v>3.0736281949107962</v>
      </c>
      <c r="G39" s="16">
        <v>-5.4896637926801048</v>
      </c>
      <c r="H39" s="16">
        <v>-2.5915614052098022</v>
      </c>
      <c r="I39" s="16">
        <v>8.1195653357511333E-2</v>
      </c>
      <c r="J39" s="16">
        <v>-1.0983177502115922</v>
      </c>
      <c r="K39" s="16">
        <v>-1.469613910274731</v>
      </c>
      <c r="L39" s="16">
        <v>2.3992585176180796</v>
      </c>
      <c r="M39" s="16">
        <v>-0.8750520195994369</v>
      </c>
      <c r="N39" s="16">
        <v>4.6407770683830876</v>
      </c>
      <c r="O39" s="16">
        <v>6.3976894726721412E-2</v>
      </c>
      <c r="P39" s="16">
        <v>-0.9711282744524965</v>
      </c>
      <c r="Q39" s="16">
        <v>-1.9691238863786822</v>
      </c>
      <c r="R39" s="16">
        <v>-7.3388581885751591E-2</v>
      </c>
      <c r="S39" s="16">
        <v>4.2780753869529491</v>
      </c>
      <c r="T39" s="16">
        <v>-1.5566654945552472</v>
      </c>
      <c r="U39" s="16">
        <v>3.8670954167051974</v>
      </c>
      <c r="V39" s="16">
        <v>2.7558277656255683</v>
      </c>
      <c r="W39" s="16">
        <v>0.18647312509018832</v>
      </c>
      <c r="X39" s="16">
        <v>-3.4596116256980309</v>
      </c>
      <c r="Y39" s="16">
        <v>-5.4652637291888055</v>
      </c>
      <c r="Z39" s="16">
        <v>-2.5824191022476413</v>
      </c>
      <c r="AA39" s="16">
        <v>6.5535644456626585</v>
      </c>
      <c r="AB39" s="16">
        <v>-9.1377086219233092</v>
      </c>
      <c r="AC39" s="16">
        <v>8.2478360644991255</v>
      </c>
      <c r="AD39" s="16">
        <v>2.7248661862406607</v>
      </c>
      <c r="AE39" s="16">
        <v>2.3529867015389385</v>
      </c>
      <c r="AF39" s="16">
        <v>-6.1006494923815495</v>
      </c>
      <c r="AG39" s="16">
        <v>0.11628555913647176</v>
      </c>
      <c r="AH39" s="16">
        <v>-0.52616389319581458</v>
      </c>
      <c r="AI39" s="16">
        <v>-5.112200332988138</v>
      </c>
      <c r="AJ39" s="16">
        <v>-3.6008033718288317</v>
      </c>
      <c r="AK39" s="16">
        <v>-9.3540662881710261</v>
      </c>
      <c r="AL39" s="16">
        <v>-2.8288875572086596</v>
      </c>
      <c r="AM39" s="16">
        <v>1.6521696545086257</v>
      </c>
      <c r="AN39" s="16">
        <v>4.2928544795485664</v>
      </c>
      <c r="AO39" s="16">
        <v>-6.4792849902165983</v>
      </c>
      <c r="AP39" s="16">
        <v>2.4104592412317487</v>
      </c>
      <c r="AQ39" s="16">
        <v>1.8554126769785313</v>
      </c>
      <c r="AR39" s="16">
        <v>0.75739220849962408</v>
      </c>
      <c r="AS39" s="16">
        <v>-5.1822002636044289</v>
      </c>
      <c r="AT39" s="16">
        <v>2.1388552733554178</v>
      </c>
      <c r="AU39" s="16">
        <v>1.3527753620428626</v>
      </c>
      <c r="AV39" s="16">
        <v>-7.657345914417192</v>
      </c>
      <c r="AW39" s="16">
        <v>3.7205910468886145</v>
      </c>
      <c r="AX39" s="16">
        <v>-1.3381825936235003</v>
      </c>
      <c r="AY39" s="16">
        <v>2.6846673436515829</v>
      </c>
      <c r="AZ39" s="19">
        <v>2.6658650606535588</v>
      </c>
      <c r="BA39" s="19">
        <v>-3.9937079778781026E-2</v>
      </c>
      <c r="BB39" s="19">
        <v>6.2723939666324782</v>
      </c>
      <c r="BC39" s="19">
        <v>2.4859848510043037</v>
      </c>
      <c r="BD39" s="19">
        <v>2.6102348027131654</v>
      </c>
      <c r="BE39" s="19">
        <v>4.1451583943365335</v>
      </c>
      <c r="BF39" s="19">
        <v>-36.777697163934832</v>
      </c>
      <c r="BG39" s="19">
        <v>0.1581115587524522</v>
      </c>
      <c r="BH39" s="19">
        <v>3.891158828357959</v>
      </c>
      <c r="BI39" s="19">
        <v>2.9380992393553242</v>
      </c>
      <c r="BJ39" s="19">
        <v>2.5909235013507725</v>
      </c>
      <c r="BK39" s="19">
        <v>1.7922203053133359</v>
      </c>
      <c r="BL39" s="19">
        <v>0.83300981086989623</v>
      </c>
      <c r="BM39" s="19">
        <v>-1.6247755794237264</v>
      </c>
      <c r="BN39" s="19">
        <v>-1.129093809989655</v>
      </c>
      <c r="BO39" s="16">
        <v>-1.6954049557347872</v>
      </c>
      <c r="BP39" s="16">
        <v>-1.9960315377228994</v>
      </c>
    </row>
    <row r="40" spans="1:68" x14ac:dyDescent="0.3">
      <c r="A40" s="16" t="s">
        <v>61</v>
      </c>
      <c r="B40" s="16" t="s">
        <v>407</v>
      </c>
      <c r="C40" s="16" t="s">
        <v>604</v>
      </c>
      <c r="D40" s="16" t="s">
        <v>605</v>
      </c>
      <c r="F40" s="16">
        <v>1.1213462260113403</v>
      </c>
      <c r="G40" s="16">
        <v>5.4482652100032141</v>
      </c>
      <c r="H40" s="16">
        <v>3.3540683747780093</v>
      </c>
      <c r="I40" s="16">
        <v>4.6636159935574</v>
      </c>
      <c r="J40" s="16">
        <v>4.4099956279887209</v>
      </c>
      <c r="K40" s="16">
        <v>4.7893643737604918</v>
      </c>
      <c r="L40" s="16">
        <v>1.2274915049871993</v>
      </c>
      <c r="M40" s="16">
        <v>3.3276557332773393</v>
      </c>
      <c r="N40" s="16">
        <v>3.6480179339265106</v>
      </c>
      <c r="O40" s="16">
        <v>1.4900910735089212</v>
      </c>
      <c r="P40" s="16">
        <v>0.99693185874328094</v>
      </c>
      <c r="Q40" s="16">
        <v>4.3018308963631995</v>
      </c>
      <c r="R40" s="16">
        <v>5.4317037613155463</v>
      </c>
      <c r="S40" s="16">
        <v>1.924903895228951</v>
      </c>
      <c r="T40" s="16">
        <v>7.4186199244309137E-2</v>
      </c>
      <c r="U40" s="16">
        <v>4.5051042640162962</v>
      </c>
      <c r="V40" s="16">
        <v>2.3302652542621445</v>
      </c>
      <c r="W40" s="16">
        <v>2.7084521570558877</v>
      </c>
      <c r="X40" s="16">
        <v>2.7036956730836579</v>
      </c>
      <c r="Y40" s="16">
        <v>0.86798704161870432</v>
      </c>
      <c r="Z40" s="16">
        <v>2.1473805443738172</v>
      </c>
      <c r="AA40" s="16">
        <v>-4.3112844108841699</v>
      </c>
      <c r="AB40" s="16">
        <v>1.5534327215733725</v>
      </c>
      <c r="AC40" s="16">
        <v>4.9035542001451233</v>
      </c>
      <c r="AD40" s="16">
        <v>3.7849742319364168</v>
      </c>
      <c r="AE40" s="16">
        <v>1.1113810352473479</v>
      </c>
      <c r="AF40" s="16">
        <v>2.7091739812837687</v>
      </c>
      <c r="AG40" s="16">
        <v>3.0657612925885331</v>
      </c>
      <c r="AH40" s="16">
        <v>0.51757380097321004</v>
      </c>
      <c r="AI40" s="16">
        <v>-1.2964413233353014</v>
      </c>
      <c r="AJ40" s="16">
        <v>-3.3003000110494725</v>
      </c>
      <c r="AK40" s="16">
        <v>-0.29670950241400362</v>
      </c>
      <c r="AL40" s="16">
        <v>1.5357457226152746</v>
      </c>
      <c r="AM40" s="16">
        <v>3.3558143810065388</v>
      </c>
      <c r="AN40" s="16">
        <v>1.6252813360755596</v>
      </c>
      <c r="AO40" s="16">
        <v>0.6315308644566926</v>
      </c>
      <c r="AP40" s="16">
        <v>3.2489748820719484</v>
      </c>
      <c r="AQ40" s="16">
        <v>3.0342376789985366</v>
      </c>
      <c r="AR40" s="16">
        <v>4.2898365988724976</v>
      </c>
      <c r="AS40" s="16">
        <v>4.1639485002857128</v>
      </c>
      <c r="AT40" s="16">
        <v>0.77451943240160404</v>
      </c>
      <c r="AU40" s="16">
        <v>1.8879648458803473</v>
      </c>
      <c r="AV40" s="16">
        <v>0.89501859271479134</v>
      </c>
      <c r="AW40" s="16">
        <v>2.1358155936460861</v>
      </c>
      <c r="AX40" s="16">
        <v>2.2375765823735776</v>
      </c>
      <c r="AY40" s="16">
        <v>1.6029015267479991</v>
      </c>
      <c r="AZ40" s="19">
        <v>1.0641448518324097</v>
      </c>
      <c r="BA40" s="19">
        <v>-9.3342783733561419E-2</v>
      </c>
      <c r="BB40" s="19">
        <v>-4.0200881211473813</v>
      </c>
      <c r="BC40" s="19">
        <v>1.9514474759255336</v>
      </c>
      <c r="BD40" s="19">
        <v>2.1360771396745832</v>
      </c>
      <c r="BE40" s="19">
        <v>0.65884199036912605</v>
      </c>
      <c r="BF40" s="19">
        <v>1.2535901290465148</v>
      </c>
      <c r="BG40" s="19">
        <v>1.8484095174269015</v>
      </c>
      <c r="BH40" s="19">
        <v>-0.11236917294915827</v>
      </c>
      <c r="BI40" s="19">
        <v>-9.8296352515987451E-2</v>
      </c>
      <c r="BJ40" s="19">
        <v>1.8094644627928176</v>
      </c>
      <c r="BK40" s="19">
        <v>1.2809265790424433</v>
      </c>
      <c r="BL40" s="19">
        <v>0.42965758108582008</v>
      </c>
      <c r="BM40" s="19">
        <v>-6.0624064295901547</v>
      </c>
      <c r="BN40" s="19">
        <v>4.7053820518735137</v>
      </c>
      <c r="BO40" s="16">
        <v>1.9556706589564072</v>
      </c>
      <c r="BP40" s="16">
        <v>-1.8545095900967539</v>
      </c>
    </row>
    <row r="41" spans="1:68" x14ac:dyDescent="0.3">
      <c r="A41" s="16" t="s">
        <v>617</v>
      </c>
      <c r="B41" s="16" t="s">
        <v>618</v>
      </c>
      <c r="C41" s="16" t="s">
        <v>604</v>
      </c>
      <c r="D41" s="16" t="s">
        <v>605</v>
      </c>
      <c r="AJ41" s="16">
        <v>-10.644568995437837</v>
      </c>
      <c r="AK41" s="16">
        <v>-4.6892979043423964</v>
      </c>
      <c r="AL41" s="16">
        <v>0.2626626284581306</v>
      </c>
      <c r="AM41" s="16">
        <v>3.7044705697856699</v>
      </c>
      <c r="AN41" s="16">
        <v>5.6431955960212719</v>
      </c>
      <c r="AO41" s="16">
        <v>4.7739399238331544</v>
      </c>
      <c r="AP41" s="16">
        <v>2.5045686056345033</v>
      </c>
      <c r="AQ41" s="16">
        <v>2.8527467435582707</v>
      </c>
      <c r="AR41" s="16">
        <v>2.0726691878715258</v>
      </c>
      <c r="AS41" s="16">
        <v>4.544594995732254</v>
      </c>
      <c r="AT41" s="16">
        <v>3.8349218723133731</v>
      </c>
      <c r="AU41" s="16">
        <v>4.2931335396053925</v>
      </c>
      <c r="AV41" s="16">
        <v>4.4147037931834348</v>
      </c>
      <c r="AW41" s="16">
        <v>6.1310559747463458</v>
      </c>
      <c r="AX41" s="16">
        <v>5.3060313538495905</v>
      </c>
      <c r="AY41" s="16">
        <v>6.8662856924895692</v>
      </c>
      <c r="AZ41" s="19">
        <v>6.8306364330516658</v>
      </c>
      <c r="BA41" s="19">
        <v>4.3086534306662401</v>
      </c>
      <c r="BB41" s="19">
        <v>-3.3211053576157212</v>
      </c>
      <c r="BC41" s="19">
        <v>1.8044604489629137</v>
      </c>
      <c r="BD41" s="19">
        <v>3.7600508093436531</v>
      </c>
      <c r="BE41" s="19">
        <v>1.0573304302366608</v>
      </c>
      <c r="BF41" s="19">
        <v>0.88280030127769749</v>
      </c>
      <c r="BG41" s="19">
        <v>3.4327103328016193</v>
      </c>
      <c r="BH41" s="19">
        <v>4.2663884475367695</v>
      </c>
      <c r="BI41" s="19">
        <v>3.0161837061532424</v>
      </c>
      <c r="BJ41" s="19">
        <v>5.3613160490555174</v>
      </c>
      <c r="BK41" s="19">
        <v>5.1527620657268187</v>
      </c>
      <c r="BL41" s="19">
        <v>4.050499010873196</v>
      </c>
      <c r="BM41" s="19">
        <v>-3.211028073394516</v>
      </c>
      <c r="BN41" s="19">
        <v>7.2383327698804152</v>
      </c>
      <c r="BO41" s="16">
        <v>5.6059168603892005</v>
      </c>
      <c r="BP41" s="16">
        <v>0.46318563953033731</v>
      </c>
    </row>
    <row r="42" spans="1:68" x14ac:dyDescent="0.3">
      <c r="A42" s="16" t="s">
        <v>230</v>
      </c>
      <c r="B42" s="16" t="s">
        <v>408</v>
      </c>
      <c r="C42" s="16" t="s">
        <v>604</v>
      </c>
      <c r="D42" s="16" t="s">
        <v>605</v>
      </c>
      <c r="F42" s="16">
        <v>5.990640686612636</v>
      </c>
      <c r="G42" s="16">
        <v>2.1668909635159395</v>
      </c>
      <c r="H42" s="16">
        <v>2.6610284148367924</v>
      </c>
      <c r="I42" s="16">
        <v>3.5294619067100257</v>
      </c>
      <c r="J42" s="16">
        <v>0.93219061647629076</v>
      </c>
      <c r="K42" s="16">
        <v>1.3961564518723009</v>
      </c>
      <c r="L42" s="16">
        <v>1.7868887983711232</v>
      </c>
      <c r="M42" s="16">
        <v>2.2917659581217009</v>
      </c>
      <c r="N42" s="16">
        <v>4.4507622721222617</v>
      </c>
      <c r="O42" s="16">
        <v>5.6117011322972274</v>
      </c>
      <c r="P42" s="16">
        <v>3.5306936544661056</v>
      </c>
      <c r="Q42" s="16">
        <v>2.4166176825586945</v>
      </c>
      <c r="R42" s="16">
        <v>2.2919679784622247</v>
      </c>
      <c r="S42" s="16">
        <v>0.91002069859491996</v>
      </c>
      <c r="T42" s="16">
        <v>-7.2426131425012699</v>
      </c>
      <c r="U42" s="16">
        <v>-0.83848987541112763</v>
      </c>
      <c r="V42" s="16">
        <v>2.7815026433829075</v>
      </c>
      <c r="W42" s="16">
        <v>0.40006839703264063</v>
      </c>
      <c r="X42" s="16">
        <v>2.2859061840209733</v>
      </c>
      <c r="Y42" s="16">
        <v>4.1874531996961935</v>
      </c>
      <c r="Z42" s="16">
        <v>1.0470280646808448</v>
      </c>
      <c r="AA42" s="16">
        <v>-1.884376957513183</v>
      </c>
      <c r="AB42" s="16">
        <v>0.20847519314828844</v>
      </c>
      <c r="AC42" s="16">
        <v>2.6392044333461513</v>
      </c>
      <c r="AD42" s="16">
        <v>3.2169450531938963</v>
      </c>
      <c r="AE42" s="16">
        <v>1.3299457512098343</v>
      </c>
      <c r="AF42" s="16">
        <v>0.94940372040046839</v>
      </c>
      <c r="AG42" s="16">
        <v>2.5213469205448433</v>
      </c>
      <c r="AH42" s="16">
        <v>3.4906431620134128</v>
      </c>
      <c r="AI42" s="16">
        <v>2.6154661986347918</v>
      </c>
      <c r="AJ42" s="16">
        <v>-2.1464899206343091</v>
      </c>
      <c r="AK42" s="16">
        <v>-1.1397190696595487</v>
      </c>
      <c r="AL42" s="16">
        <v>-1.0314223650806156</v>
      </c>
      <c r="AM42" s="16">
        <v>0.46568640377708448</v>
      </c>
      <c r="AN42" s="16">
        <v>-0.18835074385067685</v>
      </c>
      <c r="AO42" s="16">
        <v>2.8540638847871946E-2</v>
      </c>
      <c r="AP42" s="16">
        <v>2.0152831609876642</v>
      </c>
      <c r="AQ42" s="16">
        <v>2.7242846564736993</v>
      </c>
      <c r="AR42" s="16">
        <v>1.1790059356515457</v>
      </c>
      <c r="AS42" s="16">
        <v>3.3761572949790235</v>
      </c>
      <c r="AT42" s="16">
        <v>0.93494965314542355</v>
      </c>
      <c r="AU42" s="16">
        <v>-0.82628042816746472</v>
      </c>
      <c r="AV42" s="16">
        <v>-0.77133316907219296</v>
      </c>
      <c r="AW42" s="16">
        <v>1.9981320556157414</v>
      </c>
      <c r="AX42" s="16">
        <v>2.093586607430268</v>
      </c>
      <c r="AY42" s="16">
        <v>3.4225506597861397</v>
      </c>
      <c r="AZ42" s="19">
        <v>2.9918220230827899</v>
      </c>
      <c r="BA42" s="19">
        <v>1.5099507937971595</v>
      </c>
      <c r="BB42" s="19">
        <v>-3.5105588602019822</v>
      </c>
      <c r="BC42" s="19">
        <v>2.1736381639678655</v>
      </c>
      <c r="BD42" s="19">
        <v>0.68733986963795246</v>
      </c>
      <c r="BE42" s="19">
        <v>0.11059660430612439</v>
      </c>
      <c r="BF42" s="19">
        <v>0.62836067543700835</v>
      </c>
      <c r="BG42" s="19">
        <v>1.1086935944004637</v>
      </c>
      <c r="BH42" s="19">
        <v>0.49412982239276459</v>
      </c>
      <c r="BI42" s="19">
        <v>0.96013167317825321</v>
      </c>
      <c r="BJ42" s="19">
        <v>0.4213261630564773</v>
      </c>
      <c r="BK42" s="19">
        <v>2.1055247201241514</v>
      </c>
      <c r="BL42" s="19">
        <v>0.42308976822731381</v>
      </c>
      <c r="BM42" s="19">
        <v>-2.8541583222644249</v>
      </c>
      <c r="BN42" s="19">
        <v>4.5881921178936977</v>
      </c>
      <c r="BO42" s="16">
        <v>1.7360013003389696</v>
      </c>
      <c r="BP42" s="16">
        <v>-0.1271398681439706</v>
      </c>
    </row>
    <row r="43" spans="1:68" x14ac:dyDescent="0.3">
      <c r="A43" s="16" t="s">
        <v>66</v>
      </c>
      <c r="B43" s="16" t="s">
        <v>619</v>
      </c>
      <c r="C43" s="16" t="s">
        <v>604</v>
      </c>
      <c r="D43" s="16" t="s">
        <v>605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>
        <v>1.6468680290693243</v>
      </c>
      <c r="BK43" s="19">
        <v>0.81913677573891164</v>
      </c>
      <c r="BL43" s="19">
        <v>1.0610695358740116</v>
      </c>
      <c r="BM43" s="19">
        <v>-9.3785724140408462</v>
      </c>
      <c r="BN43" s="19">
        <v>14.405515144705532</v>
      </c>
      <c r="BO43" s="16">
        <v>6.9406515506599646</v>
      </c>
    </row>
    <row r="44" spans="1:68" x14ac:dyDescent="0.3">
      <c r="A44" s="16" t="s">
        <v>67</v>
      </c>
      <c r="B44" s="16" t="s">
        <v>409</v>
      </c>
      <c r="C44" s="16" t="s">
        <v>604</v>
      </c>
      <c r="D44" s="16" t="s">
        <v>605</v>
      </c>
      <c r="F44" s="16">
        <v>3.0714442814405061</v>
      </c>
      <c r="G44" s="16">
        <v>1.9110608693794831</v>
      </c>
      <c r="H44" s="16">
        <v>3.7628821010602422</v>
      </c>
      <c r="I44" s="16">
        <v>0.5927806296394067</v>
      </c>
      <c r="J44" s="16">
        <v>-0.95640496256086749</v>
      </c>
      <c r="K44" s="16">
        <v>9.2120950907022063</v>
      </c>
      <c r="L44" s="16">
        <v>1.7870622468578716</v>
      </c>
      <c r="M44" s="16">
        <v>1.7886188056299659</v>
      </c>
      <c r="N44" s="16">
        <v>2.1641496589198255</v>
      </c>
      <c r="O44" s="16">
        <v>0.1265571335357123</v>
      </c>
      <c r="P44" s="16">
        <v>7.6264751699759472</v>
      </c>
      <c r="Q44" s="16">
        <v>-2.5944070572087128</v>
      </c>
      <c r="R44" s="16">
        <v>-6.5225361377171254</v>
      </c>
      <c r="S44" s="16">
        <v>0.77006749290858068</v>
      </c>
      <c r="T44" s="16">
        <v>-14.277313153735605</v>
      </c>
      <c r="U44" s="16">
        <v>2.2437195977916531</v>
      </c>
      <c r="V44" s="16">
        <v>8.7835450304083622</v>
      </c>
      <c r="W44" s="16">
        <v>6.0776501736692836</v>
      </c>
      <c r="X44" s="16">
        <v>6.8206297385494707</v>
      </c>
      <c r="Y44" s="16">
        <v>6.4284926163921625</v>
      </c>
      <c r="Z44" s="16">
        <v>4.9895434518305137</v>
      </c>
      <c r="AA44" s="16">
        <v>-12.293953063537785</v>
      </c>
      <c r="AB44" s="16">
        <v>-6.3585478720942064</v>
      </c>
      <c r="AC44" s="16">
        <v>2.6361502807801287</v>
      </c>
      <c r="AD44" s="16">
        <v>2.5025718489517885</v>
      </c>
      <c r="AE44" s="16">
        <v>3.7937558469706403</v>
      </c>
      <c r="AF44" s="16">
        <v>4.7999986719769083</v>
      </c>
      <c r="AG44" s="16">
        <v>5.6366395732467112</v>
      </c>
      <c r="AH44" s="16">
        <v>8.1631678444137492</v>
      </c>
      <c r="AI44" s="16">
        <v>1.6743185217413981</v>
      </c>
      <c r="AJ44" s="16">
        <v>6.0629411756843297</v>
      </c>
      <c r="AK44" s="16">
        <v>9.3893692827741688</v>
      </c>
      <c r="AL44" s="16">
        <v>4.9434038729488634</v>
      </c>
      <c r="AM44" s="16">
        <v>3.4611907190612783</v>
      </c>
      <c r="AN44" s="16">
        <v>7.3758382475527213</v>
      </c>
      <c r="AO44" s="16">
        <v>5.3510076105550439</v>
      </c>
      <c r="AP44" s="16">
        <v>5.9863265285051881</v>
      </c>
      <c r="AQ44" s="16">
        <v>2.8786691362142136</v>
      </c>
      <c r="AR44" s="16">
        <v>-1.4542556161336506</v>
      </c>
      <c r="AS44" s="16">
        <v>3.772356977465023</v>
      </c>
      <c r="AT44" s="16">
        <v>2.0099365122760275</v>
      </c>
      <c r="AU44" s="16">
        <v>2.0861107091106277</v>
      </c>
      <c r="AV44" s="16">
        <v>3.6315664670145509</v>
      </c>
      <c r="AW44" s="16">
        <v>5.6163400745269598</v>
      </c>
      <c r="AX44" s="16">
        <v>4.8075180630183638</v>
      </c>
      <c r="AY44" s="16">
        <v>5.0159911235481758</v>
      </c>
      <c r="AZ44" s="19">
        <v>4.1420023207572569</v>
      </c>
      <c r="BA44" s="19">
        <v>2.7558009595963568</v>
      </c>
      <c r="BB44" s="19">
        <v>-2.1283005713077046</v>
      </c>
      <c r="BC44" s="19">
        <v>4.788942687230076</v>
      </c>
      <c r="BD44" s="19">
        <v>5.176036998030753</v>
      </c>
      <c r="BE44" s="19">
        <v>5.1257383798838561</v>
      </c>
      <c r="BF44" s="19">
        <v>2.3164001177072606</v>
      </c>
      <c r="BG44" s="19">
        <v>0.77292782032776586</v>
      </c>
      <c r="BH44" s="19">
        <v>1.105758380938056</v>
      </c>
      <c r="BI44" s="19">
        <v>0.55029785144438392</v>
      </c>
      <c r="BJ44" s="19">
        <v>-0.21326644224498637</v>
      </c>
      <c r="BK44" s="19">
        <v>2.1390781809853507</v>
      </c>
      <c r="BL44" s="19">
        <v>-1.1523372236425473</v>
      </c>
      <c r="BM44" s="19">
        <v>-7.4118788296848663</v>
      </c>
      <c r="BN44" s="19">
        <v>10.232399264884862</v>
      </c>
      <c r="BO44" s="16">
        <v>1.4832123660426362</v>
      </c>
      <c r="BP44" s="16">
        <v>8.6767873373830184E-2</v>
      </c>
    </row>
    <row r="45" spans="1:68" x14ac:dyDescent="0.3">
      <c r="A45" s="16" t="s">
        <v>68</v>
      </c>
      <c r="B45" s="16" t="s">
        <v>410</v>
      </c>
      <c r="C45" s="16" t="s">
        <v>604</v>
      </c>
      <c r="D45" s="16" t="s">
        <v>605</v>
      </c>
      <c r="F45" s="16">
        <v>-26.52764360640397</v>
      </c>
      <c r="G45" s="16">
        <v>-6.3515048643384091</v>
      </c>
      <c r="H45" s="16">
        <v>7.6222544610133411</v>
      </c>
      <c r="I45" s="16">
        <v>15.468995418830815</v>
      </c>
      <c r="J45" s="16">
        <v>14.197889011606989</v>
      </c>
      <c r="K45" s="16">
        <v>7.6084039282850853</v>
      </c>
      <c r="L45" s="16">
        <v>-8.1614975852874778</v>
      </c>
      <c r="M45" s="16">
        <v>-6.5714516143394093</v>
      </c>
      <c r="N45" s="16">
        <v>13.779340343525433</v>
      </c>
      <c r="O45" s="16">
        <v>16.050399292919053</v>
      </c>
      <c r="P45" s="16">
        <v>4.1591762013141818</v>
      </c>
      <c r="Q45" s="16">
        <v>1.29010597099861</v>
      </c>
      <c r="R45" s="16">
        <v>5.3272930139381316</v>
      </c>
      <c r="S45" s="16">
        <v>0.21800566735925031</v>
      </c>
      <c r="T45" s="16">
        <v>6.8164405062779849</v>
      </c>
      <c r="U45" s="16">
        <v>-3.0813219849278255</v>
      </c>
      <c r="V45" s="16">
        <v>6.1140016760474936</v>
      </c>
      <c r="W45" s="16">
        <v>9.8461568480196888</v>
      </c>
      <c r="X45" s="16">
        <v>6.1656637093226152</v>
      </c>
      <c r="Y45" s="16">
        <v>6.4901126551428518</v>
      </c>
      <c r="Z45" s="16">
        <v>3.7749036646337828</v>
      </c>
      <c r="AA45" s="16">
        <v>7.4234102319372681</v>
      </c>
      <c r="AB45" s="16">
        <v>9.1811370495776998</v>
      </c>
      <c r="AC45" s="16">
        <v>13.690019840921593</v>
      </c>
      <c r="AD45" s="16">
        <v>11.896561710396753</v>
      </c>
      <c r="AE45" s="16">
        <v>7.3414334712867912</v>
      </c>
      <c r="AF45" s="16">
        <v>9.8811637958546044</v>
      </c>
      <c r="AG45" s="16">
        <v>9.4461713568777981</v>
      </c>
      <c r="AH45" s="16">
        <v>2.6208591749208949</v>
      </c>
      <c r="AI45" s="16">
        <v>2.4065585719959159</v>
      </c>
      <c r="AJ45" s="16">
        <v>7.7820919916030959</v>
      </c>
      <c r="AK45" s="16">
        <v>12.833209580034733</v>
      </c>
      <c r="AL45" s="16">
        <v>12.581996643602039</v>
      </c>
      <c r="AM45" s="16">
        <v>11.766389146323931</v>
      </c>
      <c r="AN45" s="16">
        <v>9.7549548892425548</v>
      </c>
      <c r="AO45" s="16">
        <v>8.7764298110323722</v>
      </c>
      <c r="AP45" s="16">
        <v>8.124497577263881</v>
      </c>
      <c r="AQ45" s="16">
        <v>6.8160645643784505</v>
      </c>
      <c r="AR45" s="16">
        <v>6.7334856583021434</v>
      </c>
      <c r="AS45" s="16">
        <v>7.6385976762557277</v>
      </c>
      <c r="AT45" s="16">
        <v>7.5516548315811178</v>
      </c>
      <c r="AU45" s="16">
        <v>8.4048799748804157</v>
      </c>
      <c r="AV45" s="16">
        <v>9.3547766438394149</v>
      </c>
      <c r="AW45" s="16">
        <v>9.461558770081794</v>
      </c>
      <c r="AX45" s="16">
        <v>10.741375126566012</v>
      </c>
      <c r="AY45" s="16">
        <v>12.093304694130865</v>
      </c>
      <c r="AZ45" s="19">
        <v>13.635820500755386</v>
      </c>
      <c r="BA45" s="19">
        <v>9.0902801013736081</v>
      </c>
      <c r="BB45" s="19">
        <v>8.8559476757714037</v>
      </c>
      <c r="BC45" s="19">
        <v>10.102832622524886</v>
      </c>
      <c r="BD45" s="19">
        <v>8.9538160417454833</v>
      </c>
      <c r="BE45" s="19">
        <v>7.1345237774397106</v>
      </c>
      <c r="BF45" s="19">
        <v>7.0507341340080245</v>
      </c>
      <c r="BG45" s="19">
        <v>6.7507603158101404</v>
      </c>
      <c r="BH45" s="19">
        <v>6.4207364773118485</v>
      </c>
      <c r="BI45" s="19">
        <v>6.2382154476778453</v>
      </c>
      <c r="BJ45" s="19">
        <v>6.3018631005663082</v>
      </c>
      <c r="BK45" s="19">
        <v>6.2517005557174912</v>
      </c>
      <c r="BL45" s="19">
        <v>5.5753168629431684</v>
      </c>
      <c r="BM45" s="19">
        <v>1.9955580419210577</v>
      </c>
      <c r="BN45" s="19">
        <v>8.3517199539417248</v>
      </c>
      <c r="BO45" s="16">
        <v>3.002576026266766</v>
      </c>
      <c r="BP45" s="16">
        <v>5.3092485342975237</v>
      </c>
    </row>
    <row r="46" spans="1:68" x14ac:dyDescent="0.3">
      <c r="A46" s="16" t="s">
        <v>309</v>
      </c>
      <c r="B46" s="16" t="s">
        <v>411</v>
      </c>
      <c r="C46" s="16" t="s">
        <v>604</v>
      </c>
      <c r="D46" s="16" t="s">
        <v>605</v>
      </c>
      <c r="F46" s="16">
        <v>5.9425632111760081</v>
      </c>
      <c r="G46" s="16">
        <v>-2.5694035800966759</v>
      </c>
      <c r="H46" s="16">
        <v>10.133640746826671</v>
      </c>
      <c r="I46" s="16">
        <v>13.124656763793354</v>
      </c>
      <c r="J46" s="16">
        <v>-6.808570979442635</v>
      </c>
      <c r="K46" s="16">
        <v>7.3182978339434044</v>
      </c>
      <c r="L46" s="16">
        <v>0.60320276339214729</v>
      </c>
      <c r="M46" s="16">
        <v>8.2376966219816836</v>
      </c>
      <c r="N46" s="16">
        <v>5.2652676353311989</v>
      </c>
      <c r="O46" s="16">
        <v>5.9025252147970804</v>
      </c>
      <c r="P46" s="16">
        <v>4.8290540319032544</v>
      </c>
      <c r="Q46" s="16">
        <v>-0.31488462660136918</v>
      </c>
      <c r="R46" s="16">
        <v>1.242918751866867</v>
      </c>
      <c r="S46" s="16">
        <v>-0.31714586677396994</v>
      </c>
      <c r="T46" s="16">
        <v>3.4347508911278624</v>
      </c>
      <c r="U46" s="16">
        <v>8.3522934112220355</v>
      </c>
      <c r="V46" s="16">
        <v>3.3608751805468842</v>
      </c>
      <c r="W46" s="16">
        <v>6.8060082646584732</v>
      </c>
      <c r="X46" s="16">
        <v>-1.3901697253837284</v>
      </c>
      <c r="Y46" s="16">
        <v>-14.254418122923298</v>
      </c>
      <c r="Z46" s="16">
        <v>-0.31474616647773246</v>
      </c>
      <c r="AA46" s="16">
        <v>-3.4552944410631454</v>
      </c>
      <c r="AB46" s="16">
        <v>-7.3575250723805823</v>
      </c>
      <c r="AC46" s="16">
        <v>-6.1330693076128</v>
      </c>
      <c r="AD46" s="16">
        <v>0.90736884425119513</v>
      </c>
      <c r="AE46" s="16">
        <v>-0.19982699776241475</v>
      </c>
      <c r="AF46" s="16">
        <v>-3.6576661164917823</v>
      </c>
      <c r="AG46" s="16">
        <v>-2.3408633268972636</v>
      </c>
      <c r="AH46" s="16">
        <v>-0.82174468158682146</v>
      </c>
      <c r="AI46" s="16">
        <v>-4.8127150964077146</v>
      </c>
      <c r="AJ46" s="16">
        <v>-3.6692110993106297</v>
      </c>
      <c r="AK46" s="16">
        <v>-3.8891038169380607</v>
      </c>
      <c r="AL46" s="16">
        <v>-3.7761258960533439</v>
      </c>
      <c r="AM46" s="16">
        <v>-2.7373227280400556</v>
      </c>
      <c r="AN46" s="16">
        <v>3.3991809478478956</v>
      </c>
      <c r="AO46" s="16">
        <v>4.0109100382745169</v>
      </c>
      <c r="AP46" s="16">
        <v>5.8986029891400165</v>
      </c>
      <c r="AQ46" s="16">
        <v>0.82194573591019093</v>
      </c>
      <c r="AR46" s="16">
        <v>-1.846652083618153</v>
      </c>
      <c r="AS46" s="16">
        <v>-2.959710897695004</v>
      </c>
      <c r="AT46" s="16">
        <v>-4.6833463157314839</v>
      </c>
      <c r="AU46" s="16">
        <v>-5.142085307200432</v>
      </c>
      <c r="AV46" s="16">
        <v>-7.0006613297489224</v>
      </c>
      <c r="AW46" s="16">
        <v>0.80110362130226065</v>
      </c>
      <c r="AX46" s="16">
        <v>-1.2682650522478269</v>
      </c>
      <c r="AY46" s="16">
        <v>0.5686242568825719</v>
      </c>
      <c r="AZ46" s="19">
        <v>-1.0598156344669718</v>
      </c>
      <c r="BA46" s="19">
        <v>2.5738680053685243</v>
      </c>
      <c r="BB46" s="19">
        <v>1.4322613678918259</v>
      </c>
      <c r="BC46" s="19">
        <v>4.610518086953391</v>
      </c>
      <c r="BD46" s="19">
        <v>-7.3140054849593241</v>
      </c>
      <c r="BE46" s="19">
        <v>5.4309230670437785</v>
      </c>
      <c r="BF46" s="19">
        <v>8.4998030326498935</v>
      </c>
      <c r="BG46" s="19">
        <v>6.8688613256715882</v>
      </c>
      <c r="BH46" s="19">
        <v>4.4638899616383299</v>
      </c>
      <c r="BI46" s="19">
        <v>4.442361058995175</v>
      </c>
      <c r="BJ46" s="19">
        <v>4.6684612611049801</v>
      </c>
      <c r="BK46" s="19">
        <v>2.1866084962457961</v>
      </c>
      <c r="BL46" s="19">
        <v>4.0538507354068543</v>
      </c>
      <c r="BM46" s="19">
        <v>-1.7950204339836375</v>
      </c>
      <c r="BN46" s="19">
        <v>4.4666090837319814</v>
      </c>
      <c r="BO46" s="16">
        <v>3.6443316902189622</v>
      </c>
      <c r="BP46" s="16">
        <v>3.9069748032714529</v>
      </c>
    </row>
    <row r="47" spans="1:68" x14ac:dyDescent="0.3">
      <c r="A47" s="16" t="s">
        <v>60</v>
      </c>
      <c r="B47" s="16" t="s">
        <v>412</v>
      </c>
      <c r="C47" s="16" t="s">
        <v>604</v>
      </c>
      <c r="D47" s="16" t="s">
        <v>605</v>
      </c>
      <c r="F47" s="16">
        <v>-0.4263335122541605</v>
      </c>
      <c r="G47" s="16">
        <v>1.0310616056527238</v>
      </c>
      <c r="H47" s="16">
        <v>1.3786967609476903</v>
      </c>
      <c r="I47" s="16">
        <v>1.1487055765622642</v>
      </c>
      <c r="J47" s="16">
        <v>-0.37442704978734298</v>
      </c>
      <c r="K47" s="16">
        <v>2.1116605927991259</v>
      </c>
      <c r="L47" s="16">
        <v>-13.08156003670311</v>
      </c>
      <c r="M47" s="16">
        <v>3.7063035482044029</v>
      </c>
      <c r="N47" s="16">
        <v>2.247516641259125</v>
      </c>
      <c r="O47" s="16">
        <v>0.43112507478267048</v>
      </c>
      <c r="P47" s="16">
        <v>0.7540741568064675</v>
      </c>
      <c r="Q47" s="16">
        <v>-7.2150225380923416E-2</v>
      </c>
      <c r="R47" s="16">
        <v>2.507232338905979</v>
      </c>
      <c r="S47" s="16">
        <v>7.7174691935100128</v>
      </c>
      <c r="T47" s="16">
        <v>8.1964813717289218</v>
      </c>
      <c r="U47" s="16">
        <v>-7.9903535757685091</v>
      </c>
      <c r="V47" s="16">
        <v>10.83982628166919</v>
      </c>
      <c r="W47" s="16">
        <v>18.707470295057433</v>
      </c>
      <c r="X47" s="16">
        <v>3.0753525563536925</v>
      </c>
      <c r="Y47" s="16">
        <v>-5.1470189154600376</v>
      </c>
      <c r="Z47" s="16">
        <v>12.982927575783251</v>
      </c>
      <c r="AA47" s="16">
        <v>4.9261835464867119</v>
      </c>
      <c r="AB47" s="16">
        <v>4.6268842774890118</v>
      </c>
      <c r="AC47" s="16">
        <v>4.4465438247629265</v>
      </c>
      <c r="AD47" s="16">
        <v>4.8041122937535476</v>
      </c>
      <c r="AE47" s="16">
        <v>3.5149131981341952</v>
      </c>
      <c r="AF47" s="16">
        <v>-5.1589271123969667</v>
      </c>
      <c r="AG47" s="16">
        <v>-10.613602675605776</v>
      </c>
      <c r="AH47" s="16">
        <v>-4.7377408390997857</v>
      </c>
      <c r="AI47" s="16">
        <v>-8.9092391825957264</v>
      </c>
      <c r="AJ47" s="16">
        <v>-6.6442552503332593</v>
      </c>
      <c r="AK47" s="16">
        <v>-5.9033559605149577</v>
      </c>
      <c r="AL47" s="16">
        <v>-10.572931403770056</v>
      </c>
      <c r="AM47" s="16">
        <v>-0.99414323487009426</v>
      </c>
      <c r="AN47" s="16">
        <v>6.858526616579752E-2</v>
      </c>
      <c r="AO47" s="16">
        <v>1.4231958897724439</v>
      </c>
      <c r="AP47" s="16">
        <v>1.7842140652581122</v>
      </c>
      <c r="AQ47" s="16">
        <v>1.9936106235412439</v>
      </c>
      <c r="AR47" s="16">
        <v>1.7783630799548291</v>
      </c>
      <c r="AS47" s="16">
        <v>1.1311267506418261</v>
      </c>
      <c r="AT47" s="16">
        <v>1.6196788539419202</v>
      </c>
      <c r="AU47" s="16">
        <v>1.7145691115615875</v>
      </c>
      <c r="AV47" s="16">
        <v>2.614132050311909</v>
      </c>
      <c r="AW47" s="16">
        <v>4.1507294376534247</v>
      </c>
      <c r="AX47" s="16">
        <v>-0.52795420357286105</v>
      </c>
      <c r="AY47" s="16">
        <v>1.0249935892583437</v>
      </c>
      <c r="AZ47" s="19">
        <v>1.4665444946195976</v>
      </c>
      <c r="BA47" s="19">
        <v>-2.9081450677409748E-2</v>
      </c>
      <c r="BB47" s="19">
        <v>-0.29962204876852638</v>
      </c>
      <c r="BC47" s="19">
        <v>6.5827892668011145E-3</v>
      </c>
      <c r="BD47" s="19">
        <v>0.49334667861830894</v>
      </c>
      <c r="BE47" s="19">
        <v>1.7218416531545699</v>
      </c>
      <c r="BF47" s="19">
        <v>2.0826098393218047</v>
      </c>
      <c r="BG47" s="19">
        <v>2.5589026863079596</v>
      </c>
      <c r="BH47" s="19">
        <v>2.3927974134520156</v>
      </c>
      <c r="BI47" s="19">
        <v>1.4542326740102993</v>
      </c>
      <c r="BJ47" s="19">
        <v>0.6482126337164118</v>
      </c>
      <c r="BK47" s="19">
        <v>1.1217952144297243</v>
      </c>
      <c r="BL47" s="19">
        <v>0.64322320371064734</v>
      </c>
      <c r="BM47" s="19">
        <v>-2.4224344182237161</v>
      </c>
      <c r="BN47" s="19">
        <v>0.65061604452705524</v>
      </c>
      <c r="BO47" s="16">
        <v>0.92626810230112255</v>
      </c>
      <c r="BP47" s="16">
        <v>1.3333865514547654</v>
      </c>
    </row>
    <row r="48" spans="1:68" x14ac:dyDescent="0.3">
      <c r="A48" s="16" t="s">
        <v>414</v>
      </c>
      <c r="B48" s="16" t="s">
        <v>413</v>
      </c>
      <c r="C48" s="16" t="s">
        <v>604</v>
      </c>
      <c r="D48" s="16" t="s">
        <v>605</v>
      </c>
      <c r="F48" s="16">
        <v>-13.107927867665907</v>
      </c>
      <c r="G48" s="16">
        <v>18.090453409777211</v>
      </c>
      <c r="H48" s="16">
        <v>2.4628644866588871</v>
      </c>
      <c r="I48" s="16">
        <v>-5.0155798594973504</v>
      </c>
      <c r="J48" s="16">
        <v>-1.7386502676580022</v>
      </c>
      <c r="K48" s="16">
        <v>3.7791340874943131</v>
      </c>
      <c r="L48" s="16">
        <v>-3.8286142700513892</v>
      </c>
      <c r="M48" s="16">
        <v>1.3123547675976113</v>
      </c>
      <c r="N48" s="16">
        <v>6.2006555081792953</v>
      </c>
      <c r="O48" s="16">
        <v>-3.0597851337090276</v>
      </c>
      <c r="P48" s="16">
        <v>3.1328040905964798</v>
      </c>
      <c r="Q48" s="16">
        <v>-2.487388709416166</v>
      </c>
      <c r="R48" s="16">
        <v>5.2648665231074858</v>
      </c>
      <c r="S48" s="16">
        <v>0.39934354072461531</v>
      </c>
      <c r="T48" s="16">
        <v>-7.4724265746054783</v>
      </c>
      <c r="U48" s="16">
        <v>-7.7200121913695199</v>
      </c>
      <c r="V48" s="16">
        <v>-1.7376075582416917</v>
      </c>
      <c r="W48" s="16">
        <v>-8.2164248131188486</v>
      </c>
      <c r="X48" s="16">
        <v>-3.0109855931266196</v>
      </c>
      <c r="Y48" s="16">
        <v>-0.88878566759478872</v>
      </c>
      <c r="Z48" s="16">
        <v>-0.44177967861050149</v>
      </c>
      <c r="AA48" s="16">
        <v>-3.1436168545566687</v>
      </c>
      <c r="AB48" s="16">
        <v>-1.3362589419921846</v>
      </c>
      <c r="AC48" s="16">
        <v>2.4515557070092626</v>
      </c>
      <c r="AD48" s="16">
        <v>-2.5337809611962143</v>
      </c>
      <c r="AE48" s="16">
        <v>1.6637345402589432</v>
      </c>
      <c r="AF48" s="16">
        <v>-0.42366247451749928</v>
      </c>
      <c r="AG48" s="16">
        <v>-2.6180823577216756</v>
      </c>
      <c r="AH48" s="16">
        <v>-4.3161329249682581</v>
      </c>
      <c r="AI48" s="16">
        <v>-9.5842133894547601</v>
      </c>
      <c r="AJ48" s="16">
        <v>-11.393525421991342</v>
      </c>
      <c r="AK48" s="16">
        <v>-13.155871634332371</v>
      </c>
      <c r="AL48" s="16">
        <v>-16.19859123976191</v>
      </c>
      <c r="AM48" s="16">
        <v>-8.3705769566293924</v>
      </c>
      <c r="AN48" s="16">
        <v>-3.4265807705248505</v>
      </c>
      <c r="AO48" s="16">
        <v>-2.8917581685922897</v>
      </c>
      <c r="AP48" s="16">
        <v>-7.0983967436742859</v>
      </c>
      <c r="AQ48" s="16">
        <v>-3.9248000344886123</v>
      </c>
      <c r="AR48" s="16">
        <v>-6.969532094988665</v>
      </c>
      <c r="AS48" s="16">
        <v>-9.5706943242541058</v>
      </c>
      <c r="AT48" s="16">
        <v>-5.012042163036881</v>
      </c>
      <c r="AU48" s="16">
        <v>-0.15173106453532625</v>
      </c>
      <c r="AV48" s="16">
        <v>2.5148659952983081</v>
      </c>
      <c r="AW48" s="16">
        <v>3.6034024203934365</v>
      </c>
      <c r="AX48" s="16">
        <v>2.8795282649237635</v>
      </c>
      <c r="AY48" s="16">
        <v>2.0171483514662469</v>
      </c>
      <c r="AZ48" s="19">
        <v>2.8970142528967671</v>
      </c>
      <c r="BA48" s="19">
        <v>2.8807415578669691</v>
      </c>
      <c r="BB48" s="19">
        <v>-0.37846219954546712</v>
      </c>
      <c r="BC48" s="19">
        <v>3.6861601156026751</v>
      </c>
      <c r="BD48" s="19">
        <v>3.3518213098953993</v>
      </c>
      <c r="BE48" s="19">
        <v>3.5520187670966976</v>
      </c>
      <c r="BF48" s="19">
        <v>4.8459794831066176</v>
      </c>
      <c r="BG48" s="19">
        <v>5.7621815543975146</v>
      </c>
      <c r="BH48" s="19">
        <v>3.3530843473903502</v>
      </c>
      <c r="BI48" s="19">
        <v>-1.0889960238774563</v>
      </c>
      <c r="BJ48" s="19">
        <v>0.21664309460784636</v>
      </c>
      <c r="BK48" s="19">
        <v>2.4138399749452901</v>
      </c>
      <c r="BL48" s="19">
        <v>1.1109662739281703</v>
      </c>
      <c r="BM48" s="19">
        <v>-1.4926894273680631</v>
      </c>
      <c r="BN48" s="19">
        <v>2.8323793247288194</v>
      </c>
      <c r="BO48" s="16">
        <v>5.4963283352740433</v>
      </c>
      <c r="BP48" s="16">
        <v>5.107949039767945</v>
      </c>
    </row>
    <row r="49" spans="1:68" x14ac:dyDescent="0.3">
      <c r="A49" s="16" t="s">
        <v>620</v>
      </c>
      <c r="B49" s="16" t="s">
        <v>621</v>
      </c>
      <c r="C49" s="16" t="s">
        <v>604</v>
      </c>
      <c r="D49" s="16" t="s">
        <v>605</v>
      </c>
      <c r="F49" s="16">
        <v>5.5767314648862794</v>
      </c>
      <c r="G49" s="16">
        <v>2.467431606353216</v>
      </c>
      <c r="H49" s="16">
        <v>-6.5702645187302693</v>
      </c>
      <c r="I49" s="16">
        <v>1.0169487709378586</v>
      </c>
      <c r="J49" s="16">
        <v>0.83058814428034111</v>
      </c>
      <c r="K49" s="16">
        <v>-1.4729286694682457</v>
      </c>
      <c r="L49" s="16">
        <v>-0.77519777488009822</v>
      </c>
      <c r="M49" s="16">
        <v>4.5386214940090923</v>
      </c>
      <c r="N49" s="16">
        <v>4.4094894696049778</v>
      </c>
      <c r="O49" s="16">
        <v>3.2148940857805002</v>
      </c>
      <c r="P49" s="16">
        <v>4.523046277088639</v>
      </c>
      <c r="Q49" s="16">
        <v>5.3183071993151714</v>
      </c>
      <c r="R49" s="16">
        <v>4.9254119306601893</v>
      </c>
      <c r="S49" s="16">
        <v>4.5941617837311952</v>
      </c>
      <c r="T49" s="16">
        <v>4.771014129352551</v>
      </c>
      <c r="U49" s="16">
        <v>-1.5367875140627376</v>
      </c>
      <c r="V49" s="16">
        <v>-11.128655236596529</v>
      </c>
      <c r="W49" s="16">
        <v>3.862323992140503</v>
      </c>
      <c r="X49" s="16">
        <v>7.2947677268493436</v>
      </c>
      <c r="Y49" s="16">
        <v>14.997515592772174</v>
      </c>
      <c r="Z49" s="16">
        <v>15.02378085839868</v>
      </c>
      <c r="AA49" s="16">
        <v>20.940745814030024</v>
      </c>
      <c r="AB49" s="16">
        <v>3.672890194774169</v>
      </c>
      <c r="AC49" s="16">
        <v>4.3100366105774128</v>
      </c>
      <c r="AD49" s="16">
        <v>-4.0992766606836426</v>
      </c>
      <c r="AE49" s="16">
        <v>-9.5926540485427125</v>
      </c>
      <c r="AF49" s="16">
        <v>-2.7307653853993514</v>
      </c>
      <c r="AG49" s="16">
        <v>-1.154936717036577</v>
      </c>
      <c r="AH49" s="16">
        <v>-0.31291473057444819</v>
      </c>
      <c r="AI49" s="16">
        <v>-1.8053791988368033</v>
      </c>
      <c r="AJ49" s="16">
        <v>-0.41179799231929337</v>
      </c>
      <c r="AK49" s="16">
        <v>-0.16741266747487771</v>
      </c>
      <c r="AL49" s="16">
        <v>-3.7741349914696372</v>
      </c>
      <c r="AM49" s="16">
        <v>-8.1503815048325663</v>
      </c>
      <c r="AN49" s="16">
        <v>1.2138703320962776</v>
      </c>
      <c r="AO49" s="16">
        <v>1.5398827991841273</v>
      </c>
      <c r="AP49" s="16">
        <v>-2.6448504085327613</v>
      </c>
      <c r="AQ49" s="16">
        <v>1.5432231282307356</v>
      </c>
      <c r="AR49" s="16">
        <v>-5.1492887197204169</v>
      </c>
      <c r="AS49" s="16">
        <v>3.547205815897513</v>
      </c>
      <c r="AT49" s="16">
        <v>-2.7544188103561851E-2</v>
      </c>
      <c r="AU49" s="16">
        <v>2.1626617373476336</v>
      </c>
      <c r="AV49" s="16">
        <v>-1.9389961161344047</v>
      </c>
      <c r="AW49" s="16">
        <v>1.9857937645141988E-2</v>
      </c>
      <c r="AX49" s="16">
        <v>3.946823459562836</v>
      </c>
      <c r="AY49" s="16">
        <v>4.0079919073684636</v>
      </c>
      <c r="AZ49" s="19">
        <v>-9.9895379048449229</v>
      </c>
      <c r="BA49" s="19">
        <v>2.8420364815554962</v>
      </c>
      <c r="BB49" s="19">
        <v>7.2415819213145483</v>
      </c>
      <c r="BC49" s="19">
        <v>5.4562672504797121</v>
      </c>
      <c r="BD49" s="19">
        <v>-1.0565788685004236</v>
      </c>
      <c r="BE49" s="19">
        <v>6.9369861627841516</v>
      </c>
      <c r="BF49" s="19">
        <v>-3.0734432104589757</v>
      </c>
      <c r="BG49" s="19">
        <v>4.1271417814054701</v>
      </c>
      <c r="BH49" s="19">
        <v>-1.9547143570292462</v>
      </c>
      <c r="BI49" s="19">
        <v>-10.840781426121566</v>
      </c>
      <c r="BJ49" s="19">
        <v>-7.825309863654212</v>
      </c>
      <c r="BK49" s="19">
        <v>-4.615554762716755</v>
      </c>
      <c r="BL49" s="19">
        <v>-1.2294164026085355</v>
      </c>
      <c r="BM49" s="19">
        <v>-8.4284025212106712</v>
      </c>
      <c r="BN49" s="19">
        <v>-1.2980340617502293</v>
      </c>
      <c r="BO49" s="16">
        <v>-0.81265716304017133</v>
      </c>
      <c r="BP49" s="16">
        <v>-0.37002788771974338</v>
      </c>
    </row>
    <row r="50" spans="1:68" x14ac:dyDescent="0.3">
      <c r="A50" s="16" t="s">
        <v>71</v>
      </c>
      <c r="B50" s="16" t="s">
        <v>415</v>
      </c>
      <c r="C50" s="16" t="s">
        <v>604</v>
      </c>
      <c r="D50" s="16" t="s">
        <v>605</v>
      </c>
      <c r="F50" s="16">
        <v>1.8764473715372674</v>
      </c>
      <c r="G50" s="16">
        <v>2.1981917414534422</v>
      </c>
      <c r="H50" s="16">
        <v>0.16803033117565747</v>
      </c>
      <c r="I50" s="16">
        <v>3.0022488346492509</v>
      </c>
      <c r="J50" s="16">
        <v>0.56125086701580074</v>
      </c>
      <c r="K50" s="16">
        <v>2.2404656167624353</v>
      </c>
      <c r="L50" s="16">
        <v>1.2679519314866496</v>
      </c>
      <c r="M50" s="16">
        <v>3.1156519728216665</v>
      </c>
      <c r="N50" s="16">
        <v>3.3981608675404971</v>
      </c>
      <c r="O50" s="16">
        <v>3.6015842951613024</v>
      </c>
      <c r="P50" s="16">
        <v>3.484848983857745</v>
      </c>
      <c r="Q50" s="16">
        <v>5.246907569911528</v>
      </c>
      <c r="R50" s="16">
        <v>4.3486316669496716</v>
      </c>
      <c r="S50" s="16">
        <v>3.4295112047032461</v>
      </c>
      <c r="T50" s="16">
        <v>0.11158903373242879</v>
      </c>
      <c r="U50" s="16">
        <v>2.4979870754819018</v>
      </c>
      <c r="V50" s="16">
        <v>1.8961745026433192</v>
      </c>
      <c r="W50" s="16">
        <v>6.0419052043734922</v>
      </c>
      <c r="X50" s="16">
        <v>3.0073463072639157</v>
      </c>
      <c r="Y50" s="16">
        <v>1.7139442872063029</v>
      </c>
      <c r="Z50" s="16">
        <v>-5.1475993432205769E-2</v>
      </c>
      <c r="AA50" s="16">
        <v>-1.3324779923683678</v>
      </c>
      <c r="AB50" s="16">
        <v>-0.73385236365946582</v>
      </c>
      <c r="AC50" s="16">
        <v>1.0209712128106361</v>
      </c>
      <c r="AD50" s="16">
        <v>0.86669998413317728</v>
      </c>
      <c r="AE50" s="16">
        <v>3.5852439571851988</v>
      </c>
      <c r="AF50" s="16">
        <v>3.1552102072517556</v>
      </c>
      <c r="AG50" s="16">
        <v>1.8878556572511798</v>
      </c>
      <c r="AH50" s="16">
        <v>1.2553432690044275</v>
      </c>
      <c r="AI50" s="16">
        <v>2.1123985008656803</v>
      </c>
      <c r="AJ50" s="16">
        <v>-5.6151384987558117E-2</v>
      </c>
      <c r="AK50" s="16">
        <v>2.0019521625600873</v>
      </c>
      <c r="AL50" s="16">
        <v>3.3282368896094994</v>
      </c>
      <c r="AM50" s="16">
        <v>3.7738671562845809</v>
      </c>
      <c r="AN50" s="16">
        <v>3.2293051710122285</v>
      </c>
      <c r="AO50" s="16">
        <v>0.21025281689415465</v>
      </c>
      <c r="AP50" s="16">
        <v>1.6015035409124181</v>
      </c>
      <c r="AQ50" s="16">
        <v>-1.1595499285465536</v>
      </c>
      <c r="AR50" s="16">
        <v>-5.7944953635730343</v>
      </c>
      <c r="AS50" s="16">
        <v>1.2710826265022206</v>
      </c>
      <c r="AT50" s="16">
        <v>8.8483852605605762E-2</v>
      </c>
      <c r="AU50" s="16">
        <v>0.94269327374432521</v>
      </c>
      <c r="AV50" s="16">
        <v>2.3904480417190825</v>
      </c>
      <c r="AW50" s="16">
        <v>3.8393781661118567</v>
      </c>
      <c r="AX50" s="16">
        <v>3.4068956475868077</v>
      </c>
      <c r="AY50" s="16">
        <v>5.3397234442286816</v>
      </c>
      <c r="AZ50" s="19">
        <v>5.4228476187929289</v>
      </c>
      <c r="BA50" s="19">
        <v>2.0842423630240745</v>
      </c>
      <c r="BB50" s="19">
        <v>1.6622794089613535E-3</v>
      </c>
      <c r="BC50" s="19">
        <v>3.3237345057119683</v>
      </c>
      <c r="BD50" s="19">
        <v>5.7846997656198766</v>
      </c>
      <c r="BE50" s="19">
        <v>2.8378890262192158</v>
      </c>
      <c r="BF50" s="19">
        <v>4.098265908658874</v>
      </c>
      <c r="BG50" s="19">
        <v>3.5139534791281903</v>
      </c>
      <c r="BH50" s="19">
        <v>1.990616493633496</v>
      </c>
      <c r="BI50" s="19">
        <v>1.0022727252118955</v>
      </c>
      <c r="BJ50" s="19">
        <v>-0.1619538749184386</v>
      </c>
      <c r="BK50" s="19">
        <v>0.63843961599310717</v>
      </c>
      <c r="BL50" s="19">
        <v>1.3149523784246071</v>
      </c>
      <c r="BM50" s="19">
        <v>-8.5403953772543275</v>
      </c>
      <c r="BN50" s="19">
        <v>9.5410515599769354</v>
      </c>
      <c r="BO50" s="16">
        <v>6.549560116106008</v>
      </c>
      <c r="BP50" s="16">
        <v>0.20431744779860139</v>
      </c>
    </row>
    <row r="51" spans="1:68" x14ac:dyDescent="0.3">
      <c r="A51" s="16" t="s">
        <v>72</v>
      </c>
      <c r="B51" s="16" t="s">
        <v>416</v>
      </c>
      <c r="C51" s="16" t="s">
        <v>604</v>
      </c>
      <c r="D51" s="16" t="s">
        <v>605</v>
      </c>
      <c r="Z51" s="16">
        <v>0.8969732313318417</v>
      </c>
      <c r="AA51" s="16">
        <v>3.6039791700470829</v>
      </c>
      <c r="AB51" s="16">
        <v>2.1477183997863989</v>
      </c>
      <c r="AC51" s="16">
        <v>1.3978130388492076</v>
      </c>
      <c r="AD51" s="16">
        <v>-0.43897357209367271</v>
      </c>
      <c r="AE51" s="16">
        <v>-0.88127347939823153</v>
      </c>
      <c r="AF51" s="16">
        <v>-1.1328260613003494</v>
      </c>
      <c r="AG51" s="16">
        <v>-0.12672838095465977</v>
      </c>
      <c r="AH51" s="16">
        <v>-5.8371321989300782</v>
      </c>
      <c r="AI51" s="16">
        <v>2.2794201584220133</v>
      </c>
      <c r="AJ51" s="16">
        <v>-7.7823664623469568</v>
      </c>
      <c r="AK51" s="16">
        <v>5.9642752204974556</v>
      </c>
      <c r="AL51" s="16">
        <v>0.709913518708845</v>
      </c>
      <c r="AM51" s="16">
        <v>-7.3093756094516067</v>
      </c>
      <c r="AN51" s="16">
        <v>1.4080397735370553</v>
      </c>
      <c r="AO51" s="16">
        <v>-3.3941091730702766</v>
      </c>
      <c r="AP51" s="16">
        <v>1.8168250314629262</v>
      </c>
      <c r="AQ51" s="16">
        <v>-0.86225301103229413</v>
      </c>
      <c r="AR51" s="16">
        <v>-0.10539413631059347</v>
      </c>
      <c r="AS51" s="16">
        <v>8.7176898384016681</v>
      </c>
      <c r="AT51" s="16">
        <v>0.28098416982366814</v>
      </c>
      <c r="AU51" s="16">
        <v>0.25555565690898163</v>
      </c>
      <c r="AV51" s="16">
        <v>0.11903096877630048</v>
      </c>
      <c r="AW51" s="16">
        <v>-1.3669963839348043E-2</v>
      </c>
      <c r="AX51" s="16">
        <v>0.83712928289519084</v>
      </c>
      <c r="AY51" s="16">
        <v>0.61407524972341321</v>
      </c>
      <c r="AZ51" s="19">
        <v>-1.2001121631990515</v>
      </c>
      <c r="BA51" s="19">
        <v>1.8883579482883022</v>
      </c>
      <c r="BB51" s="19">
        <v>1.1481044403955281</v>
      </c>
      <c r="BC51" s="19">
        <v>1.6372704236334812</v>
      </c>
      <c r="BD51" s="19">
        <v>1.9602994845660362</v>
      </c>
      <c r="BE51" s="19">
        <v>0.98583976607993407</v>
      </c>
      <c r="BF51" s="19">
        <v>2.2496407571648973</v>
      </c>
      <c r="BG51" s="19">
        <v>-6.7894785645151501E-2</v>
      </c>
      <c r="BH51" s="19">
        <v>-1.0140689575640209</v>
      </c>
      <c r="BI51" s="19">
        <v>1.1029320734164116</v>
      </c>
      <c r="BJ51" s="19">
        <v>1.7123618329055006</v>
      </c>
      <c r="BK51" s="19">
        <v>1.686721597542757</v>
      </c>
      <c r="BL51" s="19">
        <v>-0.12690921222532836</v>
      </c>
      <c r="BM51" s="19">
        <v>-2.0748613963872344</v>
      </c>
      <c r="BN51" s="19">
        <v>0.19093900440189771</v>
      </c>
      <c r="BO51" s="16">
        <v>0.5340466307951317</v>
      </c>
      <c r="BP51" s="16">
        <v>0.85685518078007306</v>
      </c>
    </row>
    <row r="52" spans="1:68" x14ac:dyDescent="0.3">
      <c r="A52" s="16" t="s">
        <v>62</v>
      </c>
      <c r="B52" s="16" t="s">
        <v>417</v>
      </c>
      <c r="C52" s="16" t="s">
        <v>604</v>
      </c>
      <c r="D52" s="16" t="s">
        <v>605</v>
      </c>
      <c r="Z52" s="16">
        <v>6.9679292305930574</v>
      </c>
      <c r="AA52" s="16">
        <v>1.348759114977554</v>
      </c>
      <c r="AB52" s="16">
        <v>7.9813685746193102</v>
      </c>
      <c r="AC52" s="16">
        <v>2.390513933147048</v>
      </c>
      <c r="AD52" s="16">
        <v>7.2352893235943583</v>
      </c>
      <c r="AE52" s="16">
        <v>1.5575899246536693</v>
      </c>
      <c r="AF52" s="16">
        <v>2.978870258853064</v>
      </c>
      <c r="AG52" s="16">
        <v>4.6420103795834535</v>
      </c>
      <c r="AH52" s="16">
        <v>4.2468344230371997</v>
      </c>
      <c r="AI52" s="16">
        <v>-1.0790964612554319</v>
      </c>
      <c r="AJ52" s="16">
        <v>-0.81535508908235954</v>
      </c>
      <c r="AK52" s="16">
        <v>8.2579277323337408</v>
      </c>
      <c r="AL52" s="16">
        <v>5.9883075070528662</v>
      </c>
      <c r="AM52" s="16">
        <v>16.243245264273256</v>
      </c>
      <c r="AN52" s="16">
        <v>11.511137475081739</v>
      </c>
      <c r="AO52" s="16">
        <v>8.8009369216029825</v>
      </c>
      <c r="AP52" s="16">
        <v>8.629282903580517</v>
      </c>
      <c r="AQ52" s="16">
        <v>10.073780465274467</v>
      </c>
      <c r="AR52" s="16">
        <v>8.8941877663102815</v>
      </c>
      <c r="AS52" s="16">
        <v>12.134098396320198</v>
      </c>
      <c r="AT52" s="16">
        <v>0.54073098226280081</v>
      </c>
      <c r="AU52" s="16">
        <v>3.6333096259659072</v>
      </c>
      <c r="AV52" s="16">
        <v>2.6881169470655664</v>
      </c>
      <c r="AW52" s="16">
        <v>8.7263681709984127</v>
      </c>
      <c r="AX52" s="16">
        <v>5.5579027329858661</v>
      </c>
      <c r="AY52" s="16">
        <v>6.6727090506251869</v>
      </c>
      <c r="AZ52" s="19">
        <v>13.836054902289604</v>
      </c>
      <c r="BA52" s="19">
        <v>5.8638255743039167</v>
      </c>
      <c r="BB52" s="19">
        <v>-2.5163669750991602</v>
      </c>
      <c r="BC52" s="19">
        <v>0.74734944248410784</v>
      </c>
      <c r="BD52" s="19">
        <v>2.6818083629536886</v>
      </c>
      <c r="BE52" s="19">
        <v>-0.11735698267268901</v>
      </c>
      <c r="BF52" s="19">
        <v>-0.50028699146436395</v>
      </c>
      <c r="BG52" s="19">
        <v>-0.43481439643267095</v>
      </c>
      <c r="BH52" s="19">
        <v>-0.17722639337041812</v>
      </c>
      <c r="BI52" s="19">
        <v>3.1176287405622531</v>
      </c>
      <c r="BJ52" s="19">
        <v>3.3373104397547309</v>
      </c>
      <c r="BK52" s="19">
        <v>2.5725828731526263</v>
      </c>
      <c r="BL52" s="19">
        <v>5.8676538350649139</v>
      </c>
      <c r="BM52" s="19">
        <v>-21.567809215440334</v>
      </c>
      <c r="BN52" s="19">
        <v>6.0713798177709322</v>
      </c>
      <c r="BO52" s="16">
        <v>16.404766389666037</v>
      </c>
      <c r="BP52" s="16">
        <v>4.1773498986457582</v>
      </c>
    </row>
    <row r="53" spans="1:68" x14ac:dyDescent="0.3">
      <c r="A53" s="16" t="s">
        <v>75</v>
      </c>
      <c r="B53" s="16" t="s">
        <v>418</v>
      </c>
      <c r="C53" s="16" t="s">
        <v>604</v>
      </c>
      <c r="D53" s="16" t="s">
        <v>605</v>
      </c>
      <c r="F53" s="16">
        <v>-1.7573665451509015</v>
      </c>
      <c r="G53" s="16">
        <v>1.7334936217276748</v>
      </c>
      <c r="H53" s="16">
        <v>3.2175672328137637</v>
      </c>
      <c r="I53" s="16">
        <v>0.18200095239460268</v>
      </c>
      <c r="J53" s="16">
        <v>4.675275098222258</v>
      </c>
      <c r="K53" s="16">
        <v>3.6151395012487058</v>
      </c>
      <c r="L53" s="16">
        <v>2.464450705929778</v>
      </c>
      <c r="M53" s="16">
        <v>5.3685050391026863</v>
      </c>
      <c r="N53" s="16">
        <v>2.5924764273306096</v>
      </c>
      <c r="O53" s="16">
        <v>4.622263507346446</v>
      </c>
      <c r="P53" s="16">
        <v>3.9884586841860283</v>
      </c>
      <c r="Q53" s="16">
        <v>5.4087426736771533</v>
      </c>
      <c r="R53" s="16">
        <v>4.9869967103940667</v>
      </c>
      <c r="S53" s="16">
        <v>2.8789904807691187</v>
      </c>
      <c r="T53" s="16">
        <v>-0.49201423560545265</v>
      </c>
      <c r="U53" s="16">
        <v>2.8063413634889827</v>
      </c>
      <c r="V53" s="16">
        <v>6.0622116556945116</v>
      </c>
      <c r="W53" s="16">
        <v>3.4518053140553064</v>
      </c>
      <c r="X53" s="16">
        <v>2.1228296666955941</v>
      </c>
      <c r="Y53" s="16">
        <v>-1.9625141121774732</v>
      </c>
      <c r="Z53" s="16">
        <v>-4.9019687298174546</v>
      </c>
      <c r="AA53" s="16">
        <v>-9.8097561093323122</v>
      </c>
      <c r="AB53" s="16">
        <v>4.8679873272902796E-2</v>
      </c>
      <c r="AC53" s="16">
        <v>5.0725761287574187</v>
      </c>
      <c r="AD53" s="16">
        <v>-2.0136359091017368</v>
      </c>
      <c r="AE53" s="16">
        <v>2.7055206826373706</v>
      </c>
      <c r="AF53" s="16">
        <v>2.0153461713659908</v>
      </c>
      <c r="AG53" s="16">
        <v>0.78329888874124265</v>
      </c>
      <c r="AH53" s="16">
        <v>3.0049371976221124</v>
      </c>
      <c r="AI53" s="16">
        <v>0.95454216496398203</v>
      </c>
      <c r="AJ53" s="16">
        <v>-0.29653151327701721</v>
      </c>
      <c r="AK53" s="16">
        <v>6.4882841800941691</v>
      </c>
      <c r="AL53" s="16">
        <v>4.4732664578500874</v>
      </c>
      <c r="AM53" s="16">
        <v>2.0093629362075234</v>
      </c>
      <c r="AN53" s="16">
        <v>1.7138596088915818</v>
      </c>
      <c r="AO53" s="16">
        <v>-0.96077071351207621</v>
      </c>
      <c r="AP53" s="16">
        <v>3.1297474917917185</v>
      </c>
      <c r="AQ53" s="16">
        <v>4.8559714199267745</v>
      </c>
      <c r="AR53" s="16">
        <v>2.0776145944548152</v>
      </c>
      <c r="AS53" s="16">
        <v>1.8388735662643825</v>
      </c>
      <c r="AT53" s="16">
        <v>1.6009828013412033</v>
      </c>
      <c r="AU53" s="16">
        <v>1.6759375167195998</v>
      </c>
      <c r="AV53" s="16">
        <v>2.6737760269880226</v>
      </c>
      <c r="AW53" s="16">
        <v>2.8484579861962658</v>
      </c>
      <c r="AX53" s="16">
        <v>2.456798968961067</v>
      </c>
      <c r="AY53" s="16">
        <v>5.7998382815298584</v>
      </c>
      <c r="AZ53" s="19">
        <v>6.707755266456175</v>
      </c>
      <c r="BA53" s="19">
        <v>3.298011333300451</v>
      </c>
      <c r="BB53" s="19">
        <v>-2.203057167270714</v>
      </c>
      <c r="BC53" s="19">
        <v>4.0126388714666064</v>
      </c>
      <c r="BD53" s="19">
        <v>3.1165261161046658</v>
      </c>
      <c r="BE53" s="19">
        <v>3.6278124737371513</v>
      </c>
      <c r="BF53" s="19">
        <v>1.3195127890256941</v>
      </c>
      <c r="BG53" s="19">
        <v>2.4145640070143486</v>
      </c>
      <c r="BH53" s="19">
        <v>2.5731786107049146</v>
      </c>
      <c r="BI53" s="19">
        <v>3.1515133904779873</v>
      </c>
      <c r="BJ53" s="19">
        <v>3.1432659858538869</v>
      </c>
      <c r="BK53" s="19">
        <v>1.6613083084616278</v>
      </c>
      <c r="BL53" s="19">
        <v>1.53529056591222</v>
      </c>
      <c r="BM53" s="19">
        <v>-4.9941015829528794</v>
      </c>
      <c r="BN53" s="19">
        <v>7.2896501167990237</v>
      </c>
      <c r="BO53" s="16">
        <v>4.0092025654252126</v>
      </c>
      <c r="BP53" s="16">
        <v>4.4798192374338157</v>
      </c>
    </row>
    <row r="54" spans="1:68" x14ac:dyDescent="0.3">
      <c r="A54" s="16" t="s">
        <v>622</v>
      </c>
      <c r="B54" s="16" t="s">
        <v>623</v>
      </c>
      <c r="C54" s="16" t="s">
        <v>604</v>
      </c>
      <c r="D54" s="16" t="s">
        <v>605</v>
      </c>
      <c r="F54" s="16">
        <v>4.882089942399233</v>
      </c>
      <c r="G54" s="16">
        <v>4.2894086556471507</v>
      </c>
      <c r="H54" s="16">
        <v>-1.5597848324289885</v>
      </c>
      <c r="I54" s="16">
        <v>6.2598654677716183</v>
      </c>
      <c r="J54" s="16">
        <v>8.3616881696685965</v>
      </c>
      <c r="K54" s="16">
        <v>6.4553294528715526</v>
      </c>
      <c r="L54" s="16">
        <v>6.7653498299429202</v>
      </c>
      <c r="M54" s="16">
        <v>4.6222747719250492</v>
      </c>
      <c r="N54" s="16">
        <v>5.4770998571186595</v>
      </c>
      <c r="O54" s="16">
        <v>-0.58844336446472312</v>
      </c>
      <c r="P54" s="16">
        <v>1.319513139492841</v>
      </c>
      <c r="Q54" s="16">
        <v>-2.2607959914460878</v>
      </c>
      <c r="R54" s="16">
        <v>2.1476457149787223</v>
      </c>
      <c r="S54" s="16">
        <v>-6.7239873463861244</v>
      </c>
      <c r="T54" s="16">
        <v>-4.0817327714816827</v>
      </c>
      <c r="U54" s="16">
        <v>4.0784369408115992</v>
      </c>
      <c r="V54" s="16">
        <v>4.8159519800629482</v>
      </c>
      <c r="W54" s="16">
        <v>6.3580937828912454</v>
      </c>
      <c r="X54" s="16">
        <v>8.958617550016541</v>
      </c>
      <c r="Y54" s="16">
        <v>2.0275447424971276</v>
      </c>
      <c r="Z54" s="16">
        <v>-2.4568218066781498</v>
      </c>
      <c r="AA54" s="16">
        <v>-1.7436309135782579</v>
      </c>
      <c r="AB54" s="16">
        <v>-0.29370760744443203</v>
      </c>
      <c r="AC54" s="16">
        <v>5.435580697034851</v>
      </c>
      <c r="AD54" s="16">
        <v>3.0398722352691863</v>
      </c>
      <c r="AE54" s="16">
        <v>2.718387724801488</v>
      </c>
      <c r="AF54" s="16">
        <v>1.5906720536599295</v>
      </c>
      <c r="AG54" s="16">
        <v>3.4578234728912349</v>
      </c>
      <c r="AH54" s="16">
        <v>4.2088808454559654</v>
      </c>
      <c r="AI54" s="16">
        <v>-1.2229798799383502</v>
      </c>
      <c r="AJ54" s="16">
        <v>-1.5144270883738642</v>
      </c>
      <c r="AK54" s="16">
        <v>-1.3671787603265102</v>
      </c>
      <c r="AL54" s="16">
        <v>2.7622597970605511E-2</v>
      </c>
      <c r="AM54" s="16">
        <v>2.3764441553926474</v>
      </c>
      <c r="AN54" s="16">
        <v>1.7644906639213502</v>
      </c>
      <c r="AO54" s="16">
        <v>2.9129465877705485</v>
      </c>
      <c r="AP54" s="16">
        <v>2.2715987558880073</v>
      </c>
      <c r="AQ54" s="16">
        <v>2.4752307903157487</v>
      </c>
      <c r="AR54" s="16">
        <v>2.8785406448766935</v>
      </c>
      <c r="AS54" s="16">
        <v>2.6502469898914001</v>
      </c>
      <c r="AT54" s="16">
        <v>0.3448255788620429</v>
      </c>
      <c r="AU54" s="16">
        <v>1.2120339078903584</v>
      </c>
      <c r="AV54" s="16">
        <v>0.92789877676415244</v>
      </c>
      <c r="AW54" s="16">
        <v>1.9586203651615932</v>
      </c>
      <c r="AX54" s="16">
        <v>2.4803131586291727</v>
      </c>
      <c r="AY54" s="16">
        <v>3.663956872963638</v>
      </c>
      <c r="AZ54" s="19">
        <v>2.5243275407476915</v>
      </c>
      <c r="BA54" s="19">
        <v>-0.21106293065513171</v>
      </c>
      <c r="BB54" s="19">
        <v>-3.3164396484934144</v>
      </c>
      <c r="BC54" s="19">
        <v>0.29987169966130978</v>
      </c>
      <c r="BD54" s="19">
        <v>1.0831139203436777</v>
      </c>
      <c r="BE54" s="19">
        <v>1.5996499244397882</v>
      </c>
      <c r="BF54" s="19">
        <v>-0.72155015685940782</v>
      </c>
      <c r="BG54" s="19">
        <v>0.94117159450431132</v>
      </c>
      <c r="BH54" s="19">
        <v>-0.12050312184783252</v>
      </c>
      <c r="BI54" s="19">
        <v>-0.30902145887262122</v>
      </c>
      <c r="BJ54" s="19">
        <v>1.152356710119733</v>
      </c>
      <c r="BK54" s="19">
        <v>1.4963939096852954</v>
      </c>
      <c r="BL54" s="19">
        <v>-3.0191112626198446E-2</v>
      </c>
      <c r="BM54" s="19">
        <v>-9.6556832208917598</v>
      </c>
      <c r="BN54" s="19">
        <v>9.6555899537959391</v>
      </c>
      <c r="BO54" s="16">
        <v>21.756749255566078</v>
      </c>
      <c r="BP54" s="16">
        <v>11.979975781921908</v>
      </c>
    </row>
    <row r="55" spans="1:68" x14ac:dyDescent="0.3">
      <c r="A55" s="16" t="s">
        <v>78</v>
      </c>
      <c r="B55" s="16" t="s">
        <v>419</v>
      </c>
      <c r="C55" s="16" t="s">
        <v>604</v>
      </c>
      <c r="D55" s="16" t="s">
        <v>605</v>
      </c>
      <c r="P55" s="16">
        <v>6.7062216285206802</v>
      </c>
      <c r="Q55" s="16">
        <v>3.1852264504472032</v>
      </c>
      <c r="R55" s="16">
        <v>2.0034921722483716</v>
      </c>
      <c r="S55" s="16">
        <v>-0.25117853444039895</v>
      </c>
      <c r="T55" s="16">
        <v>8.3119674651731543</v>
      </c>
      <c r="U55" s="16">
        <v>4.4774699742332018</v>
      </c>
      <c r="V55" s="16">
        <v>7.9038481762865587</v>
      </c>
      <c r="W55" s="16">
        <v>5.9667197383611779</v>
      </c>
      <c r="X55" s="16">
        <v>0.62564594403680474</v>
      </c>
      <c r="Y55" s="16">
        <v>-5.183091932414797</v>
      </c>
      <c r="Z55" s="16">
        <v>19.208866893381156</v>
      </c>
      <c r="AA55" s="16">
        <v>8.2552641345745315</v>
      </c>
      <c r="AB55" s="16">
        <v>4.6120949327986409</v>
      </c>
      <c r="AC55" s="16">
        <v>7.061735705316579</v>
      </c>
      <c r="AD55" s="16">
        <v>0.76075051376957958</v>
      </c>
      <c r="AE55" s="16">
        <v>-0.7499757457121774</v>
      </c>
      <c r="AF55" s="16">
        <v>-3.2662615406913602</v>
      </c>
      <c r="AG55" s="16">
        <v>2.725496115338629</v>
      </c>
      <c r="AH55" s="16">
        <v>-0.29307333652653256</v>
      </c>
      <c r="AI55" s="16">
        <v>-3.8572154763309356</v>
      </c>
      <c r="AJ55" s="16">
        <v>-11.419004786422619</v>
      </c>
      <c r="AK55" s="16">
        <v>-12.154030700582481</v>
      </c>
      <c r="AL55" s="16">
        <v>-15.327198865960341</v>
      </c>
      <c r="AM55" s="16">
        <v>0.28886142955010996</v>
      </c>
      <c r="AN55" s="16">
        <v>2.0868561912008374</v>
      </c>
      <c r="AO55" s="16">
        <v>7.481406458355039</v>
      </c>
      <c r="AP55" s="16">
        <v>2.4554153905866514</v>
      </c>
      <c r="AQ55" s="16">
        <v>-0.16427686836307487</v>
      </c>
      <c r="AR55" s="16">
        <v>5.8402059076468049</v>
      </c>
      <c r="AS55" s="16">
        <v>5.574321486468321</v>
      </c>
      <c r="AT55" s="16">
        <v>2.8762286710679206</v>
      </c>
      <c r="AU55" s="16">
        <v>1.1440292424070009</v>
      </c>
      <c r="AV55" s="16">
        <v>3.5224339095443611</v>
      </c>
      <c r="AW55" s="16">
        <v>5.524827060663668</v>
      </c>
      <c r="AX55" s="16">
        <v>10.995788245572101</v>
      </c>
      <c r="AY55" s="16">
        <v>11.921399651349176</v>
      </c>
      <c r="AZ55" s="19">
        <v>7.1740326579003977</v>
      </c>
      <c r="BA55" s="19">
        <v>4.0547638769590151</v>
      </c>
      <c r="BB55" s="19">
        <v>1.3921781732763634</v>
      </c>
      <c r="BC55" s="19">
        <v>2.3247668510973512</v>
      </c>
      <c r="BD55" s="19">
        <v>2.7268462508787081</v>
      </c>
      <c r="BE55" s="19">
        <v>2.9185283995890643</v>
      </c>
      <c r="BF55" s="19">
        <v>2.6360752492979174</v>
      </c>
      <c r="BG55" s="19">
        <v>0.95442082433841335</v>
      </c>
      <c r="BH55" s="19">
        <v>4.3658707590566763</v>
      </c>
      <c r="BI55" s="19">
        <v>0.49407339225864177</v>
      </c>
      <c r="BJ55" s="19">
        <v>1.8601470216456022</v>
      </c>
      <c r="BK55" s="19">
        <v>2.3216091636421652</v>
      </c>
      <c r="BL55" s="19">
        <v>-6.1218557172480814E-2</v>
      </c>
      <c r="BM55" s="19">
        <v>-10.823010481375746</v>
      </c>
      <c r="BN55" s="19">
        <v>1.6524161408896845</v>
      </c>
      <c r="BO55" s="16">
        <v>2.1758920100036931</v>
      </c>
    </row>
    <row r="56" spans="1:68" x14ac:dyDescent="0.3">
      <c r="A56" s="16" t="s">
        <v>624</v>
      </c>
      <c r="B56" s="16" t="s">
        <v>625</v>
      </c>
      <c r="C56" s="16" t="s">
        <v>604</v>
      </c>
      <c r="D56" s="16" t="s">
        <v>605</v>
      </c>
      <c r="AT56" s="16">
        <v>3.0079460132311056</v>
      </c>
      <c r="AU56" s="16">
        <v>0.27429337121394326</v>
      </c>
      <c r="AV56" s="16">
        <v>-1.7586816970604673</v>
      </c>
      <c r="AW56" s="16">
        <v>-1.5053401830220565</v>
      </c>
      <c r="AX56" s="16">
        <v>-1.8584399749865383</v>
      </c>
      <c r="AY56" s="16">
        <v>-0.94096179144446523</v>
      </c>
      <c r="AZ56" s="19">
        <v>0.46617382414788722</v>
      </c>
      <c r="BA56" s="19">
        <v>0.91034229476345274</v>
      </c>
      <c r="BB56" s="19">
        <v>-1.1768965177602695</v>
      </c>
      <c r="BC56" s="19">
        <v>-1.1762686274529841</v>
      </c>
      <c r="BD56" s="19">
        <v>-0.90956664776219043</v>
      </c>
      <c r="BE56" s="19">
        <v>-1.1725619495315982</v>
      </c>
      <c r="BF56" s="19">
        <v>-1.7558078251597209</v>
      </c>
      <c r="BG56" s="19">
        <v>-1.9674665270120926</v>
      </c>
      <c r="BH56" s="19">
        <v>-0.85877991455593872</v>
      </c>
      <c r="BI56" s="19">
        <v>-2.1111621073354456</v>
      </c>
      <c r="BJ56" s="19">
        <v>-1.5911627296022175</v>
      </c>
      <c r="BK56" s="19">
        <v>-1.5886305194342327</v>
      </c>
      <c r="BL56" s="19">
        <v>-2.0410966438700626</v>
      </c>
      <c r="BM56" s="19">
        <v>-16.719218931940176</v>
      </c>
      <c r="BN56" s="19">
        <v>5.9630069108545882</v>
      </c>
      <c r="BO56" s="16">
        <v>9.6070235206272088</v>
      </c>
    </row>
    <row r="57" spans="1:68" x14ac:dyDescent="0.3">
      <c r="A57" s="16" t="s">
        <v>63</v>
      </c>
      <c r="B57" s="16" t="s">
        <v>626</v>
      </c>
      <c r="C57" s="16" t="s">
        <v>604</v>
      </c>
      <c r="D57" s="16" t="s">
        <v>605</v>
      </c>
      <c r="AZ57" s="19">
        <v>0.10807905670957041</v>
      </c>
      <c r="BA57" s="19">
        <v>-3.2342371527816027</v>
      </c>
      <c r="BB57" s="19">
        <v>-9.8097084005110133</v>
      </c>
      <c r="BC57" s="19">
        <v>-5.3639073896277552</v>
      </c>
      <c r="BD57" s="19">
        <v>-1.4161339259050862</v>
      </c>
      <c r="BE57" s="19">
        <v>-1.2057423253372832</v>
      </c>
      <c r="BF57" s="19">
        <v>-1.0729276178862932</v>
      </c>
      <c r="BG57" s="19">
        <v>0.33287094920927984</v>
      </c>
      <c r="BH57" s="19">
        <v>0.55060561494400417</v>
      </c>
      <c r="BI57" s="19">
        <v>1.0111642893251656</v>
      </c>
      <c r="BJ57" s="19">
        <v>1.032114391311282</v>
      </c>
      <c r="BK57" s="19">
        <v>2.1733712266135399</v>
      </c>
      <c r="BL57" s="19">
        <v>1.9515249448344889</v>
      </c>
      <c r="BM57" s="19">
        <v>-6.616767355016691</v>
      </c>
      <c r="BN57" s="19">
        <v>3.6347263180752378</v>
      </c>
      <c r="BO57" s="16">
        <v>4.2839300121014503</v>
      </c>
    </row>
    <row r="58" spans="1:68" x14ac:dyDescent="0.3">
      <c r="A58" s="16" t="s">
        <v>80</v>
      </c>
      <c r="B58" s="16" t="s">
        <v>420</v>
      </c>
      <c r="C58" s="16" t="s">
        <v>604</v>
      </c>
      <c r="D58" s="16" t="s">
        <v>605</v>
      </c>
      <c r="U58" s="16">
        <v>21.244876326455795</v>
      </c>
      <c r="V58" s="16">
        <v>16.347976165276748</v>
      </c>
      <c r="W58" s="16">
        <v>7.3783465402006243</v>
      </c>
      <c r="X58" s="16">
        <v>9.0543517984434345</v>
      </c>
      <c r="Y58" s="16">
        <v>4.6106390663907604</v>
      </c>
      <c r="Z58" s="16">
        <v>0.8288237923386248</v>
      </c>
      <c r="AA58" s="16">
        <v>4.7745113865684772</v>
      </c>
      <c r="AB58" s="16">
        <v>4.7150411889441841</v>
      </c>
      <c r="AC58" s="16">
        <v>7.3577570813775424</v>
      </c>
      <c r="AD58" s="16">
        <v>3.6152386294229615</v>
      </c>
      <c r="AE58" s="16">
        <v>2.5214083125490845</v>
      </c>
      <c r="AF58" s="16">
        <v>5.9072726449727782</v>
      </c>
      <c r="AG58" s="16">
        <v>7.5007820464979744</v>
      </c>
      <c r="AH58" s="16">
        <v>6.4195115687009121</v>
      </c>
      <c r="AI58" s="16">
        <v>5.1399714161524344</v>
      </c>
      <c r="AJ58" s="16">
        <v>-1.8347415758804146</v>
      </c>
      <c r="AK58" s="16">
        <v>6.5278319323545304</v>
      </c>
      <c r="AL58" s="16">
        <v>-1.7026249973046674</v>
      </c>
      <c r="AM58" s="16">
        <v>3.7321987669921839</v>
      </c>
      <c r="AN58" s="16">
        <v>6.415538258404041</v>
      </c>
      <c r="AO58" s="16">
        <v>-0.35238179234214329</v>
      </c>
      <c r="AP58" s="16">
        <v>1.1962222626046923</v>
      </c>
      <c r="AQ58" s="16">
        <v>4.8177488984823498</v>
      </c>
      <c r="AR58" s="16">
        <v>3.8295983724880216</v>
      </c>
      <c r="AS58" s="16">
        <v>4.8441559841949697</v>
      </c>
      <c r="AT58" s="16">
        <v>2.8381292842012158</v>
      </c>
      <c r="AU58" s="16">
        <v>2.5410645530802327</v>
      </c>
      <c r="AV58" s="16">
        <v>1.3836189803198522</v>
      </c>
      <c r="AW58" s="16">
        <v>3.6308049798315238</v>
      </c>
      <c r="AX58" s="16">
        <v>3.3537725178922813</v>
      </c>
      <c r="AY58" s="16">
        <v>2.9812962729475174</v>
      </c>
      <c r="AZ58" s="19">
        <v>2.884110625729619</v>
      </c>
      <c r="BA58" s="19">
        <v>1.0765607828102191</v>
      </c>
      <c r="BB58" s="19">
        <v>-4.6106511654845264</v>
      </c>
      <c r="BC58" s="19">
        <v>-0.3567694202190097</v>
      </c>
      <c r="BD58" s="19">
        <v>-2.1129357525218211</v>
      </c>
      <c r="BE58" s="19">
        <v>-4.9073876906518876</v>
      </c>
      <c r="BF58" s="19">
        <v>-6.370077361402565</v>
      </c>
      <c r="BG58" s="19">
        <v>-0.68898453793956094</v>
      </c>
      <c r="BH58" s="19">
        <v>4.0094267717586547</v>
      </c>
      <c r="BI58" s="19">
        <v>6.085872068497622</v>
      </c>
      <c r="BJ58" s="19">
        <v>4.7545195043208395</v>
      </c>
      <c r="BK58" s="19">
        <v>4.3667597953858603</v>
      </c>
      <c r="BL58" s="19">
        <v>4.1151768613026434</v>
      </c>
      <c r="BM58" s="19">
        <v>-4.5319049551653734</v>
      </c>
      <c r="BN58" s="19">
        <v>8.8919839252750847</v>
      </c>
      <c r="BO58" s="16">
        <v>3.6369034982824786</v>
      </c>
      <c r="BP58" s="16">
        <v>0.69444745526934071</v>
      </c>
    </row>
    <row r="59" spans="1:68" x14ac:dyDescent="0.3">
      <c r="A59" s="16" t="s">
        <v>81</v>
      </c>
      <c r="B59" s="16" t="s">
        <v>421</v>
      </c>
      <c r="C59" s="16" t="s">
        <v>604</v>
      </c>
      <c r="D59" s="16" t="s">
        <v>605</v>
      </c>
      <c r="AJ59" s="16">
        <v>-11.402505992163555</v>
      </c>
      <c r="AK59" s="16">
        <v>-0.60821365609135114</v>
      </c>
      <c r="AL59" s="16">
        <v>-4.2053081713234519E-2</v>
      </c>
      <c r="AM59" s="16">
        <v>2.8721434865862392</v>
      </c>
      <c r="AN59" s="16">
        <v>6.5661335278334576</v>
      </c>
      <c r="AO59" s="16">
        <v>4.3868327311173942</v>
      </c>
      <c r="AP59" s="16">
        <v>-0.41106907802910087</v>
      </c>
      <c r="AQ59" s="16">
        <v>-0.26211493574326994</v>
      </c>
      <c r="AR59" s="16">
        <v>1.4877920849969257</v>
      </c>
      <c r="AS59" s="16">
        <v>4.2930714651517832</v>
      </c>
      <c r="AT59" s="16">
        <v>3.4308575457975792</v>
      </c>
      <c r="AU59" s="16">
        <v>1.7659743196462188</v>
      </c>
      <c r="AV59" s="16">
        <v>3.6133389652024164</v>
      </c>
      <c r="AW59" s="16">
        <v>4.7823657938094897</v>
      </c>
      <c r="AX59" s="16">
        <v>6.4542617368640265</v>
      </c>
      <c r="AY59" s="16">
        <v>6.4782036033879109</v>
      </c>
      <c r="AZ59" s="19">
        <v>4.9560853329390682</v>
      </c>
      <c r="BA59" s="19">
        <v>1.8382401926918135</v>
      </c>
      <c r="BB59" s="19">
        <v>-5.1989819189856519</v>
      </c>
      <c r="BC59" s="19">
        <v>2.1368804844692448</v>
      </c>
      <c r="BD59" s="19">
        <v>1.5501897901350219</v>
      </c>
      <c r="BE59" s="19">
        <v>-0.92373445015955724</v>
      </c>
      <c r="BF59" s="19">
        <v>-7.9052895284632996E-2</v>
      </c>
      <c r="BG59" s="19">
        <v>2.1545004788816442</v>
      </c>
      <c r="BH59" s="19">
        <v>5.181402653798159</v>
      </c>
      <c r="BI59" s="19">
        <v>2.3405522608049836</v>
      </c>
      <c r="BJ59" s="19">
        <v>4.8897220422559542</v>
      </c>
      <c r="BK59" s="19">
        <v>2.8754685269174303</v>
      </c>
      <c r="BL59" s="19">
        <v>2.6249562673869917</v>
      </c>
      <c r="BM59" s="19">
        <v>-5.732526894321694</v>
      </c>
      <c r="BN59" s="19">
        <v>5.4463696180117012</v>
      </c>
      <c r="BO59" s="16">
        <v>0.75566135591751049</v>
      </c>
      <c r="BP59" s="16">
        <v>-2.1594553115740496</v>
      </c>
    </row>
    <row r="60" spans="1:68" x14ac:dyDescent="0.3">
      <c r="A60" s="16" t="s">
        <v>105</v>
      </c>
      <c r="B60" s="16" t="s">
        <v>422</v>
      </c>
      <c r="C60" s="16" t="s">
        <v>604</v>
      </c>
      <c r="D60" s="16" t="s">
        <v>605</v>
      </c>
      <c r="F60" s="16">
        <v>3.4985763375495509</v>
      </c>
      <c r="G60" s="16">
        <v>3.7074129529912909</v>
      </c>
      <c r="H60" s="16">
        <v>1.7884858186286721</v>
      </c>
      <c r="I60" s="16">
        <v>5.7843191434756847</v>
      </c>
      <c r="J60" s="16">
        <v>4.3500505795468456</v>
      </c>
      <c r="K60" s="16">
        <v>1.9577215643026449</v>
      </c>
      <c r="L60" s="16">
        <v>-0.78491489086196964</v>
      </c>
      <c r="M60" s="16">
        <v>5.1998890943696523</v>
      </c>
      <c r="N60" s="16">
        <v>6.5696631062024125</v>
      </c>
      <c r="O60" s="16">
        <v>4.7540878704486715</v>
      </c>
      <c r="P60" s="16">
        <v>2.9436501765411265</v>
      </c>
      <c r="Q60" s="16">
        <v>3.8024760158130562</v>
      </c>
      <c r="R60" s="16">
        <v>4.4480171989459478</v>
      </c>
      <c r="S60" s="16">
        <v>0.85076032410442792</v>
      </c>
      <c r="T60" s="16">
        <v>-0.49643423453862567</v>
      </c>
      <c r="U60" s="16">
        <v>5.4002121113431798</v>
      </c>
      <c r="V60" s="16">
        <v>3.5814371117470074</v>
      </c>
      <c r="W60" s="16">
        <v>3.0981816290490656</v>
      </c>
      <c r="X60" s="16">
        <v>4.1043313419095284</v>
      </c>
      <c r="Y60" s="16">
        <v>1.1986939075810739</v>
      </c>
      <c r="Z60" s="16">
        <v>0.37624253294576704</v>
      </c>
      <c r="AA60" s="16">
        <v>-0.30005781635901485</v>
      </c>
      <c r="AB60" s="16">
        <v>1.8390341836932294</v>
      </c>
      <c r="AC60" s="16">
        <v>3.1789871941629428</v>
      </c>
      <c r="AD60" s="16">
        <v>2.5568836069923151</v>
      </c>
      <c r="AE60" s="16">
        <v>2.2405349979290605</v>
      </c>
      <c r="AF60" s="16">
        <v>1.2464996857811883</v>
      </c>
      <c r="AG60" s="16">
        <v>3.3028637218937433</v>
      </c>
      <c r="AH60" s="16">
        <v>3.0961799999681858</v>
      </c>
      <c r="AI60" s="16">
        <v>4.3516390542243926</v>
      </c>
      <c r="AJ60" s="16">
        <v>4.3452200553868181</v>
      </c>
      <c r="AK60" s="16">
        <v>1.1510463319914379</v>
      </c>
      <c r="AL60" s="16">
        <v>-1.6256842842447838</v>
      </c>
      <c r="AM60" s="16">
        <v>2.0373542097317454</v>
      </c>
      <c r="AN60" s="16">
        <v>1.2461418756032572</v>
      </c>
      <c r="AO60" s="16">
        <v>0.51443728459976512</v>
      </c>
      <c r="AP60" s="16">
        <v>1.6433342731291987</v>
      </c>
      <c r="AQ60" s="16">
        <v>1.9984853210730904</v>
      </c>
      <c r="AR60" s="16">
        <v>1.8214280305809609</v>
      </c>
      <c r="AS60" s="16">
        <v>2.7732212509140197</v>
      </c>
      <c r="AT60" s="16">
        <v>1.510558260679403</v>
      </c>
      <c r="AU60" s="16">
        <v>-0.36562832726410477</v>
      </c>
      <c r="AV60" s="16">
        <v>-0.75507716660260371</v>
      </c>
      <c r="AW60" s="16">
        <v>1.1970553521184968</v>
      </c>
      <c r="AX60" s="16">
        <v>0.7889171158699213</v>
      </c>
      <c r="AY60" s="16">
        <v>3.9336103307084045</v>
      </c>
      <c r="AZ60" s="19">
        <v>3.1142458826134884</v>
      </c>
      <c r="BA60" s="19">
        <v>1.1520297421751025</v>
      </c>
      <c r="BB60" s="19">
        <v>-5.4545771694094469</v>
      </c>
      <c r="BC60" s="19">
        <v>4.3396067770635369</v>
      </c>
      <c r="BD60" s="19">
        <v>5.8696357374921746</v>
      </c>
      <c r="BE60" s="19">
        <v>0.23016099271195856</v>
      </c>
      <c r="BF60" s="19">
        <v>0.16387056297801905</v>
      </c>
      <c r="BG60" s="19">
        <v>1.7843418861469047</v>
      </c>
      <c r="BH60" s="19">
        <v>0.61710535321989823</v>
      </c>
      <c r="BI60" s="19">
        <v>1.4081020754892251</v>
      </c>
      <c r="BJ60" s="19">
        <v>2.2972060474094889</v>
      </c>
      <c r="BK60" s="19">
        <v>0.67821259411071821</v>
      </c>
      <c r="BL60" s="19">
        <v>0.8477831971118519</v>
      </c>
      <c r="BM60" s="19">
        <v>-3.9053035834293581</v>
      </c>
      <c r="BN60" s="19">
        <v>3.1201629728191875</v>
      </c>
      <c r="BO60" s="16">
        <v>1.0749518872451631</v>
      </c>
      <c r="BP60" s="16">
        <v>-1.1124358559638381</v>
      </c>
    </row>
    <row r="61" spans="1:68" x14ac:dyDescent="0.3">
      <c r="A61" s="16" t="s">
        <v>85</v>
      </c>
      <c r="B61" s="16" t="s">
        <v>627</v>
      </c>
      <c r="C61" s="16" t="s">
        <v>604</v>
      </c>
      <c r="D61" s="16" t="s">
        <v>605</v>
      </c>
      <c r="AZ61" s="19"/>
      <c r="BA61" s="19"/>
      <c r="BB61" s="19"/>
      <c r="BC61" s="19"/>
      <c r="BD61" s="19"/>
      <c r="BE61" s="19"/>
      <c r="BF61" s="19"/>
      <c r="BG61" s="19">
        <v>5.1852626011390726</v>
      </c>
      <c r="BH61" s="19">
        <v>5.6911555495942707</v>
      </c>
      <c r="BI61" s="19">
        <v>5.3435222297012217</v>
      </c>
      <c r="BJ61" s="19">
        <v>3.7374820679538772</v>
      </c>
      <c r="BK61" s="19">
        <v>3.0930875796264132</v>
      </c>
      <c r="BL61" s="19">
        <v>3.8945291873161807</v>
      </c>
      <c r="BM61" s="19">
        <v>-0.18569248503679603</v>
      </c>
      <c r="BN61" s="19">
        <v>3.0662955685367734</v>
      </c>
      <c r="BO61" s="16">
        <v>2.3133837086881641</v>
      </c>
      <c r="BP61" s="16">
        <v>5.2117471227593768</v>
      </c>
    </row>
    <row r="62" spans="1:68" x14ac:dyDescent="0.3">
      <c r="A62" s="16" t="s">
        <v>86</v>
      </c>
      <c r="B62" s="16" t="s">
        <v>628</v>
      </c>
      <c r="C62" s="16" t="s">
        <v>604</v>
      </c>
      <c r="D62" s="16" t="s">
        <v>605</v>
      </c>
      <c r="W62" s="16">
        <v>10.023314299190787</v>
      </c>
      <c r="X62" s="16">
        <v>-18.684645637239356</v>
      </c>
      <c r="Y62" s="16">
        <v>13.056913145607197</v>
      </c>
      <c r="Z62" s="16">
        <v>10.899233771310918</v>
      </c>
      <c r="AA62" s="16">
        <v>4.5664116533667141</v>
      </c>
      <c r="AB62" s="16">
        <v>3.0629336745012097</v>
      </c>
      <c r="AC62" s="16">
        <v>4.6789850664961392</v>
      </c>
      <c r="AD62" s="16">
        <v>1.9025679070502406</v>
      </c>
      <c r="AE62" s="16">
        <v>7.6461985782993338</v>
      </c>
      <c r="AF62" s="16">
        <v>6.9186103950612932</v>
      </c>
      <c r="AG62" s="16">
        <v>8.4460906330823207</v>
      </c>
      <c r="AH62" s="16">
        <v>0.41078332853088284</v>
      </c>
      <c r="AI62" s="16">
        <v>6.1674903939101142</v>
      </c>
      <c r="AJ62" s="16">
        <v>1.8461413625333876</v>
      </c>
      <c r="AK62" s="16">
        <v>2.0722332634707641</v>
      </c>
      <c r="AL62" s="16">
        <v>2.0772260912630429</v>
      </c>
      <c r="AM62" s="16">
        <v>-7.4416917623238987E-3</v>
      </c>
      <c r="AN62" s="16">
        <v>3.0263960103690692</v>
      </c>
      <c r="AO62" s="16">
        <v>3.1563759766955997</v>
      </c>
      <c r="AP62" s="16">
        <v>2.3113609474364267</v>
      </c>
      <c r="AQ62" s="16">
        <v>3.9894885879872675</v>
      </c>
      <c r="AR62" s="16">
        <v>0.7046711539562267</v>
      </c>
      <c r="AS62" s="16">
        <v>2.8672985528491779</v>
      </c>
      <c r="AT62" s="16">
        <v>0.21916083091804239</v>
      </c>
      <c r="AU62" s="16">
        <v>-2.9831620598699971</v>
      </c>
      <c r="AV62" s="16">
        <v>6.0734321936975562</v>
      </c>
      <c r="AW62" s="16">
        <v>2.8523251545386188</v>
      </c>
      <c r="AX62" s="16">
        <v>0.50929171490174951</v>
      </c>
      <c r="AY62" s="16">
        <v>4.5559257232857107</v>
      </c>
      <c r="AZ62" s="19">
        <v>6.3019415693593999</v>
      </c>
      <c r="BA62" s="19">
        <v>7.1101561886903255</v>
      </c>
      <c r="BB62" s="19">
        <v>-1.1767744432193581</v>
      </c>
      <c r="BC62" s="19">
        <v>0.71948952808398303</v>
      </c>
      <c r="BD62" s="19">
        <v>-0.20468167306127327</v>
      </c>
      <c r="BE62" s="19">
        <v>-1.2686940356592373</v>
      </c>
      <c r="BF62" s="19">
        <v>-0.9006801929759547</v>
      </c>
      <c r="BG62" s="19">
        <v>3.9202381211448341</v>
      </c>
      <c r="BH62" s="19">
        <v>-3.6151684683506886</v>
      </c>
      <c r="BI62" s="19">
        <v>2.6639272815582444</v>
      </c>
      <c r="BJ62" s="19">
        <v>-7.0540466868433782</v>
      </c>
      <c r="BK62" s="19">
        <v>2.9335185716879124</v>
      </c>
      <c r="BL62" s="19">
        <v>4.6088702530897336</v>
      </c>
      <c r="BM62" s="19">
        <v>-17.260897770922497</v>
      </c>
      <c r="BN62" s="19">
        <v>6.2749973106334807</v>
      </c>
      <c r="BO62" s="16">
        <v>5.1117828886308985</v>
      </c>
      <c r="BP62" s="16">
        <v>4.2778486977764771</v>
      </c>
    </row>
    <row r="63" spans="1:68" x14ac:dyDescent="0.3">
      <c r="A63" s="16" t="s">
        <v>84</v>
      </c>
      <c r="B63" s="16" t="s">
        <v>423</v>
      </c>
      <c r="C63" s="16" t="s">
        <v>604</v>
      </c>
      <c r="D63" s="16" t="s">
        <v>605</v>
      </c>
      <c r="F63" s="16">
        <v>5.6387435534188199</v>
      </c>
      <c r="G63" s="16">
        <v>4.8474469660622503</v>
      </c>
      <c r="H63" s="16">
        <v>-0.15261005541576367</v>
      </c>
      <c r="I63" s="16">
        <v>8.400119264797155</v>
      </c>
      <c r="J63" s="16">
        <v>3.7436848678655394</v>
      </c>
      <c r="K63" s="16">
        <v>1.9191980165440725</v>
      </c>
      <c r="L63" s="16">
        <v>4.7016189374902524</v>
      </c>
      <c r="M63" s="16">
        <v>4.9123876878568495</v>
      </c>
      <c r="N63" s="16">
        <v>5.9218849102124835</v>
      </c>
      <c r="O63" s="16">
        <v>0.83628108825104164</v>
      </c>
      <c r="P63" s="16">
        <v>2.2916994191549662</v>
      </c>
      <c r="Q63" s="16">
        <v>3.3366150927945881</v>
      </c>
      <c r="R63" s="16">
        <v>3.4656143093922083</v>
      </c>
      <c r="S63" s="16">
        <v>-1.5816923983882276</v>
      </c>
      <c r="T63" s="16">
        <v>-1.740305630023002</v>
      </c>
      <c r="U63" s="16">
        <v>5.6586981715168463</v>
      </c>
      <c r="V63" s="16">
        <v>1.5535141267487518</v>
      </c>
      <c r="W63" s="16">
        <v>1.9092901984732151</v>
      </c>
      <c r="X63" s="16">
        <v>3.6142903636575028</v>
      </c>
      <c r="Y63" s="16">
        <v>-0.6039290775500632</v>
      </c>
      <c r="Z63" s="16">
        <v>-0.63790415020960722</v>
      </c>
      <c r="AA63" s="16">
        <v>3.7607894280931475</v>
      </c>
      <c r="AB63" s="16">
        <v>2.6665449482096335</v>
      </c>
      <c r="AC63" s="16">
        <v>4.2207110272478303</v>
      </c>
      <c r="AD63" s="16">
        <v>3.9616108696542085</v>
      </c>
      <c r="AE63" s="16">
        <v>4.7639860835430881</v>
      </c>
      <c r="AF63" s="16">
        <v>0.12736029890567124</v>
      </c>
      <c r="AG63" s="16">
        <v>-6.217617917559437E-2</v>
      </c>
      <c r="AH63" s="16">
        <v>0.5848308390110617</v>
      </c>
      <c r="AI63" s="16">
        <v>1.3105251632278225</v>
      </c>
      <c r="AJ63" s="16">
        <v>1.1308401976969122</v>
      </c>
      <c r="AK63" s="16">
        <v>1.6204208518856973</v>
      </c>
      <c r="AL63" s="16">
        <v>-0.32195992978701327</v>
      </c>
      <c r="AM63" s="16">
        <v>4.9773471785685643</v>
      </c>
      <c r="AN63" s="16">
        <v>2.4922481693983656</v>
      </c>
      <c r="AO63" s="16">
        <v>2.319405698462603</v>
      </c>
      <c r="AP63" s="16">
        <v>2.8326644654833331</v>
      </c>
      <c r="AQ63" s="16">
        <v>1.8476139445405977</v>
      </c>
      <c r="AR63" s="16">
        <v>2.6079442603680292</v>
      </c>
      <c r="AS63" s="16">
        <v>3.4006845461073851</v>
      </c>
      <c r="AT63" s="16">
        <v>0.4625342953140148</v>
      </c>
      <c r="AU63" s="16">
        <v>0.14588072664038521</v>
      </c>
      <c r="AV63" s="16">
        <v>0.11735816735350113</v>
      </c>
      <c r="AW63" s="16">
        <v>2.4032339966431095</v>
      </c>
      <c r="AX63" s="16">
        <v>2.0551105158293836</v>
      </c>
      <c r="AY63" s="16">
        <v>3.5720634637942794</v>
      </c>
      <c r="AZ63" s="19">
        <v>0.46273149419045012</v>
      </c>
      <c r="BA63" s="19">
        <v>-1.0948421281619574</v>
      </c>
      <c r="BB63" s="19">
        <v>-5.4140139985128002</v>
      </c>
      <c r="BC63" s="19">
        <v>1.4194866307360314</v>
      </c>
      <c r="BD63" s="19">
        <v>0.92039368528531895</v>
      </c>
      <c r="BE63" s="19">
        <v>-0.14991608831589076</v>
      </c>
      <c r="BF63" s="19">
        <v>0.5134244275022013</v>
      </c>
      <c r="BG63" s="19">
        <v>1.1054334661101848</v>
      </c>
      <c r="BH63" s="19">
        <v>1.6221662580492051</v>
      </c>
      <c r="BI63" s="19">
        <v>2.443368874070643</v>
      </c>
      <c r="BJ63" s="19">
        <v>2.1623551131615386</v>
      </c>
      <c r="BK63" s="19">
        <v>1.4850851572351047</v>
      </c>
      <c r="BL63" s="19">
        <v>1.1306574941597773</v>
      </c>
      <c r="BM63" s="19">
        <v>-2.7086684197911097</v>
      </c>
      <c r="BN63" s="19">
        <v>6.3824443416568215</v>
      </c>
      <c r="BO63" s="16">
        <v>1.9253410667685102</v>
      </c>
      <c r="BP63" s="16">
        <v>1.1372111333037367</v>
      </c>
    </row>
    <row r="64" spans="1:68" x14ac:dyDescent="0.3">
      <c r="A64" s="16" t="s">
        <v>87</v>
      </c>
      <c r="B64" s="16" t="s">
        <v>424</v>
      </c>
      <c r="C64" s="16" t="s">
        <v>604</v>
      </c>
      <c r="D64" s="16" t="s">
        <v>605</v>
      </c>
      <c r="F64" s="16">
        <v>-5.4771918782091689</v>
      </c>
      <c r="G64" s="16">
        <v>13.299344110548091</v>
      </c>
      <c r="H64" s="16">
        <v>3.1449455250960341</v>
      </c>
      <c r="I64" s="16">
        <v>3.4496544026318787</v>
      </c>
      <c r="J64" s="16">
        <v>-15.115017004997895</v>
      </c>
      <c r="K64" s="16">
        <v>10.094581189280333</v>
      </c>
      <c r="L64" s="16">
        <v>0.26396513776482777</v>
      </c>
      <c r="M64" s="16">
        <v>-2.6506661225709252</v>
      </c>
      <c r="N64" s="16">
        <v>7.78153586327592</v>
      </c>
      <c r="O64" s="16">
        <v>14.979925057648984</v>
      </c>
      <c r="P64" s="16">
        <v>7.8833767736889371</v>
      </c>
      <c r="Q64" s="16">
        <v>7.4744951334480447</v>
      </c>
      <c r="R64" s="16">
        <v>9.9546270145085032</v>
      </c>
      <c r="S64" s="16">
        <v>3.2893762385124035</v>
      </c>
      <c r="T64" s="16">
        <v>2.5591027050280104</v>
      </c>
      <c r="U64" s="16">
        <v>4.1010578630493342</v>
      </c>
      <c r="V64" s="16">
        <v>2.442766528500556</v>
      </c>
      <c r="W64" s="16">
        <v>-0.28241004406059744</v>
      </c>
      <c r="X64" s="16">
        <v>2.1081110574524757</v>
      </c>
      <c r="Y64" s="16">
        <v>5.5313664641633835</v>
      </c>
      <c r="Z64" s="16">
        <v>1.9862662004601219</v>
      </c>
      <c r="AA64" s="16">
        <v>-0.49479561304977437</v>
      </c>
      <c r="AB64" s="16">
        <v>2.3772724483565497</v>
      </c>
      <c r="AC64" s="16">
        <v>-0.92123301011159242</v>
      </c>
      <c r="AD64" s="16">
        <v>-4.1919962990980935</v>
      </c>
      <c r="AE64" s="16">
        <v>1.3656236010042733</v>
      </c>
      <c r="AF64" s="16">
        <v>7.8403121351688299</v>
      </c>
      <c r="AG64" s="16">
        <v>4.1052152089577021E-2</v>
      </c>
      <c r="AH64" s="16">
        <v>2.2194154630265501</v>
      </c>
      <c r="AI64" s="16">
        <v>-7.4299832781963602</v>
      </c>
      <c r="AJ64" s="16">
        <v>-1.1278615942565722</v>
      </c>
      <c r="AK64" s="16">
        <v>8.9906560482987601</v>
      </c>
      <c r="AL64" s="16">
        <v>5.2567256200555477</v>
      </c>
      <c r="AM64" s="16">
        <v>0.63626597051253952</v>
      </c>
      <c r="AN64" s="16">
        <v>3.7271807354124746</v>
      </c>
      <c r="AO64" s="16">
        <v>4.0921894882144585</v>
      </c>
      <c r="AP64" s="16">
        <v>7.044764457473633</v>
      </c>
      <c r="AQ64" s="16">
        <v>5.0130248744399779</v>
      </c>
      <c r="AR64" s="16">
        <v>4.3121891135631216</v>
      </c>
      <c r="AS64" s="16">
        <v>3.0758422769384737</v>
      </c>
      <c r="AT64" s="16">
        <v>0.94373947494233335</v>
      </c>
      <c r="AU64" s="16">
        <v>2.997365374662337</v>
      </c>
      <c r="AV64" s="16">
        <v>-2.7254624643958465</v>
      </c>
      <c r="AW64" s="16">
        <v>1.1719084992945596</v>
      </c>
      <c r="AX64" s="16">
        <v>7.9758313681236359</v>
      </c>
      <c r="AY64" s="16">
        <v>7.7703073494659805</v>
      </c>
      <c r="AZ64" s="19">
        <v>6.0674209435771047</v>
      </c>
      <c r="BA64" s="19">
        <v>1.900905079524648</v>
      </c>
      <c r="BB64" s="19">
        <v>-0.36288260793527627</v>
      </c>
      <c r="BC64" s="19">
        <v>6.9244843126642763</v>
      </c>
      <c r="BD64" s="19">
        <v>1.8006713618614612</v>
      </c>
      <c r="BE64" s="19">
        <v>1.4153886947544123</v>
      </c>
      <c r="BF64" s="19">
        <v>3.5724647849970381</v>
      </c>
      <c r="BG64" s="19">
        <v>5.7483814632996939</v>
      </c>
      <c r="BH64" s="19">
        <v>5.6557422430976345</v>
      </c>
      <c r="BI64" s="19">
        <v>5.4256015229283747</v>
      </c>
      <c r="BJ64" s="19">
        <v>3.4904772378049387</v>
      </c>
      <c r="BK64" s="19">
        <v>5.8070498268743194</v>
      </c>
      <c r="BL64" s="19">
        <v>3.9289317269079334</v>
      </c>
      <c r="BM64" s="19">
        <v>-7.7190586791500237</v>
      </c>
      <c r="BN64" s="19">
        <v>11.078276320836423</v>
      </c>
      <c r="BO64" s="16">
        <v>3.8222561053510731</v>
      </c>
      <c r="BP64" s="16">
        <v>1.4199127114873846</v>
      </c>
    </row>
    <row r="65" spans="1:68" x14ac:dyDescent="0.3">
      <c r="A65" s="16" t="s">
        <v>28</v>
      </c>
      <c r="B65" s="16" t="s">
        <v>425</v>
      </c>
      <c r="C65" s="16" t="s">
        <v>604</v>
      </c>
      <c r="D65" s="16" t="s">
        <v>605</v>
      </c>
      <c r="F65" s="16">
        <v>-15.127218311280785</v>
      </c>
      <c r="G65" s="16">
        <v>-20.910073610124996</v>
      </c>
      <c r="H65" s="16">
        <v>32.168302384438562</v>
      </c>
      <c r="I65" s="16">
        <v>4.0175195114874498</v>
      </c>
      <c r="J65" s="16">
        <v>4.4727875585050612</v>
      </c>
      <c r="K65" s="16">
        <v>-6.5569114946884781</v>
      </c>
      <c r="L65" s="16">
        <v>7.0450867505641384</v>
      </c>
      <c r="M65" s="16">
        <v>8.3279917078813668</v>
      </c>
      <c r="N65" s="16">
        <v>6.0217176656133944</v>
      </c>
      <c r="O65" s="16">
        <v>6.4567191719164754</v>
      </c>
      <c r="P65" s="16">
        <v>-13.307117520955984</v>
      </c>
      <c r="Q65" s="16">
        <v>24.516490264535989</v>
      </c>
      <c r="R65" s="16">
        <v>1.3789096501282643</v>
      </c>
      <c r="S65" s="16">
        <v>4.8905909166538635</v>
      </c>
      <c r="T65" s="16">
        <v>1.230300647701128</v>
      </c>
      <c r="U65" s="16">
        <v>3.2906099782845217</v>
      </c>
      <c r="V65" s="16">
        <v>1.3657943255818594</v>
      </c>
      <c r="W65" s="16">
        <v>6.1274677817112462</v>
      </c>
      <c r="X65" s="16">
        <v>4.316636922406289</v>
      </c>
      <c r="Y65" s="16">
        <v>-2.2880566347455158</v>
      </c>
      <c r="Z65" s="16">
        <v>-0.25733798930761509</v>
      </c>
      <c r="AA65" s="16">
        <v>2.9487290674965436</v>
      </c>
      <c r="AB65" s="16">
        <v>1.9243238221900327</v>
      </c>
      <c r="AC65" s="16">
        <v>2.0883813854203765</v>
      </c>
      <c r="AD65" s="16">
        <v>0.2357802679903358</v>
      </c>
      <c r="AE65" s="16">
        <v>-2.8891713177825977</v>
      </c>
      <c r="AF65" s="16">
        <v>-3.6620096934861834</v>
      </c>
      <c r="AG65" s="16">
        <v>-3.682624436582941</v>
      </c>
      <c r="AH65" s="16">
        <v>1.6882789835680967</v>
      </c>
      <c r="AI65" s="16">
        <v>-1.6829279498054746</v>
      </c>
      <c r="AJ65" s="16">
        <v>-3.528167862082725</v>
      </c>
      <c r="AK65" s="16">
        <v>-0.53830371325747706</v>
      </c>
      <c r="AL65" s="16">
        <v>-4.2689354619087965</v>
      </c>
      <c r="AM65" s="16">
        <v>-2.966914206996691</v>
      </c>
      <c r="AN65" s="16">
        <v>1.8280369772788276</v>
      </c>
      <c r="AO65" s="16">
        <v>2.2804720128541902</v>
      </c>
      <c r="AP65" s="16">
        <v>-0.58544531899089236</v>
      </c>
      <c r="AQ65" s="16">
        <v>3.5243219566557542</v>
      </c>
      <c r="AR65" s="16">
        <v>1.766866718797246</v>
      </c>
      <c r="AS65" s="16">
        <v>2.3545802705535124</v>
      </c>
      <c r="AT65" s="16">
        <v>1.5924966142015791</v>
      </c>
      <c r="AU65" s="16">
        <v>3.9878397252585103</v>
      </c>
      <c r="AV65" s="16">
        <v>5.0674574774801187</v>
      </c>
      <c r="AW65" s="16">
        <v>3.039698804036604</v>
      </c>
      <c r="AX65" s="16">
        <v>3.972019167836649</v>
      </c>
      <c r="AY65" s="16">
        <v>1.42770410611719</v>
      </c>
      <c r="AZ65" s="19">
        <v>1.4352135206170828</v>
      </c>
      <c r="BA65" s="19">
        <v>0.76318712407703515</v>
      </c>
      <c r="BB65" s="19">
        <v>-0.60123216709895644</v>
      </c>
      <c r="BC65" s="19">
        <v>2.8700716841231895</v>
      </c>
      <c r="BD65" s="19">
        <v>1.0630970874215109</v>
      </c>
      <c r="BE65" s="19">
        <v>0.42947011791936518</v>
      </c>
      <c r="BF65" s="19">
        <v>0.60186281674054953</v>
      </c>
      <c r="BG65" s="19">
        <v>2.0600624489941879</v>
      </c>
      <c r="BH65" s="19">
        <v>1.1565576582555792</v>
      </c>
      <c r="BI65" s="19">
        <v>1.8493317178633504</v>
      </c>
      <c r="BJ65" s="19">
        <v>-0.46704714819561843</v>
      </c>
      <c r="BK65" s="19">
        <v>-0.51172113465030122</v>
      </c>
      <c r="BL65" s="19">
        <v>-0.9390340273793214</v>
      </c>
      <c r="BM65" s="19">
        <v>-6.6316591865545433</v>
      </c>
      <c r="BN65" s="19">
        <v>2.093487611438178</v>
      </c>
      <c r="BO65" s="16">
        <v>1.9267009977052396</v>
      </c>
      <c r="BP65" s="16">
        <v>2.4947709733420567</v>
      </c>
    </row>
    <row r="66" spans="1:68" hidden="1" x14ac:dyDescent="0.3">
      <c r="A66" s="16" t="s">
        <v>629</v>
      </c>
      <c r="B66" s="16" t="s">
        <v>630</v>
      </c>
      <c r="C66" s="16" t="s">
        <v>604</v>
      </c>
      <c r="D66" s="16" t="s">
        <v>605</v>
      </c>
      <c r="F66" s="16">
        <v>-13.282802497970579</v>
      </c>
      <c r="G66" s="16">
        <v>-1.9390204414125378</v>
      </c>
      <c r="H66" s="16">
        <v>3.7810311370405998</v>
      </c>
      <c r="I66" s="16">
        <v>8.1285660676537361</v>
      </c>
      <c r="J66" s="16">
        <v>8.1178180546312575</v>
      </c>
      <c r="K66" s="16">
        <v>5.1159688952901092</v>
      </c>
      <c r="L66" s="16">
        <v>-3.9193730838768914</v>
      </c>
      <c r="M66" s="16">
        <v>-0.83821427934158521</v>
      </c>
      <c r="N66" s="16">
        <v>8.4253556109249388</v>
      </c>
      <c r="O66" s="16">
        <v>10.420773717697244</v>
      </c>
      <c r="P66" s="16">
        <v>3.947786876242418</v>
      </c>
      <c r="Q66" s="16">
        <v>2.3480390704156093</v>
      </c>
      <c r="R66" s="16">
        <v>5.7776399585119975</v>
      </c>
      <c r="S66" s="16">
        <v>1.6539238643048577</v>
      </c>
      <c r="T66" s="16">
        <v>4.8190434237794761</v>
      </c>
      <c r="U66" s="16">
        <v>1.0711195476137476</v>
      </c>
      <c r="V66" s="16">
        <v>5.7048068057075767</v>
      </c>
      <c r="W66" s="16">
        <v>7.4716729137715561</v>
      </c>
      <c r="X66" s="16">
        <v>5.3116544701007768</v>
      </c>
      <c r="Y66" s="16">
        <v>5.8604547270935825</v>
      </c>
      <c r="Z66" s="16">
        <v>3.9371533364415399</v>
      </c>
      <c r="AA66" s="16">
        <v>4.6189079117507958</v>
      </c>
      <c r="AB66" s="16">
        <v>5.9343076350244246</v>
      </c>
      <c r="AC66" s="16">
        <v>8.2219098661517194</v>
      </c>
      <c r="AD66" s="16">
        <v>6.1847148723202565</v>
      </c>
      <c r="AE66" s="16">
        <v>5.3534912925536418</v>
      </c>
      <c r="AF66" s="16">
        <v>7.2998441029637888</v>
      </c>
      <c r="AG66" s="16">
        <v>7.8588277334266934</v>
      </c>
      <c r="AH66" s="16">
        <v>4.0055503130098913</v>
      </c>
      <c r="AI66" s="16">
        <v>3.4715133929140336</v>
      </c>
      <c r="AJ66" s="16">
        <v>6.3649909400334934</v>
      </c>
      <c r="AK66" s="16">
        <v>9.6076177164338361</v>
      </c>
      <c r="AL66" s="16">
        <v>9.7562534716901723</v>
      </c>
      <c r="AM66" s="16">
        <v>9.4639052737271072</v>
      </c>
      <c r="AN66" s="16">
        <v>8.4716369146246961</v>
      </c>
      <c r="AO66" s="16">
        <v>7.7116307415346057</v>
      </c>
      <c r="AP66" s="16">
        <v>6.0392805793635347</v>
      </c>
      <c r="AQ66" s="16">
        <v>1.7047775752812981</v>
      </c>
      <c r="AR66" s="16">
        <v>5.2420522441774011</v>
      </c>
      <c r="AS66" s="16">
        <v>6.5806182183899153</v>
      </c>
      <c r="AT66" s="16">
        <v>5.9823069335217696</v>
      </c>
      <c r="AU66" s="16">
        <v>7.1041187864340003</v>
      </c>
      <c r="AV66" s="16">
        <v>8.0242623644724489</v>
      </c>
      <c r="AW66" s="16">
        <v>8.2327518955687395</v>
      </c>
      <c r="AX66" s="16">
        <v>9.0940903156646442</v>
      </c>
      <c r="AY66" s="16">
        <v>10.210798002673485</v>
      </c>
      <c r="AZ66" s="19">
        <v>11.634989572326589</v>
      </c>
      <c r="BA66" s="19">
        <v>7.8063133045428259</v>
      </c>
      <c r="BB66" s="19">
        <v>7.1965342028344139</v>
      </c>
      <c r="BC66" s="19">
        <v>9.131851952878776</v>
      </c>
      <c r="BD66" s="19">
        <v>7.8172237503486173</v>
      </c>
      <c r="BE66" s="19">
        <v>6.6666214060810773</v>
      </c>
      <c r="BF66" s="19">
        <v>6.4052439849137386</v>
      </c>
      <c r="BG66" s="19">
        <v>6.1325356977993977</v>
      </c>
      <c r="BH66" s="19">
        <v>5.9006123038811893</v>
      </c>
      <c r="BI66" s="19">
        <v>5.7692707689623006</v>
      </c>
      <c r="BJ66" s="19">
        <v>5.900233393906035</v>
      </c>
      <c r="BK66" s="19">
        <v>5.833026226569558</v>
      </c>
      <c r="BL66" s="19">
        <v>5.1859312943017386</v>
      </c>
      <c r="BM66" s="19">
        <v>0.76916173616328365</v>
      </c>
      <c r="BN66" s="19">
        <v>7.2364069181720652</v>
      </c>
      <c r="BO66" s="16">
        <v>3.1472667601520641</v>
      </c>
      <c r="BP66" s="16">
        <v>4.844061853847208</v>
      </c>
    </row>
    <row r="67" spans="1:68" hidden="1" x14ac:dyDescent="0.3">
      <c r="A67" s="16" t="s">
        <v>631</v>
      </c>
      <c r="B67" s="16" t="s">
        <v>632</v>
      </c>
      <c r="C67" s="16" t="s">
        <v>604</v>
      </c>
      <c r="D67" s="16" t="s">
        <v>605</v>
      </c>
      <c r="F67" s="16">
        <v>2.1833940033380514</v>
      </c>
      <c r="G67" s="16">
        <v>1.4217416454263656</v>
      </c>
      <c r="H67" s="16">
        <v>2.6814952520463748</v>
      </c>
      <c r="I67" s="16">
        <v>5.6419097031281638</v>
      </c>
      <c r="J67" s="16">
        <v>3.5482064961719146</v>
      </c>
      <c r="K67" s="16">
        <v>1.8290210241409994</v>
      </c>
      <c r="L67" s="16">
        <v>3.0996228337847356</v>
      </c>
      <c r="M67" s="16">
        <v>4.6060627257834312</v>
      </c>
      <c r="N67" s="16">
        <v>4.1238702785612418</v>
      </c>
      <c r="O67" s="16">
        <v>5.6704602114992895</v>
      </c>
      <c r="P67" s="16">
        <v>3.3118082682574084</v>
      </c>
      <c r="Q67" s="16">
        <v>4.6178089309141228</v>
      </c>
      <c r="R67" s="16">
        <v>4.6425120005924754</v>
      </c>
      <c r="S67" s="16">
        <v>4.3546937206986769</v>
      </c>
      <c r="T67" s="16">
        <v>3.2291289812704349E-2</v>
      </c>
      <c r="U67" s="16">
        <v>4.7372606784356037</v>
      </c>
      <c r="V67" s="16">
        <v>1.6448912032606984</v>
      </c>
      <c r="W67" s="16">
        <v>-0.87831797752140517</v>
      </c>
      <c r="X67" s="16">
        <v>1.7352766177042014</v>
      </c>
      <c r="Y67" s="16">
        <v>0.87688781732143184</v>
      </c>
      <c r="Z67" s="16">
        <v>0.99166661948855506</v>
      </c>
      <c r="AA67" s="16">
        <v>-2.5677639409103961</v>
      </c>
      <c r="AB67" s="16">
        <v>-2.291256853148397</v>
      </c>
      <c r="AC67" s="16">
        <v>-0.39137321541997494</v>
      </c>
      <c r="AD67" s="16">
        <v>-1.4690586429485961</v>
      </c>
      <c r="AE67" s="16">
        <v>3.9075831464046473E-2</v>
      </c>
      <c r="AF67" s="16">
        <v>0.20593414132281396</v>
      </c>
      <c r="AG67" s="16">
        <v>1.1386009608528695</v>
      </c>
      <c r="AH67" s="16">
        <v>-4.3941975051126292E-2</v>
      </c>
      <c r="AI67" s="16">
        <v>2.921598972894742</v>
      </c>
      <c r="AJ67" s="16">
        <v>2.415560809722777</v>
      </c>
      <c r="AK67" s="16">
        <v>1.8034735294763351</v>
      </c>
      <c r="AL67" s="16">
        <v>1.28992658093496</v>
      </c>
      <c r="AM67" s="16">
        <v>1.382004408965102</v>
      </c>
      <c r="AN67" s="16">
        <v>0.44742461229357389</v>
      </c>
      <c r="AO67" s="16">
        <v>3.6153499765097479</v>
      </c>
      <c r="AP67" s="16">
        <v>2.734084917353826</v>
      </c>
      <c r="AQ67" s="16">
        <v>0.50002667205752971</v>
      </c>
      <c r="AR67" s="16">
        <v>0.18746675451669148</v>
      </c>
      <c r="AS67" s="16">
        <v>2.4954699960837701</v>
      </c>
      <c r="AT67" s="16">
        <v>-0.81983595866897474</v>
      </c>
      <c r="AU67" s="16">
        <v>-8.3465839251886109E-3</v>
      </c>
      <c r="AV67" s="16">
        <v>3.5425713399819472</v>
      </c>
      <c r="AW67" s="16">
        <v>4.3734307640059313</v>
      </c>
      <c r="AX67" s="16">
        <v>4.128389411228838</v>
      </c>
      <c r="AY67" s="16">
        <v>4.3278593893384425</v>
      </c>
      <c r="AZ67" s="19">
        <v>4.0060346592541265</v>
      </c>
      <c r="BA67" s="19">
        <v>1.8593995509382779</v>
      </c>
      <c r="BB67" s="19">
        <v>-0.88203746504242986</v>
      </c>
      <c r="BC67" s="19">
        <v>4.8881861481710871</v>
      </c>
      <c r="BD67" s="19">
        <v>3.3359692575472053</v>
      </c>
      <c r="BE67" s="19">
        <v>2.6807418686201459</v>
      </c>
      <c r="BF67" s="19">
        <v>2.5961212260986031</v>
      </c>
      <c r="BG67" s="19">
        <v>2.6782410590685686</v>
      </c>
      <c r="BH67" s="19">
        <v>2.9767059925793831</v>
      </c>
      <c r="BI67" s="19">
        <v>3.0151515745394164</v>
      </c>
      <c r="BJ67" s="19">
        <v>3.2686679718482594</v>
      </c>
      <c r="BK67" s="19">
        <v>2.5112196757987704</v>
      </c>
      <c r="BL67" s="19">
        <v>1.1227608949117638</v>
      </c>
      <c r="BM67" s="19">
        <v>-5.4968567619305588</v>
      </c>
      <c r="BN67" s="19">
        <v>6.4576924592477241</v>
      </c>
      <c r="BO67" s="16">
        <v>4.4762052065714357</v>
      </c>
      <c r="BP67" s="16">
        <v>2.8831039960162741</v>
      </c>
    </row>
    <row r="68" spans="1:68" hidden="1" x14ac:dyDescent="0.3">
      <c r="A68" s="16" t="s">
        <v>633</v>
      </c>
      <c r="B68" s="16" t="s">
        <v>634</v>
      </c>
      <c r="C68" s="16" t="s">
        <v>604</v>
      </c>
      <c r="D68" s="16" t="s">
        <v>605</v>
      </c>
      <c r="F68" s="16">
        <v>3.6515589821277388</v>
      </c>
      <c r="G68" s="16">
        <v>4.0170940467164229</v>
      </c>
      <c r="H68" s="16">
        <v>5.2024825196013325</v>
      </c>
      <c r="I68" s="16">
        <v>7.8706377275237713</v>
      </c>
      <c r="J68" s="16">
        <v>4.513587319496466</v>
      </c>
      <c r="K68" s="16">
        <v>5.8788174288724662</v>
      </c>
      <c r="L68" s="16">
        <v>4.8001477567822093</v>
      </c>
      <c r="M68" s="16">
        <v>6.6751118268555842</v>
      </c>
      <c r="N68" s="16">
        <v>8.66406513036722</v>
      </c>
      <c r="O68" s="16">
        <v>1.2660596631662884</v>
      </c>
      <c r="P68" s="16">
        <v>2.5538540845040103</v>
      </c>
      <c r="Q68" s="16">
        <v>4.6716632037406782</v>
      </c>
      <c r="R68" s="16">
        <v>5.2944210727061858</v>
      </c>
      <c r="S68" s="16">
        <v>-1.071611789518272</v>
      </c>
      <c r="T68" s="16">
        <v>1.6831691593486511</v>
      </c>
      <c r="U68" s="16">
        <v>2.4566820022076712</v>
      </c>
      <c r="V68" s="16">
        <v>3.5659189371014293</v>
      </c>
      <c r="W68" s="16">
        <v>4.17371882698923</v>
      </c>
      <c r="X68" s="16">
        <v>4.2766380241657771</v>
      </c>
      <c r="Y68" s="16">
        <v>2.2525008616441511</v>
      </c>
      <c r="Z68" s="16">
        <v>3.1015448767151241</v>
      </c>
      <c r="AA68" s="16">
        <v>2.4701160036103715</v>
      </c>
      <c r="AB68" s="16">
        <v>2.7757653896772467</v>
      </c>
      <c r="AC68" s="16">
        <v>4.5884544606134199</v>
      </c>
      <c r="AD68" s="16">
        <v>4.1268481622397815</v>
      </c>
      <c r="AE68" s="16">
        <v>3.3024387498770835</v>
      </c>
      <c r="AF68" s="16">
        <v>4.5626895625183579</v>
      </c>
      <c r="AG68" s="16">
        <v>5.8865042142424358</v>
      </c>
      <c r="AH68" s="16">
        <v>3.5405650830277864</v>
      </c>
      <c r="AI68" s="16">
        <v>3.5019817733874987</v>
      </c>
      <c r="AJ68" s="16">
        <v>3.3562580220039706</v>
      </c>
      <c r="AK68" s="16">
        <v>2.858540829724987</v>
      </c>
      <c r="AL68" s="16">
        <v>2.8703412453344583</v>
      </c>
      <c r="AM68" s="16">
        <v>3.9235205085494442</v>
      </c>
      <c r="AN68" s="16">
        <v>4.3982519955888932</v>
      </c>
      <c r="AO68" s="16">
        <v>4.3757638002261103</v>
      </c>
      <c r="AP68" s="16">
        <v>2.8642234156629485</v>
      </c>
      <c r="AQ68" s="16">
        <v>-0.64482440379856598</v>
      </c>
      <c r="AR68" s="16">
        <v>2.6988500191977352</v>
      </c>
      <c r="AS68" s="16">
        <v>4.4105050017945189</v>
      </c>
      <c r="AT68" s="16">
        <v>2.3802204204904882</v>
      </c>
      <c r="AU68" s="16">
        <v>3.503760042079108</v>
      </c>
      <c r="AV68" s="16">
        <v>4.1161893032677597</v>
      </c>
      <c r="AW68" s="16">
        <v>5.0653229464430467</v>
      </c>
      <c r="AX68" s="16">
        <v>5.1113915433193142</v>
      </c>
      <c r="AY68" s="16">
        <v>5.6665237937718445</v>
      </c>
      <c r="AZ68" s="19">
        <v>6.684493393413419</v>
      </c>
      <c r="BA68" s="19">
        <v>3.63034067917269</v>
      </c>
      <c r="BB68" s="19">
        <v>1.8481873067067767</v>
      </c>
      <c r="BC68" s="19">
        <v>6.8776213421155603</v>
      </c>
      <c r="BD68" s="19">
        <v>4.7138612228954742</v>
      </c>
      <c r="BE68" s="19">
        <v>4.3493532590991322</v>
      </c>
      <c r="BF68" s="19">
        <v>4.4306731273967159</v>
      </c>
      <c r="BG68" s="19">
        <v>3.9789436756987584</v>
      </c>
      <c r="BH68" s="19">
        <v>3.9855569686623653</v>
      </c>
      <c r="BI68" s="19">
        <v>3.9246640885178579</v>
      </c>
      <c r="BJ68" s="19">
        <v>4.3123322585759922</v>
      </c>
      <c r="BK68" s="19">
        <v>4.1215429980740623</v>
      </c>
      <c r="BL68" s="19">
        <v>3.4093328353333163</v>
      </c>
      <c r="BM68" s="19">
        <v>-0.57037666984857083</v>
      </c>
      <c r="BN68" s="19">
        <v>5.9396950305052627</v>
      </c>
      <c r="BO68" s="16">
        <v>2.6696972393114322</v>
      </c>
      <c r="BP68" s="16">
        <v>3.8593813645151158</v>
      </c>
    </row>
    <row r="69" spans="1:68" hidden="1" x14ac:dyDescent="0.3">
      <c r="A69" s="16" t="s">
        <v>635</v>
      </c>
      <c r="B69" s="16" t="s">
        <v>636</v>
      </c>
      <c r="C69" s="16" t="s">
        <v>604</v>
      </c>
      <c r="D69" s="16" t="s">
        <v>605</v>
      </c>
      <c r="AG69" s="16">
        <v>1.8470472861595368</v>
      </c>
      <c r="AH69" s="16">
        <v>6.9409340122987828E-2</v>
      </c>
      <c r="AI69" s="16">
        <v>1.5894691691711387</v>
      </c>
      <c r="AJ69" s="16">
        <v>-5.6948790117608041</v>
      </c>
      <c r="AK69" s="16">
        <v>-5.5537028149829268</v>
      </c>
      <c r="AL69" s="16">
        <v>-2.7004880435841301</v>
      </c>
      <c r="AM69" s="16">
        <v>-10.40099301305753</v>
      </c>
      <c r="AN69" s="16">
        <v>0.63430899747582714</v>
      </c>
      <c r="AO69" s="16">
        <v>3.4501333891494141</v>
      </c>
      <c r="AP69" s="16">
        <v>5.0824095319260749</v>
      </c>
      <c r="AQ69" s="16">
        <v>1.9686095532109249</v>
      </c>
      <c r="AR69" s="16">
        <v>-1.3983082169921772</v>
      </c>
      <c r="AS69" s="16">
        <v>6.4058277061633788</v>
      </c>
      <c r="AT69" s="16">
        <v>-0.54300154995726757</v>
      </c>
      <c r="AU69" s="16">
        <v>5.9486959013306233</v>
      </c>
      <c r="AV69" s="16">
        <v>6.1280588694726816</v>
      </c>
      <c r="AW69" s="16">
        <v>9.0949574118444474</v>
      </c>
      <c r="AX69" s="16">
        <v>7.9070777835265034</v>
      </c>
      <c r="AY69" s="16">
        <v>7.6466005889160868</v>
      </c>
      <c r="AZ69" s="19">
        <v>6.6101465537921769</v>
      </c>
      <c r="BA69" s="19">
        <v>2.3258160167813742</v>
      </c>
      <c r="BB69" s="19">
        <v>-4.2288494126686373</v>
      </c>
      <c r="BC69" s="19">
        <v>6.0563699259200519</v>
      </c>
      <c r="BD69" s="19">
        <v>7.5687709263071952</v>
      </c>
      <c r="BE69" s="19">
        <v>3.2328444171366755</v>
      </c>
      <c r="BF69" s="19">
        <v>5.6894913039156023</v>
      </c>
      <c r="BG69" s="19">
        <v>2.4956494670983886</v>
      </c>
      <c r="BH69" s="19">
        <v>2.6638985605153493</v>
      </c>
      <c r="BI69" s="19">
        <v>1.8774770677687229</v>
      </c>
      <c r="BJ69" s="19">
        <v>4.9376354780829672</v>
      </c>
      <c r="BK69" s="19">
        <v>2.6491408603257014</v>
      </c>
      <c r="BL69" s="19">
        <v>1.3607136595608154</v>
      </c>
      <c r="BM69" s="19">
        <v>-0.37103498126850809</v>
      </c>
      <c r="BN69" s="19">
        <v>8.2394079573117551</v>
      </c>
      <c r="BO69" s="16">
        <v>4.6419593629376266</v>
      </c>
      <c r="BP69" s="16">
        <v>4.3704691141914793</v>
      </c>
    </row>
    <row r="70" spans="1:68" hidden="1" x14ac:dyDescent="0.3">
      <c r="A70" s="16" t="s">
        <v>637</v>
      </c>
      <c r="B70" s="16" t="s">
        <v>638</v>
      </c>
      <c r="C70" s="16" t="s">
        <v>604</v>
      </c>
      <c r="D70" s="16" t="s">
        <v>605</v>
      </c>
      <c r="F70" s="16">
        <v>3.9999783617443256</v>
      </c>
      <c r="G70" s="16">
        <v>3.4987806061029545</v>
      </c>
      <c r="H70" s="16">
        <v>3.6816418289168098</v>
      </c>
      <c r="I70" s="16">
        <v>4.673053313512483</v>
      </c>
      <c r="J70" s="16">
        <v>3.3199780861889536</v>
      </c>
      <c r="K70" s="16">
        <v>2.8191321112859526</v>
      </c>
      <c r="L70" s="16">
        <v>2.4910057814845743</v>
      </c>
      <c r="M70" s="16">
        <v>4.4473985420139286</v>
      </c>
      <c r="N70" s="16">
        <v>5.0317649907358799</v>
      </c>
      <c r="O70" s="16">
        <v>4.1862195780581857</v>
      </c>
      <c r="P70" s="16">
        <v>2.9519610610460489</v>
      </c>
      <c r="Q70" s="16">
        <v>3.8167570143259582</v>
      </c>
      <c r="R70" s="16">
        <v>5.0454463570693804</v>
      </c>
      <c r="S70" s="16">
        <v>1.4116746467794314</v>
      </c>
      <c r="T70" s="16">
        <v>-1.5209017330193859</v>
      </c>
      <c r="U70" s="16">
        <v>3.6725578942515114</v>
      </c>
      <c r="V70" s="16">
        <v>2.1702990847949337</v>
      </c>
      <c r="W70" s="16">
        <v>2.4166436115838508</v>
      </c>
      <c r="X70" s="16">
        <v>3.0048508452101572</v>
      </c>
      <c r="Y70" s="16">
        <v>0.78831800658983298</v>
      </c>
      <c r="Z70" s="16">
        <v>-0.15065051206522639</v>
      </c>
      <c r="AA70" s="16">
        <v>0.36188891761051423</v>
      </c>
      <c r="AB70" s="16">
        <v>1.362596818307594</v>
      </c>
      <c r="AC70" s="16">
        <v>2.0348197163859538</v>
      </c>
      <c r="AD70" s="16">
        <v>2.1491155054848861</v>
      </c>
      <c r="AE70" s="16">
        <v>2.1075147803812229</v>
      </c>
      <c r="AF70" s="16">
        <v>2.43970786326922</v>
      </c>
      <c r="AG70" s="16">
        <v>3.5393542388913062</v>
      </c>
      <c r="AH70" s="16">
        <v>2.9134444221331677</v>
      </c>
      <c r="AI70" s="16">
        <v>1.7808253509931831</v>
      </c>
      <c r="AJ70" s="16">
        <v>-0.36054274278596665</v>
      </c>
      <c r="AK70" s="16">
        <v>-1.1137305513242524</v>
      </c>
      <c r="AL70" s="16">
        <v>-1.1268786492089902</v>
      </c>
      <c r="AM70" s="16">
        <v>0.95839382796856398</v>
      </c>
      <c r="AN70" s="16">
        <v>1.9563668427476273</v>
      </c>
      <c r="AO70" s="16">
        <v>1.5818597189230559</v>
      </c>
      <c r="AP70" s="16">
        <v>2.8954436532248735</v>
      </c>
      <c r="AQ70" s="16">
        <v>2.4887044467305515</v>
      </c>
      <c r="AR70" s="16">
        <v>2.7615557790886811</v>
      </c>
      <c r="AS70" s="16">
        <v>4.2422600743757357</v>
      </c>
      <c r="AT70" s="16">
        <v>2.1235860780455482</v>
      </c>
      <c r="AU70" s="16">
        <v>1.3999965997789587</v>
      </c>
      <c r="AV70" s="16">
        <v>1.5351556481971471</v>
      </c>
      <c r="AW70" s="16">
        <v>2.8887025781279476</v>
      </c>
      <c r="AX70" s="16">
        <v>2.3637736976755264</v>
      </c>
      <c r="AY70" s="16">
        <v>3.5473168033562956</v>
      </c>
      <c r="AZ70" s="19">
        <v>3.3221192438546581</v>
      </c>
      <c r="BA70" s="19">
        <v>0.60469080907978423</v>
      </c>
      <c r="BB70" s="19">
        <v>-4.8392420821698892</v>
      </c>
      <c r="BC70" s="19">
        <v>2.2581523193668573</v>
      </c>
      <c r="BD70" s="19">
        <v>2.0953964155681035</v>
      </c>
      <c r="BE70" s="19">
        <v>-2.4989754987615242E-2</v>
      </c>
      <c r="BF70" s="19">
        <v>0.39239493028524919</v>
      </c>
      <c r="BG70" s="19">
        <v>1.455454847523427</v>
      </c>
      <c r="BH70" s="19">
        <v>1.5905168862926189</v>
      </c>
      <c r="BI70" s="19">
        <v>1.4436620659634087</v>
      </c>
      <c r="BJ70" s="19">
        <v>2.5065520062340596</v>
      </c>
      <c r="BK70" s="19">
        <v>1.7525675622739101</v>
      </c>
      <c r="BL70" s="19">
        <v>1.4703170209495084</v>
      </c>
      <c r="BM70" s="19">
        <v>-5.6848455200742904</v>
      </c>
      <c r="BN70" s="19">
        <v>6.4334740627376874</v>
      </c>
      <c r="BO70" s="16">
        <v>3.5137274027491117</v>
      </c>
      <c r="BP70" s="16">
        <v>0.6426067716000432</v>
      </c>
    </row>
    <row r="71" spans="1:68" x14ac:dyDescent="0.3">
      <c r="A71" s="16" t="s">
        <v>88</v>
      </c>
      <c r="B71" s="16" t="s">
        <v>426</v>
      </c>
      <c r="C71" s="16" t="s">
        <v>604</v>
      </c>
      <c r="D71" s="16" t="s">
        <v>605</v>
      </c>
      <c r="F71" s="16">
        <v>2.1741433971741202</v>
      </c>
      <c r="G71" s="16">
        <v>1.9388010504772382</v>
      </c>
      <c r="H71" s="16">
        <v>-0.81239426438263251</v>
      </c>
      <c r="I71" s="16">
        <v>4.3207455911284001</v>
      </c>
      <c r="J71" s="16">
        <v>0.29394345346914008</v>
      </c>
      <c r="K71" s="16">
        <v>-3.2121425059698225</v>
      </c>
      <c r="L71" s="16">
        <v>1.6131315809040387</v>
      </c>
      <c r="M71" s="16">
        <v>-1.0157206017110951</v>
      </c>
      <c r="N71" s="16">
        <v>1.6781632229671715</v>
      </c>
      <c r="O71" s="16">
        <v>3.8387215047689409</v>
      </c>
      <c r="P71" s="16">
        <v>3.3013073889159159</v>
      </c>
      <c r="Q71" s="16">
        <v>2.0812557675747598</v>
      </c>
      <c r="R71" s="16">
        <v>10.783112854210671</v>
      </c>
      <c r="S71" s="16">
        <v>8.1402327910468983</v>
      </c>
      <c r="T71" s="16">
        <v>7.9320719593604707</v>
      </c>
      <c r="U71" s="16">
        <v>4.4776792873179687</v>
      </c>
      <c r="V71" s="16">
        <v>-1.1335623909753281</v>
      </c>
      <c r="W71" s="16">
        <v>2.8827610542223994</v>
      </c>
      <c r="X71" s="16">
        <v>0.98737421151489002</v>
      </c>
      <c r="Y71" s="16">
        <v>0.98901880923006047</v>
      </c>
      <c r="Z71" s="16">
        <v>2.8721220624481845</v>
      </c>
      <c r="AA71" s="16">
        <v>-1.9673060329757419</v>
      </c>
      <c r="AB71" s="16">
        <v>-2.8666220606231434</v>
      </c>
      <c r="AC71" s="16">
        <v>4.2222225959292814E-2</v>
      </c>
      <c r="AD71" s="16">
        <v>1.336915854794853</v>
      </c>
      <c r="AE71" s="16">
        <v>0.89416112850020113</v>
      </c>
      <c r="AF71" s="16">
        <v>-2.7120826264419406</v>
      </c>
      <c r="AG71" s="16">
        <v>3.3370189095419391</v>
      </c>
      <c r="AH71" s="16">
        <v>-1.3723852311517533</v>
      </c>
      <c r="AI71" s="16">
        <v>1.3021641641899322</v>
      </c>
      <c r="AJ71" s="16">
        <v>1.9838176198197175</v>
      </c>
      <c r="AK71" s="16">
        <v>-1.834177762782474E-2</v>
      </c>
      <c r="AL71" s="16">
        <v>-2.9153401537769241E-2</v>
      </c>
      <c r="AM71" s="16">
        <v>2.2845320161192859</v>
      </c>
      <c r="AN71" s="16">
        <v>0.35963964788419389</v>
      </c>
      <c r="AO71" s="16">
        <v>-0.11310906194886172</v>
      </c>
      <c r="AP71" s="16">
        <v>2.4774996173628949</v>
      </c>
      <c r="AQ71" s="16">
        <v>1.4732440655967736</v>
      </c>
      <c r="AR71" s="16">
        <v>-6.3691636058232604</v>
      </c>
      <c r="AS71" s="16">
        <v>-0.62524091265474624</v>
      </c>
      <c r="AT71" s="16">
        <v>2.4295722261848454</v>
      </c>
      <c r="AU71" s="16">
        <v>3.1211364508979074</v>
      </c>
      <c r="AV71" s="16">
        <v>1.1010054768695312</v>
      </c>
      <c r="AW71" s="16">
        <v>4.9900336517299166</v>
      </c>
      <c r="AX71" s="16">
        <v>3.5966749691504418</v>
      </c>
      <c r="AY71" s="16">
        <v>2.5606669524620429</v>
      </c>
      <c r="AZ71" s="19">
        <v>0.16656369257610493</v>
      </c>
      <c r="BA71" s="19">
        <v>4.7642224935255939</v>
      </c>
      <c r="BB71" s="19">
        <v>-0.59559423597927719</v>
      </c>
      <c r="BC71" s="19">
        <v>2.31619067136306</v>
      </c>
      <c r="BD71" s="19">
        <v>6.7148799264245014</v>
      </c>
      <c r="BE71" s="19">
        <v>4.1015239229612774</v>
      </c>
      <c r="BF71" s="19">
        <v>5.5808308980567176</v>
      </c>
      <c r="BG71" s="19">
        <v>2.6911826582939966</v>
      </c>
      <c r="BH71" s="19">
        <v>-1.3510055838903412</v>
      </c>
      <c r="BI71" s="19">
        <v>-2.1600508496244402</v>
      </c>
      <c r="BJ71" s="19">
        <v>4.3370199189426444</v>
      </c>
      <c r="BK71" s="19">
        <v>-0.8484093801003354</v>
      </c>
      <c r="BL71" s="19">
        <v>-1.7292895154587598</v>
      </c>
      <c r="BM71" s="19">
        <v>-10.50851690229733</v>
      </c>
      <c r="BN71" s="19">
        <v>8.5279366313660461</v>
      </c>
      <c r="BO71" s="16">
        <v>4.9871105082681169</v>
      </c>
      <c r="BP71" s="16">
        <v>1.2890188931478122</v>
      </c>
    </row>
    <row r="72" spans="1:68" x14ac:dyDescent="0.3">
      <c r="A72" s="16" t="s">
        <v>428</v>
      </c>
      <c r="B72" s="16" t="s">
        <v>427</v>
      </c>
      <c r="C72" s="16" t="s">
        <v>604</v>
      </c>
      <c r="D72" s="16" t="s">
        <v>605</v>
      </c>
      <c r="F72" s="16">
        <v>2.45753430859736</v>
      </c>
      <c r="G72" s="16">
        <v>1.1874520367645118</v>
      </c>
      <c r="H72" s="16">
        <v>7.6426584400765591</v>
      </c>
      <c r="I72" s="16">
        <v>8.6083093365032113</v>
      </c>
      <c r="J72" s="16">
        <v>2.2184787363398044</v>
      </c>
      <c r="K72" s="16">
        <v>2.4058399647984174</v>
      </c>
      <c r="L72" s="16">
        <v>-1.6684333537466074</v>
      </c>
      <c r="M72" s="16">
        <v>-3.9661666352542113</v>
      </c>
      <c r="N72" s="16">
        <v>2.8289195093120298</v>
      </c>
      <c r="O72" s="16">
        <v>3.2121157577232253</v>
      </c>
      <c r="P72" s="16">
        <v>1.7922240602820523</v>
      </c>
      <c r="Q72" s="16">
        <v>0.85788953266381895</v>
      </c>
      <c r="R72" s="16">
        <v>1.303987638828545</v>
      </c>
      <c r="S72" s="16">
        <v>-0.60876780395126673</v>
      </c>
      <c r="T72" s="16">
        <v>6.5645483245343001</v>
      </c>
      <c r="U72" s="16">
        <v>10.784145231556067</v>
      </c>
      <c r="V72" s="16">
        <v>6.5093337348672833</v>
      </c>
      <c r="W72" s="16">
        <v>6.0179129588446472</v>
      </c>
      <c r="X72" s="16">
        <v>1.9584945424279141</v>
      </c>
      <c r="Y72" s="16">
        <v>7.2047581349872019</v>
      </c>
      <c r="Z72" s="16">
        <v>4.5966343967658361</v>
      </c>
      <c r="AA72" s="16">
        <v>7.0715973405375792</v>
      </c>
      <c r="AB72" s="16">
        <v>2.286887795135101</v>
      </c>
      <c r="AC72" s="16">
        <v>6.7634313916695703</v>
      </c>
      <c r="AD72" s="16">
        <v>2.9173067303174065</v>
      </c>
      <c r="AE72" s="16">
        <v>1.9163957600898414</v>
      </c>
      <c r="AF72" s="16">
        <v>1.0483476014805433</v>
      </c>
      <c r="AG72" s="16">
        <v>2.63121118540559</v>
      </c>
      <c r="AH72" s="16">
        <v>2.1600286426138808</v>
      </c>
      <c r="AI72" s="16">
        <v>2.9913320815762319</v>
      </c>
      <c r="AJ72" s="16">
        <v>-1.2838980976087271</v>
      </c>
      <c r="AK72" s="16">
        <v>2.0728399944395903</v>
      </c>
      <c r="AL72" s="16">
        <v>0.56547584135407192</v>
      </c>
      <c r="AM72" s="16">
        <v>1.6649293383233328</v>
      </c>
      <c r="AN72" s="16">
        <v>2.3739367588101885</v>
      </c>
      <c r="AO72" s="16">
        <v>2.7496709985988161</v>
      </c>
      <c r="AP72" s="16">
        <v>3.2429007344672414</v>
      </c>
      <c r="AQ72" s="16">
        <v>3.3354034374039259</v>
      </c>
      <c r="AR72" s="16">
        <v>3.8357065153997496</v>
      </c>
      <c r="AS72" s="16">
        <v>4.1888659800503092</v>
      </c>
      <c r="AT72" s="16">
        <v>1.4278750313420261</v>
      </c>
      <c r="AU72" s="16">
        <v>0.27135002021543642</v>
      </c>
      <c r="AV72" s="16">
        <v>1.061259565820734</v>
      </c>
      <c r="AW72" s="16">
        <v>1.9986068466691904</v>
      </c>
      <c r="AX72" s="16">
        <v>2.4201256286009425</v>
      </c>
      <c r="AY72" s="16">
        <v>4.7841275644136374</v>
      </c>
      <c r="AZ72" s="19">
        <v>5.0180848206260436</v>
      </c>
      <c r="BA72" s="19">
        <v>5.0781683735191052</v>
      </c>
      <c r="BB72" s="19">
        <v>2.6459186643618864</v>
      </c>
      <c r="BC72" s="19">
        <v>3.036697185341481</v>
      </c>
      <c r="BD72" s="19">
        <v>-0.4574093600842275</v>
      </c>
      <c r="BE72" s="19">
        <v>-5.9787760926383271E-2</v>
      </c>
      <c r="BF72" s="19">
        <v>-0.15366223772255694</v>
      </c>
      <c r="BG72" s="19">
        <v>0.53182407020118205</v>
      </c>
      <c r="BH72" s="19">
        <v>2.0955383060870645</v>
      </c>
      <c r="BI72" s="19">
        <v>2.1922086271789283</v>
      </c>
      <c r="BJ72" s="19">
        <v>2.1287433805944573</v>
      </c>
      <c r="BK72" s="19">
        <v>3.3498150222262666</v>
      </c>
      <c r="BL72" s="19">
        <v>3.6753708302234713</v>
      </c>
      <c r="BM72" s="19">
        <v>1.7709687318852048</v>
      </c>
      <c r="BN72" s="19">
        <v>1.5918162882358331</v>
      </c>
      <c r="BO72" s="16">
        <v>4.9284561845377937</v>
      </c>
      <c r="BP72" s="16">
        <v>2.1697150463456154</v>
      </c>
    </row>
    <row r="73" spans="1:68" hidden="1" x14ac:dyDescent="0.3">
      <c r="A73" s="16" t="s">
        <v>639</v>
      </c>
      <c r="B73" s="16" t="s">
        <v>640</v>
      </c>
      <c r="C73" s="16" t="s">
        <v>604</v>
      </c>
      <c r="D73" s="16" t="s">
        <v>605</v>
      </c>
      <c r="F73" s="16">
        <v>4.8354709725352762</v>
      </c>
      <c r="G73" s="16">
        <v>4.8437039692656612</v>
      </c>
      <c r="H73" s="16">
        <v>3.993734201291943</v>
      </c>
      <c r="I73" s="16">
        <v>4.9596600116365721</v>
      </c>
      <c r="J73" s="16">
        <v>4.1225757985919671</v>
      </c>
      <c r="K73" s="16">
        <v>3.5405263694417357</v>
      </c>
      <c r="L73" s="16">
        <v>2.7166516469166737</v>
      </c>
      <c r="M73" s="16">
        <v>4.926471016689618</v>
      </c>
      <c r="N73" s="16">
        <v>6.3925967283177272</v>
      </c>
      <c r="O73" s="16">
        <v>5.005567731872091</v>
      </c>
      <c r="P73" s="16">
        <v>3.1898173140922523</v>
      </c>
      <c r="Q73" s="16">
        <v>4.18147381357565</v>
      </c>
      <c r="R73" s="16">
        <v>5.4832647164149648</v>
      </c>
      <c r="S73" s="16">
        <v>2.6403931239407257</v>
      </c>
      <c r="T73" s="16">
        <v>-1.2670889438449251</v>
      </c>
      <c r="U73" s="16">
        <v>4.5708061979347008</v>
      </c>
      <c r="V73" s="16">
        <v>2.6697649458640456</v>
      </c>
      <c r="W73" s="16">
        <v>2.6919410750531938</v>
      </c>
      <c r="X73" s="16">
        <v>3.4344755098074415</v>
      </c>
      <c r="Y73" s="16">
        <v>1.706376561471231</v>
      </c>
      <c r="Z73" s="16">
        <v>0.12409888438659777</v>
      </c>
      <c r="AA73" s="16">
        <v>0.42085386419586257</v>
      </c>
      <c r="AB73" s="16">
        <v>1.1805500400475069</v>
      </c>
      <c r="AC73" s="16">
        <v>2.2097437302333987</v>
      </c>
      <c r="AD73" s="16">
        <v>2.121026667436297</v>
      </c>
      <c r="AE73" s="16">
        <v>2.2571485746618407</v>
      </c>
      <c r="AF73" s="16">
        <v>2.2564740046720431</v>
      </c>
      <c r="AG73" s="16">
        <v>3.9655858436286735</v>
      </c>
      <c r="AH73" s="16">
        <v>3.6657553895596635</v>
      </c>
      <c r="AI73" s="16">
        <v>3.1400762909592288</v>
      </c>
      <c r="AJ73" s="16">
        <v>1.8173313933398134</v>
      </c>
      <c r="AK73" s="16">
        <v>0.6838541888108125</v>
      </c>
      <c r="AL73" s="16">
        <v>-1.1425285187937391</v>
      </c>
      <c r="AM73" s="16">
        <v>2.1373390731395574</v>
      </c>
      <c r="AN73" s="16">
        <v>2.191009562442531</v>
      </c>
      <c r="AO73" s="16">
        <v>1.4674861586196499</v>
      </c>
      <c r="AP73" s="16">
        <v>2.4869782069907131</v>
      </c>
      <c r="AQ73" s="16">
        <v>2.8194935937264347</v>
      </c>
      <c r="AR73" s="16">
        <v>2.6930744989296613</v>
      </c>
      <c r="AS73" s="16">
        <v>3.5397776115171098</v>
      </c>
      <c r="AT73" s="16">
        <v>1.8649506892302696</v>
      </c>
      <c r="AU73" s="16">
        <v>0.47335319682642307</v>
      </c>
      <c r="AV73" s="16">
        <v>0.16454452140015974</v>
      </c>
      <c r="AW73" s="16">
        <v>1.7477056986326289</v>
      </c>
      <c r="AX73" s="16">
        <v>1.1742188711551904</v>
      </c>
      <c r="AY73" s="16">
        <v>2.7644190512090319</v>
      </c>
      <c r="AZ73" s="19">
        <v>2.4852651992685963</v>
      </c>
      <c r="BA73" s="19">
        <v>-5.8394854772743088E-2</v>
      </c>
      <c r="BB73" s="19">
        <v>-4.838471568953068</v>
      </c>
      <c r="BC73" s="19">
        <v>1.9293596904379768</v>
      </c>
      <c r="BD73" s="19">
        <v>1.9373772319293041</v>
      </c>
      <c r="BE73" s="19">
        <v>-1.0625934954617122</v>
      </c>
      <c r="BF73" s="19">
        <v>-0.55037178190970337</v>
      </c>
      <c r="BG73" s="19">
        <v>1.060758435151314</v>
      </c>
      <c r="BH73" s="19">
        <v>1.7595867767755493</v>
      </c>
      <c r="BI73" s="19">
        <v>1.5804432052056541</v>
      </c>
      <c r="BJ73" s="19">
        <v>2.424518751100095</v>
      </c>
      <c r="BK73" s="19">
        <v>1.5588677958907908</v>
      </c>
      <c r="BL73" s="19">
        <v>1.4834212836300082</v>
      </c>
      <c r="BM73" s="19">
        <v>-6.2299857280115845</v>
      </c>
      <c r="BN73" s="19">
        <v>5.9688849820456369</v>
      </c>
      <c r="BO73" s="16">
        <v>3.0138224284685435</v>
      </c>
      <c r="BP73" s="16">
        <v>-0.13396936550512351</v>
      </c>
    </row>
    <row r="74" spans="1:68" x14ac:dyDescent="0.3">
      <c r="A74" s="16" t="s">
        <v>92</v>
      </c>
      <c r="B74" s="16" t="s">
        <v>641</v>
      </c>
      <c r="C74" s="16" t="s">
        <v>604</v>
      </c>
      <c r="D74" s="16" t="s">
        <v>605</v>
      </c>
      <c r="AL74" s="16">
        <v>10.003970559748794</v>
      </c>
      <c r="AM74" s="16">
        <v>17.596282660506432</v>
      </c>
      <c r="AN74" s="16">
        <v>-2.6115837847309393</v>
      </c>
      <c r="AO74" s="16">
        <v>4.1023640694251924</v>
      </c>
      <c r="AP74" s="16">
        <v>6.6142857285632459</v>
      </c>
      <c r="AQ74" s="16">
        <v>0.40589002817019093</v>
      </c>
      <c r="AR74" s="16">
        <v>-1.4178322414277318</v>
      </c>
      <c r="AS74" s="16">
        <v>-4.6154915890492134</v>
      </c>
      <c r="AT74" s="16">
        <v>5.7052896233849708</v>
      </c>
      <c r="AU74" s="16">
        <v>-0.45165340605745996</v>
      </c>
      <c r="AV74" s="16">
        <v>-6.5430732004756891</v>
      </c>
      <c r="AW74" s="16">
        <v>-2.577856846432141</v>
      </c>
      <c r="AX74" s="16">
        <v>8.9826485358315722E-2</v>
      </c>
      <c r="AY74" s="16">
        <v>-2.6320896954886024</v>
      </c>
      <c r="AZ74" s="19">
        <v>-0.17022923402520007</v>
      </c>
      <c r="BA74" s="19">
        <v>-12.172514806044504</v>
      </c>
      <c r="BB74" s="19">
        <v>1.2455079059142236</v>
      </c>
      <c r="BC74" s="19">
        <v>0.12159163950029495</v>
      </c>
      <c r="BD74" s="19">
        <v>6.6521825349775838</v>
      </c>
      <c r="BE74" s="19"/>
      <c r="BF74" s="19"/>
      <c r="BG74" s="19"/>
      <c r="BH74" s="19"/>
      <c r="BI74" s="19"/>
      <c r="BJ74" s="19"/>
      <c r="BK74" s="19"/>
      <c r="BL74" s="19"/>
      <c r="BM74" s="19"/>
      <c r="BN74" s="19"/>
    </row>
    <row r="75" spans="1:68" x14ac:dyDescent="0.3">
      <c r="A75" s="16" t="s">
        <v>224</v>
      </c>
      <c r="B75" s="16" t="s">
        <v>429</v>
      </c>
      <c r="C75" s="16" t="s">
        <v>604</v>
      </c>
      <c r="D75" s="16" t="s">
        <v>605</v>
      </c>
      <c r="F75" s="16">
        <v>10.804486856498769</v>
      </c>
      <c r="G75" s="16">
        <v>8.9464702897874275</v>
      </c>
      <c r="H75" s="16">
        <v>8.6394929889729752</v>
      </c>
      <c r="I75" s="16">
        <v>4.2672454165806499</v>
      </c>
      <c r="J75" s="16">
        <v>5.1056321442934234</v>
      </c>
      <c r="K75" s="16">
        <v>6.1534347245692658</v>
      </c>
      <c r="L75" s="16">
        <v>3.0641265961755408</v>
      </c>
      <c r="M75" s="16">
        <v>5.2121722913502708</v>
      </c>
      <c r="N75" s="16">
        <v>7.8390830510837617</v>
      </c>
      <c r="O75" s="16">
        <v>3.0935989220965752</v>
      </c>
      <c r="P75" s="16">
        <v>3.3959270726432891</v>
      </c>
      <c r="Q75" s="16">
        <v>6.9621930612666603</v>
      </c>
      <c r="R75" s="16">
        <v>6.6040257809089979</v>
      </c>
      <c r="S75" s="16">
        <v>4.4710682684824974</v>
      </c>
      <c r="T75" s="16">
        <v>-0.53909664886515429</v>
      </c>
      <c r="U75" s="16">
        <v>2.2177725829358224</v>
      </c>
      <c r="V75" s="16">
        <v>1.785657099934852</v>
      </c>
      <c r="W75" s="16">
        <v>0.49072818663091766</v>
      </c>
      <c r="X75" s="16">
        <v>-0.83652808264542955</v>
      </c>
      <c r="Y75" s="16">
        <v>1.3913154184083112</v>
      </c>
      <c r="Z75" s="16">
        <v>-0.83988735160480132</v>
      </c>
      <c r="AA75" s="16">
        <v>0.64040899641626936</v>
      </c>
      <c r="AB75" s="16">
        <v>1.2755146078256274</v>
      </c>
      <c r="AC75" s="16">
        <v>1.3628971482148273</v>
      </c>
      <c r="AD75" s="16">
        <v>1.9513292710291665</v>
      </c>
      <c r="AE75" s="16">
        <v>2.9452794045653548</v>
      </c>
      <c r="AF75" s="16">
        <v>5.2737628589698744</v>
      </c>
      <c r="AG75" s="16">
        <v>4.8716920719573409</v>
      </c>
      <c r="AH75" s="16">
        <v>4.6628151972627023</v>
      </c>
      <c r="AI75" s="16">
        <v>3.6757679509780985</v>
      </c>
      <c r="AJ75" s="16">
        <v>2.2853247769004952</v>
      </c>
      <c r="AK75" s="16">
        <v>0.43611498969642071</v>
      </c>
      <c r="AL75" s="16">
        <v>-1.543358243979057</v>
      </c>
      <c r="AM75" s="16">
        <v>1.8969068945734477</v>
      </c>
      <c r="AN75" s="16">
        <v>2.3049570684242866</v>
      </c>
      <c r="AO75" s="16">
        <v>2.2338534170834237</v>
      </c>
      <c r="AP75" s="16">
        <v>3.2687667862838481</v>
      </c>
      <c r="AQ75" s="16">
        <v>3.9619652536768086</v>
      </c>
      <c r="AR75" s="16">
        <v>4.0678862682817112</v>
      </c>
      <c r="AS75" s="16">
        <v>4.7764007853099031</v>
      </c>
      <c r="AT75" s="16">
        <v>3.2141345668139678</v>
      </c>
      <c r="AU75" s="16">
        <v>1.2899771812352299</v>
      </c>
      <c r="AV75" s="16">
        <v>1.1362939895594764</v>
      </c>
      <c r="AW75" s="16">
        <v>1.3586486111349529</v>
      </c>
      <c r="AX75" s="16">
        <v>1.9157463925792371</v>
      </c>
      <c r="AY75" s="16">
        <v>2.3577724717172259</v>
      </c>
      <c r="AZ75" s="19">
        <v>1.704571587978549</v>
      </c>
      <c r="BA75" s="19">
        <v>-0.70964482438029108</v>
      </c>
      <c r="BB75" s="19">
        <v>-4.6117479229635165</v>
      </c>
      <c r="BC75" s="19">
        <v>-0.29717890386363877</v>
      </c>
      <c r="BD75" s="19">
        <v>-1.1662039068979055</v>
      </c>
      <c r="BE75" s="19">
        <v>-3.0219065373579781</v>
      </c>
      <c r="BF75" s="19">
        <v>-1.0797412651872804</v>
      </c>
      <c r="BG75" s="19">
        <v>1.6993526592820274</v>
      </c>
      <c r="BH75" s="19">
        <v>3.9191172650058235</v>
      </c>
      <c r="BI75" s="19">
        <v>2.9508159090386101</v>
      </c>
      <c r="BJ75" s="19">
        <v>2.7344751550537865</v>
      </c>
      <c r="BK75" s="19">
        <v>1.8374604643726684</v>
      </c>
      <c r="BL75" s="19">
        <v>1.2546317546912462</v>
      </c>
      <c r="BM75" s="19">
        <v>-11.600189300608832</v>
      </c>
      <c r="BN75" s="19">
        <v>6.2906594445275061</v>
      </c>
      <c r="BO75" s="16">
        <v>4.9680512437299882</v>
      </c>
      <c r="BP75" s="16">
        <v>1.2424954327157138</v>
      </c>
    </row>
    <row r="76" spans="1:68" x14ac:dyDescent="0.3">
      <c r="A76" s="16" t="s">
        <v>93</v>
      </c>
      <c r="B76" s="16" t="s">
        <v>430</v>
      </c>
      <c r="C76" s="16" t="s">
        <v>604</v>
      </c>
      <c r="D76" s="16" t="s">
        <v>605</v>
      </c>
      <c r="AJ76" s="16">
        <v>-7.5366944589373759</v>
      </c>
      <c r="AK76" s="16">
        <v>-19.717433145786671</v>
      </c>
      <c r="AL76" s="16">
        <v>-3.2824497129793713</v>
      </c>
      <c r="AM76" s="16">
        <v>0.48369272611101621</v>
      </c>
      <c r="AN76" s="16">
        <v>6.4096600070859608</v>
      </c>
      <c r="AO76" s="16">
        <v>6.5027844711456027</v>
      </c>
      <c r="AP76" s="16">
        <v>14.347210017453918</v>
      </c>
      <c r="AQ76" s="16">
        <v>5.3469001292090041</v>
      </c>
      <c r="AR76" s="16">
        <v>-0.71782447627664681</v>
      </c>
      <c r="AS76" s="16">
        <v>9.5564184693248251</v>
      </c>
      <c r="AT76" s="16">
        <v>6.6810335408990369</v>
      </c>
      <c r="AU76" s="16">
        <v>7.4498404282868194</v>
      </c>
      <c r="AV76" s="16">
        <v>8.2777122848210212</v>
      </c>
      <c r="AW76" s="16">
        <v>7.4444163745782674</v>
      </c>
      <c r="AX76" s="16">
        <v>10.154994792627576</v>
      </c>
      <c r="AY76" s="16">
        <v>10.414734231302631</v>
      </c>
      <c r="AZ76" s="19">
        <v>8.0710253336896471</v>
      </c>
      <c r="BA76" s="19">
        <v>-4.8772865281689235</v>
      </c>
      <c r="BB76" s="19">
        <v>-14.464328383945841</v>
      </c>
      <c r="BC76" s="19">
        <v>2.6781640390881591</v>
      </c>
      <c r="BD76" s="19">
        <v>7.5892116646181478</v>
      </c>
      <c r="BE76" s="19">
        <v>3.5983621595667898</v>
      </c>
      <c r="BF76" s="19">
        <v>1.8201541606954947</v>
      </c>
      <c r="BG76" s="19">
        <v>3.2818748136628386</v>
      </c>
      <c r="BH76" s="19">
        <v>1.7862746942617633</v>
      </c>
      <c r="BI76" s="19">
        <v>3.1255383045875078</v>
      </c>
      <c r="BJ76" s="19">
        <v>5.6640390823612563</v>
      </c>
      <c r="BK76" s="19">
        <v>3.4236190583912816</v>
      </c>
      <c r="BL76" s="19">
        <v>3.6478638734804179</v>
      </c>
      <c r="BM76" s="19">
        <v>-1.160869407940794</v>
      </c>
      <c r="BN76" s="19">
        <v>7.1357055605757722</v>
      </c>
      <c r="BO76" s="16">
        <v>-1.782541445592372</v>
      </c>
      <c r="BP76" s="16">
        <v>-4.2372354212809711</v>
      </c>
    </row>
    <row r="77" spans="1:68" x14ac:dyDescent="0.3">
      <c r="A77" s="16" t="s">
        <v>95</v>
      </c>
      <c r="B77" s="16" t="s">
        <v>431</v>
      </c>
      <c r="C77" s="16" t="s">
        <v>604</v>
      </c>
      <c r="D77" s="16" t="s">
        <v>605</v>
      </c>
      <c r="G77" s="16">
        <v>1.7216869043441108</v>
      </c>
      <c r="H77" s="16">
        <v>1.8584364134074889</v>
      </c>
      <c r="I77" s="16">
        <v>1.3893176680922465</v>
      </c>
      <c r="J77" s="16">
        <v>2.9752590775425034</v>
      </c>
      <c r="K77" s="16">
        <v>4.50883726568307</v>
      </c>
      <c r="L77" s="16">
        <v>1.3695297346631037</v>
      </c>
      <c r="M77" s="16">
        <v>1.3146629990160079</v>
      </c>
      <c r="N77" s="16">
        <v>-1.3798252727845011</v>
      </c>
      <c r="O77" s="16">
        <v>0.63921563785727642</v>
      </c>
      <c r="P77" s="16">
        <v>3.6295452352002968</v>
      </c>
      <c r="Q77" s="16">
        <v>1.4664864624046317</v>
      </c>
      <c r="R77" s="16">
        <v>2.3601107607847922</v>
      </c>
      <c r="S77" s="16">
        <v>0.66859099454117654</v>
      </c>
      <c r="T77" s="16">
        <v>-1.1527079907291977</v>
      </c>
      <c r="U77" s="16">
        <v>-2.3030444532506635</v>
      </c>
      <c r="V77" s="16">
        <v>0.79646417338483388</v>
      </c>
      <c r="W77" s="16">
        <v>1.0484776120063941</v>
      </c>
      <c r="X77" s="16">
        <v>-2.5227245166715733</v>
      </c>
      <c r="Y77" s="16">
        <v>5.8557478404403582</v>
      </c>
      <c r="Z77" s="16">
        <v>1.8364008113459107</v>
      </c>
      <c r="AA77" s="16">
        <v>-2.8657516546168296</v>
      </c>
      <c r="AB77" s="16">
        <v>5.3425423075212848</v>
      </c>
      <c r="AC77" s="16">
        <v>-5.246167637269636</v>
      </c>
      <c r="AD77" s="16">
        <v>-13.533208002211765</v>
      </c>
      <c r="AE77" s="16">
        <v>6.568349965206167</v>
      </c>
      <c r="AF77" s="16">
        <v>10.148381882693556</v>
      </c>
      <c r="AG77" s="16">
        <v>-3.2435309014458795</v>
      </c>
      <c r="AH77" s="16">
        <v>-3.9941231945481093</v>
      </c>
      <c r="AI77" s="16">
        <v>-0.88267668713284309</v>
      </c>
      <c r="AJ77" s="16">
        <v>-10.967013603338231</v>
      </c>
      <c r="AK77" s="16">
        <v>-12.314451714162729</v>
      </c>
      <c r="AL77" s="16">
        <v>9.3986187877291627</v>
      </c>
      <c r="AM77" s="16">
        <v>-0.20245107491192016</v>
      </c>
      <c r="AN77" s="16">
        <v>2.6999013604184938</v>
      </c>
      <c r="AO77" s="16">
        <v>8.8816007600014188</v>
      </c>
      <c r="AP77" s="16">
        <v>-4.2347686519192962E-2</v>
      </c>
      <c r="AQ77" s="16">
        <v>-6.3680317733470559</v>
      </c>
      <c r="AR77" s="16">
        <v>2.0254469438090155</v>
      </c>
      <c r="AS77" s="16">
        <v>2.9806940975032319</v>
      </c>
      <c r="AT77" s="16">
        <v>5.1832961020546549</v>
      </c>
      <c r="AU77" s="16">
        <v>-1.419431349453788</v>
      </c>
      <c r="AV77" s="16">
        <v>-4.9635486109286973</v>
      </c>
      <c r="AW77" s="16">
        <v>10.356735380470056</v>
      </c>
      <c r="AX77" s="16">
        <v>8.6881931473880201</v>
      </c>
      <c r="AY77" s="16">
        <v>7.7455957188400077</v>
      </c>
      <c r="AZ77" s="19">
        <v>8.3228320586772497</v>
      </c>
      <c r="BA77" s="19">
        <v>7.6878600799579004</v>
      </c>
      <c r="BB77" s="19">
        <v>5.7945537958975706</v>
      </c>
      <c r="BC77" s="19">
        <v>9.4198734285808996</v>
      </c>
      <c r="BD77" s="19">
        <v>8.054120480715298</v>
      </c>
      <c r="BE77" s="19">
        <v>5.6186539193383283</v>
      </c>
      <c r="BF77" s="19">
        <v>7.5830989241305815</v>
      </c>
      <c r="BG77" s="19">
        <v>7.31454492337771</v>
      </c>
      <c r="BH77" s="19">
        <v>7.4566950971568673</v>
      </c>
      <c r="BI77" s="19">
        <v>6.5012114967062757</v>
      </c>
      <c r="BJ77" s="19">
        <v>6.6227890705046661</v>
      </c>
      <c r="BK77" s="19">
        <v>3.9984402558808938</v>
      </c>
      <c r="BL77" s="19">
        <v>5.5238105676392877</v>
      </c>
      <c r="BM77" s="19">
        <v>3.2808479842021114</v>
      </c>
      <c r="BN77" s="19">
        <v>2.9258045453589574</v>
      </c>
      <c r="BO77" s="16">
        <v>2.6775619127412824</v>
      </c>
      <c r="BP77" s="16">
        <v>3.8491826042537269</v>
      </c>
    </row>
    <row r="78" spans="1:68" hidden="1" x14ac:dyDescent="0.3">
      <c r="A78" s="16" t="s">
        <v>642</v>
      </c>
      <c r="B78" s="16" t="s">
        <v>643</v>
      </c>
      <c r="C78" s="16" t="s">
        <v>604</v>
      </c>
      <c r="D78" s="16" t="s">
        <v>605</v>
      </c>
      <c r="F78" s="16">
        <v>4.8763258268418497</v>
      </c>
      <c r="G78" s="16">
        <v>4.8037092002963391</v>
      </c>
      <c r="H78" s="16">
        <v>3.9048800462418995</v>
      </c>
      <c r="I78" s="16">
        <v>5.0831415720020487</v>
      </c>
      <c r="J78" s="16">
        <v>4.3603779392001485</v>
      </c>
      <c r="K78" s="16">
        <v>3.4524769569347313</v>
      </c>
      <c r="L78" s="16">
        <v>2.7650178676183117</v>
      </c>
      <c r="M78" s="16">
        <v>4.7976593930920046</v>
      </c>
      <c r="N78" s="16">
        <v>6.2786520857187895</v>
      </c>
      <c r="O78" s="16">
        <v>4.9186357535625689</v>
      </c>
      <c r="P78" s="16">
        <v>3.0967107351503671</v>
      </c>
      <c r="Q78" s="16">
        <v>4.0688293866761853</v>
      </c>
      <c r="R78" s="16">
        <v>5.337516897149186</v>
      </c>
      <c r="S78" s="16">
        <v>2.502415662505598</v>
      </c>
      <c r="T78" s="16">
        <v>-1.1651973419883888</v>
      </c>
      <c r="U78" s="16">
        <v>4.3227458129867671</v>
      </c>
      <c r="V78" s="16">
        <v>2.4278872027990985</v>
      </c>
      <c r="W78" s="16">
        <v>2.5853733919377646</v>
      </c>
      <c r="X78" s="16">
        <v>3.3912355250453601</v>
      </c>
      <c r="Y78" s="16">
        <v>1.581648657319775</v>
      </c>
      <c r="Z78" s="16">
        <v>0.1152366712705799</v>
      </c>
      <c r="AA78" s="16">
        <v>0.49735405551740541</v>
      </c>
      <c r="AB78" s="16">
        <v>1.1736070554021723</v>
      </c>
      <c r="AC78" s="16">
        <v>2.2662488156637721</v>
      </c>
      <c r="AD78" s="16">
        <v>2.0794999511556682</v>
      </c>
      <c r="AE78" s="16">
        <v>2.2941150612754342</v>
      </c>
      <c r="AF78" s="16">
        <v>2.2422097122492488</v>
      </c>
      <c r="AG78" s="16">
        <v>3.7798825273096099</v>
      </c>
      <c r="AH78" s="16">
        <v>3.5346859880693415</v>
      </c>
      <c r="AI78" s="16">
        <v>2.9650668495329455</v>
      </c>
      <c r="AJ78" s="16">
        <v>1.0741245110035322</v>
      </c>
      <c r="AK78" s="16">
        <v>0.59495655074353238</v>
      </c>
      <c r="AL78" s="16">
        <v>-0.96358824726949877</v>
      </c>
      <c r="AM78" s="16">
        <v>2.3830667578887272</v>
      </c>
      <c r="AN78" s="16">
        <v>2.4845922157349349</v>
      </c>
      <c r="AO78" s="16">
        <v>1.7155571158749012</v>
      </c>
      <c r="AP78" s="16">
        <v>2.4989252572752179</v>
      </c>
      <c r="AQ78" s="16">
        <v>2.8729534029439776</v>
      </c>
      <c r="AR78" s="16">
        <v>2.779100015329135</v>
      </c>
      <c r="AS78" s="16">
        <v>3.7762087217858777</v>
      </c>
      <c r="AT78" s="16">
        <v>2.0409890077452815</v>
      </c>
      <c r="AU78" s="16">
        <v>0.87891648341387452</v>
      </c>
      <c r="AV78" s="16">
        <v>0.5496721086267371</v>
      </c>
      <c r="AW78" s="16">
        <v>2.208402201705951</v>
      </c>
      <c r="AX78" s="16">
        <v>1.5642933598452942</v>
      </c>
      <c r="AY78" s="16">
        <v>3.1594695429278232</v>
      </c>
      <c r="AZ78" s="19">
        <v>2.8104802091478973</v>
      </c>
      <c r="BA78" s="19">
        <v>0.31909674840395041</v>
      </c>
      <c r="BB78" s="19">
        <v>-4.5748082041108944</v>
      </c>
      <c r="BC78" s="19">
        <v>2.0820378480444646</v>
      </c>
      <c r="BD78" s="19">
        <v>2.0819479776113496</v>
      </c>
      <c r="BE78" s="19">
        <v>-0.84812796376917277</v>
      </c>
      <c r="BF78" s="19">
        <v>-0.32567557179933715</v>
      </c>
      <c r="BG78" s="19">
        <v>1.3475224511112316</v>
      </c>
      <c r="BH78" s="19">
        <v>2.0864541596184978</v>
      </c>
      <c r="BI78" s="19">
        <v>1.7559261379669948</v>
      </c>
      <c r="BJ78" s="19">
        <v>2.6834829747866422</v>
      </c>
      <c r="BK78" s="19">
        <v>1.8874477904315512</v>
      </c>
      <c r="BL78" s="19">
        <v>1.7220023116324796</v>
      </c>
      <c r="BM78" s="19">
        <v>-5.7213738687049442</v>
      </c>
      <c r="BN78" s="19">
        <v>6.1306315538456744</v>
      </c>
      <c r="BO78" s="16">
        <v>3.4341374060792305</v>
      </c>
      <c r="BP78" s="16">
        <v>-2.0076889370130857E-2</v>
      </c>
    </row>
    <row r="79" spans="1:68" hidden="1" x14ac:dyDescent="0.3">
      <c r="A79" s="16" t="s">
        <v>644</v>
      </c>
      <c r="B79" s="16" t="s">
        <v>645</v>
      </c>
      <c r="C79" s="16" t="s">
        <v>604</v>
      </c>
      <c r="D79" s="16" t="s">
        <v>605</v>
      </c>
      <c r="F79" s="16">
        <v>-2.2851075674326609</v>
      </c>
      <c r="G79" s="16">
        <v>5.5834585977509761</v>
      </c>
      <c r="H79" s="16">
        <v>4.1778414712914582</v>
      </c>
      <c r="I79" s="16">
        <v>2.9098957674947172</v>
      </c>
      <c r="J79" s="16">
        <v>3.9934807759826469</v>
      </c>
      <c r="K79" s="16">
        <v>-1.2922129653746453</v>
      </c>
      <c r="L79" s="16">
        <v>-7.8044344654189217</v>
      </c>
      <c r="M79" s="16">
        <v>3.8876182385823199</v>
      </c>
      <c r="N79" s="16">
        <v>10.576413570454918</v>
      </c>
      <c r="O79" s="16">
        <v>9.7667090369479581</v>
      </c>
      <c r="P79" s="16">
        <v>5.25835187311597</v>
      </c>
      <c r="Q79" s="16">
        <v>1.4865248330680316</v>
      </c>
      <c r="R79" s="16">
        <v>1.5833137919262725</v>
      </c>
      <c r="S79" s="16">
        <v>8.4354234950426985</v>
      </c>
      <c r="T79" s="16">
        <v>-2.4268659592464985</v>
      </c>
      <c r="U79" s="16">
        <v>6.383295029658882</v>
      </c>
      <c r="V79" s="16">
        <v>2.4838356914846429</v>
      </c>
      <c r="W79" s="16">
        <v>-2.4670436087070442</v>
      </c>
      <c r="X79" s="16">
        <v>3.8355932998830724</v>
      </c>
      <c r="Y79" s="16">
        <v>2.9621228249825435</v>
      </c>
      <c r="Z79" s="16">
        <v>-8.4920125055166693</v>
      </c>
      <c r="AA79" s="16">
        <v>-2.9455771024088904</v>
      </c>
      <c r="AB79" s="16">
        <v>-6.8468721009780467</v>
      </c>
      <c r="AC79" s="16">
        <v>-3.4217552205128214</v>
      </c>
      <c r="AD79" s="16">
        <v>1.8533065023727175</v>
      </c>
      <c r="AE79" s="16">
        <v>-2.3361610973820035</v>
      </c>
      <c r="AF79" s="16">
        <v>-0.74909995786083527</v>
      </c>
      <c r="AG79" s="16">
        <v>1.3936664019747838</v>
      </c>
      <c r="AH79" s="16">
        <v>-1.2082929984317303</v>
      </c>
      <c r="AI79" s="16">
        <v>2.4545267646153661</v>
      </c>
      <c r="AJ79" s="16">
        <v>-8.0490709913685947</v>
      </c>
      <c r="AK79" s="16">
        <v>-2.2763525232520152</v>
      </c>
      <c r="AL79" s="16">
        <v>-4.4800786035867617</v>
      </c>
      <c r="AM79" s="16">
        <v>-6.0787331783184726</v>
      </c>
      <c r="AN79" s="16">
        <v>-2.8826774024534956</v>
      </c>
      <c r="AO79" s="16">
        <v>1.1301631756232666</v>
      </c>
      <c r="AP79" s="16">
        <v>2.3167469100046674</v>
      </c>
      <c r="AQ79" s="16">
        <v>2.6583325762587435</v>
      </c>
      <c r="AR79" s="16">
        <v>0.81976925675537871</v>
      </c>
      <c r="AS79" s="16">
        <v>3.1444128187840334</v>
      </c>
      <c r="AT79" s="16">
        <v>1.8183692261459754</v>
      </c>
      <c r="AU79" s="16">
        <v>2.2786587948608457</v>
      </c>
      <c r="AV79" s="16">
        <v>-1.4122460000717325</v>
      </c>
      <c r="AW79" s="16">
        <v>8.6259518427223867</v>
      </c>
      <c r="AX79" s="16">
        <v>3.3227176303521873</v>
      </c>
      <c r="AY79" s="16">
        <v>3.3183491958546512</v>
      </c>
      <c r="AZ79" s="19">
        <v>3.5457445472764277</v>
      </c>
      <c r="BA79" s="19">
        <v>2.5721772323387171</v>
      </c>
      <c r="BB79" s="19">
        <v>0.56026497610004355</v>
      </c>
      <c r="BC79" s="19">
        <v>4.4196571415539836</v>
      </c>
      <c r="BD79" s="19">
        <v>-2.3461371794818575</v>
      </c>
      <c r="BE79" s="19">
        <v>3.036510924562279</v>
      </c>
      <c r="BF79" s="19">
        <v>1.0121821473146468</v>
      </c>
      <c r="BG79" s="19">
        <v>-0.23960046906051957</v>
      </c>
      <c r="BH79" s="19">
        <v>-1.1702689536068505</v>
      </c>
      <c r="BI79" s="19">
        <v>-9.6240431857594899E-2</v>
      </c>
      <c r="BJ79" s="19">
        <v>0.28640522176533523</v>
      </c>
      <c r="BK79" s="19">
        <v>0.49291037075968802</v>
      </c>
      <c r="BL79" s="19">
        <v>0.26680024129592539</v>
      </c>
      <c r="BM79" s="19">
        <v>-8.4527022195968584</v>
      </c>
      <c r="BN79" s="19">
        <v>2.2695122068239897</v>
      </c>
      <c r="BO79" s="16">
        <v>-0.25643521169796202</v>
      </c>
      <c r="BP79" s="16">
        <v>-0.66292109822265388</v>
      </c>
    </row>
    <row r="80" spans="1:68" x14ac:dyDescent="0.3">
      <c r="A80" s="16" t="s">
        <v>98</v>
      </c>
      <c r="B80" s="16" t="s">
        <v>432</v>
      </c>
      <c r="C80" s="16" t="s">
        <v>604</v>
      </c>
      <c r="D80" s="16" t="s">
        <v>605</v>
      </c>
      <c r="F80" s="16">
        <v>6.8479651813113236</v>
      </c>
      <c r="G80" s="16">
        <v>2.2840485666376367</v>
      </c>
      <c r="H80" s="16">
        <v>2.5574723643867685</v>
      </c>
      <c r="I80" s="16">
        <v>4.6548528257137178</v>
      </c>
      <c r="J80" s="16">
        <v>4.9523891272688729</v>
      </c>
      <c r="K80" s="16">
        <v>1.9898469755800505</v>
      </c>
      <c r="L80" s="16">
        <v>1.617028865664679</v>
      </c>
      <c r="M80" s="16">
        <v>1.8450062071152757</v>
      </c>
      <c r="N80" s="16">
        <v>9.656904147674922</v>
      </c>
      <c r="O80" s="16">
        <v>7.8782144579062816</v>
      </c>
      <c r="P80" s="16">
        <v>2.2278246092169525</v>
      </c>
      <c r="Q80" s="16">
        <v>7.0961535163477549</v>
      </c>
      <c r="R80" s="16">
        <v>6.377978810632527</v>
      </c>
      <c r="S80" s="16">
        <v>2.6974577791859815</v>
      </c>
      <c r="T80" s="16">
        <v>1.3540252941764095</v>
      </c>
      <c r="U80" s="16">
        <v>4.2351173796120634E-2</v>
      </c>
      <c r="V80" s="16">
        <v>-4.0505647999097505E-2</v>
      </c>
      <c r="W80" s="16">
        <v>2.6246257347322342</v>
      </c>
      <c r="X80" s="16">
        <v>6.8484947592499168</v>
      </c>
      <c r="Y80" s="16">
        <v>5.0617146949321778</v>
      </c>
      <c r="Z80" s="16">
        <v>0.88467101779390589</v>
      </c>
      <c r="AA80" s="16">
        <v>2.5320040355944968</v>
      </c>
      <c r="AB80" s="16">
        <v>2.5038433847940951</v>
      </c>
      <c r="AC80" s="16">
        <v>2.687519898587027</v>
      </c>
      <c r="AD80" s="16">
        <v>3.1179256861564681</v>
      </c>
      <c r="AE80" s="16">
        <v>2.4224298130198605</v>
      </c>
      <c r="AF80" s="16">
        <v>3.2814764496738746</v>
      </c>
      <c r="AG80" s="16">
        <v>4.9117396995632419</v>
      </c>
      <c r="AH80" s="16">
        <v>4.708443331211825</v>
      </c>
      <c r="AI80" s="16">
        <v>0.22490995330981889</v>
      </c>
      <c r="AJ80" s="16">
        <v>-6.3989494392527888</v>
      </c>
      <c r="AK80" s="16">
        <v>-3.8365330524303118</v>
      </c>
      <c r="AL80" s="16">
        <v>-1.1414880632105309</v>
      </c>
      <c r="AM80" s="16">
        <v>3.5158852738025814</v>
      </c>
      <c r="AN80" s="16">
        <v>3.8198762877123897</v>
      </c>
      <c r="AO80" s="16">
        <v>3.3276693419678622</v>
      </c>
      <c r="AP80" s="16">
        <v>6.018052757909274</v>
      </c>
      <c r="AQ80" s="16">
        <v>5.1775914803117189</v>
      </c>
      <c r="AR80" s="16">
        <v>4.1375747371911586</v>
      </c>
      <c r="AS80" s="16">
        <v>5.5539978528423433</v>
      </c>
      <c r="AT80" s="16">
        <v>2.3766548701179175</v>
      </c>
      <c r="AU80" s="16">
        <v>1.4609286224290372</v>
      </c>
      <c r="AV80" s="16">
        <v>1.7608385701201996</v>
      </c>
      <c r="AW80" s="16">
        <v>3.6905877973641026</v>
      </c>
      <c r="AX80" s="16">
        <v>2.428689226954603</v>
      </c>
      <c r="AY80" s="16">
        <v>3.6289413484710877</v>
      </c>
      <c r="AZ80" s="19">
        <v>4.8523132761993111</v>
      </c>
      <c r="BA80" s="19">
        <v>0.31588637675407938</v>
      </c>
      <c r="BB80" s="19">
        <v>-8.5130284871830355</v>
      </c>
      <c r="BC80" s="19">
        <v>2.7149667345068451</v>
      </c>
      <c r="BD80" s="19">
        <v>2.0733963145333547</v>
      </c>
      <c r="BE80" s="19">
        <v>-1.8655911743635443</v>
      </c>
      <c r="BF80" s="19">
        <v>-1.3572156110907798</v>
      </c>
      <c r="BG80" s="19">
        <v>-0.77610838314613773</v>
      </c>
      <c r="BH80" s="19">
        <v>0.21302941966526134</v>
      </c>
      <c r="BI80" s="19">
        <v>2.5163798952420962</v>
      </c>
      <c r="BJ80" s="19">
        <v>2.9505313728247273</v>
      </c>
      <c r="BK80" s="19">
        <v>1.0056541702974755</v>
      </c>
      <c r="BL80" s="19">
        <v>1.1132690920643711</v>
      </c>
      <c r="BM80" s="19">
        <v>-2.4951229675846633</v>
      </c>
      <c r="BN80" s="19">
        <v>2.6252285750139492</v>
      </c>
      <c r="BO80" s="16">
        <v>1.0602654162163816</v>
      </c>
      <c r="BP80" s="16">
        <v>-1.5343932699674667</v>
      </c>
    </row>
    <row r="81" spans="1:68" x14ac:dyDescent="0.3">
      <c r="A81" s="16" t="s">
        <v>97</v>
      </c>
      <c r="B81" s="16" t="s">
        <v>433</v>
      </c>
      <c r="C81" s="16" t="s">
        <v>604</v>
      </c>
      <c r="D81" s="16" t="s">
        <v>605</v>
      </c>
      <c r="F81" s="16">
        <v>0.34788140317314742</v>
      </c>
      <c r="G81" s="16">
        <v>0.41794256872708502</v>
      </c>
      <c r="H81" s="16">
        <v>3.0599476125646561</v>
      </c>
      <c r="I81" s="16">
        <v>1.6912014052485205</v>
      </c>
      <c r="J81" s="16">
        <v>-5.5623533046603484</v>
      </c>
      <c r="K81" s="16">
        <v>-2.7672392704174058</v>
      </c>
      <c r="L81" s="16">
        <v>10.539069864982281</v>
      </c>
      <c r="M81" s="16">
        <v>5.4961105145741556</v>
      </c>
      <c r="N81" s="16">
        <v>0.41866400519042202</v>
      </c>
      <c r="O81" s="16">
        <v>10.421034131600265</v>
      </c>
      <c r="P81" s="16">
        <v>4.829486226649891</v>
      </c>
      <c r="Q81" s="16">
        <v>5.5396589458348302</v>
      </c>
      <c r="R81" s="16">
        <v>9.7449226656547694</v>
      </c>
      <c r="S81" s="16">
        <v>0.96111429415466887</v>
      </c>
      <c r="T81" s="16">
        <v>-1.1298002869790906</v>
      </c>
      <c r="U81" s="16">
        <v>0.84416609846680046</v>
      </c>
      <c r="V81" s="16">
        <v>3.6628983257801764</v>
      </c>
      <c r="W81" s="16">
        <v>-0.51414333820420666</v>
      </c>
      <c r="X81" s="16">
        <v>9.5036946019494195</v>
      </c>
      <c r="Y81" s="16">
        <v>-4.0035997356362714</v>
      </c>
      <c r="Z81" s="16">
        <v>3.7470262749192074</v>
      </c>
      <c r="AA81" s="16">
        <v>-8.2474734197059263</v>
      </c>
      <c r="AB81" s="16">
        <v>-6.2622785897105615</v>
      </c>
      <c r="AC81" s="16">
        <v>5.8046290506450759</v>
      </c>
      <c r="AD81" s="16">
        <v>-6.8294455864781867</v>
      </c>
      <c r="AE81" s="16">
        <v>5.5450231460586679</v>
      </c>
      <c r="AF81" s="16">
        <v>-8.1145681505443008</v>
      </c>
      <c r="AG81" s="16">
        <v>-0.31112844382474236</v>
      </c>
      <c r="AH81" s="16">
        <v>6.2798529246098838</v>
      </c>
      <c r="AI81" s="16">
        <v>4.7526175334411107</v>
      </c>
      <c r="AJ81" s="16">
        <v>-3.2457441979318276</v>
      </c>
      <c r="AK81" s="16">
        <v>5.8266813989957882</v>
      </c>
      <c r="AL81" s="16">
        <v>1.8273426707325626</v>
      </c>
      <c r="AM81" s="16">
        <v>4.8866904792295429</v>
      </c>
      <c r="AN81" s="16">
        <v>2.3133046354499385</v>
      </c>
      <c r="AO81" s="16">
        <v>4.2353047071600685</v>
      </c>
      <c r="AP81" s="16">
        <v>-3.1765747467468231</v>
      </c>
      <c r="AQ81" s="16">
        <v>0.13323221695628717</v>
      </c>
      <c r="AR81" s="16">
        <v>7.5480525873192477</v>
      </c>
      <c r="AS81" s="16">
        <v>-2.7729623292300118</v>
      </c>
      <c r="AT81" s="16">
        <v>0.93177164714069249</v>
      </c>
      <c r="AU81" s="16">
        <v>2.1592454260200213</v>
      </c>
      <c r="AV81" s="16">
        <v>9.7755848323686223E-3</v>
      </c>
      <c r="AW81" s="16">
        <v>4.2808898486252644</v>
      </c>
      <c r="AX81" s="16">
        <v>-0.24712329109443942</v>
      </c>
      <c r="AY81" s="16">
        <v>0.91133081118917403</v>
      </c>
      <c r="AZ81" s="19">
        <v>-1.6928105829443325</v>
      </c>
      <c r="BA81" s="19">
        <v>0.34743541450650639</v>
      </c>
      <c r="BB81" s="19">
        <v>-1.8949802465832732</v>
      </c>
      <c r="BC81" s="19">
        <v>2.5240496436245365</v>
      </c>
      <c r="BD81" s="19">
        <v>2.3449109769048277</v>
      </c>
      <c r="BE81" s="19">
        <v>1.1103281733251862</v>
      </c>
      <c r="BF81" s="19">
        <v>4.4597294813678161</v>
      </c>
      <c r="BG81" s="19">
        <v>5.360486527230492</v>
      </c>
      <c r="BH81" s="19">
        <v>4.3143469773690981</v>
      </c>
      <c r="BI81" s="19">
        <v>2.3150250039252143</v>
      </c>
      <c r="BJ81" s="19">
        <v>5.2790799363356911</v>
      </c>
      <c r="BK81" s="19">
        <v>3.814949366231744</v>
      </c>
      <c r="BL81" s="19">
        <v>-0.52302625410968062</v>
      </c>
      <c r="BM81" s="19">
        <v>-17.216260550571576</v>
      </c>
      <c r="BN81" s="19">
        <v>-5.3118753826811798</v>
      </c>
      <c r="BO81" s="16">
        <v>19.350915093216713</v>
      </c>
      <c r="BP81" s="16">
        <v>7.2639507047943113</v>
      </c>
    </row>
    <row r="82" spans="1:68" x14ac:dyDescent="0.3">
      <c r="A82" s="16" t="s">
        <v>99</v>
      </c>
      <c r="B82" s="16" t="s">
        <v>434</v>
      </c>
      <c r="C82" s="16" t="s">
        <v>604</v>
      </c>
      <c r="D82" s="16" t="s">
        <v>605</v>
      </c>
      <c r="F82" s="16">
        <v>3.8410549425880021</v>
      </c>
      <c r="G82" s="16">
        <v>5.6823690970925895</v>
      </c>
      <c r="H82" s="16">
        <v>5.1090718675443725</v>
      </c>
      <c r="I82" s="16">
        <v>5.4614537447369429</v>
      </c>
      <c r="J82" s="16">
        <v>3.6938843902321992</v>
      </c>
      <c r="K82" s="16">
        <v>4.1230169171003297</v>
      </c>
      <c r="L82" s="16">
        <v>3.8435238678437429</v>
      </c>
      <c r="M82" s="16">
        <v>3.4981349965298847</v>
      </c>
      <c r="N82" s="16">
        <v>6.1575879079681499</v>
      </c>
      <c r="O82" s="16">
        <v>5.1825941458218523</v>
      </c>
      <c r="P82" s="16">
        <v>4.3862647770868364</v>
      </c>
      <c r="Q82" s="16">
        <v>3.6126104711139675</v>
      </c>
      <c r="R82" s="16">
        <v>5.5110591087894392</v>
      </c>
      <c r="S82" s="16">
        <v>3.5948629259361127</v>
      </c>
      <c r="T82" s="16">
        <v>-1.5139099691833877</v>
      </c>
      <c r="U82" s="16">
        <v>3.8717310443715718</v>
      </c>
      <c r="V82" s="16">
        <v>2.9769103026893191</v>
      </c>
      <c r="W82" s="16">
        <v>3.4743451982872386</v>
      </c>
      <c r="X82" s="16">
        <v>3.0443199633892135</v>
      </c>
      <c r="Y82" s="16">
        <v>1.0270407842841962</v>
      </c>
      <c r="Z82" s="16">
        <v>0.48772969353261431</v>
      </c>
      <c r="AA82" s="16">
        <v>1.9107987168838889</v>
      </c>
      <c r="AB82" s="16">
        <v>0.70105370894249575</v>
      </c>
      <c r="AC82" s="16">
        <v>1.0031468647784862</v>
      </c>
      <c r="AD82" s="16">
        <v>1.0955389944394796</v>
      </c>
      <c r="AE82" s="16">
        <v>1.8045844247940579</v>
      </c>
      <c r="AF82" s="16">
        <v>2.0179214182464591</v>
      </c>
      <c r="AG82" s="16">
        <v>4.1886651942829758</v>
      </c>
      <c r="AH82" s="16">
        <v>3.8134722059431425</v>
      </c>
      <c r="AI82" s="16">
        <v>2.4302469652151188</v>
      </c>
      <c r="AJ82" s="16">
        <v>0.16314632753862668</v>
      </c>
      <c r="AK82" s="16">
        <v>1.0945980347045747</v>
      </c>
      <c r="AL82" s="16">
        <v>-1.0594373347723547</v>
      </c>
      <c r="AM82" s="16">
        <v>1.9763922752643168</v>
      </c>
      <c r="AN82" s="16">
        <v>1.7361012436385863</v>
      </c>
      <c r="AO82" s="16">
        <v>1.0517245604677186</v>
      </c>
      <c r="AP82" s="16">
        <v>1.9721192445276756</v>
      </c>
      <c r="AQ82" s="16">
        <v>3.2051530552673881</v>
      </c>
      <c r="AR82" s="16">
        <v>2.8886986204338001</v>
      </c>
      <c r="AS82" s="16">
        <v>3.2123848475593064</v>
      </c>
      <c r="AT82" s="16">
        <v>1.2425272897970103</v>
      </c>
      <c r="AU82" s="16">
        <v>0.40118912858828537</v>
      </c>
      <c r="AV82" s="16">
        <v>0.10940297857095516</v>
      </c>
      <c r="AW82" s="16">
        <v>2.0766249081924428</v>
      </c>
      <c r="AX82" s="16">
        <v>0.90368038672066575</v>
      </c>
      <c r="AY82" s="16">
        <v>1.7410852575449098</v>
      </c>
      <c r="AZ82" s="19">
        <v>1.7952363671341658</v>
      </c>
      <c r="BA82" s="19">
        <v>-0.302483826449361</v>
      </c>
      <c r="BB82" s="19">
        <v>-3.3703972834488667</v>
      </c>
      <c r="BC82" s="19">
        <v>1.448245262296922</v>
      </c>
      <c r="BD82" s="19">
        <v>1.7006104017590644</v>
      </c>
      <c r="BE82" s="19">
        <v>-0.17116133611138196</v>
      </c>
      <c r="BF82" s="19">
        <v>5.8149505046216632E-2</v>
      </c>
      <c r="BG82" s="19">
        <v>0.4845644482704472</v>
      </c>
      <c r="BH82" s="19">
        <v>0.75402435232751941</v>
      </c>
      <c r="BI82" s="19">
        <v>0.82905666451674165</v>
      </c>
      <c r="BJ82" s="19">
        <v>1.9949984473344102</v>
      </c>
      <c r="BK82" s="19">
        <v>1.5005391232740521</v>
      </c>
      <c r="BL82" s="19">
        <v>1.4958989875605084</v>
      </c>
      <c r="BM82" s="19">
        <v>-7.7910085087493002</v>
      </c>
      <c r="BN82" s="19">
        <v>6.1317613159777409</v>
      </c>
      <c r="BO82" s="16">
        <v>2.1427316493290505</v>
      </c>
      <c r="BP82" s="16">
        <v>0.40987059906549916</v>
      </c>
    </row>
    <row r="83" spans="1:68" x14ac:dyDescent="0.3">
      <c r="A83" s="16" t="s">
        <v>646</v>
      </c>
      <c r="B83" s="16" t="s">
        <v>647</v>
      </c>
      <c r="C83" s="16" t="s">
        <v>604</v>
      </c>
      <c r="D83" s="16" t="s">
        <v>605</v>
      </c>
      <c r="AZ83" s="19"/>
      <c r="BA83" s="19"/>
      <c r="BB83" s="19">
        <v>-4.3385706429122592</v>
      </c>
      <c r="BC83" s="19">
        <v>-0.53791746268986174</v>
      </c>
      <c r="BD83" s="19">
        <v>3.7596346014957476</v>
      </c>
      <c r="BE83" s="19">
        <v>7.0033850789852181</v>
      </c>
      <c r="BF83" s="19">
        <v>5.7962098440520435</v>
      </c>
      <c r="BG83" s="19">
        <v>5.3304556754976318</v>
      </c>
      <c r="BH83" s="19">
        <v>0.25033156489642749</v>
      </c>
      <c r="BI83" s="19">
        <v>6.7786058828772866E-2</v>
      </c>
      <c r="BJ83" s="19">
        <v>2.0099172918816919</v>
      </c>
      <c r="BK83" s="19">
        <v>1.2698629137280761</v>
      </c>
      <c r="BL83" s="19">
        <v>2.923660836230809</v>
      </c>
      <c r="BM83" s="19">
        <v>-3.3002142419317124</v>
      </c>
      <c r="BN83" s="19">
        <v>4.8077517232225802</v>
      </c>
      <c r="BO83" s="16">
        <v>4.9994392408821255</v>
      </c>
    </row>
    <row r="84" spans="1:68" x14ac:dyDescent="0.3">
      <c r="A84" s="16" t="s">
        <v>648</v>
      </c>
      <c r="B84" s="16" t="s">
        <v>649</v>
      </c>
      <c r="C84" s="16" t="s">
        <v>604</v>
      </c>
      <c r="D84" s="16" t="s">
        <v>605</v>
      </c>
      <c r="P84" s="16">
        <v>-0.53784002209530968</v>
      </c>
      <c r="Q84" s="16">
        <v>-1.5171774912886775</v>
      </c>
      <c r="R84" s="16">
        <v>30.525628711745185</v>
      </c>
      <c r="S84" s="16">
        <v>12.401520475457744</v>
      </c>
      <c r="T84" s="16">
        <v>-2.265017831202556</v>
      </c>
      <c r="U84" s="16">
        <v>-1.810198919707446</v>
      </c>
      <c r="V84" s="16">
        <v>0.17454299933407924</v>
      </c>
      <c r="W84" s="16">
        <v>2.9413450686819829</v>
      </c>
      <c r="X84" s="16">
        <v>-0.81701010386868234</v>
      </c>
      <c r="Y84" s="16">
        <v>-9.8540590300329427</v>
      </c>
      <c r="Z84" s="16">
        <v>6.6051687917649105</v>
      </c>
      <c r="AA84" s="16">
        <v>-5.3743664067455228</v>
      </c>
      <c r="AB84" s="16">
        <v>-0.93472742930887875</v>
      </c>
      <c r="AC84" s="16">
        <v>-6.6359854887173384</v>
      </c>
      <c r="AD84" s="16">
        <v>13.340318999049842</v>
      </c>
      <c r="AE84" s="16">
        <v>5.0755143010522374</v>
      </c>
      <c r="AF84" s="16">
        <v>-1.4685259404578801</v>
      </c>
      <c r="AG84" s="16">
        <v>0.23637902242124653</v>
      </c>
      <c r="AH84" s="16">
        <v>1.591235796061909</v>
      </c>
      <c r="AI84" s="16">
        <v>1.8397691348359899</v>
      </c>
      <c r="AJ84" s="16">
        <v>5.4761979051281031</v>
      </c>
      <c r="AK84" s="16">
        <v>1.5152928386975191</v>
      </c>
      <c r="AL84" s="16">
        <v>4.9412093352719353</v>
      </c>
      <c r="AM84" s="16">
        <v>-3.106053419540217</v>
      </c>
      <c r="AN84" s="16">
        <v>5.5750345482880732</v>
      </c>
      <c r="AO84" s="16">
        <v>-3.5817546143010759</v>
      </c>
      <c r="AP84" s="16">
        <v>-6.3550966311037911</v>
      </c>
      <c r="AQ84" s="16">
        <v>2.5984810429339689</v>
      </c>
      <c r="AR84" s="16">
        <v>1.253558694565811</v>
      </c>
      <c r="AS84" s="16">
        <v>4.6743663841385796</v>
      </c>
      <c r="AT84" s="16">
        <v>1.9494828047518666</v>
      </c>
      <c r="AU84" s="16">
        <v>0.50749424459743864</v>
      </c>
      <c r="AV84" s="16">
        <v>1.7420000056504108</v>
      </c>
      <c r="AW84" s="16">
        <v>-2.7609658417497798</v>
      </c>
      <c r="AX84" s="16">
        <v>2.499924220451291</v>
      </c>
      <c r="AY84" s="16">
        <v>0.49779898412865009</v>
      </c>
      <c r="AZ84" s="19">
        <v>-1.1469988141925569</v>
      </c>
      <c r="BA84" s="19">
        <v>-1.6651366095294264</v>
      </c>
      <c r="BB84" s="19">
        <v>1.8765923156020818</v>
      </c>
      <c r="BC84" s="19">
        <v>2.5255221377721995</v>
      </c>
      <c r="BD84" s="19">
        <v>2.9025960561781261</v>
      </c>
      <c r="BE84" s="19">
        <v>-2.1796287870620432</v>
      </c>
      <c r="BF84" s="19">
        <v>-4.0141114228729862</v>
      </c>
      <c r="BG84" s="19">
        <v>-2.6776489389543059</v>
      </c>
      <c r="BH84" s="19">
        <v>4.2032511890654405</v>
      </c>
      <c r="BI84" s="19">
        <v>6.0866513467288996E-2</v>
      </c>
      <c r="BJ84" s="19">
        <v>0.36197818553659999</v>
      </c>
      <c r="BK84" s="19">
        <v>-0.44983728330736028</v>
      </c>
      <c r="BL84" s="19">
        <v>3.6611159066918475</v>
      </c>
      <c r="BM84" s="19">
        <v>-2.59656214723951</v>
      </c>
      <c r="BN84" s="19">
        <v>1.8686018863087952</v>
      </c>
      <c r="BO84" s="16">
        <v>-1.676007223958095</v>
      </c>
      <c r="BP84" s="16">
        <v>-0.14284878014248648</v>
      </c>
    </row>
    <row r="85" spans="1:68" x14ac:dyDescent="0.3">
      <c r="A85" s="16" t="s">
        <v>102</v>
      </c>
      <c r="B85" s="16" t="s">
        <v>650</v>
      </c>
      <c r="C85" s="16" t="s">
        <v>604</v>
      </c>
      <c r="D85" s="16" t="s">
        <v>605</v>
      </c>
      <c r="F85" s="16">
        <v>13.443330300308574</v>
      </c>
      <c r="G85" s="16">
        <v>6.1361237563567528</v>
      </c>
      <c r="H85" s="16">
        <v>4.7303042860633298</v>
      </c>
      <c r="I85" s="16">
        <v>3.1525953912424569</v>
      </c>
      <c r="J85" s="16">
        <v>6.8088516525154574</v>
      </c>
      <c r="K85" s="16">
        <v>2.9635559289967972</v>
      </c>
      <c r="L85" s="16">
        <v>2.5125753290911916</v>
      </c>
      <c r="M85" s="16">
        <v>0.86915615954943348</v>
      </c>
      <c r="N85" s="16">
        <v>6.0461461593564962</v>
      </c>
      <c r="O85" s="16">
        <v>6.3928961831600333</v>
      </c>
      <c r="P85" s="16">
        <v>7.9980121645055533</v>
      </c>
      <c r="Q85" s="16">
        <v>9.0833546256974955</v>
      </c>
      <c r="R85" s="16">
        <v>7.9279262855617532</v>
      </c>
      <c r="S85" s="16">
        <v>36.556439328575692</v>
      </c>
      <c r="T85" s="16">
        <v>16.599462941520372</v>
      </c>
      <c r="U85" s="16">
        <v>32.563745747314073</v>
      </c>
      <c r="V85" s="16">
        <v>-14.628879690513031</v>
      </c>
      <c r="W85" s="16">
        <v>-25.884051231067502</v>
      </c>
      <c r="X85" s="16">
        <v>-2.009700784078305</v>
      </c>
      <c r="Y85" s="16">
        <v>-3.3208721559404353E-2</v>
      </c>
      <c r="Z85" s="16">
        <v>2.3854721338726108</v>
      </c>
      <c r="AA85" s="16">
        <v>-5.6356134221826863</v>
      </c>
      <c r="AB85" s="16">
        <v>2.8071610541858121</v>
      </c>
      <c r="AC85" s="16">
        <v>4.6298019413273437</v>
      </c>
      <c r="AD85" s="16">
        <v>-4.9631161355474802</v>
      </c>
      <c r="AE85" s="16">
        <v>-3.4919088015183206</v>
      </c>
      <c r="AF85" s="16">
        <v>-19.405123007176584</v>
      </c>
      <c r="AG85" s="16">
        <v>9.7590559281933054</v>
      </c>
      <c r="AH85" s="16">
        <v>5.5897051824634474</v>
      </c>
      <c r="AI85" s="16">
        <v>2.3544819528341918</v>
      </c>
      <c r="AJ85" s="16">
        <v>3.2792856141843316</v>
      </c>
      <c r="AK85" s="16">
        <v>-5.654397103397315</v>
      </c>
      <c r="AL85" s="16">
        <v>1.220151969446249</v>
      </c>
      <c r="AM85" s="16">
        <v>1.0364122893318637</v>
      </c>
      <c r="AN85" s="16">
        <v>2.321067900864989</v>
      </c>
      <c r="AO85" s="16">
        <v>1.0459529402367025</v>
      </c>
      <c r="AP85" s="16">
        <v>3.1209124744818268</v>
      </c>
      <c r="AQ85" s="16">
        <v>0.90968740549688221</v>
      </c>
      <c r="AR85" s="16">
        <v>-11.202914422205581</v>
      </c>
      <c r="AS85" s="16">
        <v>-4.3626869552356453</v>
      </c>
      <c r="AT85" s="16">
        <v>-0.49555456876237258</v>
      </c>
      <c r="AU85" s="16">
        <v>-2.8590561853707186</v>
      </c>
      <c r="AV85" s="16">
        <v>-0.47516487464757518</v>
      </c>
      <c r="AW85" s="16">
        <v>-2.0610504670054866</v>
      </c>
      <c r="AX85" s="16">
        <v>-0.22753441355939685</v>
      </c>
      <c r="AY85" s="16">
        <v>-5.6644854391024353</v>
      </c>
      <c r="AZ85" s="19">
        <v>2.7767833135992959</v>
      </c>
      <c r="BA85" s="19">
        <v>-6.3424120833498847</v>
      </c>
      <c r="BB85" s="19">
        <v>-3.1132399876012187</v>
      </c>
      <c r="BC85" s="19">
        <v>3.4872941461089511</v>
      </c>
      <c r="BD85" s="19">
        <v>3.3823608481052361</v>
      </c>
      <c r="BE85" s="19">
        <v>1.5718549447385044</v>
      </c>
      <c r="BF85" s="19">
        <v>2.0000392450822773</v>
      </c>
      <c r="BG85" s="19">
        <v>0.88727310802663339</v>
      </c>
      <c r="BH85" s="19">
        <v>0.72123263926697234</v>
      </c>
      <c r="BI85" s="19">
        <v>-0.73165062604306286</v>
      </c>
      <c r="BJ85" s="19">
        <v>-2.0628167540462101</v>
      </c>
      <c r="BK85" s="19">
        <v>-1.5448721836271488</v>
      </c>
      <c r="BL85" s="19">
        <v>1.5682109195984708</v>
      </c>
      <c r="BM85" s="19">
        <v>-3.969558634260693</v>
      </c>
      <c r="BN85" s="19">
        <v>-0.63865287288710704</v>
      </c>
      <c r="BO85" s="16">
        <v>0.90695758454968711</v>
      </c>
      <c r="BP85" s="16">
        <v>0.26654043092864299</v>
      </c>
    </row>
    <row r="86" spans="1:68" x14ac:dyDescent="0.3">
      <c r="A86" s="16" t="s">
        <v>327</v>
      </c>
      <c r="B86" s="16" t="s">
        <v>435</v>
      </c>
      <c r="C86" s="16" t="s">
        <v>604</v>
      </c>
      <c r="D86" s="16" t="s">
        <v>605</v>
      </c>
      <c r="F86" s="16">
        <v>1.9232739774043495</v>
      </c>
      <c r="G86" s="16">
        <v>0.24434100504491596</v>
      </c>
      <c r="H86" s="16">
        <v>4.0777405840166381</v>
      </c>
      <c r="I86" s="16">
        <v>4.9104002083460614</v>
      </c>
      <c r="J86" s="16">
        <v>1.4762808636090057</v>
      </c>
      <c r="K86" s="16">
        <v>1.0090457848713044</v>
      </c>
      <c r="L86" s="16">
        <v>2.2237329688818477</v>
      </c>
      <c r="M86" s="16">
        <v>4.9605329068062076</v>
      </c>
      <c r="N86" s="16">
        <v>1.5161515476660412</v>
      </c>
      <c r="O86" s="16">
        <v>2.2998746684796743</v>
      </c>
      <c r="P86" s="16">
        <v>3.0733143191695262</v>
      </c>
      <c r="Q86" s="16">
        <v>3.968556097875009</v>
      </c>
      <c r="R86" s="16">
        <v>6.3182449484203715</v>
      </c>
      <c r="S86" s="16">
        <v>-2.5458770775111645</v>
      </c>
      <c r="T86" s="16">
        <v>-1.4663352465825312</v>
      </c>
      <c r="U86" s="16">
        <v>2.9355890906613809</v>
      </c>
      <c r="V86" s="16">
        <v>2.4914378597128461</v>
      </c>
      <c r="W86" s="16">
        <v>4.1986754310201775</v>
      </c>
      <c r="X86" s="16">
        <v>3.6559657430255612</v>
      </c>
      <c r="Y86" s="16">
        <v>-2.1483872959745725</v>
      </c>
      <c r="Z86" s="16">
        <v>-0.82228530113707166</v>
      </c>
      <c r="AA86" s="16">
        <v>2.031455705423113</v>
      </c>
      <c r="AB86" s="16">
        <v>4.1863212872268178</v>
      </c>
      <c r="AC86" s="16">
        <v>2.1073801890933623</v>
      </c>
      <c r="AD86" s="16">
        <v>3.9113191277589721</v>
      </c>
      <c r="AE86" s="16">
        <v>2.9117103413460796</v>
      </c>
      <c r="AF86" s="16">
        <v>5.1688721309848518</v>
      </c>
      <c r="AG86" s="16">
        <v>5.4978805898641951</v>
      </c>
      <c r="AH86" s="16">
        <v>2.3109288181537124</v>
      </c>
      <c r="AI86" s="16">
        <v>0.43308115010458437</v>
      </c>
      <c r="AJ86" s="16">
        <v>-1.4084858001695011</v>
      </c>
      <c r="AK86" s="16">
        <v>0.12993299843498107</v>
      </c>
      <c r="AL86" s="16">
        <v>2.2444106335976102</v>
      </c>
      <c r="AM86" s="16">
        <v>3.5819675044235879</v>
      </c>
      <c r="AN86" s="16">
        <v>2.2607836300546893</v>
      </c>
      <c r="AO86" s="16">
        <v>2.3211538954574564</v>
      </c>
      <c r="AP86" s="16">
        <v>4.6550387154433537</v>
      </c>
      <c r="AQ86" s="16">
        <v>3.1133530560383633</v>
      </c>
      <c r="AR86" s="16">
        <v>2.7231196342917059</v>
      </c>
      <c r="AS86" s="16">
        <v>3.9466604151330245</v>
      </c>
      <c r="AT86" s="16">
        <v>2.1845967104060264</v>
      </c>
      <c r="AU86" s="16">
        <v>1.3619732399821487</v>
      </c>
      <c r="AV86" s="16">
        <v>2.6673961662178556</v>
      </c>
      <c r="AW86" s="16">
        <v>1.8454026649850448</v>
      </c>
      <c r="AX86" s="16">
        <v>2.0358420977383531</v>
      </c>
      <c r="AY86" s="16">
        <v>1.6364455869846637</v>
      </c>
      <c r="AZ86" s="19">
        <v>1.8243644619552697</v>
      </c>
      <c r="BA86" s="19">
        <v>-1.0079010322068456</v>
      </c>
      <c r="BB86" s="19">
        <v>-5.3337193941918315</v>
      </c>
      <c r="BC86" s="19">
        <v>1.440384158065271</v>
      </c>
      <c r="BD86" s="19">
        <v>0.35772663576231878</v>
      </c>
      <c r="BE86" s="19">
        <v>0.8095118417729168</v>
      </c>
      <c r="BF86" s="19">
        <v>1.1128556432920647</v>
      </c>
      <c r="BG86" s="19">
        <v>2.4385744049513818</v>
      </c>
      <c r="BH86" s="19">
        <v>1.4134986825554847</v>
      </c>
      <c r="BI86" s="19">
        <v>1.1515493298710737</v>
      </c>
      <c r="BJ86" s="19">
        <v>1.9600209935700832</v>
      </c>
      <c r="BK86" s="19">
        <v>0.79121473501307094</v>
      </c>
      <c r="BL86" s="19">
        <v>1.0698333486747913</v>
      </c>
      <c r="BM86" s="19">
        <v>-10.687168020963043</v>
      </c>
      <c r="BN86" s="19">
        <v>8.7639858225687846</v>
      </c>
      <c r="BO86" s="16">
        <v>3.1681753722325681</v>
      </c>
      <c r="BP86" s="16">
        <v>-0.71468216514473681</v>
      </c>
    </row>
    <row r="87" spans="1:68" x14ac:dyDescent="0.3">
      <c r="A87" s="16" t="s">
        <v>104</v>
      </c>
      <c r="B87" s="16" t="s">
        <v>436</v>
      </c>
      <c r="C87" s="16" t="s">
        <v>604</v>
      </c>
      <c r="D87" s="16" t="s">
        <v>605</v>
      </c>
      <c r="K87" s="16">
        <v>6.3130200431024122</v>
      </c>
      <c r="L87" s="16">
        <v>5.2159621039875788</v>
      </c>
      <c r="M87" s="16">
        <v>3.5124003650259539</v>
      </c>
      <c r="N87" s="16">
        <v>3.8007161959902902</v>
      </c>
      <c r="O87" s="16">
        <v>10.975044293228791</v>
      </c>
      <c r="P87" s="16">
        <v>1.4104347487901947</v>
      </c>
      <c r="Q87" s="16">
        <v>1.8020555893566836</v>
      </c>
      <c r="R87" s="16">
        <v>5.5488624770873969</v>
      </c>
      <c r="S87" s="16">
        <v>7.8689857767314351</v>
      </c>
      <c r="T87" s="16">
        <v>6.5908664076274874</v>
      </c>
      <c r="U87" s="16">
        <v>5.3372107379675526</v>
      </c>
      <c r="V87" s="16">
        <v>6.1681591760265349</v>
      </c>
      <c r="W87" s="16">
        <v>6.8041888226967728</v>
      </c>
      <c r="X87" s="16">
        <v>6.5829683374696515</v>
      </c>
      <c r="Y87" s="16">
        <v>3.6986761294793382</v>
      </c>
      <c r="Z87" s="16">
        <v>4.4066136729610292</v>
      </c>
      <c r="AA87" s="16">
        <v>1.1424705983675381</v>
      </c>
      <c r="AB87" s="16">
        <v>3.3889730252205936</v>
      </c>
      <c r="AC87" s="16">
        <v>4.5315677189254018</v>
      </c>
      <c r="AD87" s="16">
        <v>4.0252293489992468</v>
      </c>
      <c r="AE87" s="16">
        <v>-8.9876377962587668</v>
      </c>
      <c r="AF87" s="16">
        <v>0.4487668919599912</v>
      </c>
      <c r="AG87" s="16">
        <v>4.5154769117372808</v>
      </c>
      <c r="AH87" s="16">
        <v>-7.4372317996631381</v>
      </c>
      <c r="AI87" s="16">
        <v>-14.765716621189767</v>
      </c>
      <c r="AJ87" s="16">
        <v>-21.652946447152956</v>
      </c>
      <c r="AK87" s="16">
        <v>-45.324883755973502</v>
      </c>
      <c r="AL87" s="16">
        <v>-29.841453334551417</v>
      </c>
      <c r="AM87" s="16">
        <v>-9.0082016468745678</v>
      </c>
      <c r="AN87" s="16">
        <v>6.5252143379837406</v>
      </c>
      <c r="AO87" s="16">
        <v>15.312835245369754</v>
      </c>
      <c r="AP87" s="16">
        <v>14.123244741854663</v>
      </c>
      <c r="AQ87" s="16">
        <v>5.6842910634696864</v>
      </c>
      <c r="AR87" s="16">
        <v>5.0055845377333412</v>
      </c>
      <c r="AS87" s="16">
        <v>3.8401802432705239</v>
      </c>
      <c r="AT87" s="16">
        <v>6.4457852929091786</v>
      </c>
      <c r="AU87" s="16">
        <v>6.4246528435150054</v>
      </c>
      <c r="AV87" s="16">
        <v>11.809610686787607</v>
      </c>
      <c r="AW87" s="16">
        <v>6.4498499387719335</v>
      </c>
      <c r="AX87" s="16">
        <v>10.289578521487314</v>
      </c>
      <c r="AY87" s="16">
        <v>10.045296671285087</v>
      </c>
      <c r="AZ87" s="19">
        <v>13.164350952042398</v>
      </c>
      <c r="BA87" s="19">
        <v>2.7332346709434034</v>
      </c>
      <c r="BB87" s="19">
        <v>-2.7911810481928114</v>
      </c>
      <c r="BC87" s="19">
        <v>7.0242836689767358</v>
      </c>
      <c r="BD87" s="19">
        <v>8.8036288733672023</v>
      </c>
      <c r="BE87" s="19">
        <v>7.3667521546394852</v>
      </c>
      <c r="BF87" s="19">
        <v>5.4497826554841708</v>
      </c>
      <c r="BG87" s="19">
        <v>4.041627523145138</v>
      </c>
      <c r="BH87" s="19">
        <v>3.188392948629442</v>
      </c>
      <c r="BI87" s="19">
        <v>3.3883532831674472</v>
      </c>
      <c r="BJ87" s="19">
        <v>5.1458267756273557</v>
      </c>
      <c r="BK87" s="19">
        <v>6.1034474508735883</v>
      </c>
      <c r="BL87" s="19">
        <v>5.5616716587315835</v>
      </c>
      <c r="BM87" s="19">
        <v>-6.3547871520646737</v>
      </c>
      <c r="BN87" s="19">
        <v>11.065078006783111</v>
      </c>
      <c r="BO87" s="16">
        <v>10.842208805380807</v>
      </c>
      <c r="BP87" s="16">
        <v>6.1065132200765788</v>
      </c>
    </row>
    <row r="88" spans="1:68" x14ac:dyDescent="0.3">
      <c r="A88" s="16" t="s">
        <v>106</v>
      </c>
      <c r="B88" s="16" t="s">
        <v>437</v>
      </c>
      <c r="C88" s="16" t="s">
        <v>604</v>
      </c>
      <c r="D88" s="16" t="s">
        <v>605</v>
      </c>
      <c r="F88" s="16">
        <v>0.55595866170286001</v>
      </c>
      <c r="G88" s="16">
        <v>1.6475087729434676</v>
      </c>
      <c r="H88" s="16">
        <v>1.9274840057025671</v>
      </c>
      <c r="I88" s="16">
        <v>-0.22481080650898377</v>
      </c>
      <c r="J88" s="16">
        <v>-1.0595133646273069</v>
      </c>
      <c r="K88" s="16">
        <v>-6.5496471598423938</v>
      </c>
      <c r="L88" s="16">
        <v>0.61106564696633825</v>
      </c>
      <c r="M88" s="16">
        <v>-2.0403542033624689</v>
      </c>
      <c r="N88" s="16">
        <v>3.4056880219271335</v>
      </c>
      <c r="O88" s="16">
        <v>6.8504714311137036</v>
      </c>
      <c r="P88" s="16">
        <v>2.3632381651826506</v>
      </c>
      <c r="Q88" s="16">
        <v>-5.1641466413898769</v>
      </c>
      <c r="R88" s="16">
        <v>-1.1167447498422689E-2</v>
      </c>
      <c r="S88" s="16">
        <v>3.8170112728118255</v>
      </c>
      <c r="T88" s="16">
        <v>-14.926369834266836</v>
      </c>
      <c r="U88" s="16">
        <v>-6.2763718913363249</v>
      </c>
      <c r="V88" s="16">
        <v>-0.71593886805149509</v>
      </c>
      <c r="W88" s="16">
        <v>5.1940887143945957</v>
      </c>
      <c r="X88" s="16">
        <v>-5.4985373852113071</v>
      </c>
      <c r="Y88" s="16">
        <v>-2.488376795526321</v>
      </c>
      <c r="Z88" s="16">
        <v>-6.2504217716452786</v>
      </c>
      <c r="AA88" s="16">
        <v>-9.6750176971396797</v>
      </c>
      <c r="AB88" s="16">
        <v>-7.4976158947840474</v>
      </c>
      <c r="AC88" s="16">
        <v>5.7294846648603794</v>
      </c>
      <c r="AD88" s="16">
        <v>2.7132104101220023</v>
      </c>
      <c r="AE88" s="16">
        <v>2.7879353156929483</v>
      </c>
      <c r="AF88" s="16">
        <v>2.3116824693285594</v>
      </c>
      <c r="AG88" s="16">
        <v>3.0299768227150707</v>
      </c>
      <c r="AH88" s="16">
        <v>2.427597421173374</v>
      </c>
      <c r="AI88" s="16">
        <v>0.6896722453466424</v>
      </c>
      <c r="AJ88" s="16">
        <v>2.6471079034606078</v>
      </c>
      <c r="AK88" s="16">
        <v>1.3333558905081304</v>
      </c>
      <c r="AL88" s="16">
        <v>2.3169831246863737</v>
      </c>
      <c r="AM88" s="16">
        <v>0.89208466688106114</v>
      </c>
      <c r="AN88" s="16">
        <v>1.7361861369233651</v>
      </c>
      <c r="AO88" s="16">
        <v>2.2275340679146467</v>
      </c>
      <c r="AP88" s="16">
        <v>1.7777957638819686</v>
      </c>
      <c r="AQ88" s="16">
        <v>2.2014838202574225</v>
      </c>
      <c r="AR88" s="16">
        <v>1.8843797061395549</v>
      </c>
      <c r="AS88" s="16">
        <v>1.1229323444512858</v>
      </c>
      <c r="AT88" s="16">
        <v>1.2703034193448417</v>
      </c>
      <c r="AU88" s="16">
        <v>1.667050974814515</v>
      </c>
      <c r="AV88" s="16">
        <v>2.3828249421413972</v>
      </c>
      <c r="AW88" s="16">
        <v>2.8189092763400367</v>
      </c>
      <c r="AX88" s="16">
        <v>3.1203074252539693</v>
      </c>
      <c r="AY88" s="16">
        <v>3.6285779703364369</v>
      </c>
      <c r="AZ88" s="19">
        <v>1.6632125308518368</v>
      </c>
      <c r="BA88" s="19">
        <v>6.3779127800253121</v>
      </c>
      <c r="BB88" s="19">
        <v>2.2195680232636903</v>
      </c>
      <c r="BC88" s="19">
        <v>5.2672380289448597</v>
      </c>
      <c r="BD88" s="19">
        <v>11.300072694387396</v>
      </c>
      <c r="BE88" s="19">
        <v>6.6363517017997964</v>
      </c>
      <c r="BF88" s="19">
        <v>4.712772225967683</v>
      </c>
      <c r="BG88" s="19">
        <v>0.4094009471171205</v>
      </c>
      <c r="BH88" s="19">
        <v>-0.26533291726400421</v>
      </c>
      <c r="BI88" s="19">
        <v>0.98323157468114175</v>
      </c>
      <c r="BJ88" s="19">
        <v>5.7390781129653874</v>
      </c>
      <c r="BK88" s="19">
        <v>3.9695473801072154</v>
      </c>
      <c r="BL88" s="19">
        <v>4.3059777500874787</v>
      </c>
      <c r="BM88" s="19">
        <v>-1.5416365263867959</v>
      </c>
      <c r="BN88" s="19">
        <v>2.9878364124266739</v>
      </c>
      <c r="BO88" s="16">
        <v>1.8238912854864537</v>
      </c>
      <c r="BP88" s="16">
        <v>0.99548041095631845</v>
      </c>
    </row>
    <row r="89" spans="1:68" x14ac:dyDescent="0.3">
      <c r="A89" s="16" t="s">
        <v>107</v>
      </c>
      <c r="B89" s="16" t="s">
        <v>651</v>
      </c>
      <c r="C89" s="16" t="s">
        <v>604</v>
      </c>
      <c r="D89" s="16" t="s">
        <v>605</v>
      </c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</row>
    <row r="90" spans="1:68" x14ac:dyDescent="0.3">
      <c r="A90" s="16" t="s">
        <v>114</v>
      </c>
      <c r="B90" s="16" t="s">
        <v>438</v>
      </c>
      <c r="C90" s="16" t="s">
        <v>604</v>
      </c>
      <c r="D90" s="16" t="s">
        <v>605</v>
      </c>
      <c r="P90" s="16">
        <v>3.5097456457376666</v>
      </c>
      <c r="Q90" s="16">
        <v>0.58056266564064174</v>
      </c>
      <c r="R90" s="16">
        <v>-0.1005554568535274</v>
      </c>
      <c r="S90" s="16">
        <v>3.5757048757591576</v>
      </c>
      <c r="T90" s="16">
        <v>1.2863889558004615</v>
      </c>
      <c r="U90" s="16">
        <v>6.284691250213541</v>
      </c>
      <c r="V90" s="16">
        <v>-4.8165929053130725</v>
      </c>
      <c r="W90" s="16">
        <v>5.1392632405968328</v>
      </c>
      <c r="X90" s="16">
        <v>-2.8312012458912363</v>
      </c>
      <c r="Y90" s="16">
        <v>0.79783025148454101</v>
      </c>
      <c r="Z90" s="16">
        <v>-1.2727989045000783</v>
      </c>
      <c r="AA90" s="16">
        <v>-0.23381747512475215</v>
      </c>
      <c r="AB90" s="16">
        <v>-0.83908720119070779</v>
      </c>
      <c r="AC90" s="16">
        <v>-0.84888839798013294</v>
      </c>
      <c r="AD90" s="16">
        <v>2.5403481897803744</v>
      </c>
      <c r="AE90" s="16">
        <v>0.57374286523391049</v>
      </c>
      <c r="AF90" s="16">
        <v>0.64867784838911291</v>
      </c>
      <c r="AG90" s="16">
        <v>3.5264186991050366</v>
      </c>
      <c r="AH90" s="16">
        <v>1.3086961338658227</v>
      </c>
      <c r="AI90" s="16">
        <v>0.74522486629784623</v>
      </c>
      <c r="AJ90" s="16">
        <v>-1.4439563751559348</v>
      </c>
      <c r="AK90" s="16">
        <v>-9.3421194921461392E-4</v>
      </c>
      <c r="AL90" s="16">
        <v>1.855265278116903</v>
      </c>
      <c r="AM90" s="16">
        <v>0.87745870619858124</v>
      </c>
      <c r="AN90" s="16">
        <v>1.7189799637880299</v>
      </c>
      <c r="AO90" s="16">
        <v>1.5415350287805154</v>
      </c>
      <c r="AP90" s="16">
        <v>3.0399521867805674</v>
      </c>
      <c r="AQ90" s="16">
        <v>1.7023658849534087</v>
      </c>
      <c r="AR90" s="16">
        <v>1.4963385811107628</v>
      </c>
      <c r="AS90" s="16">
        <v>0.51040891576694492</v>
      </c>
      <c r="AT90" s="16">
        <v>2.32360541906462</v>
      </c>
      <c r="AU90" s="16">
        <v>3.5453805669663438</v>
      </c>
      <c r="AV90" s="16">
        <v>-0.99588550497165329</v>
      </c>
      <c r="AW90" s="16">
        <v>0.18408618224354711</v>
      </c>
      <c r="AX90" s="16">
        <v>0.97932874015643279</v>
      </c>
      <c r="AY90" s="16">
        <v>-0.87646872922192642</v>
      </c>
      <c r="AZ90" s="19">
        <v>4.3956432323825538</v>
      </c>
      <c r="BA90" s="19">
        <v>1.6552454050455339</v>
      </c>
      <c r="BB90" s="19">
        <v>-3.5058243174240715</v>
      </c>
      <c r="BC90" s="19">
        <v>2.2681782888466273</v>
      </c>
      <c r="BD90" s="19">
        <v>3.0340842169908484</v>
      </c>
      <c r="BE90" s="19">
        <v>3.3531803617826199</v>
      </c>
      <c r="BF90" s="19">
        <v>1.4377552665916653</v>
      </c>
      <c r="BG90" s="19">
        <v>1.1535395030137607</v>
      </c>
      <c r="BH90" s="19">
        <v>1.2125531882219747</v>
      </c>
      <c r="BI90" s="19">
        <v>7.9877638053801121</v>
      </c>
      <c r="BJ90" s="19">
        <v>7.5084056463533528</v>
      </c>
      <c r="BK90" s="19">
        <v>3.6978065258630721</v>
      </c>
      <c r="BL90" s="19">
        <v>2.9704508964566401</v>
      </c>
      <c r="BM90" s="19">
        <v>2.3172410111162804</v>
      </c>
      <c r="BN90" s="19">
        <v>1.3911415514146483</v>
      </c>
      <c r="BO90" s="16">
        <v>2.2264015437630746</v>
      </c>
      <c r="BP90" s="16">
        <v>4.5626652448756033</v>
      </c>
    </row>
    <row r="91" spans="1:68" x14ac:dyDescent="0.3">
      <c r="A91" s="16" t="s">
        <v>440</v>
      </c>
      <c r="B91" s="16" t="s">
        <v>439</v>
      </c>
      <c r="C91" s="16" t="s">
        <v>604</v>
      </c>
      <c r="D91" s="16" t="s">
        <v>605</v>
      </c>
      <c r="L91" s="16">
        <v>-2.7578061228696669</v>
      </c>
      <c r="M91" s="16">
        <v>6.4986219266091467</v>
      </c>
      <c r="N91" s="16">
        <v>-0.46294101526892462</v>
      </c>
      <c r="O91" s="16">
        <v>3.1332470207049425</v>
      </c>
      <c r="P91" s="16">
        <v>-2.9273956773749603</v>
      </c>
      <c r="Q91" s="16">
        <v>-2.6617215081125636</v>
      </c>
      <c r="R91" s="16">
        <v>6.04653224657865</v>
      </c>
      <c r="S91" s="16">
        <v>2.7791589305563207</v>
      </c>
      <c r="T91" s="16">
        <v>9.0917257533650542</v>
      </c>
      <c r="U91" s="16">
        <v>4.1259015158644559</v>
      </c>
      <c r="V91" s="16">
        <v>0.25991507514314094</v>
      </c>
      <c r="W91" s="16">
        <v>2.9925466786358044</v>
      </c>
      <c r="X91" s="16">
        <v>-4.4766026785796953</v>
      </c>
      <c r="Y91" s="16">
        <v>2.8049213152016961</v>
      </c>
      <c r="Z91" s="16">
        <v>-5.2411227176946795E-2</v>
      </c>
      <c r="AA91" s="16">
        <v>-4.0487837037876773</v>
      </c>
      <c r="AB91" s="16">
        <v>7.0794885677667878</v>
      </c>
      <c r="AC91" s="16">
        <v>-0.13455427303188117</v>
      </c>
      <c r="AD91" s="16">
        <v>-4.4230607897846141</v>
      </c>
      <c r="AE91" s="16">
        <v>0.22450980823217037</v>
      </c>
      <c r="AF91" s="16">
        <v>-1.4195557250013593</v>
      </c>
      <c r="AG91" s="16">
        <v>0.46199622586384237</v>
      </c>
      <c r="AH91" s="16">
        <v>1.7758036323223223</v>
      </c>
      <c r="AI91" s="16">
        <v>-0.50976960963573958</v>
      </c>
      <c r="AJ91" s="16">
        <v>-0.97713898848591896</v>
      </c>
      <c r="AK91" s="16">
        <v>-0.62162783894156348</v>
      </c>
      <c r="AL91" s="16">
        <v>-0.61679222848620441</v>
      </c>
      <c r="AM91" s="16">
        <v>-2.9662738360795515</v>
      </c>
      <c r="AN91" s="16">
        <v>-2.0640701681692519</v>
      </c>
      <c r="AO91" s="16">
        <v>-0.72670898977405329</v>
      </c>
      <c r="AP91" s="16">
        <v>1.8786925620641455</v>
      </c>
      <c r="AQ91" s="16">
        <v>0.50937243304676372</v>
      </c>
      <c r="AR91" s="16">
        <v>3.3287587830328533</v>
      </c>
      <c r="AS91" s="16">
        <v>2.4881027938052398</v>
      </c>
      <c r="AT91" s="16">
        <v>2.8028857700792713</v>
      </c>
      <c r="AU91" s="16">
        <v>-5.9686455082314183</v>
      </c>
      <c r="AV91" s="16">
        <v>3.8654393462896053</v>
      </c>
      <c r="AW91" s="16">
        <v>3.9977744117678071</v>
      </c>
      <c r="AX91" s="16">
        <v>-5.1830780105758549</v>
      </c>
      <c r="AY91" s="16">
        <v>-3.5149243064189193</v>
      </c>
      <c r="AZ91" s="19">
        <v>-8.5561125552075623E-2</v>
      </c>
      <c r="BA91" s="19">
        <v>3.0073688640315197</v>
      </c>
      <c r="BB91" s="19">
        <v>3.3957012643169406</v>
      </c>
      <c r="BC91" s="19">
        <v>2.6743532758879383</v>
      </c>
      <c r="BD91" s="19">
        <v>-10.932076442547483</v>
      </c>
      <c r="BE91" s="19">
        <v>2.0347103740209604</v>
      </c>
      <c r="BF91" s="19">
        <v>-0.21868797764615522</v>
      </c>
      <c r="BG91" s="19">
        <v>-4.2966751019524878</v>
      </c>
      <c r="BH91" s="19">
        <v>1.0970504894107052</v>
      </c>
      <c r="BI91" s="19">
        <v>-0.87547340673599194</v>
      </c>
      <c r="BJ91" s="19">
        <v>2.0063076751332574</v>
      </c>
      <c r="BK91" s="19">
        <v>4.439494294252782</v>
      </c>
      <c r="BL91" s="19">
        <v>3.5137937176061342</v>
      </c>
      <c r="BM91" s="19">
        <v>-1.9530836690579747</v>
      </c>
      <c r="BN91" s="19">
        <v>2.6276356500391813</v>
      </c>
      <c r="BO91" s="16">
        <v>2.3558957893588826</v>
      </c>
      <c r="BP91" s="16">
        <v>2.7453528006736292</v>
      </c>
    </row>
    <row r="92" spans="1:68" x14ac:dyDescent="0.3">
      <c r="A92" s="16" t="s">
        <v>115</v>
      </c>
      <c r="B92" s="16" t="s">
        <v>652</v>
      </c>
      <c r="C92" s="16" t="s">
        <v>604</v>
      </c>
      <c r="D92" s="16" t="s">
        <v>605</v>
      </c>
      <c r="P92" s="16">
        <v>-4.3696726148958618</v>
      </c>
      <c r="Q92" s="16">
        <v>6.1162197769777151</v>
      </c>
      <c r="R92" s="16">
        <v>-0.1058671653485419</v>
      </c>
      <c r="S92" s="16">
        <v>1.1431611835095481</v>
      </c>
      <c r="T92" s="16">
        <v>1.950196832746883</v>
      </c>
      <c r="U92" s="16">
        <v>-1.2513606820294711</v>
      </c>
      <c r="V92" s="16">
        <v>-12.836442282539593</v>
      </c>
      <c r="W92" s="16">
        <v>6.3270418208241779</v>
      </c>
      <c r="X92" s="16">
        <v>-1.3911855880800346</v>
      </c>
      <c r="Y92" s="16">
        <v>-16.949742220196384</v>
      </c>
      <c r="Z92" s="16">
        <v>16.280247743789403</v>
      </c>
      <c r="AA92" s="16">
        <v>2.5407786827507124</v>
      </c>
      <c r="AB92" s="16">
        <v>-4.922399208802446</v>
      </c>
      <c r="AC92" s="16">
        <v>7.4082119114294898</v>
      </c>
      <c r="AD92" s="16">
        <v>2.5604026164509435</v>
      </c>
      <c r="AE92" s="16">
        <v>-2.3169037854476784</v>
      </c>
      <c r="AF92" s="16">
        <v>1.3166127465589597</v>
      </c>
      <c r="AG92" s="16">
        <v>2.9726818394880894</v>
      </c>
      <c r="AH92" s="16">
        <v>4.421535775783255</v>
      </c>
      <c r="AI92" s="16">
        <v>4.4312602903899574</v>
      </c>
      <c r="AJ92" s="16">
        <v>2.9527518294221835</v>
      </c>
      <c r="AK92" s="16">
        <v>-1.770995546633273</v>
      </c>
      <c r="AL92" s="16">
        <v>-1.1711272466762068</v>
      </c>
      <c r="AM92" s="16">
        <v>8.8136677025389076E-2</v>
      </c>
      <c r="AN92" s="16">
        <v>1.8204213744030824</v>
      </c>
      <c r="AO92" s="16">
        <v>9.3122373723437022</v>
      </c>
      <c r="AP92" s="16">
        <v>4.4991677011260407</v>
      </c>
      <c r="AQ92" s="16">
        <v>-23.862317635867058</v>
      </c>
      <c r="AR92" s="16">
        <v>14.645884656466791</v>
      </c>
      <c r="AS92" s="16">
        <v>-0.90185150233558886</v>
      </c>
      <c r="AT92" s="16">
        <v>2.5749641452417364</v>
      </c>
      <c r="AU92" s="16">
        <v>1.3724945886699516</v>
      </c>
      <c r="AV92" s="16">
        <v>-2.5577528850457156</v>
      </c>
      <c r="AW92" s="16">
        <v>-1.183212135724645</v>
      </c>
      <c r="AX92" s="16">
        <v>4.0339336615040224</v>
      </c>
      <c r="AY92" s="16">
        <v>0.17057708423142515</v>
      </c>
      <c r="AZ92" s="19">
        <v>-1.9490528376948646E-2</v>
      </c>
      <c r="BA92" s="19">
        <v>1.8659393793686547</v>
      </c>
      <c r="BB92" s="19">
        <v>-0.15249761194338873</v>
      </c>
      <c r="BC92" s="19">
        <v>2.908390722869953</v>
      </c>
      <c r="BD92" s="19">
        <v>5.2773457442193177</v>
      </c>
      <c r="BE92" s="19">
        <v>-4.3117099161256789</v>
      </c>
      <c r="BF92" s="19">
        <v>0.51701596261939642</v>
      </c>
      <c r="BG92" s="19">
        <v>-1.6738705068358541</v>
      </c>
      <c r="BH92" s="19">
        <v>3.4281111547808507</v>
      </c>
      <c r="BI92" s="19">
        <v>2.6871797591976048</v>
      </c>
      <c r="BJ92" s="19">
        <v>2.2652384620414949</v>
      </c>
      <c r="BK92" s="19">
        <v>1.3288509418936485</v>
      </c>
      <c r="BL92" s="19">
        <v>2.086965815701717</v>
      </c>
      <c r="BM92" s="19">
        <v>-0.78449872707389545</v>
      </c>
      <c r="BN92" s="19">
        <v>4.0820196905307711</v>
      </c>
      <c r="BO92" s="16">
        <v>1.9807064085842114</v>
      </c>
      <c r="BP92" s="16">
        <v>2.0538183481949375</v>
      </c>
    </row>
    <row r="93" spans="1:68" x14ac:dyDescent="0.3">
      <c r="A93" s="16" t="s">
        <v>91</v>
      </c>
      <c r="B93" s="16" t="s">
        <v>653</v>
      </c>
      <c r="C93" s="16" t="s">
        <v>604</v>
      </c>
      <c r="D93" s="16" t="s">
        <v>605</v>
      </c>
      <c r="Z93" s="16">
        <v>0.62573907017191743</v>
      </c>
      <c r="AA93" s="16">
        <v>-3.8807513998063428</v>
      </c>
      <c r="AB93" s="16">
        <v>-1.5448227211249161</v>
      </c>
      <c r="AC93" s="16">
        <v>-4.9847715492753224</v>
      </c>
      <c r="AD93" s="16">
        <v>6.8227610650227746</v>
      </c>
      <c r="AE93" s="16">
        <v>-6.9763428547727386</v>
      </c>
      <c r="AF93" s="16">
        <v>3.2088397161174953E-2</v>
      </c>
      <c r="AG93" s="16">
        <v>-1.3449885186302311</v>
      </c>
      <c r="AH93" s="16">
        <v>-4.936883457018979</v>
      </c>
      <c r="AI93" s="16">
        <v>-5.3731729785259006</v>
      </c>
      <c r="AJ93" s="16">
        <v>-4.6263878673275514</v>
      </c>
      <c r="AK93" s="16">
        <v>29.85579156706433</v>
      </c>
      <c r="AL93" s="16">
        <v>6.9989866617379448</v>
      </c>
      <c r="AM93" s="16">
        <v>12.400421352437689</v>
      </c>
      <c r="AN93" s="16">
        <v>13.139142071874318</v>
      </c>
      <c r="AO93" s="16">
        <v>60.337103920082427</v>
      </c>
      <c r="AP93" s="16">
        <v>140.48004237012125</v>
      </c>
      <c r="AQ93" s="16">
        <v>19.025037975644125</v>
      </c>
      <c r="AR93" s="16">
        <v>20.811297056693718</v>
      </c>
      <c r="AS93" s="16">
        <v>13.045334473175615</v>
      </c>
      <c r="AT93" s="16">
        <v>55.590330375285305</v>
      </c>
      <c r="AU93" s="16">
        <v>13.942876931263612</v>
      </c>
      <c r="AV93" s="16">
        <v>8.8228836610464043</v>
      </c>
      <c r="AW93" s="16">
        <v>31.874282387219125</v>
      </c>
      <c r="AX93" s="16">
        <v>11.568141224777989</v>
      </c>
      <c r="AY93" s="16">
        <v>2.8643594254522498</v>
      </c>
      <c r="AZ93" s="19">
        <v>10.009444444066929</v>
      </c>
      <c r="BA93" s="19">
        <v>12.334373497599344</v>
      </c>
      <c r="BB93" s="19">
        <v>-3.3869376907534416</v>
      </c>
      <c r="BC93" s="19">
        <v>-13.154428259575724</v>
      </c>
      <c r="BD93" s="19">
        <v>1.8645931873226544</v>
      </c>
      <c r="BE93" s="19">
        <v>3.862160121429568</v>
      </c>
      <c r="BF93" s="19">
        <v>-8.0100539545819487</v>
      </c>
      <c r="BG93" s="19">
        <v>-3.5577072967490295</v>
      </c>
      <c r="BH93" s="19">
        <v>-12.604685042124927</v>
      </c>
      <c r="BI93" s="19">
        <v>-12.202835436377214</v>
      </c>
      <c r="BJ93" s="19">
        <v>-9.0336974373560963</v>
      </c>
      <c r="BK93" s="19">
        <v>-9.4448452585323253</v>
      </c>
      <c r="BL93" s="19">
        <v>-8.5820570003232461</v>
      </c>
      <c r="BM93" s="19">
        <v>-7.357228417453598</v>
      </c>
      <c r="BN93" s="19">
        <v>-1.5103813700538069</v>
      </c>
      <c r="BO93" s="16">
        <v>1.2117041478058752</v>
      </c>
      <c r="BP93" s="16">
        <v>-7.8785835166285949</v>
      </c>
    </row>
    <row r="94" spans="1:68" x14ac:dyDescent="0.3">
      <c r="A94" s="16" t="s">
        <v>108</v>
      </c>
      <c r="B94" s="16" t="s">
        <v>441</v>
      </c>
      <c r="C94" s="16" t="s">
        <v>604</v>
      </c>
      <c r="D94" s="16" t="s">
        <v>605</v>
      </c>
      <c r="F94" s="16">
        <v>12.309794607477059</v>
      </c>
      <c r="G94" s="16">
        <v>-0.23136229449329448</v>
      </c>
      <c r="H94" s="16">
        <v>11.430811629879273</v>
      </c>
      <c r="I94" s="16">
        <v>9.0136629417681746</v>
      </c>
      <c r="J94" s="16">
        <v>10.251060991348581</v>
      </c>
      <c r="K94" s="16">
        <v>5.7116721202473713</v>
      </c>
      <c r="L94" s="16">
        <v>4.8123959311459998</v>
      </c>
      <c r="M94" s="16">
        <v>6.508586955982949</v>
      </c>
      <c r="N94" s="16">
        <v>11.156734958920026</v>
      </c>
      <c r="O94" s="16">
        <v>8.6822882792358484</v>
      </c>
      <c r="P94" s="16">
        <v>7.3743271421961083</v>
      </c>
      <c r="Q94" s="16">
        <v>9.446391371893597</v>
      </c>
      <c r="R94" s="16">
        <v>7.6026080930489144</v>
      </c>
      <c r="S94" s="16">
        <v>-6.7820857451826555</v>
      </c>
      <c r="T94" s="16">
        <v>5.3730570524124204</v>
      </c>
      <c r="U94" s="16">
        <v>5.2050821682053652</v>
      </c>
      <c r="V94" s="16">
        <v>1.610302150690643</v>
      </c>
      <c r="W94" s="16">
        <v>5.865271847345241</v>
      </c>
      <c r="X94" s="16">
        <v>2.0024576578189652</v>
      </c>
      <c r="Y94" s="16">
        <v>-0.30689886759533636</v>
      </c>
      <c r="Z94" s="16">
        <v>-2.432461477005333</v>
      </c>
      <c r="AA94" s="16">
        <v>-1.7402519736938871</v>
      </c>
      <c r="AB94" s="16">
        <v>-1.6524025034368606</v>
      </c>
      <c r="AC94" s="16">
        <v>1.5036716092480731</v>
      </c>
      <c r="AD94" s="16">
        <v>2.1122949646592843</v>
      </c>
      <c r="AE94" s="16">
        <v>0.18573830455947871</v>
      </c>
      <c r="AF94" s="16">
        <v>-2.5851236078829913</v>
      </c>
      <c r="AG94" s="16">
        <v>3.9097769123056452</v>
      </c>
      <c r="AH94" s="16">
        <v>3.259729888364987</v>
      </c>
      <c r="AI94" s="16">
        <v>-1.0522328983468441</v>
      </c>
      <c r="AJ94" s="16">
        <v>1.8698347085252038</v>
      </c>
      <c r="AK94" s="16">
        <v>-6.6299518246580647E-2</v>
      </c>
      <c r="AL94" s="16">
        <v>-2.1771501798919957</v>
      </c>
      <c r="AM94" s="16">
        <v>1.4905589521162739</v>
      </c>
      <c r="AN94" s="16">
        <v>1.6238248435133045</v>
      </c>
      <c r="AO94" s="16">
        <v>2.409842880398088</v>
      </c>
      <c r="AP94" s="16">
        <v>3.9700820509315662</v>
      </c>
      <c r="AQ94" s="16">
        <v>3.3206994426733019</v>
      </c>
      <c r="AR94" s="16">
        <v>2.6781000701891884</v>
      </c>
      <c r="AS94" s="16">
        <v>3.4955633741125212</v>
      </c>
      <c r="AT94" s="16">
        <v>3.5916527118377957</v>
      </c>
      <c r="AU94" s="16">
        <v>3.5426227057315174</v>
      </c>
      <c r="AV94" s="16">
        <v>5.5423612445064236</v>
      </c>
      <c r="AW94" s="16">
        <v>4.8013786610728459</v>
      </c>
      <c r="AX94" s="16">
        <v>0.3045681127545663</v>
      </c>
      <c r="AY94" s="16">
        <v>5.3356016908805941</v>
      </c>
      <c r="AZ94" s="19">
        <v>3.0109840216769044</v>
      </c>
      <c r="BA94" s="19">
        <v>-0.59938979015433347</v>
      </c>
      <c r="BB94" s="19">
        <v>-4.5521170759744933</v>
      </c>
      <c r="BC94" s="19">
        <v>-5.5995501914706978</v>
      </c>
      <c r="BD94" s="19">
        <v>-10.016281205198226</v>
      </c>
      <c r="BE94" s="19">
        <v>-6.5829044494729203</v>
      </c>
      <c r="BF94" s="19">
        <v>-1.806551373413285</v>
      </c>
      <c r="BG94" s="19">
        <v>1.1472119568182393</v>
      </c>
      <c r="BH94" s="19">
        <v>0.46365278627018824</v>
      </c>
      <c r="BI94" s="19">
        <v>-7.2424584138730097E-2</v>
      </c>
      <c r="BJ94" s="19">
        <v>1.2922902902688236</v>
      </c>
      <c r="BK94" s="19">
        <v>1.8749031634614397</v>
      </c>
      <c r="BL94" s="19">
        <v>1.9868657665383722</v>
      </c>
      <c r="BM94" s="19">
        <v>-9.1216270466723017</v>
      </c>
      <c r="BN94" s="19">
        <v>9.7067696926622915</v>
      </c>
      <c r="BO94" s="16">
        <v>6.9977447319833743</v>
      </c>
      <c r="BP94" s="16">
        <v>2.6576181784277395</v>
      </c>
    </row>
    <row r="95" spans="1:68" x14ac:dyDescent="0.3">
      <c r="A95" s="16" t="s">
        <v>109</v>
      </c>
      <c r="B95" s="16" t="s">
        <v>654</v>
      </c>
      <c r="C95" s="16" t="s">
        <v>604</v>
      </c>
      <c r="D95" s="16" t="s">
        <v>605</v>
      </c>
      <c r="W95" s="16">
        <v>5.9109280291083337</v>
      </c>
      <c r="X95" s="16">
        <v>6.2329773109299111</v>
      </c>
      <c r="Y95" s="16">
        <v>-0.1110725901446159</v>
      </c>
      <c r="Z95" s="16">
        <v>1.1247324565830183</v>
      </c>
      <c r="AA95" s="16">
        <v>2.7091018979966464</v>
      </c>
      <c r="AB95" s="16">
        <v>1.898275391427191</v>
      </c>
      <c r="AC95" s="16">
        <v>2.0703207444426681</v>
      </c>
      <c r="AD95" s="16">
        <v>4.9702371142339814</v>
      </c>
      <c r="AE95" s="16">
        <v>6.8574755727025547</v>
      </c>
      <c r="AF95" s="16">
        <v>9.4162616405597106</v>
      </c>
      <c r="AG95" s="16">
        <v>3.7111274747150986</v>
      </c>
      <c r="AH95" s="16">
        <v>4.4506333910093048</v>
      </c>
      <c r="AI95" s="16">
        <v>4.1984855971924873</v>
      </c>
      <c r="AJ95" s="16">
        <v>0.66294589166197682</v>
      </c>
      <c r="AK95" s="16">
        <v>-2.1091537771188911</v>
      </c>
      <c r="AL95" s="16">
        <v>-3.0459977327517294</v>
      </c>
      <c r="AM95" s="16">
        <v>0.70691939542004434</v>
      </c>
      <c r="AN95" s="16">
        <v>1.2599122533603975</v>
      </c>
      <c r="AO95" s="16">
        <v>3.655291613895173</v>
      </c>
      <c r="AP95" s="16">
        <v>4.3160479759518182</v>
      </c>
      <c r="AQ95" s="16">
        <v>11.068460332335931</v>
      </c>
      <c r="AR95" s="16">
        <v>6.2749229141433744</v>
      </c>
      <c r="AS95" s="16">
        <v>4.2933735858770206</v>
      </c>
      <c r="AT95" s="16">
        <v>-2.4813929474382377</v>
      </c>
      <c r="AU95" s="16">
        <v>3.1553894215574871</v>
      </c>
      <c r="AV95" s="16">
        <v>8.9515845906300768</v>
      </c>
      <c r="AW95" s="16">
        <v>-1.3514349261392624</v>
      </c>
      <c r="AX95" s="16">
        <v>12.517958905953222</v>
      </c>
      <c r="AY95" s="16">
        <v>-4.6302385865523661</v>
      </c>
      <c r="AZ95" s="19">
        <v>5.4234018684417862</v>
      </c>
      <c r="BA95" s="19">
        <v>0.27173491498615476</v>
      </c>
      <c r="BB95" s="19">
        <v>-7.2490587948664711</v>
      </c>
      <c r="BC95" s="19">
        <v>-1.2003507094172647</v>
      </c>
      <c r="BD95" s="19">
        <v>-5.9693789739156955E-3</v>
      </c>
      <c r="BE95" s="19">
        <v>-2.0024819875579283</v>
      </c>
      <c r="BF95" s="19">
        <v>1.4470090497318466</v>
      </c>
      <c r="BG95" s="19">
        <v>6.4076618735511488</v>
      </c>
      <c r="BH95" s="19">
        <v>5.5434179281374583</v>
      </c>
      <c r="BI95" s="19">
        <v>2.8869686300227357</v>
      </c>
      <c r="BJ95" s="19">
        <v>3.613848424715485</v>
      </c>
      <c r="BK95" s="19">
        <v>3.5759757533799359</v>
      </c>
      <c r="BL95" s="19">
        <v>-5.0317482799627555E-2</v>
      </c>
      <c r="BM95" s="19">
        <v>-14.411486943499057</v>
      </c>
      <c r="BN95" s="19">
        <v>3.8918835796144293</v>
      </c>
      <c r="BO95" s="16">
        <v>6.6123302994291322</v>
      </c>
      <c r="BP95" s="16">
        <v>4.1904799379996547</v>
      </c>
    </row>
    <row r="96" spans="1:68" x14ac:dyDescent="0.3">
      <c r="A96" s="16" t="s">
        <v>655</v>
      </c>
      <c r="B96" s="16" t="s">
        <v>656</v>
      </c>
      <c r="C96" s="16" t="s">
        <v>604</v>
      </c>
      <c r="D96" s="16" t="s">
        <v>605</v>
      </c>
      <c r="P96" s="16">
        <v>11.144565735287443</v>
      </c>
      <c r="Q96" s="16">
        <v>3.759157601067713</v>
      </c>
      <c r="R96" s="16">
        <v>5.2802088620809968</v>
      </c>
      <c r="S96" s="16">
        <v>4.6385140550154347</v>
      </c>
      <c r="T96" s="16">
        <v>0.44332433441753949</v>
      </c>
      <c r="U96" s="16">
        <v>5.74601090489368</v>
      </c>
      <c r="V96" s="16">
        <v>9.4831795439330904</v>
      </c>
      <c r="W96" s="16">
        <v>6.4476794690570642</v>
      </c>
      <c r="X96" s="16">
        <v>4.0149474801446132</v>
      </c>
      <c r="Y96" s="16">
        <v>7.3770898577532478</v>
      </c>
      <c r="Z96" s="16">
        <v>-0.91378364594197592</v>
      </c>
      <c r="AA96" s="16">
        <v>-5.3476252976201408</v>
      </c>
      <c r="AB96" s="16">
        <v>2.265770794603057</v>
      </c>
      <c r="AC96" s="16">
        <v>-6.2591644562209012</v>
      </c>
      <c r="AD96" s="16">
        <v>2.6821738056871141</v>
      </c>
      <c r="AE96" s="16">
        <v>6.4967770111773717</v>
      </c>
      <c r="AF96" s="16">
        <v>4.3456406154259213</v>
      </c>
      <c r="AG96" s="16">
        <v>4.2546594794529824</v>
      </c>
      <c r="AH96" s="16">
        <v>5.6951730076124676</v>
      </c>
      <c r="AI96" s="16">
        <v>-12.195866439279939</v>
      </c>
      <c r="AJ96" s="16">
        <v>6.6511141715935196E-2</v>
      </c>
      <c r="AK96" s="16">
        <v>-4.7685235405740229</v>
      </c>
      <c r="AL96" s="16">
        <v>-4.8558817827393455</v>
      </c>
      <c r="AM96" s="16">
        <v>5.3518056404029579</v>
      </c>
      <c r="AN96" s="16">
        <v>3.1709964273418052</v>
      </c>
      <c r="AO96" s="16">
        <v>1.3480101030775273</v>
      </c>
      <c r="AP96" s="16">
        <v>1.2877318695751114</v>
      </c>
      <c r="AQ96" s="16">
        <v>7.5658997809310051</v>
      </c>
      <c r="AR96" s="16">
        <v>1.3778844452400563</v>
      </c>
      <c r="AS96" s="16">
        <v>6.9110246453716826</v>
      </c>
      <c r="AT96" s="16">
        <v>0.99946355707838563</v>
      </c>
      <c r="AU96" s="16">
        <v>-1.4242583592009055</v>
      </c>
      <c r="AV96" s="16">
        <v>4.1430539633647214</v>
      </c>
      <c r="AW96" s="16">
        <v>6.6323237112164435</v>
      </c>
      <c r="AX96" s="16">
        <v>4.9432360441520729</v>
      </c>
      <c r="AY96" s="16">
        <v>5.8550302810627102</v>
      </c>
      <c r="AZ96" s="19">
        <v>2.7487810793659406</v>
      </c>
      <c r="BA96" s="19">
        <v>6.593978748647217</v>
      </c>
      <c r="BB96" s="19">
        <v>0.87490657070013356</v>
      </c>
      <c r="BC96" s="19">
        <v>0.69531455570223955</v>
      </c>
      <c r="BD96" s="19">
        <v>-0.47028363507526194</v>
      </c>
      <c r="BE96" s="19">
        <v>1.5369769446427597</v>
      </c>
      <c r="BF96" s="19">
        <v>-0.72686164314048085</v>
      </c>
      <c r="BG96" s="19">
        <v>5.0919273331364536</v>
      </c>
      <c r="BH96" s="19">
        <v>-2.2149188822392034</v>
      </c>
      <c r="BI96" s="19">
        <v>4.547808580660643</v>
      </c>
      <c r="BJ96" s="19">
        <v>7.7664773967427436E-2</v>
      </c>
      <c r="BK96" s="19">
        <v>0.89068474112418983</v>
      </c>
      <c r="BL96" s="19">
        <v>2.462731594332169</v>
      </c>
      <c r="BM96" s="19">
        <v>-6.4784281066650351E-2</v>
      </c>
      <c r="BN96" s="19">
        <v>0.77886951371549173</v>
      </c>
    </row>
    <row r="97" spans="1:68" x14ac:dyDescent="0.3">
      <c r="A97" s="16" t="s">
        <v>112</v>
      </c>
      <c r="B97" s="16" t="s">
        <v>442</v>
      </c>
      <c r="C97" s="16" t="s">
        <v>604</v>
      </c>
      <c r="D97" s="16" t="s">
        <v>605</v>
      </c>
      <c r="F97" s="16">
        <v>1.2805927592967095</v>
      </c>
      <c r="G97" s="16">
        <v>0.54071768559570899</v>
      </c>
      <c r="H97" s="16">
        <v>6.3863393043091037</v>
      </c>
      <c r="I97" s="16">
        <v>1.6489603465930145</v>
      </c>
      <c r="J97" s="16">
        <v>1.4289424270346416</v>
      </c>
      <c r="K97" s="16">
        <v>2.5942075225188859</v>
      </c>
      <c r="L97" s="16">
        <v>1.293633478792259</v>
      </c>
      <c r="M97" s="16">
        <v>5.8988101383316405</v>
      </c>
      <c r="N97" s="16">
        <v>2.0593760163287556</v>
      </c>
      <c r="O97" s="16">
        <v>3.0900463411966541</v>
      </c>
      <c r="P97" s="16">
        <v>3.0456550996093483</v>
      </c>
      <c r="Q97" s="16">
        <v>4.8165819028499186</v>
      </c>
      <c r="R97" s="16">
        <v>4.3275166374140923</v>
      </c>
      <c r="S97" s="16">
        <v>3.9645156123224723</v>
      </c>
      <c r="T97" s="16">
        <v>-0.32559465884665428</v>
      </c>
      <c r="U97" s="16">
        <v>5.0094619112255145</v>
      </c>
      <c r="V97" s="16">
        <v>5.4104292227003157</v>
      </c>
      <c r="W97" s="16">
        <v>2.6085216710291235</v>
      </c>
      <c r="X97" s="16">
        <v>2.2413262845265081</v>
      </c>
      <c r="Y97" s="16">
        <v>1.2035450098899787</v>
      </c>
      <c r="Z97" s="16">
        <v>-1.9271053485289116</v>
      </c>
      <c r="AA97" s="16">
        <v>-6.0734122387524678</v>
      </c>
      <c r="AB97" s="16">
        <v>-5.1822418779767503</v>
      </c>
      <c r="AC97" s="16">
        <v>-2.2192248807559309</v>
      </c>
      <c r="AD97" s="16">
        <v>-3.3093015973668258</v>
      </c>
      <c r="AE97" s="16">
        <v>-2.5861932676695716</v>
      </c>
      <c r="AF97" s="16">
        <v>0.71662087274937392</v>
      </c>
      <c r="AG97" s="16">
        <v>1.0558318395718231</v>
      </c>
      <c r="AH97" s="16">
        <v>1.1136875303630234</v>
      </c>
      <c r="AI97" s="16">
        <v>0.32144959608856993</v>
      </c>
      <c r="AJ97" s="16">
        <v>0.9075874688600436</v>
      </c>
      <c r="AK97" s="16">
        <v>2.1224769061453799</v>
      </c>
      <c r="AL97" s="16">
        <v>1.3098623565803962</v>
      </c>
      <c r="AM97" s="16">
        <v>1.4747191723101452</v>
      </c>
      <c r="AN97" s="16">
        <v>2.4054893744666543</v>
      </c>
      <c r="AO97" s="16">
        <v>0.5134742828480654</v>
      </c>
      <c r="AP97" s="16">
        <v>1.931911688914397</v>
      </c>
      <c r="AQ97" s="16">
        <v>2.5426524466941629</v>
      </c>
      <c r="AR97" s="16">
        <v>1.4153536963511471</v>
      </c>
      <c r="AS97" s="16">
        <v>1.1175291324180421</v>
      </c>
      <c r="AT97" s="16">
        <v>-9.6568126226571849E-2</v>
      </c>
      <c r="AU97" s="16">
        <v>1.4803885196943156</v>
      </c>
      <c r="AV97" s="16">
        <v>0.34800785939856382</v>
      </c>
      <c r="AW97" s="16">
        <v>0.96836311315946944</v>
      </c>
      <c r="AX97" s="16">
        <v>1.1529340923907654</v>
      </c>
      <c r="AY97" s="16">
        <v>3.2382193705692259</v>
      </c>
      <c r="AZ97" s="19">
        <v>4.2571489299359371</v>
      </c>
      <c r="BA97" s="19">
        <v>1.3216597834974522</v>
      </c>
      <c r="BB97" s="19">
        <v>-1.3954706558224217</v>
      </c>
      <c r="BC97" s="19">
        <v>1.0118948603418971</v>
      </c>
      <c r="BD97" s="19">
        <v>2.2857951699789538</v>
      </c>
      <c r="BE97" s="19">
        <v>1.1605088896818501</v>
      </c>
      <c r="BF97" s="19">
        <v>1.8886425805381606</v>
      </c>
      <c r="BG97" s="19">
        <v>2.6539119093622361</v>
      </c>
      <c r="BH97" s="19">
        <v>2.3462951462233832</v>
      </c>
      <c r="BI97" s="19">
        <v>0.98936574939649802</v>
      </c>
      <c r="BJ97" s="19">
        <v>1.4156488412032218</v>
      </c>
      <c r="BK97" s="19">
        <v>1.7651363990561748</v>
      </c>
      <c r="BL97" s="19">
        <v>2.4074147220956661</v>
      </c>
      <c r="BM97" s="19">
        <v>-3.2733219677880356</v>
      </c>
      <c r="BN97" s="19">
        <v>6.4154055518626194</v>
      </c>
      <c r="BO97" s="16">
        <v>2.6295831970859069</v>
      </c>
      <c r="BP97" s="16">
        <v>2.0468075498837095</v>
      </c>
    </row>
    <row r="98" spans="1:68" x14ac:dyDescent="0.3">
      <c r="A98" s="16" t="s">
        <v>111</v>
      </c>
      <c r="B98" s="16" t="s">
        <v>657</v>
      </c>
      <c r="C98" s="16" t="s">
        <v>604</v>
      </c>
      <c r="D98" s="16" t="s">
        <v>605</v>
      </c>
      <c r="AV98" s="16">
        <v>0.37178409109708355</v>
      </c>
      <c r="AW98" s="16">
        <v>6.0918501799080786</v>
      </c>
      <c r="AX98" s="16">
        <v>3.3738031416601615</v>
      </c>
      <c r="AY98" s="16">
        <v>-3.7958610329268936</v>
      </c>
      <c r="AZ98" s="19">
        <v>0.66342000128749135</v>
      </c>
      <c r="BA98" s="19">
        <v>2.0581261009169793</v>
      </c>
      <c r="BB98" s="19">
        <v>0.52717349228291255</v>
      </c>
      <c r="BC98" s="19">
        <v>2.0617082779391609</v>
      </c>
      <c r="BD98" s="19">
        <v>-0.37183642036973197</v>
      </c>
      <c r="BE98" s="19">
        <v>1.6777863303787655</v>
      </c>
      <c r="BF98" s="19">
        <v>1.287430575445228</v>
      </c>
      <c r="BG98" s="19">
        <v>1.495953254255312</v>
      </c>
      <c r="BH98" s="19">
        <v>0.56458736787396901</v>
      </c>
      <c r="BI98" s="19">
        <v>-3.7011602485534922E-2</v>
      </c>
      <c r="BJ98" s="19">
        <v>0.73452166180159395</v>
      </c>
      <c r="BK98" s="19">
        <v>-0.87056325402954826</v>
      </c>
      <c r="BL98" s="19">
        <v>2.5564341006668627</v>
      </c>
      <c r="BM98" s="19">
        <v>-10.839811715210786</v>
      </c>
      <c r="BN98" s="19">
        <v>1.2783867782673468</v>
      </c>
      <c r="BO98" s="16">
        <v>4.3411706782431736</v>
      </c>
    </row>
    <row r="99" spans="1:68" x14ac:dyDescent="0.3">
      <c r="A99" s="16" t="s">
        <v>116</v>
      </c>
      <c r="B99" s="16" t="s">
        <v>443</v>
      </c>
      <c r="C99" s="16" t="s">
        <v>604</v>
      </c>
      <c r="D99" s="16" t="s">
        <v>605</v>
      </c>
      <c r="F99" s="16">
        <v>1.7357564021226892</v>
      </c>
      <c r="G99" s="16">
        <v>-1.6091119090289254</v>
      </c>
      <c r="H99" s="16">
        <v>-14.521497571291121</v>
      </c>
      <c r="I99" s="16">
        <v>8.6892059590113888</v>
      </c>
      <c r="J99" s="16">
        <v>8.1183910181636918</v>
      </c>
      <c r="K99" s="16">
        <v>3.1652315203881045</v>
      </c>
      <c r="L99" s="16">
        <v>2.4866840116608273</v>
      </c>
      <c r="M99" s="16">
        <v>-0.56930050094163676</v>
      </c>
      <c r="N99" s="16">
        <v>5.4520122045499591</v>
      </c>
      <c r="O99" s="16">
        <v>2.874472437213484</v>
      </c>
      <c r="P99" s="16">
        <v>1.8644976062335701</v>
      </c>
      <c r="Q99" s="16">
        <v>-4.4010040956949155</v>
      </c>
      <c r="R99" s="16">
        <v>0.15287745549747456</v>
      </c>
      <c r="S99" s="16">
        <v>6.5587999469131262</v>
      </c>
      <c r="T99" s="16">
        <v>7.3351754365048407</v>
      </c>
      <c r="U99" s="16">
        <v>0.46394503292263778</v>
      </c>
      <c r="V99" s="16">
        <v>-3.6393026520896967</v>
      </c>
      <c r="W99" s="16">
        <v>-2.7299867617685862</v>
      </c>
      <c r="X99" s="16">
        <v>-2.5800892301187304</v>
      </c>
      <c r="Y99" s="16">
        <v>1.2509591451243409</v>
      </c>
      <c r="Z99" s="16">
        <v>1.2996006227129868</v>
      </c>
      <c r="AA99" s="16">
        <v>-13.18490121553576</v>
      </c>
      <c r="AB99" s="16">
        <v>-6.6406674007994155</v>
      </c>
      <c r="AC99" s="16">
        <v>-4.7392984192402992</v>
      </c>
      <c r="AD99" s="16">
        <v>2.8417770890083176</v>
      </c>
      <c r="AE99" s="16">
        <v>-0.36378181005014198</v>
      </c>
      <c r="AF99" s="16">
        <v>1.5338277788721371</v>
      </c>
      <c r="AG99" s="16">
        <v>-3.0261367133602022</v>
      </c>
      <c r="AH99" s="16">
        <v>-4.2153785074968653</v>
      </c>
      <c r="AI99" s="16">
        <v>-2.3174446821139725</v>
      </c>
      <c r="AJ99" s="16">
        <v>6.4883143477466092</v>
      </c>
      <c r="AK99" s="16">
        <v>7.6274188312377902</v>
      </c>
      <c r="AL99" s="16">
        <v>7.8579010693465676</v>
      </c>
      <c r="AM99" s="16">
        <v>8.1911353452397151</v>
      </c>
      <c r="AN99" s="16">
        <v>4.7320110336232801</v>
      </c>
      <c r="AO99" s="16">
        <v>7.685904878326582</v>
      </c>
      <c r="AP99" s="16">
        <v>5.950085955505898</v>
      </c>
      <c r="AQ99" s="16">
        <v>-1.8721868626811471</v>
      </c>
      <c r="AR99" s="16">
        <v>2.7812652391111783</v>
      </c>
      <c r="AS99" s="16">
        <v>-1.4985586626453795</v>
      </c>
      <c r="AT99" s="16">
        <v>2.17748565093585</v>
      </c>
      <c r="AU99" s="16">
        <v>1.0642584261771191</v>
      </c>
      <c r="AV99" s="16">
        <v>-0.66345084803455734</v>
      </c>
      <c r="AW99" s="16">
        <v>1.5817835940800506</v>
      </c>
      <c r="AX99" s="16">
        <v>-1.858678754935525</v>
      </c>
      <c r="AY99" s="16">
        <v>5.3156458389600232</v>
      </c>
      <c r="AZ99" s="19">
        <v>7.4527954333796629</v>
      </c>
      <c r="BA99" s="19">
        <v>2.0751354960645045</v>
      </c>
      <c r="BB99" s="19">
        <v>4.0103654327793521</v>
      </c>
      <c r="BC99" s="19">
        <v>4.6015377876125001</v>
      </c>
      <c r="BD99" s="19">
        <v>5.7195259827739591</v>
      </c>
      <c r="BE99" s="19">
        <v>5.3136884449974247</v>
      </c>
      <c r="BF99" s="19">
        <v>3.1743781661838</v>
      </c>
      <c r="BG99" s="19">
        <v>1.1862626654578463</v>
      </c>
      <c r="BH99" s="19">
        <v>0.16518513687935865</v>
      </c>
      <c r="BI99" s="19">
        <v>3.2527859261247301</v>
      </c>
      <c r="BJ99" s="19">
        <v>3.1684214177762016</v>
      </c>
      <c r="BK99" s="19">
        <v>1.4809865147134218</v>
      </c>
      <c r="BL99" s="19">
        <v>3.6066603662623322</v>
      </c>
      <c r="BM99" s="19">
        <v>43.75879920997221</v>
      </c>
      <c r="BN99" s="19">
        <v>18.908981748635227</v>
      </c>
      <c r="BO99" s="16">
        <v>62.599349289827614</v>
      </c>
      <c r="BP99" s="16">
        <v>32.182007277688029</v>
      </c>
    </row>
    <row r="100" spans="1:68" hidden="1" x14ac:dyDescent="0.3">
      <c r="A100" s="16" t="s">
        <v>658</v>
      </c>
      <c r="B100" s="16" t="s">
        <v>659</v>
      </c>
      <c r="C100" s="16" t="s">
        <v>604</v>
      </c>
      <c r="D100" s="16" t="s">
        <v>605</v>
      </c>
      <c r="F100" s="16">
        <v>3.1975751760717515</v>
      </c>
      <c r="G100" s="16">
        <v>4.3089693896640995</v>
      </c>
      <c r="H100" s="16">
        <v>3.7881279694218932</v>
      </c>
      <c r="I100" s="16">
        <v>5.1145459140819582</v>
      </c>
      <c r="J100" s="16">
        <v>4.3108424804748466</v>
      </c>
      <c r="K100" s="16">
        <v>4.4496940529367635</v>
      </c>
      <c r="L100" s="16">
        <v>2.8146919943432778</v>
      </c>
      <c r="M100" s="16">
        <v>4.8877408987828375</v>
      </c>
      <c r="N100" s="16">
        <v>4.6100343296936614</v>
      </c>
      <c r="O100" s="16">
        <v>2.0525949931578253</v>
      </c>
      <c r="P100" s="16">
        <v>2.838839707525409</v>
      </c>
      <c r="Q100" s="16">
        <v>4.534062517175812</v>
      </c>
      <c r="R100" s="16">
        <v>5.346924531806053</v>
      </c>
      <c r="S100" s="16">
        <v>0.24825938648575629</v>
      </c>
      <c r="T100" s="16">
        <v>-1.0653276781887229</v>
      </c>
      <c r="U100" s="16">
        <v>4.1417357041584779</v>
      </c>
      <c r="V100" s="16">
        <v>3.0656550858599871</v>
      </c>
      <c r="W100" s="16">
        <v>3.3354749999918312</v>
      </c>
      <c r="X100" s="16">
        <v>3.2434013676902822</v>
      </c>
      <c r="Y100" s="16">
        <v>0.4859774853247103</v>
      </c>
      <c r="Z100" s="16">
        <v>1.1349044604607457</v>
      </c>
      <c r="AA100" s="16">
        <v>-0.97875491619063837</v>
      </c>
      <c r="AB100" s="16">
        <v>2.1069904451650672</v>
      </c>
      <c r="AC100" s="16">
        <v>3.993038425109205</v>
      </c>
      <c r="AD100" s="16">
        <v>2.8574043302439804</v>
      </c>
      <c r="AE100" s="16">
        <v>2.5878572367469985</v>
      </c>
      <c r="AF100" s="16">
        <v>2.816772168395147</v>
      </c>
      <c r="AG100" s="16">
        <v>3.9986079577750928</v>
      </c>
      <c r="AH100" s="16">
        <v>3.1414630664077521</v>
      </c>
      <c r="AI100" s="16">
        <v>2.0376289409367558</v>
      </c>
      <c r="AJ100" s="16">
        <v>0.16581717650248606</v>
      </c>
      <c r="AK100" s="16">
        <v>0.77700735328878068</v>
      </c>
      <c r="AL100" s="16">
        <v>0.38692299916588979</v>
      </c>
      <c r="AM100" s="16">
        <v>2.253555488657895</v>
      </c>
      <c r="AN100" s="16">
        <v>2.1157406501391023</v>
      </c>
      <c r="AO100" s="16">
        <v>2.3121366857156431</v>
      </c>
      <c r="AP100" s="16">
        <v>2.9072858862238888</v>
      </c>
      <c r="AQ100" s="16">
        <v>2.1858379138359965</v>
      </c>
      <c r="AR100" s="16">
        <v>3.0004955081185898</v>
      </c>
      <c r="AS100" s="16">
        <v>3.7576995585573627</v>
      </c>
      <c r="AT100" s="16">
        <v>1.1045041542881364</v>
      </c>
      <c r="AU100" s="16">
        <v>1.1424891618690367</v>
      </c>
      <c r="AV100" s="16">
        <v>1.8147091426590833</v>
      </c>
      <c r="AW100" s="16">
        <v>2.9950307417613544</v>
      </c>
      <c r="AX100" s="16">
        <v>2.430647129410147</v>
      </c>
      <c r="AY100" s="16">
        <v>2.5830082384500628</v>
      </c>
      <c r="AZ100" s="19">
        <v>2.1489104148619447</v>
      </c>
      <c r="BA100" s="19">
        <v>-5.1771336845973792E-2</v>
      </c>
      <c r="BB100" s="19">
        <v>-4.0103454035571815</v>
      </c>
      <c r="BC100" s="19">
        <v>2.4747582699194055</v>
      </c>
      <c r="BD100" s="19">
        <v>1.6256965399638261</v>
      </c>
      <c r="BE100" s="19">
        <v>0.95259483372203135</v>
      </c>
      <c r="BF100" s="19">
        <v>1.0589635890787292</v>
      </c>
      <c r="BG100" s="19">
        <v>1.5956085660209283</v>
      </c>
      <c r="BH100" s="19">
        <v>1.7914732399577247</v>
      </c>
      <c r="BI100" s="19">
        <v>1.2959194982298641</v>
      </c>
      <c r="BJ100" s="19">
        <v>1.9993985659226894</v>
      </c>
      <c r="BK100" s="19">
        <v>1.9242432131648712</v>
      </c>
      <c r="BL100" s="19">
        <v>1.4633593015310993</v>
      </c>
      <c r="BM100" s="19">
        <v>-4.2440702517702533</v>
      </c>
      <c r="BN100" s="19">
        <v>5.6591441097962729</v>
      </c>
      <c r="BO100" s="16">
        <v>2.4227701923670537</v>
      </c>
      <c r="BP100" s="16">
        <v>1.1311573764902363</v>
      </c>
    </row>
    <row r="101" spans="1:68" x14ac:dyDescent="0.3">
      <c r="A101" s="16" t="s">
        <v>660</v>
      </c>
      <c r="B101" s="16" t="s">
        <v>661</v>
      </c>
      <c r="C101" s="16" t="s">
        <v>604</v>
      </c>
      <c r="D101" s="16" t="s">
        <v>605</v>
      </c>
      <c r="G101" s="16">
        <v>9.5502883693293228</v>
      </c>
      <c r="H101" s="16">
        <v>11.8480462632605</v>
      </c>
      <c r="I101" s="16">
        <v>6.0337557986554771</v>
      </c>
      <c r="J101" s="16">
        <v>11.669219767823051</v>
      </c>
      <c r="K101" s="16">
        <v>0.89740248264089928</v>
      </c>
      <c r="L101" s="16">
        <v>-0.93218272559481363</v>
      </c>
      <c r="M101" s="16">
        <v>1.2248352831679199</v>
      </c>
      <c r="N101" s="16">
        <v>9.5801244235995</v>
      </c>
      <c r="O101" s="16">
        <v>6.5835496628896948</v>
      </c>
      <c r="P101" s="16">
        <v>5.0040816515203375</v>
      </c>
      <c r="Q101" s="16">
        <v>8.5114850173218173</v>
      </c>
      <c r="R101" s="16">
        <v>9.1562680470556757</v>
      </c>
      <c r="S101" s="16">
        <v>-0.77111088944270989</v>
      </c>
      <c r="T101" s="16">
        <v>-1.3956157641398192</v>
      </c>
      <c r="U101" s="16">
        <v>14.714105758534728</v>
      </c>
      <c r="V101" s="16">
        <v>10.124188922337154</v>
      </c>
      <c r="W101" s="16">
        <v>6.3171360768695166</v>
      </c>
      <c r="X101" s="16">
        <v>5.623293195931339</v>
      </c>
      <c r="Y101" s="16">
        <v>7.2072000891117796</v>
      </c>
      <c r="Z101" s="16">
        <v>6.7250919954557418</v>
      </c>
      <c r="AA101" s="16">
        <v>1.3638992774655208</v>
      </c>
      <c r="AB101" s="16">
        <v>4.3789319053499014</v>
      </c>
      <c r="AC101" s="16">
        <v>8.8980008845740031</v>
      </c>
      <c r="AD101" s="16">
        <v>-0.31944133299882083</v>
      </c>
      <c r="AE101" s="16">
        <v>9.6811026571555203</v>
      </c>
      <c r="AF101" s="16">
        <v>12.262528599368807</v>
      </c>
      <c r="AG101" s="16">
        <v>7.603358146817925</v>
      </c>
      <c r="AH101" s="16">
        <v>1.2229308005380801</v>
      </c>
      <c r="AI101" s="16">
        <v>3.4974313327586373</v>
      </c>
      <c r="AJ101" s="16">
        <v>4.8290393136635856</v>
      </c>
      <c r="AK101" s="16">
        <v>5.3466056996172711</v>
      </c>
      <c r="AL101" s="16">
        <v>4.3924830673325346</v>
      </c>
      <c r="AM101" s="16">
        <v>3.674848907975317</v>
      </c>
      <c r="AN101" s="16">
        <v>0.3665465732661346</v>
      </c>
      <c r="AO101" s="16">
        <v>-0.26785857491469756</v>
      </c>
      <c r="AP101" s="16">
        <v>4.2284075806805106</v>
      </c>
      <c r="AQ101" s="16">
        <v>-6.6651190254933681</v>
      </c>
      <c r="AR101" s="16">
        <v>1.5322977883579654</v>
      </c>
      <c r="AS101" s="16">
        <v>6.7184577509643333</v>
      </c>
      <c r="AT101" s="16">
        <v>-0.17757296022034552</v>
      </c>
      <c r="AU101" s="16">
        <v>1.207501800707405</v>
      </c>
      <c r="AV101" s="16">
        <v>3.2599203892936401</v>
      </c>
      <c r="AW101" s="16">
        <v>7.8556230169236443</v>
      </c>
      <c r="AX101" s="16">
        <v>6.9200026676106319</v>
      </c>
      <c r="AY101" s="16">
        <v>6.347422720131533</v>
      </c>
      <c r="AZ101" s="19">
        <v>5.553529950767782</v>
      </c>
      <c r="BA101" s="19">
        <v>1.5188365036088243</v>
      </c>
      <c r="BB101" s="19">
        <v>-2.6689210557860577</v>
      </c>
      <c r="BC101" s="19">
        <v>5.9863838687770965</v>
      </c>
      <c r="BD101" s="19">
        <v>4.112154624607939</v>
      </c>
      <c r="BE101" s="19">
        <v>0.58375940171097795</v>
      </c>
      <c r="BF101" s="19">
        <v>2.6879233920466419</v>
      </c>
      <c r="BG101" s="19">
        <v>2.0431302651488465</v>
      </c>
      <c r="BH101" s="19">
        <v>1.5200144270579159</v>
      </c>
      <c r="BI101" s="19">
        <v>1.5445273515762352</v>
      </c>
      <c r="BJ101" s="19">
        <v>3.0014606761709928</v>
      </c>
      <c r="BK101" s="19">
        <v>2.0271833238080745</v>
      </c>
      <c r="BL101" s="19">
        <v>-2.3966656291791963</v>
      </c>
      <c r="BM101" s="19">
        <v>-6.2087346383618893</v>
      </c>
      <c r="BN101" s="19">
        <v>7.4294616694256348</v>
      </c>
      <c r="BO101" s="16">
        <v>-2.8022746064119985</v>
      </c>
      <c r="BP101" s="16">
        <v>0.61279910245008296</v>
      </c>
    </row>
    <row r="102" spans="1:68" x14ac:dyDescent="0.3">
      <c r="A102" s="16" t="s">
        <v>118</v>
      </c>
      <c r="B102" s="16" t="s">
        <v>444</v>
      </c>
      <c r="C102" s="16" t="s">
        <v>604</v>
      </c>
      <c r="D102" s="16" t="s">
        <v>605</v>
      </c>
      <c r="F102" s="16">
        <v>-1.0626035032646968</v>
      </c>
      <c r="G102" s="16">
        <v>2.7436023712198931</v>
      </c>
      <c r="H102" s="16">
        <v>0.61814806975772285</v>
      </c>
      <c r="I102" s="16">
        <v>2.4009379748961948</v>
      </c>
      <c r="J102" s="16">
        <v>5.9080825080831971</v>
      </c>
      <c r="K102" s="16">
        <v>2.3479441545451749</v>
      </c>
      <c r="L102" s="16">
        <v>2.941776687480484</v>
      </c>
      <c r="M102" s="16">
        <v>3.5304672396016912</v>
      </c>
      <c r="N102" s="16">
        <v>-2.2657654375096996</v>
      </c>
      <c r="O102" s="16">
        <v>0.59651540774794398</v>
      </c>
      <c r="P102" s="16">
        <v>0.92146725396193574</v>
      </c>
      <c r="Q102" s="16">
        <v>2.5951828531173788</v>
      </c>
      <c r="R102" s="16">
        <v>4.6588044062255847</v>
      </c>
      <c r="S102" s="16">
        <v>-4.0562781069138083</v>
      </c>
      <c r="T102" s="16">
        <v>-0.87455329966105921</v>
      </c>
      <c r="U102" s="16">
        <v>7.0816738813416862</v>
      </c>
      <c r="V102" s="16">
        <v>6.973754116385436</v>
      </c>
      <c r="W102" s="16">
        <v>2.7055963512455179</v>
      </c>
      <c r="X102" s="16">
        <v>2.3699508265887346</v>
      </c>
      <c r="Y102" s="16">
        <v>-2.4696000611637032</v>
      </c>
      <c r="Z102" s="16">
        <v>-4.2075325690264123</v>
      </c>
      <c r="AA102" s="16">
        <v>-4.9988037138256658</v>
      </c>
      <c r="AB102" s="16">
        <v>-2.0727889788888945</v>
      </c>
      <c r="AC102" s="16">
        <v>3.2303483859181625</v>
      </c>
      <c r="AD102" s="16">
        <v>2.5984400463483013</v>
      </c>
      <c r="AE102" s="16">
        <v>2.3479441780967107</v>
      </c>
      <c r="AF102" s="16">
        <v>3.6505429471988577</v>
      </c>
      <c r="AG102" s="16">
        <v>-1.0729114301087321</v>
      </c>
      <c r="AH102" s="16">
        <v>-0.10628027588943212</v>
      </c>
      <c r="AI102" s="16">
        <v>-4.7108483069763452E-2</v>
      </c>
      <c r="AJ102" s="16">
        <v>-5.9917681834874656</v>
      </c>
      <c r="AK102" s="16">
        <v>3.1386864197348103</v>
      </c>
      <c r="AL102" s="16">
        <v>3.5495743446923456</v>
      </c>
      <c r="AM102" s="16">
        <v>-2.5552217946677018</v>
      </c>
      <c r="AN102" s="16">
        <v>3.2682744262983618</v>
      </c>
      <c r="AO102" s="16">
        <v>-0.91981020724053053</v>
      </c>
      <c r="AP102" s="16">
        <v>1.7454879284585019</v>
      </c>
      <c r="AQ102" s="16">
        <v>0.89026883164984838</v>
      </c>
      <c r="AR102" s="16">
        <v>-3.3229070913306344</v>
      </c>
      <c r="AS102" s="16">
        <v>4.4004123234853409</v>
      </c>
      <c r="AT102" s="16">
        <v>2.0399276373268549E-3</v>
      </c>
      <c r="AU102" s="16">
        <v>1.0636806695926424</v>
      </c>
      <c r="AV102" s="16">
        <v>1.905403434895689</v>
      </c>
      <c r="AW102" s="16">
        <v>3.6205107315422822</v>
      </c>
      <c r="AX102" s="16">
        <v>3.5102174626896243</v>
      </c>
      <c r="AY102" s="16">
        <v>4.0825228458825933</v>
      </c>
      <c r="AZ102" s="19">
        <v>3.7862042334413388</v>
      </c>
      <c r="BA102" s="19">
        <v>1.9503936323637276</v>
      </c>
      <c r="BB102" s="19">
        <v>-4.5006219212216081</v>
      </c>
      <c r="BC102" s="19">
        <v>1.5999032810228471</v>
      </c>
      <c r="BD102" s="19">
        <v>1.7695630867694376</v>
      </c>
      <c r="BE102" s="19">
        <v>2.1169869987971452</v>
      </c>
      <c r="BF102" s="19">
        <v>0.861032610676844</v>
      </c>
      <c r="BG102" s="19">
        <v>1.1704306794545687</v>
      </c>
      <c r="BH102" s="19">
        <v>1.9781320901350199</v>
      </c>
      <c r="BI102" s="19">
        <v>2.0668393461452723</v>
      </c>
      <c r="BJ102" s="19">
        <v>3.0345808354045118</v>
      </c>
      <c r="BK102" s="19">
        <v>2.0846185878895369</v>
      </c>
      <c r="BL102" s="19">
        <v>0.85032238272928851</v>
      </c>
      <c r="BM102" s="19">
        <v>-10.430507108902702</v>
      </c>
      <c r="BN102" s="19">
        <v>10.850446301704324</v>
      </c>
      <c r="BO102" s="16">
        <v>2.6011524308391358</v>
      </c>
      <c r="BP102" s="16">
        <v>2.0090058418102075</v>
      </c>
    </row>
    <row r="103" spans="1:68" hidden="1" x14ac:dyDescent="0.3">
      <c r="A103" s="16" t="s">
        <v>662</v>
      </c>
      <c r="B103" s="16" t="s">
        <v>663</v>
      </c>
      <c r="C103" s="16" t="s">
        <v>604</v>
      </c>
      <c r="D103" s="16" t="s">
        <v>605</v>
      </c>
      <c r="F103" s="16">
        <v>-2.5348832491521307</v>
      </c>
      <c r="G103" s="16">
        <v>4.6645900973230567</v>
      </c>
      <c r="H103" s="16">
        <v>0.885410948724072</v>
      </c>
      <c r="I103" s="16">
        <v>0.82736952282951393</v>
      </c>
      <c r="J103" s="16">
        <v>1.2950865834311145</v>
      </c>
      <c r="K103" s="16">
        <v>1.2958806285190434</v>
      </c>
      <c r="L103" s="16">
        <v>-0.19101779443454348</v>
      </c>
      <c r="M103" s="16">
        <v>1.8269559956969061</v>
      </c>
      <c r="N103" s="16">
        <v>1.7548333361687867</v>
      </c>
      <c r="O103" s="16">
        <v>-2.6312973705981193</v>
      </c>
      <c r="P103" s="16">
        <v>1.7983957833383784</v>
      </c>
      <c r="Q103" s="16">
        <v>-0.49476481478222922</v>
      </c>
      <c r="R103" s="16">
        <v>0.50793696149693801</v>
      </c>
      <c r="S103" s="16">
        <v>2.3628630456941693</v>
      </c>
      <c r="T103" s="16">
        <v>-0.72141303223142472</v>
      </c>
      <c r="U103" s="16">
        <v>1.0706922813890003</v>
      </c>
      <c r="V103" s="16">
        <v>0.90001667025556742</v>
      </c>
      <c r="W103" s="16">
        <v>-0.28804808977365326</v>
      </c>
      <c r="X103" s="16">
        <v>-2.2117369072321935</v>
      </c>
      <c r="Y103" s="16">
        <v>-1.7393994556522614</v>
      </c>
      <c r="Z103" s="16">
        <v>0.68437451612177824</v>
      </c>
      <c r="AA103" s="16">
        <v>-1.8778647012651817</v>
      </c>
      <c r="AB103" s="16">
        <v>-2.3419640828536359</v>
      </c>
      <c r="AC103" s="16">
        <v>-1.4734760148865433</v>
      </c>
      <c r="AD103" s="16">
        <v>-1.1761838214490581</v>
      </c>
      <c r="AE103" s="16">
        <v>0.43054040358742895</v>
      </c>
      <c r="AF103" s="16">
        <v>0.57234556009366599</v>
      </c>
      <c r="AG103" s="16">
        <v>-1.3730130849924649</v>
      </c>
      <c r="AH103" s="16">
        <v>-1.2142523433863488</v>
      </c>
      <c r="AI103" s="16">
        <v>-3.6218147927147442</v>
      </c>
      <c r="AJ103" s="16">
        <v>-2.1256607123258107</v>
      </c>
      <c r="AK103" s="16">
        <v>-3.993103400280873</v>
      </c>
      <c r="AL103" s="16">
        <v>-2.6285462423956574</v>
      </c>
      <c r="AM103" s="16">
        <v>-3.0899920298907233</v>
      </c>
      <c r="AN103" s="16">
        <v>2.0538913189268442</v>
      </c>
      <c r="AO103" s="16">
        <v>2.1850383615993536</v>
      </c>
      <c r="AP103" s="16">
        <v>2.7148075716470572</v>
      </c>
      <c r="AQ103" s="16">
        <v>0.71561498936483758</v>
      </c>
      <c r="AR103" s="16">
        <v>0.31480637331367234</v>
      </c>
      <c r="AS103" s="16">
        <v>0.16159113633602828</v>
      </c>
      <c r="AT103" s="16">
        <v>0.88688737260926587</v>
      </c>
      <c r="AU103" s="16">
        <v>0.8247320269045133</v>
      </c>
      <c r="AV103" s="16">
        <v>0.84451366801930305</v>
      </c>
      <c r="AW103" s="16">
        <v>2.6999038737660186</v>
      </c>
      <c r="AX103" s="16">
        <v>2.6085954586005471</v>
      </c>
      <c r="AY103" s="16">
        <v>2.8601238764804719</v>
      </c>
      <c r="AZ103" s="19">
        <v>2.5627021582133978</v>
      </c>
      <c r="BA103" s="19">
        <v>2.7294257835693401</v>
      </c>
      <c r="BB103" s="19">
        <v>0.82406069460409981</v>
      </c>
      <c r="BC103" s="19">
        <v>3.1716380745990165</v>
      </c>
      <c r="BD103" s="19">
        <v>1.5686660466732008</v>
      </c>
      <c r="BE103" s="19">
        <v>1.0808378605717621</v>
      </c>
      <c r="BF103" s="19">
        <v>2.701921504963039</v>
      </c>
      <c r="BG103" s="19">
        <v>2.8505113397561956</v>
      </c>
      <c r="BH103" s="19">
        <v>1.8593621508097726</v>
      </c>
      <c r="BI103" s="19">
        <v>1.4804093845672384</v>
      </c>
      <c r="BJ103" s="19">
        <v>2.0003173079988983</v>
      </c>
      <c r="BK103" s="19">
        <v>1.2716011728210788</v>
      </c>
      <c r="BL103" s="19">
        <v>1.5404840705695761</v>
      </c>
      <c r="BM103" s="19">
        <v>-2.5105561666783558</v>
      </c>
      <c r="BN103" s="19">
        <v>1.401360588016189</v>
      </c>
      <c r="BO103" s="16">
        <v>2.055053606357788</v>
      </c>
      <c r="BP103" s="16">
        <v>1.685697670206693</v>
      </c>
    </row>
    <row r="104" spans="1:68" x14ac:dyDescent="0.3">
      <c r="A104" s="16" t="s">
        <v>77</v>
      </c>
      <c r="B104" s="16" t="s">
        <v>445</v>
      </c>
      <c r="C104" s="16" t="s">
        <v>604</v>
      </c>
      <c r="D104" s="16" t="s">
        <v>605</v>
      </c>
      <c r="AJ104" s="16">
        <v>-19.601900009047355</v>
      </c>
      <c r="AK104" s="16">
        <v>-9.5291107838323512</v>
      </c>
      <c r="AL104" s="16">
        <v>-8.5182954074086581</v>
      </c>
      <c r="AM104" s="16">
        <v>4.6970526859658293</v>
      </c>
      <c r="AN104" s="16">
        <v>7.4977864033706823</v>
      </c>
      <c r="AO104" s="16">
        <v>7.5117692258786661</v>
      </c>
      <c r="AP104" s="16">
        <v>6.6885782341073963</v>
      </c>
      <c r="AQ104" s="16">
        <v>2.3098066446901555</v>
      </c>
      <c r="AR104" s="16">
        <v>-0.42661304514234644</v>
      </c>
      <c r="AS104" s="16">
        <v>3.9768968068424755</v>
      </c>
      <c r="AT104" s="16">
        <v>7.1659372823121146</v>
      </c>
      <c r="AU104" s="16">
        <v>5.7582981448944821</v>
      </c>
      <c r="AV104" s="16">
        <v>5.5695737163923127</v>
      </c>
      <c r="AW104" s="16">
        <v>4.1508819327956274</v>
      </c>
      <c r="AX104" s="16">
        <v>4.1733014093748437</v>
      </c>
      <c r="AY104" s="16">
        <v>5.05212096498866</v>
      </c>
      <c r="AZ104" s="19">
        <v>5.0979860248407789</v>
      </c>
      <c r="BA104" s="19">
        <v>2.0316418747518838</v>
      </c>
      <c r="BB104" s="19">
        <v>-7.1176193544476547</v>
      </c>
      <c r="BC104" s="19">
        <v>-1.0005668419431117</v>
      </c>
      <c r="BD104" s="19">
        <v>0.28741257283645893</v>
      </c>
      <c r="BE104" s="19">
        <v>-1.9991669626895288</v>
      </c>
      <c r="BF104" s="19">
        <v>-2.8796705677805789E-2</v>
      </c>
      <c r="BG104" s="19">
        <v>6.509666537849057E-2</v>
      </c>
      <c r="BH104" s="19">
        <v>3.397727997855867</v>
      </c>
      <c r="BI104" s="19">
        <v>4.3755999592866885</v>
      </c>
      <c r="BJ104" s="19">
        <v>4.6132913814772536</v>
      </c>
      <c r="BK104" s="19">
        <v>3.9076428723109586</v>
      </c>
      <c r="BL104" s="19">
        <v>4.0175582551467528</v>
      </c>
      <c r="BM104" s="19">
        <v>-8.1232796775468046</v>
      </c>
      <c r="BN104" s="19">
        <v>17.957364489295458</v>
      </c>
      <c r="BO104" s="16">
        <v>7.6751117913776312</v>
      </c>
      <c r="BP104" s="16">
        <v>3.1261602909276434</v>
      </c>
    </row>
    <row r="105" spans="1:68" x14ac:dyDescent="0.3">
      <c r="A105" s="16" t="s">
        <v>117</v>
      </c>
      <c r="B105" s="16" t="s">
        <v>664</v>
      </c>
      <c r="C105" s="16" t="s">
        <v>604</v>
      </c>
      <c r="D105" s="16" t="s">
        <v>605</v>
      </c>
      <c r="F105" s="16">
        <v>-4.7340566312538073</v>
      </c>
      <c r="G105" s="16">
        <v>5.9008692417805264</v>
      </c>
      <c r="H105" s="16">
        <v>-3.6243398050353477</v>
      </c>
      <c r="I105" s="16">
        <v>-3.3838308938127</v>
      </c>
      <c r="J105" s="16">
        <v>0.29753269834213825</v>
      </c>
      <c r="K105" s="16">
        <v>-2.3710852485241958</v>
      </c>
      <c r="L105" s="16">
        <v>-3.8790845231757203</v>
      </c>
      <c r="M105" s="16">
        <v>1.3234820704364409</v>
      </c>
      <c r="N105" s="16">
        <v>1.9456670455398495</v>
      </c>
      <c r="O105" s="16">
        <v>-1.1587475671303196</v>
      </c>
      <c r="P105" s="16">
        <v>4.5678578705998376</v>
      </c>
      <c r="Q105" s="16">
        <v>-0.82670397276281449</v>
      </c>
      <c r="R105" s="16">
        <v>2.8981329573385892</v>
      </c>
      <c r="S105" s="16">
        <v>3.8886721106382396</v>
      </c>
      <c r="T105" s="16">
        <v>-0.73032862804343779</v>
      </c>
      <c r="U105" s="16">
        <v>6.4084501722183234</v>
      </c>
      <c r="V105" s="16">
        <v>1.731218703892452</v>
      </c>
      <c r="W105" s="16">
        <v>4.1577269953851896</v>
      </c>
      <c r="X105" s="16">
        <v>5.4669612797582516</v>
      </c>
      <c r="Y105" s="16">
        <v>5.2781657411789666</v>
      </c>
      <c r="Z105" s="16">
        <v>-4.7672722757445456</v>
      </c>
      <c r="AA105" s="16">
        <v>-5.4913762886920523</v>
      </c>
      <c r="AB105" s="16">
        <v>-1.1116683063397659</v>
      </c>
      <c r="AC105" s="16">
        <v>-1.7017310251160183</v>
      </c>
      <c r="AD105" s="16">
        <v>-1.4196560977980681</v>
      </c>
      <c r="AE105" s="16">
        <v>-2.5196456710331319</v>
      </c>
      <c r="AF105" s="16">
        <v>-2.824800490520758</v>
      </c>
      <c r="AG105" s="16">
        <v>-1.8595377629443135</v>
      </c>
      <c r="AH105" s="16">
        <v>-4.9055123654623571</v>
      </c>
      <c r="AI105" s="16">
        <v>-1.0214974235281886</v>
      </c>
      <c r="AJ105" s="16">
        <v>-0.14845699987529315</v>
      </c>
      <c r="AK105" s="16">
        <v>-7.1460380523383833</v>
      </c>
      <c r="AL105" s="16">
        <v>-7.2307553743077335</v>
      </c>
      <c r="AM105" s="16">
        <v>-13.59904732064355</v>
      </c>
      <c r="AN105" s="16">
        <v>7.8628758724202754</v>
      </c>
      <c r="AO105" s="16">
        <v>2.2205881406166554</v>
      </c>
      <c r="AP105" s="16">
        <v>0.82870355028357778</v>
      </c>
      <c r="AQ105" s="16">
        <v>0.33460814841093622</v>
      </c>
      <c r="AR105" s="16">
        <v>0.85790936330599266</v>
      </c>
      <c r="AS105" s="16">
        <v>-0.95525358143797234</v>
      </c>
      <c r="AT105" s="16">
        <v>-2.1165795502701314</v>
      </c>
      <c r="AU105" s="16">
        <v>-0.69606431810250058</v>
      </c>
      <c r="AV105" s="16">
        <v>1.7111455439078753</v>
      </c>
      <c r="AW105" s="16">
        <v>-2.9613021497808774</v>
      </c>
      <c r="AX105" s="16">
        <v>1.3707512067645382</v>
      </c>
      <c r="AY105" s="16">
        <v>7.3155358262113168E-2</v>
      </c>
      <c r="AZ105" s="19">
        <v>2.988937690329081</v>
      </c>
      <c r="BA105" s="19">
        <v>1.0024555897758347</v>
      </c>
      <c r="BB105" s="19">
        <v>4.199388915191733</v>
      </c>
      <c r="BC105" s="19">
        <v>-6.7274022333786974</v>
      </c>
      <c r="BD105" s="19">
        <v>3.9217079120038107</v>
      </c>
      <c r="BE105" s="19">
        <v>-1.0309512314623106</v>
      </c>
      <c r="BF105" s="19">
        <v>2.7726320756367215</v>
      </c>
      <c r="BG105" s="19">
        <v>1.3914579446167181</v>
      </c>
      <c r="BH105" s="19">
        <v>-4.9590681656042079E-2</v>
      </c>
      <c r="BI105" s="19">
        <v>0.38616115938074813</v>
      </c>
      <c r="BJ105" s="19">
        <v>1.0977328615668398</v>
      </c>
      <c r="BK105" s="19">
        <v>0.29335384325088398</v>
      </c>
      <c r="BL105" s="19">
        <v>-3.0265093153272886</v>
      </c>
      <c r="BM105" s="19">
        <v>-4.5571854366932882</v>
      </c>
      <c r="BN105" s="19">
        <v>-3.005803291401449</v>
      </c>
      <c r="BO105" s="16">
        <v>-2.8482813064233881</v>
      </c>
      <c r="BP105" s="16">
        <v>-3.0337321983383703</v>
      </c>
    </row>
    <row r="106" spans="1:68" x14ac:dyDescent="0.3">
      <c r="A106" s="16" t="s">
        <v>119</v>
      </c>
      <c r="B106" s="16" t="s">
        <v>446</v>
      </c>
      <c r="C106" s="16" t="s">
        <v>604</v>
      </c>
      <c r="D106" s="16" t="s">
        <v>605</v>
      </c>
      <c r="F106" s="16">
        <v>4.2265318758869057</v>
      </c>
      <c r="G106" s="16">
        <v>5.7582080881881694</v>
      </c>
      <c r="H106" s="16">
        <v>5.4253441061892858</v>
      </c>
      <c r="I106" s="16">
        <v>4.3700861624722052</v>
      </c>
      <c r="J106" s="16">
        <v>42.016074665979261</v>
      </c>
      <c r="K106" s="16">
        <v>7.0758791954109483</v>
      </c>
      <c r="L106" s="16">
        <v>7.100676261896453</v>
      </c>
      <c r="M106" s="16">
        <v>4.4989364180219411</v>
      </c>
      <c r="N106" s="16">
        <v>6.4546180628416039</v>
      </c>
      <c r="O106" s="16">
        <v>4.3031229813379923</v>
      </c>
      <c r="P106" s="16">
        <v>5.8965154404558149</v>
      </c>
      <c r="Q106" s="16">
        <v>5.7841841925296791</v>
      </c>
      <c r="R106" s="16">
        <v>6.5560404062290161</v>
      </c>
      <c r="S106" s="16">
        <v>5.4283943554173106</v>
      </c>
      <c r="T106" s="16">
        <v>5.5772899357480838</v>
      </c>
      <c r="U106" s="16">
        <v>3.0315755447591641</v>
      </c>
      <c r="V106" s="16">
        <v>7.1012701972789074</v>
      </c>
      <c r="W106" s="16">
        <v>4.040519945020776</v>
      </c>
      <c r="X106" s="16">
        <v>2.5145400962169902</v>
      </c>
      <c r="Y106" s="16">
        <v>0.13479730694945147</v>
      </c>
      <c r="Z106" s="16">
        <v>2.8597731226912089</v>
      </c>
      <c r="AA106" s="16">
        <v>2.9017334137205069</v>
      </c>
      <c r="AB106" s="16">
        <v>0.87440654827037179</v>
      </c>
      <c r="AC106" s="16">
        <v>2.863669882581803</v>
      </c>
      <c r="AD106" s="16">
        <v>-7.1515493730601065E-2</v>
      </c>
      <c r="AE106" s="16">
        <v>1.7082940759985945</v>
      </c>
      <c r="AF106" s="16">
        <v>4.2259728692434493</v>
      </c>
      <c r="AG106" s="16">
        <v>8.8027207816310238E-2</v>
      </c>
      <c r="AH106" s="16">
        <v>1.839423099146515</v>
      </c>
      <c r="AI106" s="16">
        <v>-2.4944992284523835</v>
      </c>
      <c r="AJ106" s="16">
        <v>-11.887046599598563</v>
      </c>
      <c r="AK106" s="16">
        <v>-3.0262355541047725</v>
      </c>
      <c r="AL106" s="16">
        <v>-0.46266522157139889</v>
      </c>
      <c r="AM106" s="16">
        <v>3.0881683072289121</v>
      </c>
      <c r="AN106" s="16">
        <v>1.6309175974668051</v>
      </c>
      <c r="AO106" s="16">
        <v>0.25447420246942443</v>
      </c>
      <c r="AP106" s="16">
        <v>3.3511226779204151</v>
      </c>
      <c r="AQ106" s="16">
        <v>4.1420398165597874</v>
      </c>
      <c r="AR106" s="16">
        <v>3.3634003804343848</v>
      </c>
      <c r="AS106" s="16">
        <v>4.7509478231250881</v>
      </c>
      <c r="AT106" s="16">
        <v>4.3130863272814253</v>
      </c>
      <c r="AU106" s="16">
        <v>5.0399638444627186</v>
      </c>
      <c r="AV106" s="16">
        <v>4.3727803620743515</v>
      </c>
      <c r="AW106" s="16">
        <v>5.2373999085732095</v>
      </c>
      <c r="AX106" s="16">
        <v>4.5019032562721577</v>
      </c>
      <c r="AY106" s="16">
        <v>4.108054129265895</v>
      </c>
      <c r="AZ106" s="19">
        <v>0.432838011374443</v>
      </c>
      <c r="BA106" s="19">
        <v>1.1809531991478792</v>
      </c>
      <c r="BB106" s="19">
        <v>-6.4530669571777111</v>
      </c>
      <c r="BC106" s="19">
        <v>1.3049587567784329</v>
      </c>
      <c r="BD106" s="19">
        <v>2.1558971371450326</v>
      </c>
      <c r="BE106" s="19">
        <v>-0.73892591765752513</v>
      </c>
      <c r="BF106" s="19">
        <v>2.0832407689698016</v>
      </c>
      <c r="BG106" s="19">
        <v>4.5133677678145432</v>
      </c>
      <c r="BH106" s="19">
        <v>3.9542826126543389</v>
      </c>
      <c r="BI106" s="19">
        <v>2.5030533615263835</v>
      </c>
      <c r="BJ106" s="19">
        <v>4.5495632982892857</v>
      </c>
      <c r="BK106" s="19">
        <v>5.4960187918655663</v>
      </c>
      <c r="BL106" s="19">
        <v>4.911693525259949</v>
      </c>
      <c r="BM106" s="19">
        <v>-4.2814073513246882</v>
      </c>
      <c r="BN106" s="19">
        <v>7.5051051620177418</v>
      </c>
      <c r="BO106" s="16">
        <v>5.308351561966191</v>
      </c>
      <c r="BP106" s="16">
        <v>-0.35821742396416312</v>
      </c>
    </row>
    <row r="107" spans="1:68" hidden="1" x14ac:dyDescent="0.3">
      <c r="A107" s="16" t="s">
        <v>665</v>
      </c>
      <c r="B107" s="16" t="s">
        <v>666</v>
      </c>
      <c r="C107" s="16" t="s">
        <v>604</v>
      </c>
      <c r="D107" s="16" t="s">
        <v>605</v>
      </c>
      <c r="F107" s="16">
        <v>2.7093752946257155E-2</v>
      </c>
      <c r="G107" s="16">
        <v>1.2876598015592435</v>
      </c>
      <c r="H107" s="16">
        <v>2.3127896010103086</v>
      </c>
      <c r="I107" s="16">
        <v>5.7610899909691824</v>
      </c>
      <c r="J107" s="16">
        <v>3.8176976641881595</v>
      </c>
      <c r="K107" s="16">
        <v>3.1943220250537223</v>
      </c>
      <c r="L107" s="16">
        <v>1.7956436994592764</v>
      </c>
      <c r="M107" s="16">
        <v>3.953946892780678</v>
      </c>
      <c r="N107" s="16">
        <v>5.4220971405099618</v>
      </c>
      <c r="O107" s="16">
        <v>5.232694842352231</v>
      </c>
      <c r="P107" s="16">
        <v>3.6905183186603239</v>
      </c>
      <c r="Q107" s="16">
        <v>4.3216726175599405</v>
      </c>
      <c r="R107" s="16">
        <v>4.7537840301218068</v>
      </c>
      <c r="S107" s="16">
        <v>3.57733566650829</v>
      </c>
      <c r="T107" s="16">
        <v>2.6351886467266041</v>
      </c>
      <c r="U107" s="16">
        <v>4.2847372054049373</v>
      </c>
      <c r="V107" s="16">
        <v>2.7306380255193829</v>
      </c>
      <c r="W107" s="16">
        <v>2.227352089768786</v>
      </c>
      <c r="X107" s="16">
        <v>2.9373810542808485</v>
      </c>
      <c r="Y107" s="16">
        <v>3.1823599691273046</v>
      </c>
      <c r="Z107" s="16">
        <v>0.33089211564769982</v>
      </c>
      <c r="AA107" s="16">
        <v>0.94739413939228712</v>
      </c>
      <c r="AB107" s="16">
        <v>-0.16411760054070612</v>
      </c>
      <c r="AC107" s="16">
        <v>3.0162500776116303</v>
      </c>
      <c r="AD107" s="16">
        <v>2.5722014617735738</v>
      </c>
      <c r="AE107" s="16">
        <v>1.948412852421086</v>
      </c>
      <c r="AF107" s="16">
        <v>2.932033689594931</v>
      </c>
      <c r="AG107" s="16">
        <v>2.1356040342400888</v>
      </c>
      <c r="AH107" s="16">
        <v>1.3811694634724461</v>
      </c>
      <c r="AI107" s="16">
        <v>0.19567180320736099</v>
      </c>
      <c r="AJ107" s="16">
        <v>-0.53354078113530079</v>
      </c>
      <c r="AK107" s="16">
        <v>-1.2824072859174862E-2</v>
      </c>
      <c r="AL107" s="16">
        <v>2.1648997816382689</v>
      </c>
      <c r="AM107" s="16">
        <v>2.1141757228891862</v>
      </c>
      <c r="AN107" s="16">
        <v>2.5168275506868696</v>
      </c>
      <c r="AO107" s="16">
        <v>4.0216208830921261</v>
      </c>
      <c r="AP107" s="16">
        <v>3.9262738674665627</v>
      </c>
      <c r="AQ107" s="16">
        <v>1.3076160491851283</v>
      </c>
      <c r="AR107" s="16">
        <v>2.4367991433887397</v>
      </c>
      <c r="AS107" s="16">
        <v>4.6173224992403163</v>
      </c>
      <c r="AT107" s="16">
        <v>2.4116640880001938</v>
      </c>
      <c r="AU107" s="16">
        <v>3.3935265031588102</v>
      </c>
      <c r="AV107" s="16">
        <v>4.7769504686685877</v>
      </c>
      <c r="AW107" s="16">
        <v>6.4661785435060182</v>
      </c>
      <c r="AX107" s="16">
        <v>6.0408384262498913</v>
      </c>
      <c r="AY107" s="16">
        <v>7.1854468492217762</v>
      </c>
      <c r="AZ107" s="19">
        <v>7.8782386852105333</v>
      </c>
      <c r="BA107" s="19">
        <v>4.8501699031341872</v>
      </c>
      <c r="BB107" s="19">
        <v>1.7550827087960954</v>
      </c>
      <c r="BC107" s="19">
        <v>6.7507503251883492</v>
      </c>
      <c r="BD107" s="19">
        <v>5.2999837473162614</v>
      </c>
      <c r="BE107" s="19">
        <v>4.3290119470710664</v>
      </c>
      <c r="BF107" s="19">
        <v>4.0904746235194125</v>
      </c>
      <c r="BG107" s="19">
        <v>3.6869770771424299</v>
      </c>
      <c r="BH107" s="19">
        <v>3.34802253930782</v>
      </c>
      <c r="BI107" s="19">
        <v>3.5467317935710838</v>
      </c>
      <c r="BJ107" s="19">
        <v>4.2593085696193782</v>
      </c>
      <c r="BK107" s="19">
        <v>4.0290727219598921</v>
      </c>
      <c r="BL107" s="19">
        <v>3.1557603699082506</v>
      </c>
      <c r="BM107" s="19">
        <v>-2.094942463696114</v>
      </c>
      <c r="BN107" s="19">
        <v>7.0163483937558908</v>
      </c>
      <c r="BO107" s="16">
        <v>3.2287663848511841</v>
      </c>
      <c r="BP107" s="16">
        <v>3.9250263957983265</v>
      </c>
    </row>
    <row r="108" spans="1:68" hidden="1" x14ac:dyDescent="0.3">
      <c r="A108" s="16" t="s">
        <v>667</v>
      </c>
      <c r="B108" s="16" t="s">
        <v>668</v>
      </c>
      <c r="C108" s="16" t="s">
        <v>604</v>
      </c>
      <c r="D108" s="16" t="s">
        <v>605</v>
      </c>
      <c r="F108" s="16">
        <v>-0.20141592644911555</v>
      </c>
      <c r="G108" s="16">
        <v>1.5963510262276657</v>
      </c>
      <c r="H108" s="16">
        <v>2.3019839973671168</v>
      </c>
      <c r="I108" s="16">
        <v>5.1916400776978975</v>
      </c>
      <c r="J108" s="16">
        <v>3.4944716965848102</v>
      </c>
      <c r="K108" s="16">
        <v>2.5595528944649715</v>
      </c>
      <c r="L108" s="16">
        <v>0.81294164997585483</v>
      </c>
      <c r="M108" s="16">
        <v>3.5694499983283947</v>
      </c>
      <c r="N108" s="16">
        <v>5.5055271954076375</v>
      </c>
      <c r="O108" s="16">
        <v>5.2570505490638055</v>
      </c>
      <c r="P108" s="16">
        <v>3.7125025709654693</v>
      </c>
      <c r="Q108" s="16">
        <v>3.6259809001789165</v>
      </c>
      <c r="R108" s="16">
        <v>4.2969779150080001</v>
      </c>
      <c r="S108" s="16">
        <v>3.6823100488448688</v>
      </c>
      <c r="T108" s="16">
        <v>1.8486655480062382</v>
      </c>
      <c r="U108" s="16">
        <v>4.0602427751758228</v>
      </c>
      <c r="V108" s="16">
        <v>2.5184661000430282</v>
      </c>
      <c r="W108" s="16">
        <v>1.701623998529044</v>
      </c>
      <c r="X108" s="16">
        <v>2.5984590736949116</v>
      </c>
      <c r="Y108" s="16">
        <v>2.8255644151690404</v>
      </c>
      <c r="Z108" s="16">
        <v>-0.15055722657059789</v>
      </c>
      <c r="AA108" s="16">
        <v>0.43197945740192267</v>
      </c>
      <c r="AB108" s="16">
        <v>-0.63285010090930882</v>
      </c>
      <c r="AC108" s="16">
        <v>2.4761471473659924</v>
      </c>
      <c r="AD108" s="16">
        <v>2.357343679006334</v>
      </c>
      <c r="AE108" s="16">
        <v>1.6860579400579638</v>
      </c>
      <c r="AF108" s="16">
        <v>2.6366269583291739</v>
      </c>
      <c r="AG108" s="16">
        <v>2.0441011594013219</v>
      </c>
      <c r="AH108" s="16">
        <v>1.1043805845054209</v>
      </c>
      <c r="AI108" s="16">
        <v>0.195147734250952</v>
      </c>
      <c r="AJ108" s="16">
        <v>-0.6442296580663367</v>
      </c>
      <c r="AK108" s="16">
        <v>-0.16993799072221805</v>
      </c>
      <c r="AL108" s="16">
        <v>1.6768537971425559</v>
      </c>
      <c r="AM108" s="16">
        <v>1.6453409051258063</v>
      </c>
      <c r="AN108" s="16">
        <v>2.2444484693143494</v>
      </c>
      <c r="AO108" s="16">
        <v>3.7201413310423419</v>
      </c>
      <c r="AP108" s="16">
        <v>3.5488945679177846</v>
      </c>
      <c r="AQ108" s="16">
        <v>1.1353133393199499</v>
      </c>
      <c r="AR108" s="16">
        <v>2.1120967314289771</v>
      </c>
      <c r="AS108" s="16">
        <v>4.1715952378544188</v>
      </c>
      <c r="AT108" s="16">
        <v>2.1568627090329073</v>
      </c>
      <c r="AU108" s="16">
        <v>3.1583359770429098</v>
      </c>
      <c r="AV108" s="16">
        <v>4.376140647392404</v>
      </c>
      <c r="AW108" s="16">
        <v>6.0769152527942083</v>
      </c>
      <c r="AX108" s="16">
        <v>5.6476433073561054</v>
      </c>
      <c r="AY108" s="16">
        <v>6.6742124780190437</v>
      </c>
      <c r="AZ108" s="19">
        <v>7.2916231299994649</v>
      </c>
      <c r="BA108" s="19">
        <v>4.4603242366412701</v>
      </c>
      <c r="BB108" s="19">
        <v>1.6220763348328262</v>
      </c>
      <c r="BC108" s="19">
        <v>6.2685797715830205</v>
      </c>
      <c r="BD108" s="19">
        <v>4.7851300696468968</v>
      </c>
      <c r="BE108" s="19">
        <v>3.8661978340106771</v>
      </c>
      <c r="BF108" s="19">
        <v>3.8182620124875797</v>
      </c>
      <c r="BG108" s="19">
        <v>3.4695481523899332</v>
      </c>
      <c r="BH108" s="19">
        <v>2.9882006285002234</v>
      </c>
      <c r="BI108" s="19">
        <v>3.137576801071333</v>
      </c>
      <c r="BJ108" s="19">
        <v>3.8286170624965905</v>
      </c>
      <c r="BK108" s="19">
        <v>3.6244029092012227</v>
      </c>
      <c r="BL108" s="19">
        <v>2.7669838063002743</v>
      </c>
      <c r="BM108" s="19">
        <v>-2.44828134148716</v>
      </c>
      <c r="BN108" s="19">
        <v>6.3002757622497825</v>
      </c>
      <c r="BO108" s="16">
        <v>2.7675624763334241</v>
      </c>
      <c r="BP108" s="16">
        <v>3.3586414558206599</v>
      </c>
    </row>
    <row r="109" spans="1:68" hidden="1" x14ac:dyDescent="0.3">
      <c r="A109" s="16" t="s">
        <v>669</v>
      </c>
      <c r="B109" s="16" t="s">
        <v>670</v>
      </c>
      <c r="C109" s="16" t="s">
        <v>604</v>
      </c>
      <c r="D109" s="16" t="s">
        <v>605</v>
      </c>
      <c r="F109" s="16">
        <v>-1.2894103319760717</v>
      </c>
      <c r="G109" s="16">
        <v>3.3244296716677724</v>
      </c>
      <c r="H109" s="16">
        <v>2.2620515069645535</v>
      </c>
      <c r="I109" s="16">
        <v>2.2445885726567099</v>
      </c>
      <c r="J109" s="16">
        <v>1.7960638768580708</v>
      </c>
      <c r="K109" s="16">
        <v>-0.90744206679660522</v>
      </c>
      <c r="L109" s="16">
        <v>-4.8070214420720845</v>
      </c>
      <c r="M109" s="16">
        <v>1.311828290524673</v>
      </c>
      <c r="N109" s="16">
        <v>6.1256154266972516</v>
      </c>
      <c r="O109" s="16">
        <v>5.4856541572506359</v>
      </c>
      <c r="P109" s="16">
        <v>3.8678849079848447</v>
      </c>
      <c r="Q109" s="16">
        <v>-0.56836748638016843</v>
      </c>
      <c r="R109" s="16">
        <v>1.5309781979153883</v>
      </c>
      <c r="S109" s="16">
        <v>4.5744519218927167</v>
      </c>
      <c r="T109" s="16">
        <v>-2.9971710369805464</v>
      </c>
      <c r="U109" s="16">
        <v>2.8215698934896238</v>
      </c>
      <c r="V109" s="16">
        <v>1.3974562355956834</v>
      </c>
      <c r="W109" s="16">
        <v>-1.4795007628890602</v>
      </c>
      <c r="X109" s="16">
        <v>0.7054123237404184</v>
      </c>
      <c r="Y109" s="16">
        <v>0.78227243567717153</v>
      </c>
      <c r="Z109" s="16">
        <v>-3.1592266187895603</v>
      </c>
      <c r="AA109" s="16">
        <v>-2.8554257347676639</v>
      </c>
      <c r="AB109" s="16">
        <v>-3.5958197207013427</v>
      </c>
      <c r="AC109" s="16">
        <v>-1.0803976630733132</v>
      </c>
      <c r="AD109" s="16">
        <v>1.3397163182689837</v>
      </c>
      <c r="AE109" s="16">
        <v>0.26128034421826385</v>
      </c>
      <c r="AF109" s="16">
        <v>0.93283271114448496</v>
      </c>
      <c r="AG109" s="16">
        <v>1.9615307832717264</v>
      </c>
      <c r="AH109" s="16">
        <v>-0.41491077530021414</v>
      </c>
      <c r="AI109" s="16">
        <v>1.1969278896460196</v>
      </c>
      <c r="AJ109" s="16">
        <v>-0.67610573557536213</v>
      </c>
      <c r="AK109" s="16">
        <v>-0.47272359909950978</v>
      </c>
      <c r="AL109" s="16">
        <v>-1.6711451477163308</v>
      </c>
      <c r="AM109" s="16">
        <v>-1.5822481131416879</v>
      </c>
      <c r="AN109" s="16">
        <v>0.99024296067375417</v>
      </c>
      <c r="AO109" s="16">
        <v>2.2349038425903558</v>
      </c>
      <c r="AP109" s="16">
        <v>1.2365402067621147</v>
      </c>
      <c r="AQ109" s="16">
        <v>0.96275676120431797</v>
      </c>
      <c r="AR109" s="16">
        <v>0.45406025689405283</v>
      </c>
      <c r="AS109" s="16">
        <v>1.4229067689472288</v>
      </c>
      <c r="AT109" s="16">
        <v>1.5059852423944307</v>
      </c>
      <c r="AU109" s="16">
        <v>2.8712636064596779</v>
      </c>
      <c r="AV109" s="16">
        <v>2.3756222217091079</v>
      </c>
      <c r="AW109" s="16">
        <v>4.1773561900926524</v>
      </c>
      <c r="AX109" s="16">
        <v>3.7178993967289102</v>
      </c>
      <c r="AY109" s="16">
        <v>3.6022262915072361</v>
      </c>
      <c r="AZ109" s="19">
        <v>3.4623984107617645</v>
      </c>
      <c r="BA109" s="19">
        <v>2.6416782623124959</v>
      </c>
      <c r="BB109" s="19">
        <v>2.684340603054423</v>
      </c>
      <c r="BC109" s="19">
        <v>3.7139679754345991</v>
      </c>
      <c r="BD109" s="19">
        <v>1.7568634414714808</v>
      </c>
      <c r="BE109" s="19">
        <v>1.0966027949986596</v>
      </c>
      <c r="BF109" s="19">
        <v>3.0093765330894371</v>
      </c>
      <c r="BG109" s="19">
        <v>3.2846603739650675</v>
      </c>
      <c r="BH109" s="19">
        <v>1.2542231569609612</v>
      </c>
      <c r="BI109" s="19">
        <v>1.0518545903138943</v>
      </c>
      <c r="BJ109" s="19">
        <v>1.6991336793522436</v>
      </c>
      <c r="BK109" s="19">
        <v>2.0563689855785441</v>
      </c>
      <c r="BL109" s="19">
        <v>1.6314502836137308</v>
      </c>
      <c r="BM109" s="19">
        <v>-2.9999664981940271</v>
      </c>
      <c r="BN109" s="19">
        <v>2.1201236496606128</v>
      </c>
      <c r="BO109" s="16">
        <v>2.0420898398003828</v>
      </c>
      <c r="BP109" s="16">
        <v>1.0497413703189267</v>
      </c>
    </row>
    <row r="110" spans="1:68" hidden="1" x14ac:dyDescent="0.3">
      <c r="A110" s="16" t="s">
        <v>671</v>
      </c>
      <c r="B110" s="16" t="s">
        <v>672</v>
      </c>
      <c r="C110" s="16" t="s">
        <v>604</v>
      </c>
      <c r="D110" s="16" t="s">
        <v>605</v>
      </c>
      <c r="F110" s="16">
        <v>-1.0703777132164873</v>
      </c>
      <c r="G110" s="16">
        <v>1.8342386716934129</v>
      </c>
      <c r="H110" s="16">
        <v>5.2842271610440434</v>
      </c>
      <c r="I110" s="16">
        <v>2.5666464158425271</v>
      </c>
      <c r="J110" s="16">
        <v>3.0403238249998168</v>
      </c>
      <c r="K110" s="16">
        <v>-2.7799175089021588</v>
      </c>
      <c r="L110" s="16">
        <v>-10.181996836168807</v>
      </c>
      <c r="M110" s="16">
        <v>-0.29342251644806083</v>
      </c>
      <c r="N110" s="16">
        <v>12.752057213833282</v>
      </c>
      <c r="O110" s="16">
        <v>14.869437417478466</v>
      </c>
      <c r="P110" s="16">
        <v>7.7693468813510691</v>
      </c>
      <c r="Q110" s="16">
        <v>1.3912499910787375</v>
      </c>
      <c r="R110" s="16">
        <v>2.8879404287692267</v>
      </c>
      <c r="S110" s="16">
        <v>5.5712391418306879</v>
      </c>
      <c r="T110" s="16">
        <v>-4.7663071870794056</v>
      </c>
      <c r="U110" s="16">
        <v>3.2644973196233877</v>
      </c>
      <c r="V110" s="16">
        <v>2.1348752277792897</v>
      </c>
      <c r="W110" s="16">
        <v>-3.429001788353176</v>
      </c>
      <c r="X110" s="16">
        <v>2.6993971059526558</v>
      </c>
      <c r="Y110" s="16">
        <v>1.9720638282400245</v>
      </c>
      <c r="Z110" s="16">
        <v>-7.5229061207259065</v>
      </c>
      <c r="AA110" s="16">
        <v>-4.3185309280018629</v>
      </c>
      <c r="AB110" s="16">
        <v>-5.796289502186724</v>
      </c>
      <c r="AC110" s="16">
        <v>-1.1808631019959108</v>
      </c>
      <c r="AD110" s="16">
        <v>2.9731767751527229</v>
      </c>
      <c r="AE110" s="16">
        <v>-0.18047966585214681</v>
      </c>
      <c r="AF110" s="16">
        <v>0.75387586429182818</v>
      </c>
      <c r="AG110" s="16">
        <v>3.2112881216944658</v>
      </c>
      <c r="AH110" s="16">
        <v>0.10814558384757333</v>
      </c>
      <c r="AI110" s="16">
        <v>3.4391502941180505</v>
      </c>
      <c r="AJ110" s="16">
        <v>-0.86089558573333136</v>
      </c>
      <c r="AK110" s="16">
        <v>0.43095862664092977</v>
      </c>
      <c r="AL110" s="16">
        <v>-2.6860295491291168</v>
      </c>
      <c r="AM110" s="16">
        <v>-1.7027575623332609</v>
      </c>
      <c r="AN110" s="16">
        <v>-0.62487813039798823</v>
      </c>
      <c r="AO110" s="16">
        <v>1.8373332167983136</v>
      </c>
      <c r="AP110" s="16">
        <v>-0.65470102055660107</v>
      </c>
      <c r="AQ110" s="16">
        <v>6.4446312283195084E-2</v>
      </c>
      <c r="AR110" s="16">
        <v>-0.47671527423462123</v>
      </c>
      <c r="AS110" s="16">
        <v>1.0181710977484641</v>
      </c>
      <c r="AT110" s="16">
        <v>1.5612121810424782</v>
      </c>
      <c r="AU110" s="16">
        <v>4.3551300167566893</v>
      </c>
      <c r="AV110" s="16">
        <v>2.5841121947968162</v>
      </c>
      <c r="AW110" s="16">
        <v>5.0577717187317575</v>
      </c>
      <c r="AX110" s="16">
        <v>3.7565993195235734</v>
      </c>
      <c r="AY110" s="16">
        <v>3.4138104965497575</v>
      </c>
      <c r="AZ110" s="19">
        <v>3.1376026619030881</v>
      </c>
      <c r="BA110" s="19">
        <v>1.6814554104755786</v>
      </c>
      <c r="BB110" s="19">
        <v>3.422895171853483</v>
      </c>
      <c r="BC110" s="19">
        <v>3.2982750317794114</v>
      </c>
      <c r="BD110" s="19">
        <v>2.0697259226569003</v>
      </c>
      <c r="BE110" s="19">
        <v>2.0810275955382167</v>
      </c>
      <c r="BF110" s="19">
        <v>3.315334217836579</v>
      </c>
      <c r="BG110" s="19">
        <v>3.4739189289712868</v>
      </c>
      <c r="BH110" s="19">
        <v>1.7209954608812268</v>
      </c>
      <c r="BI110" s="19">
        <v>0.15523699558706028</v>
      </c>
      <c r="BJ110" s="19">
        <v>0.56951639822291611</v>
      </c>
      <c r="BK110" s="19">
        <v>1.776310797432501</v>
      </c>
      <c r="BL110" s="19">
        <v>0.70631721531719904</v>
      </c>
      <c r="BM110" s="19">
        <v>-3.4441961254778874</v>
      </c>
      <c r="BN110" s="19">
        <v>2.979313432589322</v>
      </c>
      <c r="BO110" s="16">
        <v>2.0375052491400822</v>
      </c>
      <c r="BP110" s="16">
        <v>0.35069730870122839</v>
      </c>
    </row>
    <row r="111" spans="1:68" x14ac:dyDescent="0.3">
      <c r="A111" s="16" t="s">
        <v>122</v>
      </c>
      <c r="B111" s="16" t="s">
        <v>447</v>
      </c>
      <c r="C111" s="16" t="s">
        <v>604</v>
      </c>
      <c r="D111" s="16" t="s">
        <v>605</v>
      </c>
      <c r="F111" s="16">
        <v>2.9066066576114196</v>
      </c>
      <c r="G111" s="16">
        <v>-0.91672694793220444</v>
      </c>
      <c r="H111" s="16">
        <v>-4.9031686899508884</v>
      </c>
      <c r="I111" s="16">
        <v>0.68371230979113307</v>
      </c>
      <c r="J111" s="16">
        <v>-1.3993453618590337</v>
      </c>
      <c r="K111" s="16">
        <v>0.40597281872534552</v>
      </c>
      <c r="L111" s="16">
        <v>-1.1952518811857828</v>
      </c>
      <c r="M111" s="16">
        <v>7.9903596688076846</v>
      </c>
      <c r="N111" s="16">
        <v>3.9547712944386859</v>
      </c>
      <c r="O111" s="16">
        <v>4.6805457048952945</v>
      </c>
      <c r="P111" s="16">
        <v>4.2036490062985052</v>
      </c>
      <c r="Q111" s="16">
        <v>4.2565124898835904</v>
      </c>
      <c r="R111" s="16">
        <v>5.3257985358750943</v>
      </c>
      <c r="S111" s="16">
        <v>4.5219511937979462</v>
      </c>
      <c r="T111" s="16">
        <v>2.9771985786360062</v>
      </c>
      <c r="U111" s="16">
        <v>4.4466068783244168</v>
      </c>
      <c r="V111" s="16">
        <v>5.6411128750227419</v>
      </c>
      <c r="W111" s="16">
        <v>4.3057968166860832</v>
      </c>
      <c r="X111" s="16">
        <v>4.5940215315390702</v>
      </c>
      <c r="Y111" s="16">
        <v>7.4136286892813672</v>
      </c>
      <c r="Z111" s="16">
        <v>5.3830280566323268</v>
      </c>
      <c r="AA111" s="16">
        <v>-8.6091879801543314E-2</v>
      </c>
      <c r="AB111" s="16">
        <v>2.0538271713594725</v>
      </c>
      <c r="AC111" s="16">
        <v>4.5112925775095079</v>
      </c>
      <c r="AD111" s="16">
        <v>0.3248607781232522</v>
      </c>
      <c r="AE111" s="16">
        <v>3.6783139984507756</v>
      </c>
      <c r="AF111" s="16">
        <v>2.9988429219831829</v>
      </c>
      <c r="AG111" s="16">
        <v>3.6598219571244215</v>
      </c>
      <c r="AH111" s="16">
        <v>5.8265781909012873</v>
      </c>
      <c r="AI111" s="16">
        <v>5.3344278746355656</v>
      </c>
      <c r="AJ111" s="16">
        <v>4.9317036843633986</v>
      </c>
      <c r="AK111" s="16">
        <v>4.6917395999514326</v>
      </c>
      <c r="AL111" s="16">
        <v>4.7307716652407663</v>
      </c>
      <c r="AM111" s="16">
        <v>5.7793950664825786</v>
      </c>
      <c r="AN111" s="16">
        <v>6.4658828916722229</v>
      </c>
      <c r="AO111" s="16">
        <v>6.0868594067103032</v>
      </c>
      <c r="AP111" s="16">
        <v>3.0348280823428126</v>
      </c>
      <c r="AQ111" s="16">
        <v>-14.475651492305531</v>
      </c>
      <c r="AR111" s="16">
        <v>-0.70950092881395221</v>
      </c>
      <c r="AS111" s="16">
        <v>3.4127142037196307</v>
      </c>
      <c r="AT111" s="16">
        <v>2.1922469753592395</v>
      </c>
      <c r="AU111" s="16">
        <v>3.0739671721592146</v>
      </c>
      <c r="AV111" s="16">
        <v>3.3876998366458366</v>
      </c>
      <c r="AW111" s="16">
        <v>3.7020703274401399</v>
      </c>
      <c r="AX111" s="16">
        <v>4.3684186665389575</v>
      </c>
      <c r="AY111" s="16">
        <v>4.1390354405822904</v>
      </c>
      <c r="AZ111" s="19">
        <v>4.9590484184263346</v>
      </c>
      <c r="BA111" s="19">
        <v>4.6421735978063055</v>
      </c>
      <c r="BB111" s="19">
        <v>3.3069039410600283</v>
      </c>
      <c r="BC111" s="19">
        <v>4.9027285787370545</v>
      </c>
      <c r="BD111" s="19">
        <v>4.844905700557149</v>
      </c>
      <c r="BE111" s="19">
        <v>4.7067029202320327</v>
      </c>
      <c r="BF111" s="19">
        <v>4.2847784567687341</v>
      </c>
      <c r="BG111" s="19">
        <v>3.7961407677959329</v>
      </c>
      <c r="BH111" s="19">
        <v>3.7177454690882712</v>
      </c>
      <c r="BI111" s="19">
        <v>3.9266980907364939</v>
      </c>
      <c r="BJ111" s="19">
        <v>4.0176256075747006</v>
      </c>
      <c r="BK111" s="19">
        <v>4.1629842912560804</v>
      </c>
      <c r="BL111" s="19">
        <v>4.0391356565679502</v>
      </c>
      <c r="BM111" s="19">
        <v>-2.8850940934230067</v>
      </c>
      <c r="BN111" s="19">
        <v>2.9849400734317015</v>
      </c>
      <c r="BO111" s="16">
        <v>4.6392086044408956</v>
      </c>
      <c r="BP111" s="16">
        <v>4.2786868536259135</v>
      </c>
    </row>
    <row r="112" spans="1:68" hidden="1" x14ac:dyDescent="0.3">
      <c r="A112" s="16" t="s">
        <v>673</v>
      </c>
      <c r="B112" s="16" t="s">
        <v>674</v>
      </c>
      <c r="C112" s="16" t="s">
        <v>604</v>
      </c>
      <c r="D112" s="16" t="s">
        <v>605</v>
      </c>
      <c r="G112" s="16">
        <v>4.4913887993350841</v>
      </c>
      <c r="H112" s="16">
        <v>-1.0114224890813261E-2</v>
      </c>
      <c r="I112" s="16">
        <v>1.9925221836681715</v>
      </c>
      <c r="J112" s="16">
        <v>0.80519613207059137</v>
      </c>
      <c r="K112" s="16">
        <v>0.61414072798112329</v>
      </c>
      <c r="L112" s="16">
        <v>-0.57668518500270238</v>
      </c>
      <c r="M112" s="16">
        <v>2.4457055795378295</v>
      </c>
      <c r="N112" s="16">
        <v>1.5971412328090935</v>
      </c>
      <c r="O112" s="16">
        <v>-1.6649962751350813</v>
      </c>
      <c r="P112" s="16">
        <v>0.34692813539135159</v>
      </c>
      <c r="Q112" s="16">
        <v>-2.521871448431483</v>
      </c>
      <c r="R112" s="16">
        <v>0.13121475433253238</v>
      </c>
      <c r="S112" s="16">
        <v>3.4746318231882185</v>
      </c>
      <c r="T112" s="16">
        <v>-1.3101239603416843</v>
      </c>
      <c r="U112" s="16">
        <v>2.1821055661245481</v>
      </c>
      <c r="V112" s="16">
        <v>0.43893125324359517</v>
      </c>
      <c r="W112" s="16">
        <v>0.35945512494426168</v>
      </c>
      <c r="X112" s="16">
        <v>-1.4607640375910762</v>
      </c>
      <c r="Y112" s="16">
        <v>-0.92816617023393633</v>
      </c>
      <c r="Z112" s="16">
        <v>0.98777612304765228</v>
      </c>
      <c r="AA112" s="16">
        <v>-1.7037609668587805</v>
      </c>
      <c r="AB112" s="16">
        <v>-1.6142108851597072</v>
      </c>
      <c r="AC112" s="16">
        <v>-1.0577245323648583</v>
      </c>
      <c r="AD112" s="16">
        <v>-0.28102514275603596</v>
      </c>
      <c r="AE112" s="16">
        <v>0.49992081147523493</v>
      </c>
      <c r="AF112" s="16">
        <v>0.92787582508577771</v>
      </c>
      <c r="AG112" s="16">
        <v>0.48686666677821222</v>
      </c>
      <c r="AH112" s="16">
        <v>-1.1523378607073482</v>
      </c>
      <c r="AI112" s="16">
        <v>-1.3601527931288047</v>
      </c>
      <c r="AJ112" s="16">
        <v>-0.65844558342953974</v>
      </c>
      <c r="AK112" s="16">
        <v>-1.4269413440459431</v>
      </c>
      <c r="AL112" s="16">
        <v>-0.54373179032040753</v>
      </c>
      <c r="AM112" s="16">
        <v>-1.4779673279115428</v>
      </c>
      <c r="AN112" s="16">
        <v>2.5997949570566874</v>
      </c>
      <c r="AO112" s="16">
        <v>2.5453685360700433</v>
      </c>
      <c r="AP112" s="16">
        <v>3.0371564926842609</v>
      </c>
      <c r="AQ112" s="16">
        <v>1.7495703192999486</v>
      </c>
      <c r="AR112" s="16">
        <v>1.2748485305151434</v>
      </c>
      <c r="AS112" s="16">
        <v>1.6896704190315859</v>
      </c>
      <c r="AT112" s="16">
        <v>1.3450377050813245</v>
      </c>
      <c r="AU112" s="16">
        <v>1.4979833200467993</v>
      </c>
      <c r="AV112" s="16">
        <v>2.2210999600307986</v>
      </c>
      <c r="AW112" s="16">
        <v>3.3389299967669217</v>
      </c>
      <c r="AX112" s="16">
        <v>3.6871338089050454</v>
      </c>
      <c r="AY112" s="16">
        <v>3.7989850161077783</v>
      </c>
      <c r="AZ112" s="19">
        <v>3.7653204977954289</v>
      </c>
      <c r="BA112" s="19">
        <v>3.5199317481972656</v>
      </c>
      <c r="BB112" s="19">
        <v>1.9477067233990368</v>
      </c>
      <c r="BC112" s="19">
        <v>4.0317308357141712</v>
      </c>
      <c r="BD112" s="19">
        <v>1.4259665480699653</v>
      </c>
      <c r="BE112" s="19">
        <v>0.18480048439086261</v>
      </c>
      <c r="BF112" s="19">
        <v>2.7347076579937664</v>
      </c>
      <c r="BG112" s="19">
        <v>3.1341252730129554</v>
      </c>
      <c r="BH112" s="19">
        <v>0.87232792559251493</v>
      </c>
      <c r="BI112" s="19">
        <v>2.0222989081712512</v>
      </c>
      <c r="BJ112" s="19">
        <v>2.8630160249055763</v>
      </c>
      <c r="BK112" s="19">
        <v>2.3940807151924304</v>
      </c>
      <c r="BL112" s="19">
        <v>2.5535659303972125</v>
      </c>
      <c r="BM112" s="19">
        <v>-2.539835086210033</v>
      </c>
      <c r="BN112" s="19">
        <v>1.4198548880895743</v>
      </c>
      <c r="BO112" s="16">
        <v>2.0821815344467893</v>
      </c>
      <c r="BP112" s="16">
        <v>1.7091222708431673</v>
      </c>
    </row>
    <row r="113" spans="1:68" x14ac:dyDescent="0.3">
      <c r="A113" s="16" t="s">
        <v>126</v>
      </c>
      <c r="B113" s="16" t="s">
        <v>675</v>
      </c>
      <c r="C113" s="16" t="s">
        <v>604</v>
      </c>
      <c r="D113" s="16" t="s">
        <v>605</v>
      </c>
      <c r="AD113" s="16">
        <v>0.6123483511932335</v>
      </c>
      <c r="AE113" s="16">
        <v>18.576900792712621</v>
      </c>
      <c r="AF113" s="16">
        <v>8.4026522941727251</v>
      </c>
      <c r="AG113" s="16">
        <v>10.013530793219672</v>
      </c>
      <c r="AH113" s="16">
        <v>5.1038917029613771</v>
      </c>
      <c r="AI113" s="16">
        <v>2.4849460526027656</v>
      </c>
      <c r="AJ113" s="16">
        <v>0.28705510777614052</v>
      </c>
      <c r="AK113" s="16">
        <v>3.0099047198135054E-2</v>
      </c>
      <c r="AL113" s="16">
        <v>2.0152439296752078</v>
      </c>
      <c r="AM113" s="16">
        <v>3.4382660296830068</v>
      </c>
      <c r="AN113" s="16">
        <v>3.7745132876828507</v>
      </c>
      <c r="AO113" s="16">
        <v>6.9114939156276023</v>
      </c>
      <c r="AP113" s="16">
        <v>7.3885702208429223</v>
      </c>
      <c r="AQ113" s="16">
        <v>12.06214729752439</v>
      </c>
      <c r="AR113" s="16">
        <v>12.267098088330769</v>
      </c>
      <c r="AS113" s="16">
        <v>4.0541610056394717</v>
      </c>
      <c r="AT113" s="16">
        <v>4.2466390062587465</v>
      </c>
      <c r="AU113" s="16">
        <v>5.1198769430378803</v>
      </c>
      <c r="AV113" s="16">
        <v>4.9718109794667669</v>
      </c>
      <c r="AW113" s="16">
        <v>4.2132140514330843</v>
      </c>
      <c r="AX113" s="16">
        <v>4.9158754358763446</v>
      </c>
      <c r="AY113" s="16">
        <v>6.6086079393218711</v>
      </c>
      <c r="AZ113" s="19">
        <v>6.3441432607086057</v>
      </c>
      <c r="BA113" s="19">
        <v>3.7524553479533722</v>
      </c>
      <c r="BB113" s="19">
        <v>0.96959201939228024</v>
      </c>
      <c r="BC113" s="19">
        <v>2.2738329594241407</v>
      </c>
      <c r="BD113" s="19">
        <v>1.3687723556670193</v>
      </c>
      <c r="BE113" s="19">
        <v>7.3191579981461814</v>
      </c>
      <c r="BF113" s="19">
        <v>4.3819692421270986</v>
      </c>
      <c r="BG113" s="19">
        <v>5.4659426166832787</v>
      </c>
      <c r="BH113" s="19">
        <v>-2.4795387361677967E-2</v>
      </c>
      <c r="BI113" s="19">
        <v>7.1355772274838642</v>
      </c>
      <c r="BJ113" s="19">
        <v>2.6778039756579943</v>
      </c>
      <c r="BK113" s="19">
        <v>1.9754783694668134</v>
      </c>
      <c r="BL113" s="19">
        <v>6.6153602361509911E-2</v>
      </c>
      <c r="BM113" s="19">
        <v>-8.9593864650268529</v>
      </c>
      <c r="BN113" s="19">
        <v>3.5704261703961606</v>
      </c>
    </row>
    <row r="114" spans="1:68" x14ac:dyDescent="0.3">
      <c r="A114" s="16" t="s">
        <v>121</v>
      </c>
      <c r="B114" s="16" t="s">
        <v>448</v>
      </c>
      <c r="C114" s="16" t="s">
        <v>604</v>
      </c>
      <c r="D114" s="16" t="s">
        <v>605</v>
      </c>
      <c r="F114" s="16">
        <v>1.3595745119248761</v>
      </c>
      <c r="G114" s="16">
        <v>0.57897202101389666</v>
      </c>
      <c r="H114" s="16">
        <v>3.5749010464338937</v>
      </c>
      <c r="I114" s="16">
        <v>5.0084854315162914</v>
      </c>
      <c r="J114" s="16">
        <v>-4.7880082383816074</v>
      </c>
      <c r="K114" s="16">
        <v>-2.1830018179117587</v>
      </c>
      <c r="L114" s="16">
        <v>5.5548581600306903</v>
      </c>
      <c r="M114" s="16">
        <v>1.1697298384489017</v>
      </c>
      <c r="N114" s="16">
        <v>4.2181310011973494</v>
      </c>
      <c r="O114" s="16">
        <v>2.8585582300725463</v>
      </c>
      <c r="P114" s="16">
        <v>-0.58570589435362308</v>
      </c>
      <c r="Q114" s="16">
        <v>-2.743920031498547</v>
      </c>
      <c r="R114" s="16">
        <v>0.99613555452854996</v>
      </c>
      <c r="S114" s="16">
        <v>-1.0740288875055768</v>
      </c>
      <c r="T114" s="16">
        <v>6.7337807863000734</v>
      </c>
      <c r="U114" s="16">
        <v>-0.55806211443214693</v>
      </c>
      <c r="V114" s="16">
        <v>4.91209573102185</v>
      </c>
      <c r="W114" s="16">
        <v>3.3988765443044144</v>
      </c>
      <c r="X114" s="16">
        <v>-7.3219910409281113</v>
      </c>
      <c r="Y114" s="16">
        <v>4.3493740925680981</v>
      </c>
      <c r="Z114" s="16">
        <v>3.6208627302913357</v>
      </c>
      <c r="AA114" s="16">
        <v>1.1625921739020413</v>
      </c>
      <c r="AB114" s="16">
        <v>4.8927329892241289</v>
      </c>
      <c r="AC114" s="16">
        <v>1.4979079489541505</v>
      </c>
      <c r="AD114" s="16">
        <v>2.9142065932040992</v>
      </c>
      <c r="AE114" s="16">
        <v>2.4605052876367495</v>
      </c>
      <c r="AF114" s="16">
        <v>1.6919620913400877</v>
      </c>
      <c r="AG114" s="16">
        <v>7.2591660229554691</v>
      </c>
      <c r="AH114" s="16">
        <v>3.6738625586501428</v>
      </c>
      <c r="AI114" s="16">
        <v>3.2978540660614044</v>
      </c>
      <c r="AJ114" s="16">
        <v>-1.0451054674030331</v>
      </c>
      <c r="AK114" s="16">
        <v>3.3168659337294173</v>
      </c>
      <c r="AL114" s="16">
        <v>2.627465860668778</v>
      </c>
      <c r="AM114" s="16">
        <v>4.5251338138929071</v>
      </c>
      <c r="AN114" s="16">
        <v>5.4529458612127399</v>
      </c>
      <c r="AO114" s="16">
        <v>5.4711081024891683</v>
      </c>
      <c r="AP114" s="16">
        <v>2.0718732774182911</v>
      </c>
      <c r="AQ114" s="16">
        <v>4.1989211603509915</v>
      </c>
      <c r="AR114" s="16">
        <v>6.851333406284084</v>
      </c>
      <c r="AS114" s="16">
        <v>1.9659524371446082</v>
      </c>
      <c r="AT114" s="16">
        <v>2.9453193607276091</v>
      </c>
      <c r="AU114" s="16">
        <v>1.9759079837677831</v>
      </c>
      <c r="AV114" s="16">
        <v>6.0165205644017874</v>
      </c>
      <c r="AW114" s="16">
        <v>6.1326061667966485</v>
      </c>
      <c r="AX114" s="16">
        <v>6.2060110321703803</v>
      </c>
      <c r="AY114" s="16">
        <v>6.4260447132977134</v>
      </c>
      <c r="AZ114" s="19">
        <v>6.0936257814302621</v>
      </c>
      <c r="BA114" s="19">
        <v>1.6307805891777889</v>
      </c>
      <c r="BB114" s="19">
        <v>6.371709388416761</v>
      </c>
      <c r="BC114" s="19">
        <v>7.0131745810018344</v>
      </c>
      <c r="BD114" s="19">
        <v>3.8180743120834961</v>
      </c>
      <c r="BE114" s="19">
        <v>4.060822384365693</v>
      </c>
      <c r="BF114" s="19">
        <v>5.014611864384193</v>
      </c>
      <c r="BG114" s="19">
        <v>6.0861802272023056</v>
      </c>
      <c r="BH114" s="19">
        <v>6.7210676306221302</v>
      </c>
      <c r="BI114" s="19">
        <v>6.9809897013209934</v>
      </c>
      <c r="BJ114" s="19">
        <v>5.5683335135788354</v>
      </c>
      <c r="BK114" s="19">
        <v>5.3024086785729878</v>
      </c>
      <c r="BL114" s="19">
        <v>2.8118731022565697</v>
      </c>
      <c r="BM114" s="19">
        <v>-6.6734705465818962</v>
      </c>
      <c r="BN114" s="19">
        <v>8.8186058430889318</v>
      </c>
      <c r="BO114" s="16">
        <v>6.2615994901934044</v>
      </c>
      <c r="BP114" s="16">
        <v>6.7213814144203781</v>
      </c>
    </row>
    <row r="115" spans="1:68" x14ac:dyDescent="0.3">
      <c r="A115" s="16" t="s">
        <v>676</v>
      </c>
      <c r="B115" s="16" t="s">
        <v>677</v>
      </c>
      <c r="C115" s="16" t="s">
        <v>604</v>
      </c>
      <c r="D115" s="16" t="s">
        <v>605</v>
      </c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</row>
    <row r="116" spans="1:68" x14ac:dyDescent="0.3">
      <c r="A116" s="16" t="s">
        <v>125</v>
      </c>
      <c r="B116" s="16" t="s">
        <v>449</v>
      </c>
      <c r="C116" s="16" t="s">
        <v>604</v>
      </c>
      <c r="D116" s="16" t="s">
        <v>605</v>
      </c>
      <c r="F116" s="16">
        <v>5.1723325164351905</v>
      </c>
      <c r="G116" s="16">
        <v>2.7924492307229087</v>
      </c>
      <c r="H116" s="16">
        <v>4.1351094170217522</v>
      </c>
      <c r="I116" s="16">
        <v>3.2826998374001732</v>
      </c>
      <c r="J116" s="16">
        <v>1.5526122055260885</v>
      </c>
      <c r="K116" s="16">
        <v>0.4914480247254005</v>
      </c>
      <c r="L116" s="16">
        <v>5.2882021995154673</v>
      </c>
      <c r="M116" s="16">
        <v>7.7575727240751178</v>
      </c>
      <c r="N116" s="16">
        <v>5.2465731188994198</v>
      </c>
      <c r="O116" s="16">
        <v>1.8065436622728868</v>
      </c>
      <c r="P116" s="16">
        <v>2.2664458569363006</v>
      </c>
      <c r="Q116" s="16">
        <v>4.9188567536080541</v>
      </c>
      <c r="R116" s="16">
        <v>3.0552241339026409</v>
      </c>
      <c r="S116" s="16">
        <v>2.5472062836889791</v>
      </c>
      <c r="T116" s="16">
        <v>3.9324427645988322</v>
      </c>
      <c r="U116" s="16">
        <v>-0.12389877614185707</v>
      </c>
      <c r="V116" s="16">
        <v>6.7557141134011829</v>
      </c>
      <c r="W116" s="16">
        <v>5.6766924512198642</v>
      </c>
      <c r="X116" s="16">
        <v>1.7089129466349959</v>
      </c>
      <c r="Y116" s="16">
        <v>1.8998729585113239</v>
      </c>
      <c r="Z116" s="16">
        <v>2.1222982034730222</v>
      </c>
      <c r="AA116" s="16">
        <v>1.3210228018885886</v>
      </c>
      <c r="AB116" s="16">
        <v>-0.94900815269033956</v>
      </c>
      <c r="AC116" s="16">
        <v>3.7096800570865014</v>
      </c>
      <c r="AD116" s="16">
        <v>2.920734911099899</v>
      </c>
      <c r="AE116" s="16">
        <v>-0.47356372093105392</v>
      </c>
      <c r="AF116" s="16">
        <v>4.6522416164794578</v>
      </c>
      <c r="AG116" s="16">
        <v>5.6683767411452237</v>
      </c>
      <c r="AH116" s="16">
        <v>6.2340407389067138</v>
      </c>
      <c r="AI116" s="16">
        <v>8.3750065426122973</v>
      </c>
      <c r="AJ116" s="16">
        <v>1.3452988221331452</v>
      </c>
      <c r="AK116" s="16">
        <v>2.6406073304134452</v>
      </c>
      <c r="AL116" s="16">
        <v>2.1805910453784634</v>
      </c>
      <c r="AM116" s="16">
        <v>5.3397712264598312</v>
      </c>
      <c r="AN116" s="16">
        <v>9.0737698057524767</v>
      </c>
      <c r="AO116" s="16">
        <v>6.5333137527347986</v>
      </c>
      <c r="AP116" s="16">
        <v>9.9139856971459608</v>
      </c>
      <c r="AQ116" s="16">
        <v>7.6375038745597266</v>
      </c>
      <c r="AR116" s="16">
        <v>9.2908801499063145</v>
      </c>
      <c r="AS116" s="16">
        <v>7.9548064839646742</v>
      </c>
      <c r="AT116" s="16">
        <v>3.6424699966609637</v>
      </c>
      <c r="AU116" s="16">
        <v>4.1297554813123298</v>
      </c>
      <c r="AV116" s="16">
        <v>1.3493871300482141</v>
      </c>
      <c r="AW116" s="16">
        <v>4.8534575774533266</v>
      </c>
      <c r="AX116" s="16">
        <v>3.4609405935786413</v>
      </c>
      <c r="AY116" s="16">
        <v>2.1951896902739634</v>
      </c>
      <c r="AZ116" s="19">
        <v>2.3092310460373113</v>
      </c>
      <c r="BA116" s="19">
        <v>-6.4116459699088182</v>
      </c>
      <c r="BB116" s="19">
        <v>-6.0548119662864792</v>
      </c>
      <c r="BC116" s="19">
        <v>1.1304241269157984</v>
      </c>
      <c r="BD116" s="19">
        <v>0.84005622017716064</v>
      </c>
      <c r="BE116" s="19">
        <v>-0.5519909874533937</v>
      </c>
      <c r="BF116" s="19">
        <v>0.64327334290368299</v>
      </c>
      <c r="BG116" s="19">
        <v>8.0363578858595304</v>
      </c>
      <c r="BH116" s="19">
        <v>23.304693444522655</v>
      </c>
      <c r="BI116" s="19">
        <v>0.62325210061477776</v>
      </c>
      <c r="BJ116" s="19">
        <v>8.1276687617229442</v>
      </c>
      <c r="BK116" s="19">
        <v>7.1347733970954295</v>
      </c>
      <c r="BL116" s="19">
        <v>3.8674506386318939</v>
      </c>
      <c r="BM116" s="19">
        <v>5.5256123481865842</v>
      </c>
      <c r="BN116" s="19">
        <v>14.032286353439559</v>
      </c>
      <c r="BO116" s="16">
        <v>7.4265817783361285</v>
      </c>
      <c r="BP116" s="16">
        <v>-5.6860029184820888</v>
      </c>
    </row>
    <row r="117" spans="1:68" x14ac:dyDescent="0.3">
      <c r="A117" s="16" t="s">
        <v>451</v>
      </c>
      <c r="B117" s="16" t="s">
        <v>450</v>
      </c>
      <c r="C117" s="16" t="s">
        <v>604</v>
      </c>
      <c r="D117" s="16" t="s">
        <v>605</v>
      </c>
      <c r="F117" s="16">
        <v>7.404045468794763</v>
      </c>
      <c r="G117" s="16">
        <v>4.9427697112912625</v>
      </c>
      <c r="H117" s="16">
        <v>4.032060004496401</v>
      </c>
      <c r="I117" s="16">
        <v>5.352003961060575</v>
      </c>
      <c r="J117" s="16">
        <v>13.627165665295536</v>
      </c>
      <c r="K117" s="16">
        <v>8.2902975174890372</v>
      </c>
      <c r="L117" s="16">
        <v>8.1253472335829571</v>
      </c>
      <c r="M117" s="16">
        <v>11.245764519573754</v>
      </c>
      <c r="N117" s="16">
        <v>12.305761485340369</v>
      </c>
      <c r="O117" s="16">
        <v>7.7848672685945957</v>
      </c>
      <c r="P117" s="16">
        <v>10.501183083497992</v>
      </c>
      <c r="Q117" s="16">
        <v>11.31293831620863</v>
      </c>
      <c r="R117" s="16">
        <v>4.4234974418755399</v>
      </c>
      <c r="S117" s="16">
        <v>2.7704181300114215</v>
      </c>
      <c r="T117" s="16">
        <v>-3.2428133739069835</v>
      </c>
      <c r="U117" s="16">
        <v>14.821471170939191</v>
      </c>
      <c r="V117" s="16">
        <v>-5.660101387971423</v>
      </c>
      <c r="W117" s="16">
        <v>-15.546084608513965</v>
      </c>
      <c r="X117" s="16">
        <v>-14.885262090171949</v>
      </c>
      <c r="Y117" s="16">
        <v>-24.277367984237074</v>
      </c>
      <c r="Z117" s="16">
        <v>-10.252993215575529</v>
      </c>
      <c r="AA117" s="16">
        <v>17.306040731753214</v>
      </c>
      <c r="AB117" s="16">
        <v>7.2315412881623047</v>
      </c>
      <c r="AC117" s="16">
        <v>-10.396919835318172</v>
      </c>
      <c r="AD117" s="16">
        <v>-1.6620330080608596</v>
      </c>
      <c r="AE117" s="16">
        <v>-12.822758236906026</v>
      </c>
      <c r="AF117" s="16">
        <v>-3.3881795751051271</v>
      </c>
      <c r="AG117" s="16">
        <v>-8.9121919663860609</v>
      </c>
      <c r="AH117" s="16">
        <v>3.099450479725391</v>
      </c>
      <c r="AI117" s="16">
        <v>9.2198150438551778</v>
      </c>
      <c r="AJ117" s="16">
        <v>8.4453735346914982</v>
      </c>
      <c r="AK117" s="16">
        <v>0.89502744195814898</v>
      </c>
      <c r="AL117" s="16">
        <v>-2.1032116626653306</v>
      </c>
      <c r="AM117" s="16">
        <v>-2.0757216402573704</v>
      </c>
      <c r="AN117" s="16">
        <v>1.0382869341532057</v>
      </c>
      <c r="AO117" s="16">
        <v>4.9631520558981492</v>
      </c>
      <c r="AP117" s="16">
        <v>-8.055461189397306E-2</v>
      </c>
      <c r="AQ117" s="16">
        <v>0.50221763360144678</v>
      </c>
      <c r="AR117" s="16">
        <v>0.39956030508760421</v>
      </c>
      <c r="AS117" s="16">
        <v>4.1182032852070165</v>
      </c>
      <c r="AT117" s="16">
        <v>0.65611971783125966</v>
      </c>
      <c r="AU117" s="16">
        <v>7.0317601516728132</v>
      </c>
      <c r="AV117" s="16">
        <v>7.6359819338177175</v>
      </c>
      <c r="AW117" s="16">
        <v>2.6642755800205293</v>
      </c>
      <c r="AX117" s="16">
        <v>1.541710036926176</v>
      </c>
      <c r="AY117" s="16">
        <v>3.3893991656152735</v>
      </c>
      <c r="AZ117" s="19">
        <v>6.5949529062070695</v>
      </c>
      <c r="BA117" s="19">
        <v>-1.1150789816933866</v>
      </c>
      <c r="BB117" s="19">
        <v>-0.35748460546649596</v>
      </c>
      <c r="BC117" s="19">
        <v>4.3224715203409261</v>
      </c>
      <c r="BD117" s="19">
        <v>1.3427085367130047</v>
      </c>
      <c r="BE117" s="19">
        <v>-4.9689094775274896</v>
      </c>
      <c r="BF117" s="19">
        <v>-2.9459223105307899</v>
      </c>
      <c r="BG117" s="19">
        <v>3.0117642873375132</v>
      </c>
      <c r="BH117" s="19">
        <v>-3.6294171637144075</v>
      </c>
      <c r="BI117" s="19">
        <v>6.8356753527767751</v>
      </c>
      <c r="BJ117" s="19">
        <v>1.3007050040448433</v>
      </c>
      <c r="BK117" s="19">
        <v>-3.1134917094467767</v>
      </c>
      <c r="BL117" s="19">
        <v>-4.1305787949116421</v>
      </c>
      <c r="BM117" s="19">
        <v>2.4708922674299174</v>
      </c>
      <c r="BN117" s="19">
        <v>3.9655686905623924</v>
      </c>
      <c r="BO117" s="16">
        <v>3.0416585033998587</v>
      </c>
      <c r="BP117" s="16">
        <v>4.2198664907994186</v>
      </c>
    </row>
    <row r="118" spans="1:68" x14ac:dyDescent="0.3">
      <c r="A118" s="16" t="s">
        <v>124</v>
      </c>
      <c r="B118" s="16" t="s">
        <v>452</v>
      </c>
      <c r="C118" s="16" t="s">
        <v>604</v>
      </c>
      <c r="D118" s="16" t="s">
        <v>605</v>
      </c>
      <c r="F118" s="16">
        <v>4.7236549803771055</v>
      </c>
      <c r="G118" s="16">
        <v>1.5118993524676938</v>
      </c>
      <c r="H118" s="16">
        <v>-0.91598545000442755</v>
      </c>
      <c r="I118" s="16">
        <v>11.067269711509638</v>
      </c>
      <c r="J118" s="16">
        <v>7.1091937872717068</v>
      </c>
      <c r="K118" s="16">
        <v>1.4860840839171203</v>
      </c>
      <c r="L118" s="16">
        <v>-11.891511505025719</v>
      </c>
      <c r="M118" s="16">
        <v>15.496702988531695</v>
      </c>
      <c r="N118" s="16">
        <v>-0.2486404906871087</v>
      </c>
      <c r="O118" s="16">
        <v>0.97893558920334556</v>
      </c>
      <c r="P118" s="16">
        <v>1.809318577353622</v>
      </c>
      <c r="Q118" s="16">
        <v>0.25630153539697176</v>
      </c>
      <c r="R118" s="16">
        <v>0.91489417784944749</v>
      </c>
      <c r="S118" s="16">
        <v>12.281799907086153</v>
      </c>
      <c r="T118" s="16">
        <v>8.8647028291418053</v>
      </c>
      <c r="U118" s="16">
        <v>13.447559290836935</v>
      </c>
      <c r="V118" s="16">
        <v>-1.3940542411689592</v>
      </c>
      <c r="W118" s="16">
        <v>13.226347738488656</v>
      </c>
      <c r="X118" s="16">
        <v>17.086923435160145</v>
      </c>
      <c r="Y118" s="16">
        <v>20.920310066977521</v>
      </c>
      <c r="Z118" s="16">
        <v>-3.649515653154694</v>
      </c>
      <c r="AA118" s="16">
        <v>0.5712360683131692</v>
      </c>
      <c r="AB118" s="16">
        <v>-15.616621961282604</v>
      </c>
      <c r="AC118" s="16">
        <v>-4.5174616032910535</v>
      </c>
      <c r="AD118" s="16">
        <v>-0.97282790051920642</v>
      </c>
      <c r="AE118" s="16">
        <v>2.0919315287413696</v>
      </c>
      <c r="AF118" s="16">
        <v>6.3431630244571409</v>
      </c>
      <c r="AG118" s="16">
        <v>-2.3104654164511373</v>
      </c>
      <c r="AH118" s="16">
        <v>-5.6470992376364677</v>
      </c>
      <c r="AI118" s="16">
        <v>55.889244574136171</v>
      </c>
      <c r="AJ118" s="16">
        <v>-64.425841304468264</v>
      </c>
      <c r="AK118" s="16">
        <v>28.702970018918194</v>
      </c>
      <c r="AL118" s="16">
        <v>24.144319780127347</v>
      </c>
      <c r="AM118" s="16">
        <v>-1.0296853124514769</v>
      </c>
      <c r="AN118" s="16">
        <v>-1.2961159955498402</v>
      </c>
      <c r="AO118" s="16">
        <v>7.4783026351077382</v>
      </c>
      <c r="AP118" s="16">
        <v>17.483989618074176</v>
      </c>
      <c r="AQ118" s="16">
        <v>30.629376965818778</v>
      </c>
      <c r="AR118" s="16">
        <v>13.795039165414465</v>
      </c>
      <c r="AS118" s="16">
        <v>13.085222922132274</v>
      </c>
      <c r="AT118" s="16">
        <v>-1.4275835096242417</v>
      </c>
      <c r="AU118" s="16">
        <v>-11.099437202414776</v>
      </c>
      <c r="AV118" s="16">
        <v>-38.561719962445842</v>
      </c>
      <c r="AW118" s="16">
        <v>49.031637456010344</v>
      </c>
      <c r="AX118" s="16">
        <v>-1.3030741723903105</v>
      </c>
      <c r="AY118" s="16">
        <v>4.8900206870416696</v>
      </c>
      <c r="AZ118" s="19">
        <v>2.7555186036440489</v>
      </c>
      <c r="BA118" s="19">
        <v>6.1630878154011555</v>
      </c>
      <c r="BB118" s="19">
        <v>-0.27495924420371409</v>
      </c>
      <c r="BC118" s="19">
        <v>3.0815425516357777</v>
      </c>
      <c r="BD118" s="19">
        <v>3.8489296432055795</v>
      </c>
      <c r="BE118" s="19">
        <v>8.9355065000186897</v>
      </c>
      <c r="BF118" s="19">
        <v>2.7225801557528655</v>
      </c>
      <c r="BG118" s="19">
        <v>-3.2514207204340977</v>
      </c>
      <c r="BH118" s="19">
        <v>1.9179120886578573</v>
      </c>
      <c r="BI118" s="19">
        <v>11.023016189818094</v>
      </c>
      <c r="BJ118" s="19">
        <v>-4.1074639699944555</v>
      </c>
      <c r="BK118" s="19">
        <v>0.1823678034746905</v>
      </c>
      <c r="BL118" s="19">
        <v>3.0441747729668549</v>
      </c>
      <c r="BM118" s="19">
        <v>-14.09023464676828</v>
      </c>
      <c r="BN118" s="19">
        <v>-0.77486184874963726</v>
      </c>
      <c r="BO118" s="16">
        <v>5.3113714615549981</v>
      </c>
      <c r="BP118" s="16">
        <v>-5.0866272594280559</v>
      </c>
    </row>
    <row r="119" spans="1:68" x14ac:dyDescent="0.3">
      <c r="A119" s="16" t="s">
        <v>120</v>
      </c>
      <c r="B119" s="16" t="s">
        <v>453</v>
      </c>
      <c r="C119" s="16" t="s">
        <v>604</v>
      </c>
      <c r="D119" s="16" t="s">
        <v>605</v>
      </c>
      <c r="F119" s="16">
        <v>-2.0026072728330746</v>
      </c>
      <c r="G119" s="16">
        <v>6.3257936682292524</v>
      </c>
      <c r="H119" s="16">
        <v>8.3356091366324279</v>
      </c>
      <c r="I119" s="16">
        <v>7.9457253985577552</v>
      </c>
      <c r="J119" s="16">
        <v>5.4532924843332893</v>
      </c>
      <c r="K119" s="16">
        <v>6.9245242317653464</v>
      </c>
      <c r="L119" s="16">
        <v>-2.8406245768762659</v>
      </c>
      <c r="M119" s="16">
        <v>-6.7819870336518306</v>
      </c>
      <c r="N119" s="16">
        <v>1.442588684518455</v>
      </c>
      <c r="O119" s="16">
        <v>6.89624775694611</v>
      </c>
      <c r="P119" s="16">
        <v>12.150198096084821</v>
      </c>
      <c r="Q119" s="16">
        <v>4.6344562332277093</v>
      </c>
      <c r="R119" s="16">
        <v>5.2063115255180037</v>
      </c>
      <c r="S119" s="16">
        <v>4.2858004801088043</v>
      </c>
      <c r="T119" s="16">
        <v>-0.63282070102911803</v>
      </c>
      <c r="U119" s="16">
        <v>4.9125474014394683</v>
      </c>
      <c r="V119" s="16">
        <v>8.0151832443989974</v>
      </c>
      <c r="W119" s="16">
        <v>5.192434731524969</v>
      </c>
      <c r="X119" s="16">
        <v>3.8395463625472246</v>
      </c>
      <c r="Y119" s="16">
        <v>4.634067461225456</v>
      </c>
      <c r="Z119" s="16">
        <v>3.0825342730006184</v>
      </c>
      <c r="AA119" s="16">
        <v>0.79824226714772806</v>
      </c>
      <c r="AB119" s="16">
        <v>-3.4381846131697102</v>
      </c>
      <c r="AC119" s="16">
        <v>3.0274436383654262</v>
      </c>
      <c r="AD119" s="16">
        <v>2.4824329283638775</v>
      </c>
      <c r="AE119" s="16">
        <v>5.4948605312368954</v>
      </c>
      <c r="AF119" s="16">
        <v>7.3631701247671515</v>
      </c>
      <c r="AG119" s="16">
        <v>-1.642347841674578</v>
      </c>
      <c r="AH119" s="16">
        <v>-0.97550045217107595</v>
      </c>
      <c r="AI119" s="16">
        <v>0.38566562249509673</v>
      </c>
      <c r="AJ119" s="16">
        <v>-1.3734066780941419</v>
      </c>
      <c r="AK119" s="16">
        <v>-4.5805313351488053</v>
      </c>
      <c r="AL119" s="16">
        <v>0.28850194488521197</v>
      </c>
      <c r="AM119" s="16">
        <v>2.7146204343306835</v>
      </c>
      <c r="AN119" s="16">
        <v>-0.42504630406480715</v>
      </c>
      <c r="AO119" s="16">
        <v>4.0040734337542432</v>
      </c>
      <c r="AP119" s="16">
        <v>4.9086738620220274</v>
      </c>
      <c r="AQ119" s="16">
        <v>6.2192306315700847</v>
      </c>
      <c r="AR119" s="16">
        <v>2.784468610814244</v>
      </c>
      <c r="AS119" s="16">
        <v>3.5573910444045396</v>
      </c>
      <c r="AT119" s="16">
        <v>2.6400002101269138</v>
      </c>
      <c r="AU119" s="16">
        <v>-0.3340775041942976</v>
      </c>
      <c r="AV119" s="16">
        <v>1.4377961899139819</v>
      </c>
      <c r="AW119" s="16">
        <v>6.8601056849331599</v>
      </c>
      <c r="AX119" s="16">
        <v>4.4578288512997517</v>
      </c>
      <c r="AY119" s="16">
        <v>3.8503486924542614</v>
      </c>
      <c r="AZ119" s="19">
        <v>5.745281287824767</v>
      </c>
      <c r="BA119" s="19">
        <v>0.32640009963762395</v>
      </c>
      <c r="BB119" s="19">
        <v>-7.9783624054085038</v>
      </c>
      <c r="BC119" s="19">
        <v>-2.6928477076311026</v>
      </c>
      <c r="BD119" s="19">
        <v>1.5351471992778158</v>
      </c>
      <c r="BE119" s="19">
        <v>0.52730443347105904</v>
      </c>
      <c r="BF119" s="19">
        <v>3.5681757824760609</v>
      </c>
      <c r="BG119" s="19">
        <v>0.56220938869697079</v>
      </c>
      <c r="BH119" s="19">
        <v>3.3541453332836397</v>
      </c>
      <c r="BI119" s="19">
        <v>4.8382992142755654</v>
      </c>
      <c r="BJ119" s="19">
        <v>1.7794101347671045</v>
      </c>
      <c r="BK119" s="19">
        <v>2.1173732395768781</v>
      </c>
      <c r="BL119" s="19">
        <v>-0.35423339274609589</v>
      </c>
      <c r="BM119" s="19">
        <v>-8.4386980111305832</v>
      </c>
      <c r="BN119" s="19">
        <v>3.4390467577238439</v>
      </c>
      <c r="BO119" s="16">
        <v>6.1783932620233628</v>
      </c>
      <c r="BP119" s="16">
        <v>0.99767125444788007</v>
      </c>
    </row>
    <row r="120" spans="1:68" x14ac:dyDescent="0.3">
      <c r="A120" s="16" t="s">
        <v>127</v>
      </c>
      <c r="B120" s="16" t="s">
        <v>454</v>
      </c>
      <c r="C120" s="16" t="s">
        <v>604</v>
      </c>
      <c r="D120" s="16" t="s">
        <v>605</v>
      </c>
      <c r="F120" s="16">
        <v>7.5914182360993294</v>
      </c>
      <c r="G120" s="16">
        <v>4.9677785093187339</v>
      </c>
      <c r="H120" s="16">
        <v>6.6941123086632075</v>
      </c>
      <c r="I120" s="16">
        <v>3.750531919081439</v>
      </c>
      <c r="J120" s="16">
        <v>5.2555287034989959</v>
      </c>
      <c r="K120" s="16">
        <v>-2.5881077681985545</v>
      </c>
      <c r="L120" s="16">
        <v>-1.357404527375806</v>
      </c>
      <c r="M120" s="16">
        <v>13.836659974954728</v>
      </c>
      <c r="N120" s="16">
        <v>10.644651770346996</v>
      </c>
      <c r="O120" s="16">
        <v>3.807398897204223</v>
      </c>
      <c r="P120" s="16">
        <v>7.5166129273355153</v>
      </c>
      <c r="Q120" s="16">
        <v>9.332203679996212</v>
      </c>
      <c r="R120" s="16">
        <v>1.4000414120479547</v>
      </c>
      <c r="S120" s="16">
        <v>3.3547105040974401</v>
      </c>
      <c r="T120" s="16">
        <v>0.91201184365519339</v>
      </c>
      <c r="U120" s="16">
        <v>-1.892372466483522</v>
      </c>
      <c r="V120" s="16">
        <v>-1.2018508674309203</v>
      </c>
      <c r="W120" s="16">
        <v>3.3524470797232198</v>
      </c>
      <c r="X120" s="16">
        <v>3.5147493180673877</v>
      </c>
      <c r="Y120" s="16">
        <v>-0.74154415409529406</v>
      </c>
      <c r="Z120" s="16">
        <v>3.2629516932801295</v>
      </c>
      <c r="AA120" s="16">
        <v>0.18317284488900043</v>
      </c>
      <c r="AB120" s="16">
        <v>1.495868090961892</v>
      </c>
      <c r="AC120" s="16">
        <v>-0.37729222966069642</v>
      </c>
      <c r="AD120" s="16">
        <v>2.218198727932517</v>
      </c>
      <c r="AE120" s="16">
        <v>2.5905749495091612</v>
      </c>
      <c r="AF120" s="16">
        <v>5.423121704332587</v>
      </c>
      <c r="AG120" s="16">
        <v>1.2187890080727755</v>
      </c>
      <c r="AH120" s="16">
        <v>-1.117081407959688</v>
      </c>
      <c r="AI120" s="16">
        <v>4.0450792516479055</v>
      </c>
      <c r="AJ120" s="16">
        <v>1.4353802191156859</v>
      </c>
      <c r="AK120" s="16">
        <v>4.0992793801516001</v>
      </c>
      <c r="AL120" s="16">
        <v>1.3856953250898556</v>
      </c>
      <c r="AM120" s="16">
        <v>4.681958409116632</v>
      </c>
      <c r="AN120" s="16">
        <v>3.7960670303475865</v>
      </c>
      <c r="AO120" s="16">
        <v>3.1926167128116418</v>
      </c>
      <c r="AP120" s="16">
        <v>1.2294816274152254</v>
      </c>
      <c r="AQ120" s="16">
        <v>1.7615775214087108</v>
      </c>
      <c r="AR120" s="16">
        <v>0.73246871661822865</v>
      </c>
      <c r="AS120" s="16">
        <v>5.8377943348027372</v>
      </c>
      <c r="AT120" s="16">
        <v>-2.0032659921415075</v>
      </c>
      <c r="AU120" s="16">
        <v>-2.1058551833787647</v>
      </c>
      <c r="AV120" s="16">
        <v>-0.42034647684951665</v>
      </c>
      <c r="AW120" s="16">
        <v>2.9485462977586963</v>
      </c>
      <c r="AX120" s="16">
        <v>2.3143861844073967</v>
      </c>
      <c r="AY120" s="16">
        <v>3.7325725824622396</v>
      </c>
      <c r="AZ120" s="19">
        <v>4.1665824380623633</v>
      </c>
      <c r="BA120" s="19">
        <v>1.4330229376660242</v>
      </c>
      <c r="BB120" s="19">
        <v>-1.4996058655965356</v>
      </c>
      <c r="BC120" s="19">
        <v>3.7557370227461035</v>
      </c>
      <c r="BD120" s="19">
        <v>3.6282031289700996</v>
      </c>
      <c r="BE120" s="19">
        <v>0.71110577340492398</v>
      </c>
      <c r="BF120" s="19">
        <v>2.4851200827549604</v>
      </c>
      <c r="BG120" s="19">
        <v>1.9433770941731439</v>
      </c>
      <c r="BH120" s="19">
        <v>0.47526915459026498</v>
      </c>
      <c r="BI120" s="19">
        <v>2.4926437111900412</v>
      </c>
      <c r="BJ120" s="19">
        <v>2.2744297795988473</v>
      </c>
      <c r="BK120" s="19">
        <v>2.0844706288364279</v>
      </c>
      <c r="BL120" s="19">
        <v>2.1866735728393678</v>
      </c>
      <c r="BM120" s="19">
        <v>-3.5730374194560852</v>
      </c>
      <c r="BN120" s="19">
        <v>6.8005156390918131</v>
      </c>
      <c r="BO120" s="16">
        <v>4.752677354747064</v>
      </c>
      <c r="BP120" s="16">
        <v>-8.5406983381091095E-2</v>
      </c>
    </row>
    <row r="121" spans="1:68" x14ac:dyDescent="0.3">
      <c r="A121" s="16" t="s">
        <v>128</v>
      </c>
      <c r="B121" s="16" t="s">
        <v>455</v>
      </c>
      <c r="C121" s="16" t="s">
        <v>604</v>
      </c>
      <c r="D121" s="16" t="s">
        <v>605</v>
      </c>
      <c r="F121" s="16">
        <v>7.486418839140299</v>
      </c>
      <c r="G121" s="16">
        <v>5.487477769838975</v>
      </c>
      <c r="H121" s="16">
        <v>4.8420524892754457</v>
      </c>
      <c r="I121" s="16">
        <v>1.9555327096807389</v>
      </c>
      <c r="J121" s="16">
        <v>2.4020461468498411</v>
      </c>
      <c r="K121" s="16">
        <v>5.1641632807451998</v>
      </c>
      <c r="L121" s="16">
        <v>6.4056776037813705</v>
      </c>
      <c r="M121" s="16">
        <v>5.8735945959479778</v>
      </c>
      <c r="N121" s="16">
        <v>5.4991795055661328</v>
      </c>
      <c r="O121" s="16">
        <v>4.7550096010174911</v>
      </c>
      <c r="P121" s="16">
        <v>1.344280394879064</v>
      </c>
      <c r="Q121" s="16">
        <v>3.1034897783745805</v>
      </c>
      <c r="R121" s="16">
        <v>6.4018059444201896</v>
      </c>
      <c r="S121" s="16">
        <v>4.81201382086347</v>
      </c>
      <c r="T121" s="16">
        <v>-2.6731839226138447</v>
      </c>
      <c r="U121" s="16">
        <v>6.5923197262891335</v>
      </c>
      <c r="V121" s="16">
        <v>2.1258275057428619</v>
      </c>
      <c r="W121" s="16">
        <v>2.8729363490739104</v>
      </c>
      <c r="X121" s="16">
        <v>5.6532239905625659</v>
      </c>
      <c r="Y121" s="16">
        <v>3.2171701439245481</v>
      </c>
      <c r="Z121" s="16">
        <v>0.72323239997420785</v>
      </c>
      <c r="AA121" s="16">
        <v>0.33922498995850958</v>
      </c>
      <c r="AB121" s="16">
        <v>1.1324911624162013</v>
      </c>
      <c r="AC121" s="16">
        <v>3.2027829729281905</v>
      </c>
      <c r="AD121" s="16">
        <v>2.7683814753784759</v>
      </c>
      <c r="AE121" s="16">
        <v>2.8543668867371679</v>
      </c>
      <c r="AF121" s="16">
        <v>3.1814303028523909</v>
      </c>
      <c r="AG121" s="16">
        <v>4.1440421244353587</v>
      </c>
      <c r="AH121" s="16">
        <v>3.3108619345500188</v>
      </c>
      <c r="AI121" s="16">
        <v>1.9004398274326633</v>
      </c>
      <c r="AJ121" s="16">
        <v>1.4681756111360613</v>
      </c>
      <c r="AK121" s="16">
        <v>0.76580759943516341</v>
      </c>
      <c r="AL121" s="16">
        <v>-0.91340172194129821</v>
      </c>
      <c r="AM121" s="16">
        <v>2.1302154755529017</v>
      </c>
      <c r="AN121" s="16">
        <v>2.885202350717492</v>
      </c>
      <c r="AO121" s="16">
        <v>1.2383283704836572</v>
      </c>
      <c r="AP121" s="16">
        <v>1.77635122351289</v>
      </c>
      <c r="AQ121" s="16">
        <v>1.7813243736747069</v>
      </c>
      <c r="AR121" s="16">
        <v>1.6086347314111293</v>
      </c>
      <c r="AS121" s="16">
        <v>3.7399465330193919</v>
      </c>
      <c r="AT121" s="16">
        <v>1.8941239948127873</v>
      </c>
      <c r="AU121" s="16">
        <v>0.10475951355985558</v>
      </c>
      <c r="AV121" s="16">
        <v>-0.3055087894633175</v>
      </c>
      <c r="AW121" s="16">
        <v>0.76931766335192719</v>
      </c>
      <c r="AX121" s="16">
        <v>0.32365624440696195</v>
      </c>
      <c r="AY121" s="16">
        <v>1.4851573595770162</v>
      </c>
      <c r="AZ121" s="19">
        <v>0.97592213296337604</v>
      </c>
      <c r="BA121" s="19">
        <v>-1.6159406274292678</v>
      </c>
      <c r="BB121" s="19">
        <v>-5.7115083827665671</v>
      </c>
      <c r="BC121" s="19">
        <v>1.4009153429996246</v>
      </c>
      <c r="BD121" s="19">
        <v>0.53428743958481562</v>
      </c>
      <c r="BE121" s="19">
        <v>-3.2420601199511481</v>
      </c>
      <c r="BF121" s="19">
        <v>-2.9724037999969823</v>
      </c>
      <c r="BG121" s="19">
        <v>-0.91781387975335349</v>
      </c>
      <c r="BH121" s="19">
        <v>0.87547740178612798</v>
      </c>
      <c r="BI121" s="19">
        <v>1.4656904443408365</v>
      </c>
      <c r="BJ121" s="19">
        <v>1.8203338519222569</v>
      </c>
      <c r="BK121" s="19">
        <v>1.1178166197923503</v>
      </c>
      <c r="BL121" s="19">
        <v>1.6485033934782649</v>
      </c>
      <c r="BM121" s="19">
        <v>-8.5297282762295765</v>
      </c>
      <c r="BN121" s="19">
        <v>8.8701296588318428</v>
      </c>
      <c r="BO121" s="16">
        <v>4.3259539276920833</v>
      </c>
      <c r="BP121" s="16">
        <v>1.228599087792162</v>
      </c>
    </row>
    <row r="122" spans="1:68" x14ac:dyDescent="0.3">
      <c r="A122" s="16" t="s">
        <v>129</v>
      </c>
      <c r="B122" s="16" t="s">
        <v>456</v>
      </c>
      <c r="C122" s="16" t="s">
        <v>604</v>
      </c>
      <c r="D122" s="16" t="s">
        <v>605</v>
      </c>
      <c r="L122" s="16">
        <v>0.57044378814687491</v>
      </c>
      <c r="M122" s="16">
        <v>4.4820593334690102</v>
      </c>
      <c r="N122" s="16">
        <v>4.2852991829651899</v>
      </c>
      <c r="O122" s="16">
        <v>10.589016777079635</v>
      </c>
      <c r="P122" s="16">
        <v>0.98856885796425331</v>
      </c>
      <c r="Q122" s="16">
        <v>16.212147818173904</v>
      </c>
      <c r="R122" s="16">
        <v>-6.9440966405491196</v>
      </c>
      <c r="S122" s="16">
        <v>-5.6627575403606443</v>
      </c>
      <c r="T122" s="16">
        <v>-1.6610061616354983</v>
      </c>
      <c r="U122" s="16">
        <v>-7.9076190644236135</v>
      </c>
      <c r="V122" s="16">
        <v>-3.8034386215056486</v>
      </c>
      <c r="W122" s="16">
        <v>-1.2815041813774286</v>
      </c>
      <c r="X122" s="16">
        <v>-2.3022046031896224</v>
      </c>
      <c r="Y122" s="16">
        <v>-6.9772664878846058</v>
      </c>
      <c r="Z122" s="16">
        <v>1.1656494802734869</v>
      </c>
      <c r="AA122" s="16">
        <v>0.54028547967980955</v>
      </c>
      <c r="AB122" s="16">
        <v>0.39485283755828959</v>
      </c>
      <c r="AC122" s="16">
        <v>-2.9040397771896806</v>
      </c>
      <c r="AD122" s="16">
        <v>-4.1265474653921785</v>
      </c>
      <c r="AE122" s="16">
        <v>0.83374617959890429</v>
      </c>
      <c r="AF122" s="16">
        <v>6.9098100085143557</v>
      </c>
      <c r="AG122" s="16">
        <v>3.1548018676600691</v>
      </c>
      <c r="AH122" s="16">
        <v>6.33519620440903</v>
      </c>
      <c r="AI122" s="16">
        <v>3.3874587787389174</v>
      </c>
      <c r="AJ122" s="16">
        <v>3.9759705841668165</v>
      </c>
      <c r="AK122" s="16">
        <v>1.0046145357494538</v>
      </c>
      <c r="AL122" s="16">
        <v>8.327497665843552</v>
      </c>
      <c r="AM122" s="16">
        <v>0.35820293967864814</v>
      </c>
      <c r="AN122" s="16">
        <v>1.3225304909808528</v>
      </c>
      <c r="AO122" s="16">
        <v>-1.0413360780800645</v>
      </c>
      <c r="AP122" s="16">
        <v>-1.9940335395188242</v>
      </c>
      <c r="AQ122" s="16">
        <v>-3.153799964785776</v>
      </c>
      <c r="AR122" s="16">
        <v>0.28078806954496827</v>
      </c>
      <c r="AS122" s="16">
        <v>0.26336085382723695</v>
      </c>
      <c r="AT122" s="16">
        <v>0.83538796172109642</v>
      </c>
      <c r="AU122" s="16">
        <v>1.5009216854165572</v>
      </c>
      <c r="AV122" s="16">
        <v>3.1664484712050154</v>
      </c>
      <c r="AW122" s="16">
        <v>0.82939604901828545</v>
      </c>
      <c r="AX122" s="16">
        <v>0.40988244542508312</v>
      </c>
      <c r="AY122" s="16">
        <v>2.4095467013213892</v>
      </c>
      <c r="AZ122" s="19">
        <v>0.99783375526074281</v>
      </c>
      <c r="BA122" s="19">
        <v>-1.1831202233602482</v>
      </c>
      <c r="BB122" s="19">
        <v>-4.7327833535491806</v>
      </c>
      <c r="BC122" s="19">
        <v>-1.8714826826704609</v>
      </c>
      <c r="BD122" s="19">
        <v>1.2757294820999903</v>
      </c>
      <c r="BE122" s="19">
        <v>-1.1051269957288383</v>
      </c>
      <c r="BF122" s="19">
        <v>3.5165568855347829E-2</v>
      </c>
      <c r="BG122" s="19">
        <v>0.27708905342210244</v>
      </c>
      <c r="BH122" s="19">
        <v>0.56387601994953229</v>
      </c>
      <c r="BI122" s="19">
        <v>1.0768154281332869</v>
      </c>
      <c r="BJ122" s="19">
        <v>0.7928182768943941</v>
      </c>
      <c r="BK122" s="19">
        <v>1.7645830243041587</v>
      </c>
      <c r="BL122" s="19">
        <v>0.82280159146641552</v>
      </c>
      <c r="BM122" s="19">
        <v>-10.133126744458991</v>
      </c>
      <c r="BN122" s="19">
        <v>4.3329012895745507</v>
      </c>
      <c r="BO122" s="16">
        <v>5.2333542986164048</v>
      </c>
      <c r="BP122" s="16">
        <v>2.2663611699033339</v>
      </c>
    </row>
    <row r="123" spans="1:68" x14ac:dyDescent="0.3">
      <c r="A123" s="16" t="s">
        <v>132</v>
      </c>
      <c r="B123" s="16" t="s">
        <v>457</v>
      </c>
      <c r="C123" s="16" t="s">
        <v>604</v>
      </c>
      <c r="D123" s="16" t="s">
        <v>605</v>
      </c>
      <c r="V123" s="16">
        <v>5.0432754258075079</v>
      </c>
      <c r="W123" s="16">
        <v>11.149785566922745</v>
      </c>
      <c r="X123" s="16">
        <v>16.905829808167965</v>
      </c>
      <c r="Y123" s="16">
        <v>7.2315180947203572</v>
      </c>
      <c r="Z123" s="16">
        <v>12.619290788962132</v>
      </c>
      <c r="AA123" s="16">
        <v>2.5919047686549845</v>
      </c>
      <c r="AB123" s="16">
        <v>-6.4359639696235718</v>
      </c>
      <c r="AC123" s="16">
        <v>-0.27480788697174319</v>
      </c>
      <c r="AD123" s="16">
        <v>-7.0050743089731213</v>
      </c>
      <c r="AE123" s="16">
        <v>0.8039648265953474</v>
      </c>
      <c r="AF123" s="16">
        <v>-2.2552659707580176</v>
      </c>
      <c r="AG123" s="16">
        <v>-3.1168051102358021</v>
      </c>
      <c r="AH123" s="16">
        <v>-14.875393721227979</v>
      </c>
      <c r="AI123" s="16">
        <v>-5.1361466159453926</v>
      </c>
      <c r="AJ123" s="16">
        <v>-3.5404325845679949</v>
      </c>
      <c r="AK123" s="16">
        <v>8.4204471451958369</v>
      </c>
      <c r="AL123" s="16">
        <v>-0.86769545283121374</v>
      </c>
      <c r="AM123" s="16">
        <v>5.1052020606050519E-3</v>
      </c>
      <c r="AN123" s="16">
        <v>1.9123143369613729</v>
      </c>
      <c r="AO123" s="16">
        <v>-1.2462916434604665</v>
      </c>
      <c r="AP123" s="16">
        <v>0.58068982372883227</v>
      </c>
      <c r="AQ123" s="16">
        <v>0.6574218616438543</v>
      </c>
      <c r="AR123" s="16">
        <v>1.1681106790941982</v>
      </c>
      <c r="AS123" s="16">
        <v>2.0726471111670577</v>
      </c>
      <c r="AT123" s="16">
        <v>3.0856606464659819</v>
      </c>
      <c r="AU123" s="16">
        <v>3.5335570529170184</v>
      </c>
      <c r="AV123" s="16">
        <v>1.8340058901812171</v>
      </c>
      <c r="AW123" s="16">
        <v>5.8923712839545033</v>
      </c>
      <c r="AX123" s="16">
        <v>5.3639387389327453</v>
      </c>
      <c r="AY123" s="16">
        <v>1.0295096471890446</v>
      </c>
      <c r="AZ123" s="19">
        <v>1.5268214494691108</v>
      </c>
      <c r="BA123" s="19">
        <v>4.6434268691283052</v>
      </c>
      <c r="BB123" s="19">
        <v>2.7372096544036992</v>
      </c>
      <c r="BC123" s="19">
        <v>8.9336918225441764E-2</v>
      </c>
      <c r="BD123" s="19">
        <v>0.15469804197788051</v>
      </c>
      <c r="BE123" s="19">
        <v>0.98232409572489132</v>
      </c>
      <c r="BF123" s="19">
        <v>-3.8301792727911561</v>
      </c>
      <c r="BG123" s="19">
        <v>-8.1174794882974197</v>
      </c>
      <c r="BH123" s="19">
        <v>-6.531007180469345</v>
      </c>
      <c r="BI123" s="19">
        <v>-2.8207452869668117</v>
      </c>
      <c r="BJ123" s="19">
        <v>-4.1500684924812958E-2</v>
      </c>
      <c r="BK123" s="19">
        <v>-0.46313617388726414</v>
      </c>
      <c r="BL123" s="19">
        <v>-0.5200711024114355</v>
      </c>
      <c r="BM123" s="19">
        <v>-3.1844341917812784</v>
      </c>
      <c r="BN123" s="19">
        <v>1.6142215428803723</v>
      </c>
      <c r="BO123" s="16">
        <v>1.1793275471147666</v>
      </c>
      <c r="BP123" s="16">
        <v>2.1522128070446769</v>
      </c>
    </row>
    <row r="124" spans="1:68" x14ac:dyDescent="0.3">
      <c r="A124" s="16" t="s">
        <v>130</v>
      </c>
      <c r="B124" s="16" t="s">
        <v>458</v>
      </c>
      <c r="C124" s="16" t="s">
        <v>604</v>
      </c>
      <c r="D124" s="16" t="s">
        <v>605</v>
      </c>
      <c r="F124" s="16">
        <v>11.044073040340407</v>
      </c>
      <c r="G124" s="16">
        <v>7.9017144206897711</v>
      </c>
      <c r="H124" s="16">
        <v>7.3798570628339064</v>
      </c>
      <c r="I124" s="16">
        <v>10.520792091416965</v>
      </c>
      <c r="J124" s="16">
        <v>4.6864500164942626</v>
      </c>
      <c r="K124" s="16">
        <v>9.6323596305864214</v>
      </c>
      <c r="L124" s="16">
        <v>9.938834499125889</v>
      </c>
      <c r="M124" s="16">
        <v>11.617428153246905</v>
      </c>
      <c r="N124" s="16">
        <v>11.148657322062164</v>
      </c>
      <c r="O124" s="16">
        <v>-0.75055309955432392</v>
      </c>
      <c r="P124" s="16">
        <v>2.4266523567771969</v>
      </c>
      <c r="Q124" s="16">
        <v>6.9054997222668391</v>
      </c>
      <c r="R124" s="16">
        <v>6.523023596594328</v>
      </c>
      <c r="S124" s="16">
        <v>-2.5298392000776175</v>
      </c>
      <c r="T124" s="16">
        <v>1.7878356419801662</v>
      </c>
      <c r="U124" s="16">
        <v>2.86677809806082</v>
      </c>
      <c r="V124" s="16">
        <v>3.3846807147320845</v>
      </c>
      <c r="W124" s="16">
        <v>4.3182801146877381</v>
      </c>
      <c r="X124" s="16">
        <v>4.5947683069853582</v>
      </c>
      <c r="Y124" s="16">
        <v>2.0104158573597317</v>
      </c>
      <c r="Z124" s="16">
        <v>3.5038862937472004</v>
      </c>
      <c r="AA124" s="16">
        <v>2.5658154192142604</v>
      </c>
      <c r="AB124" s="16">
        <v>2.9118654130921868</v>
      </c>
      <c r="AC124" s="16">
        <v>3.7361564791634834</v>
      </c>
      <c r="AD124" s="16">
        <v>4.5036306149740284</v>
      </c>
      <c r="AE124" s="16">
        <v>2.7456152471712727</v>
      </c>
      <c r="AF124" s="16">
        <v>4.1456305884094178</v>
      </c>
      <c r="AG124" s="16">
        <v>6.218728553296387</v>
      </c>
      <c r="AH124" s="16">
        <v>4.5071701595246481</v>
      </c>
      <c r="AI124" s="16">
        <v>4.4936612041950923</v>
      </c>
      <c r="AJ124" s="16">
        <v>3.1174946331544504</v>
      </c>
      <c r="AK124" s="16">
        <v>0.52674503620902158</v>
      </c>
      <c r="AL124" s="16">
        <v>-0.78137622813659391</v>
      </c>
      <c r="AM124" s="16">
        <v>0.80155968512541165</v>
      </c>
      <c r="AN124" s="16">
        <v>2.3905195580515795</v>
      </c>
      <c r="AO124" s="16">
        <v>2.9001412343580029</v>
      </c>
      <c r="AP124" s="16">
        <v>0.74090595259883685</v>
      </c>
      <c r="AQ124" s="16">
        <v>-1.5382440756550864</v>
      </c>
      <c r="AR124" s="16">
        <v>-0.51574059005513107</v>
      </c>
      <c r="AS124" s="16">
        <v>2.592891086508132</v>
      </c>
      <c r="AT124" s="16">
        <v>0.14451169008489728</v>
      </c>
      <c r="AU124" s="16">
        <v>-0.19039201361297842</v>
      </c>
      <c r="AV124" s="16">
        <v>1.3180919624152523</v>
      </c>
      <c r="AW124" s="16">
        <v>2.1517233291860549</v>
      </c>
      <c r="AX124" s="16">
        <v>1.7943398006038791</v>
      </c>
      <c r="AY124" s="16">
        <v>1.3081271830090344</v>
      </c>
      <c r="AZ124" s="19">
        <v>1.367422326037854</v>
      </c>
      <c r="BA124" s="19">
        <v>-1.2721099488706216</v>
      </c>
      <c r="BB124" s="19">
        <v>-5.6814523403118216</v>
      </c>
      <c r="BC124" s="19">
        <v>4.0792230484327376</v>
      </c>
      <c r="BD124" s="19">
        <v>0.20925180281963662</v>
      </c>
      <c r="BE124" s="19">
        <v>1.5367866588459549</v>
      </c>
      <c r="BF124" s="19">
        <v>2.1523710656464345</v>
      </c>
      <c r="BG124" s="19">
        <v>0.42938112252039673</v>
      </c>
      <c r="BH124" s="19">
        <v>1.6684651171174494</v>
      </c>
      <c r="BI124" s="19">
        <v>0.80536282461616793</v>
      </c>
      <c r="BJ124" s="19">
        <v>1.758611801614407</v>
      </c>
      <c r="BK124" s="19">
        <v>0.77116847143234679</v>
      </c>
      <c r="BL124" s="19">
        <v>-0.26217082858906338</v>
      </c>
      <c r="BM124" s="19">
        <v>-3.8647096696324326</v>
      </c>
      <c r="BN124" s="19">
        <v>3.0321308280439041</v>
      </c>
      <c r="BO124" s="16">
        <v>1.4038223750517602</v>
      </c>
      <c r="BP124" s="16">
        <v>2.4210111829913217</v>
      </c>
    </row>
    <row r="125" spans="1:68" x14ac:dyDescent="0.3">
      <c r="A125" s="16" t="s">
        <v>133</v>
      </c>
      <c r="B125" s="16" t="s">
        <v>459</v>
      </c>
      <c r="C125" s="16" t="s">
        <v>604</v>
      </c>
      <c r="D125" s="16" t="s">
        <v>605</v>
      </c>
      <c r="AJ125" s="16">
        <v>-11.561052830776688</v>
      </c>
      <c r="AK125" s="16">
        <v>-5.2273235407711667</v>
      </c>
      <c r="AL125" s="16">
        <v>-8.8761544113344115</v>
      </c>
      <c r="AM125" s="16">
        <v>-11.32841062928992</v>
      </c>
      <c r="AN125" s="16">
        <v>-6.2873958890926787</v>
      </c>
      <c r="AO125" s="16">
        <v>2.0355154365638128</v>
      </c>
      <c r="AP125" s="16">
        <v>3.3170628982431793</v>
      </c>
      <c r="AQ125" s="16">
        <v>-0.18968536212248921</v>
      </c>
      <c r="AR125" s="16">
        <v>3.6856008542842602</v>
      </c>
      <c r="AS125" s="16">
        <v>10.130116493922259</v>
      </c>
      <c r="AT125" s="16">
        <v>13.693193145579158</v>
      </c>
      <c r="AU125" s="16">
        <v>9.7954702442044805</v>
      </c>
      <c r="AV125" s="16">
        <v>8.9329228438850521</v>
      </c>
      <c r="AW125" s="16">
        <v>8.8410193749892443</v>
      </c>
      <c r="AX125" s="16">
        <v>8.7291999499302477</v>
      </c>
      <c r="AY125" s="16">
        <v>9.5353279198541259</v>
      </c>
      <c r="AZ125" s="19">
        <v>7.6614431350314476</v>
      </c>
      <c r="BA125" s="19">
        <v>1.3832363164047194</v>
      </c>
      <c r="BB125" s="19">
        <v>-0.78644220441962887</v>
      </c>
      <c r="BC125" s="19">
        <v>5.7942251141949868</v>
      </c>
      <c r="BD125" s="19">
        <v>5.8735076629212131</v>
      </c>
      <c r="BE125" s="19">
        <v>3.334056065796446</v>
      </c>
      <c r="BF125" s="19">
        <v>4.48511703230308</v>
      </c>
      <c r="BG125" s="19">
        <v>2.6767209296087628</v>
      </c>
      <c r="BH125" s="19">
        <v>-0.2682671170613844</v>
      </c>
      <c r="BI125" s="19">
        <v>-0.32751463428422767</v>
      </c>
      <c r="BJ125" s="19">
        <v>2.6934321363007285</v>
      </c>
      <c r="BK125" s="19">
        <v>2.740536373006691</v>
      </c>
      <c r="BL125" s="19">
        <v>3.1610115408645925</v>
      </c>
      <c r="BM125" s="19">
        <v>-3.757983450501257</v>
      </c>
      <c r="BN125" s="19">
        <v>1.9321388102673467</v>
      </c>
      <c r="BO125" s="16">
        <v>0.86832971510003176</v>
      </c>
      <c r="BP125" s="16">
        <v>3.6994149999180621</v>
      </c>
    </row>
    <row r="126" spans="1:68" x14ac:dyDescent="0.3">
      <c r="A126" s="16" t="s">
        <v>134</v>
      </c>
      <c r="B126" s="16" t="s">
        <v>460</v>
      </c>
      <c r="C126" s="16" t="s">
        <v>604</v>
      </c>
      <c r="D126" s="16" t="s">
        <v>605</v>
      </c>
      <c r="F126" s="16">
        <v>-11.167245992205011</v>
      </c>
      <c r="G126" s="16">
        <v>5.3203318896759555</v>
      </c>
      <c r="H126" s="16">
        <v>4.6056355043950532</v>
      </c>
      <c r="I126" s="16">
        <v>0.90172608964647338</v>
      </c>
      <c r="J126" s="16">
        <v>-1.9968709953214727</v>
      </c>
      <c r="K126" s="16">
        <v>10.21791234236386</v>
      </c>
      <c r="L126" s="16">
        <v>-0.67615175893510582</v>
      </c>
      <c r="M126" s="16">
        <v>3.7828837850896377</v>
      </c>
      <c r="N126" s="16">
        <v>3.7964251832776341</v>
      </c>
      <c r="O126" s="16">
        <v>-8.2582519998525044</v>
      </c>
      <c r="P126" s="16">
        <v>17.806173623246792</v>
      </c>
      <c r="Q126" s="16">
        <v>13.049680832212232</v>
      </c>
      <c r="R126" s="16">
        <v>2.2658204000268114</v>
      </c>
      <c r="S126" s="16">
        <v>0.56986920711878497</v>
      </c>
      <c r="T126" s="16">
        <v>-2.4280367451529798</v>
      </c>
      <c r="U126" s="16">
        <v>-1.1083518457242576</v>
      </c>
      <c r="V126" s="16">
        <v>5.8866813489266718</v>
      </c>
      <c r="W126" s="16">
        <v>3.2979860209810425</v>
      </c>
      <c r="X126" s="16">
        <v>3.9419155058389492</v>
      </c>
      <c r="Y126" s="16">
        <v>1.8965071385522094</v>
      </c>
      <c r="Z126" s="16">
        <v>7.1430388571982917E-2</v>
      </c>
      <c r="AA126" s="16">
        <v>-2.1402654841268429</v>
      </c>
      <c r="AB126" s="16">
        <v>-2.3799538629123163</v>
      </c>
      <c r="AC126" s="16">
        <v>-1.954638258977198</v>
      </c>
      <c r="AD126" s="16">
        <v>0.55267343750465159</v>
      </c>
      <c r="AE126" s="16">
        <v>3.4099288550627733</v>
      </c>
      <c r="AF126" s="16">
        <v>2.2783062269854781</v>
      </c>
      <c r="AG126" s="16">
        <v>2.5493552516818454</v>
      </c>
      <c r="AH126" s="16">
        <v>1.1285589156558871</v>
      </c>
      <c r="AI126" s="16">
        <v>0.70822989393042235</v>
      </c>
      <c r="AJ126" s="16">
        <v>-1.767740165400852</v>
      </c>
      <c r="AK126" s="16">
        <v>-3.766723222185135</v>
      </c>
      <c r="AL126" s="16">
        <v>-2.5560334283153594</v>
      </c>
      <c r="AM126" s="16">
        <v>-0.28086993951004047</v>
      </c>
      <c r="AN126" s="16">
        <v>1.5138815890832262</v>
      </c>
      <c r="AO126" s="16">
        <v>1.3659344374874252</v>
      </c>
      <c r="AP126" s="16">
        <v>-2.1766132876094844</v>
      </c>
      <c r="AQ126" s="16">
        <v>0.54958937585578838</v>
      </c>
      <c r="AR126" s="16">
        <v>-0.52069298920785911</v>
      </c>
      <c r="AS126" s="16">
        <v>-2.2908937140500854</v>
      </c>
      <c r="AT126" s="16">
        <v>0.68371859988110373</v>
      </c>
      <c r="AU126" s="16">
        <v>-2.4575385708335631</v>
      </c>
      <c r="AV126" s="16">
        <v>-7.7112602602895208E-2</v>
      </c>
      <c r="AW126" s="16">
        <v>2.0086928804448974</v>
      </c>
      <c r="AX126" s="16">
        <v>2.8007234201364355</v>
      </c>
      <c r="AY126" s="16">
        <v>3.3518897737922799</v>
      </c>
      <c r="AZ126" s="19">
        <v>3.7282567431863356</v>
      </c>
      <c r="BA126" s="19">
        <v>-2.7094494044010702</v>
      </c>
      <c r="BB126" s="19">
        <v>0.29317394668173336</v>
      </c>
      <c r="BC126" s="19">
        <v>5.0563909001191121</v>
      </c>
      <c r="BD126" s="19">
        <v>2.3664197348974341</v>
      </c>
      <c r="BE126" s="19">
        <v>1.9604009872781631</v>
      </c>
      <c r="BF126" s="19">
        <v>1.326292506597639</v>
      </c>
      <c r="BG126" s="19">
        <v>2.6381899295034827</v>
      </c>
      <c r="BH126" s="19">
        <v>2.6833174250999576</v>
      </c>
      <c r="BI126" s="19">
        <v>1.943668144202789</v>
      </c>
      <c r="BJ126" s="19">
        <v>1.6031466161957439</v>
      </c>
      <c r="BK126" s="19">
        <v>3.5220844351557759</v>
      </c>
      <c r="BL126" s="19">
        <v>3.0549578495191696</v>
      </c>
      <c r="BM126" s="19">
        <v>-2.2569795027444428</v>
      </c>
      <c r="BN126" s="19">
        <v>5.5204363042203681</v>
      </c>
      <c r="BO126" s="16">
        <v>2.8635712107788436</v>
      </c>
      <c r="BP126" s="16">
        <v>3.3726195140449988</v>
      </c>
    </row>
    <row r="127" spans="1:68" x14ac:dyDescent="0.3">
      <c r="A127" s="16" t="s">
        <v>462</v>
      </c>
      <c r="B127" s="16" t="s">
        <v>461</v>
      </c>
      <c r="C127" s="16" t="s">
        <v>604</v>
      </c>
      <c r="D127" s="16" t="s">
        <v>605</v>
      </c>
      <c r="AF127" s="16">
        <v>1.353404763859416</v>
      </c>
      <c r="AG127" s="16">
        <v>11.219619895955944</v>
      </c>
      <c r="AH127" s="16">
        <v>0.66356015330886464</v>
      </c>
      <c r="AI127" s="16">
        <v>3.6880115907161013</v>
      </c>
      <c r="AJ127" s="16">
        <v>-9.4370831849220735</v>
      </c>
      <c r="AK127" s="16">
        <v>-14.826277361276382</v>
      </c>
      <c r="AL127" s="16">
        <v>-15.483660784153017</v>
      </c>
      <c r="AM127" s="16">
        <v>-20.056839700023517</v>
      </c>
      <c r="AN127" s="16">
        <v>-6.3632791775276303</v>
      </c>
      <c r="AO127" s="16">
        <v>5.5112273623336705</v>
      </c>
      <c r="AP127" s="16">
        <v>8.3237716399744244</v>
      </c>
      <c r="AQ127" s="16">
        <v>0.567202187300893</v>
      </c>
      <c r="AR127" s="16">
        <v>2.1267787057677339</v>
      </c>
      <c r="AS127" s="16">
        <v>4.1948241543785514</v>
      </c>
      <c r="AT127" s="16">
        <v>4.3269964862335968</v>
      </c>
      <c r="AU127" s="16">
        <v>-0.93086579917137158</v>
      </c>
      <c r="AV127" s="16">
        <v>5.9140015981249121</v>
      </c>
      <c r="AW127" s="16">
        <v>5.739479911235108</v>
      </c>
      <c r="AX127" s="16">
        <v>-1.2950748620897485</v>
      </c>
      <c r="AY127" s="16">
        <v>2.0004263846098809</v>
      </c>
      <c r="AZ127" s="19">
        <v>7.5127434754872695</v>
      </c>
      <c r="BA127" s="19">
        <v>7.3764404817943046</v>
      </c>
      <c r="BB127" s="19">
        <v>1.6516513956233609</v>
      </c>
      <c r="BC127" s="19">
        <v>-1.6517528700064901</v>
      </c>
      <c r="BD127" s="19">
        <v>4.6747156171385882</v>
      </c>
      <c r="BE127" s="19">
        <v>-1.7381425831180337</v>
      </c>
      <c r="BF127" s="19">
        <v>8.735789271236726</v>
      </c>
      <c r="BG127" s="19">
        <v>1.9579969759077329</v>
      </c>
      <c r="BH127" s="19">
        <v>1.7588644068262624</v>
      </c>
      <c r="BI127" s="19">
        <v>2.2318052703631679</v>
      </c>
      <c r="BJ127" s="19">
        <v>2.7340918898976128</v>
      </c>
      <c r="BK127" s="19">
        <v>1.7132091165781276</v>
      </c>
      <c r="BL127" s="19">
        <v>2.4393351978811069</v>
      </c>
      <c r="BM127" s="19">
        <v>-8.8945468828450629</v>
      </c>
      <c r="BN127" s="19">
        <v>2.4929222374361331</v>
      </c>
      <c r="BO127" s="16">
        <v>5.8195099176308958</v>
      </c>
      <c r="BP127" s="16">
        <v>4.2692855628956465</v>
      </c>
    </row>
    <row r="128" spans="1:68" x14ac:dyDescent="0.3">
      <c r="A128" s="16" t="s">
        <v>59</v>
      </c>
      <c r="B128" s="16" t="s">
        <v>463</v>
      </c>
      <c r="C128" s="16" t="s">
        <v>604</v>
      </c>
      <c r="D128" s="16" t="s">
        <v>605</v>
      </c>
      <c r="U128" s="16">
        <v>6.671822742607489</v>
      </c>
      <c r="V128" s="16">
        <v>-10.905834934502337</v>
      </c>
      <c r="W128" s="16">
        <v>1.3253051863947292</v>
      </c>
      <c r="X128" s="16">
        <v>-14.133800109401989</v>
      </c>
      <c r="Y128" s="16">
        <v>-7.9076512316331815</v>
      </c>
      <c r="Z128" s="16">
        <v>-2.5605535941357687</v>
      </c>
      <c r="AA128" s="16">
        <v>-3.8555680552846923</v>
      </c>
      <c r="AB128" s="16">
        <v>0.45357927317712665</v>
      </c>
      <c r="AC128" s="16">
        <v>1.2263535063500797</v>
      </c>
      <c r="AD128" s="16">
        <v>1.2333799144641091</v>
      </c>
      <c r="AE128" s="16">
        <v>-6.3634529225225833E-2</v>
      </c>
      <c r="AF128" s="16">
        <v>16.742545365983872</v>
      </c>
      <c r="AG128" s="16">
        <v>7.9935256515404518</v>
      </c>
      <c r="AH128" s="16">
        <v>-0.15646689921699419</v>
      </c>
      <c r="AI128" s="16">
        <v>-2.6962660214280447</v>
      </c>
      <c r="AJ128" s="16">
        <v>3.5411941338631152</v>
      </c>
      <c r="AK128" s="16">
        <v>1.9646229471322414</v>
      </c>
      <c r="AL128" s="16">
        <v>-1.2402586382519303</v>
      </c>
      <c r="AM128" s="16">
        <v>-37.216170966846896</v>
      </c>
      <c r="AN128" s="16">
        <v>7.0533535109354517</v>
      </c>
      <c r="AO128" s="16">
        <v>3.4061431803982742</v>
      </c>
      <c r="AP128" s="16">
        <v>1.7415622437538758</v>
      </c>
      <c r="AQ128" s="16">
        <v>2.5509815756864072</v>
      </c>
      <c r="AR128" s="16">
        <v>10.52753236812552</v>
      </c>
      <c r="AS128" s="16">
        <v>7.9983038166948432</v>
      </c>
      <c r="AT128" s="16">
        <v>6.2257011005695659</v>
      </c>
      <c r="AU128" s="16">
        <v>4.6819418405375473</v>
      </c>
      <c r="AV128" s="16">
        <v>6.5888325764146884</v>
      </c>
      <c r="AW128" s="16">
        <v>8.4021562692019955</v>
      </c>
      <c r="AX128" s="16">
        <v>11.281916783156461</v>
      </c>
      <c r="AY128" s="16">
        <v>8.8709314662456933</v>
      </c>
      <c r="AZ128" s="19">
        <v>8.3079366094588067</v>
      </c>
      <c r="BA128" s="19">
        <v>4.9386431206549446</v>
      </c>
      <c r="BB128" s="19">
        <v>-1.4111807160916356</v>
      </c>
      <c r="BC128" s="19">
        <v>4.4301492054347023</v>
      </c>
      <c r="BD128" s="19">
        <v>5.5241752044689036</v>
      </c>
      <c r="BE128" s="19">
        <v>5.7692860828857562</v>
      </c>
      <c r="BF128" s="19">
        <v>5.8318605235263732</v>
      </c>
      <c r="BG128" s="19">
        <v>5.6553768485070748</v>
      </c>
      <c r="BH128" s="19">
        <v>5.5316846841045901</v>
      </c>
      <c r="BI128" s="19">
        <v>5.5162062313952873</v>
      </c>
      <c r="BJ128" s="19">
        <v>5.6038754595049198</v>
      </c>
      <c r="BK128" s="19">
        <v>6.1644759859862432</v>
      </c>
      <c r="BL128" s="19">
        <v>5.8486196942538697</v>
      </c>
      <c r="BM128" s="19">
        <v>-4.2136537553840583</v>
      </c>
      <c r="BN128" s="19">
        <v>1.8329580171935049</v>
      </c>
      <c r="BO128" s="16">
        <v>4.1174906946827434</v>
      </c>
      <c r="BP128" s="16">
        <v>4.2991262819243872</v>
      </c>
    </row>
    <row r="129" spans="1:68" x14ac:dyDescent="0.3">
      <c r="A129" s="16" t="s">
        <v>135</v>
      </c>
      <c r="B129" s="16" t="s">
        <v>678</v>
      </c>
      <c r="C129" s="16" t="s">
        <v>604</v>
      </c>
      <c r="D129" s="16" t="s">
        <v>605</v>
      </c>
      <c r="P129" s="16">
        <v>-4.1229041763885164</v>
      </c>
      <c r="Q129" s="16">
        <v>10.065388444648988</v>
      </c>
      <c r="R129" s="16">
        <v>18.930566704258723</v>
      </c>
      <c r="S129" s="16">
        <v>44.456487196953447</v>
      </c>
      <c r="T129" s="16">
        <v>5.8270857059258958</v>
      </c>
      <c r="U129" s="16">
        <v>-26.325029150910368</v>
      </c>
      <c r="V129" s="16">
        <v>-3.9501066748955083</v>
      </c>
      <c r="W129" s="16">
        <v>1.7886703688152465</v>
      </c>
      <c r="X129" s="16">
        <v>-12.043524577579433</v>
      </c>
      <c r="Y129" s="16">
        <v>-17.932838393466866</v>
      </c>
      <c r="Z129" s="16">
        <v>3.6690410958904067</v>
      </c>
      <c r="AA129" s="16">
        <v>-2.3878331998756863</v>
      </c>
      <c r="AB129" s="16">
        <v>-11.413134053234515</v>
      </c>
      <c r="AC129" s="16">
        <v>11.649045919967563</v>
      </c>
      <c r="AD129" s="16">
        <v>-15.154820571755053</v>
      </c>
      <c r="AE129" s="16">
        <v>-4.4377874783933464</v>
      </c>
      <c r="AF129" s="16">
        <v>-0.93421154751173674</v>
      </c>
      <c r="AG129" s="16">
        <v>18.542741402116405</v>
      </c>
      <c r="AH129" s="16">
        <v>-9.5333052573403734</v>
      </c>
      <c r="AI129" s="16">
        <v>-8.0349611449421161</v>
      </c>
      <c r="AJ129" s="16">
        <v>-7.4280024783862331</v>
      </c>
      <c r="AK129" s="16">
        <v>21.656822738451993</v>
      </c>
      <c r="AL129" s="16">
        <v>-1.5070865942624465</v>
      </c>
      <c r="AM129" s="16">
        <v>0.31126325043521774</v>
      </c>
      <c r="AN129" s="16">
        <v>1.4036473317128468</v>
      </c>
      <c r="AO129" s="16">
        <v>-1.6310121692099528</v>
      </c>
      <c r="AP129" s="16">
        <v>-0.62787466364827083</v>
      </c>
      <c r="AQ129" s="16">
        <v>2.1411510859105505</v>
      </c>
      <c r="AR129" s="16">
        <v>-5.4397697902071513</v>
      </c>
      <c r="AS129" s="16">
        <v>4.9319999832084562</v>
      </c>
      <c r="AT129" s="16">
        <v>-4.9981476133843756</v>
      </c>
      <c r="AU129" s="16">
        <v>-0.41654247391952026</v>
      </c>
      <c r="AV129" s="16">
        <v>-3.5972965373429702</v>
      </c>
      <c r="AW129" s="16">
        <v>-2.532955889809017</v>
      </c>
      <c r="AX129" s="16">
        <v>-0.89910089910091529</v>
      </c>
      <c r="AY129" s="16">
        <v>3.946224633554138</v>
      </c>
      <c r="AZ129" s="19">
        <v>1.14166642784852</v>
      </c>
      <c r="BA129" s="19">
        <v>-4.8214958908782108</v>
      </c>
      <c r="BB129" s="19">
        <v>-1.4121674644713238</v>
      </c>
      <c r="BC129" s="19">
        <v>-0.84949133132580812</v>
      </c>
      <c r="BD129" s="19">
        <v>1.7675319697691521</v>
      </c>
      <c r="BE129" s="19">
        <v>4.1968796885194877</v>
      </c>
      <c r="BF129" s="19">
        <v>5.7689885514305956</v>
      </c>
      <c r="BG129" s="19">
        <v>-0.18703316592331021</v>
      </c>
      <c r="BH129" s="19">
        <v>9.7963820159219637</v>
      </c>
      <c r="BI129" s="19">
        <v>5.5903607051627375</v>
      </c>
      <c r="BJ129" s="19">
        <v>1.9554250116168248</v>
      </c>
      <c r="BK129" s="19">
        <v>1.8182300990257545</v>
      </c>
      <c r="BL129" s="19">
        <v>1.6648107174312088</v>
      </c>
      <c r="BM129" s="19">
        <v>-2.3867982466544788</v>
      </c>
      <c r="BN129" s="19">
        <v>6.6759155103734713</v>
      </c>
      <c r="BO129" s="16">
        <v>1.9914354680808088</v>
      </c>
      <c r="BP129" s="16">
        <v>2.5025117563034769</v>
      </c>
    </row>
    <row r="130" spans="1:68" x14ac:dyDescent="0.3">
      <c r="A130" s="16" t="s">
        <v>679</v>
      </c>
      <c r="B130" s="16" t="s">
        <v>680</v>
      </c>
      <c r="C130" s="16" t="s">
        <v>604</v>
      </c>
      <c r="D130" s="16" t="s">
        <v>605</v>
      </c>
      <c r="W130" s="16">
        <v>4.2398148409970986</v>
      </c>
      <c r="X130" s="16">
        <v>8.0625940456974234</v>
      </c>
      <c r="Y130" s="16">
        <v>8.8955509259183003</v>
      </c>
      <c r="Z130" s="16">
        <v>1.8873395372598338</v>
      </c>
      <c r="AA130" s="16">
        <v>0.92132056446621391</v>
      </c>
      <c r="AB130" s="16">
        <v>1.6475238444607356</v>
      </c>
      <c r="AC130" s="16">
        <v>9.430943786772005</v>
      </c>
      <c r="AD130" s="16">
        <v>9.157932165194012</v>
      </c>
      <c r="AE130" s="16">
        <v>11.531837684681932</v>
      </c>
      <c r="AF130" s="16">
        <v>7.246735979803077</v>
      </c>
      <c r="AG130" s="16">
        <v>10.007803062889693</v>
      </c>
      <c r="AH130" s="16">
        <v>6.3263702928550742</v>
      </c>
      <c r="AI130" s="16">
        <v>5.796050156154493</v>
      </c>
      <c r="AJ130" s="16">
        <v>-1.6371542460321393</v>
      </c>
      <c r="AK130" s="16">
        <v>3.3563016339994505</v>
      </c>
      <c r="AL130" s="16">
        <v>5.392422397641127</v>
      </c>
      <c r="AM130" s="16">
        <v>3.9127723033780342</v>
      </c>
      <c r="AN130" s="16">
        <v>4.0234400643321777</v>
      </c>
      <c r="AO130" s="16">
        <v>4.499449103193669</v>
      </c>
      <c r="AP130" s="16">
        <v>5.4561227814833018</v>
      </c>
      <c r="AQ130" s="16">
        <v>-1.7781906790890076</v>
      </c>
      <c r="AR130" s="16">
        <v>1.8497618837001397</v>
      </c>
      <c r="AS130" s="16">
        <v>8.5033080488798589</v>
      </c>
      <c r="AT130" s="16">
        <v>4.0518219181181081</v>
      </c>
      <c r="AU130" s="16">
        <v>0.75859729650819929</v>
      </c>
      <c r="AV130" s="16">
        <v>-4.2789209756042084</v>
      </c>
      <c r="AW130" s="16">
        <v>3.6636833797487895</v>
      </c>
      <c r="AX130" s="16">
        <v>9.3922908152983808</v>
      </c>
      <c r="AY130" s="16">
        <v>2.822493526371801</v>
      </c>
      <c r="AZ130" s="19">
        <v>0.29889680855920631</v>
      </c>
      <c r="BA130" s="19">
        <v>10.846095776423525</v>
      </c>
      <c r="BB130" s="19">
        <v>-3.6449384402173877</v>
      </c>
      <c r="BC130" s="19">
        <v>-0.20295071300049017</v>
      </c>
      <c r="BD130" s="19">
        <v>1.2364606889880605</v>
      </c>
      <c r="BE130" s="19">
        <v>-0.83006052408526898</v>
      </c>
      <c r="BF130" s="19">
        <v>5.6213017622487058</v>
      </c>
      <c r="BG130" s="19">
        <v>7.3161352216549744</v>
      </c>
      <c r="BH130" s="19">
        <v>0.69202851520604725</v>
      </c>
      <c r="BI130" s="19">
        <v>3.9370529333870934</v>
      </c>
      <c r="BJ130" s="19">
        <v>0.22723313900118569</v>
      </c>
      <c r="BK130" s="19">
        <v>2.0547824778039683</v>
      </c>
      <c r="BL130" s="19">
        <v>2.9368746075283809</v>
      </c>
      <c r="BM130" s="19">
        <v>-15.230082749045366</v>
      </c>
      <c r="BN130" s="19">
        <v>0.55566181305803752</v>
      </c>
      <c r="BO130" s="16">
        <v>10.40457357015687</v>
      </c>
      <c r="BP130" s="16">
        <v>3.2188969709557824</v>
      </c>
    </row>
    <row r="131" spans="1:68" x14ac:dyDescent="0.3">
      <c r="A131" s="16" t="s">
        <v>465</v>
      </c>
      <c r="B131" s="16" t="s">
        <v>464</v>
      </c>
      <c r="C131" s="16" t="s">
        <v>604</v>
      </c>
      <c r="D131" s="16" t="s">
        <v>605</v>
      </c>
      <c r="F131" s="16">
        <v>3.8095547622288137</v>
      </c>
      <c r="G131" s="16">
        <v>0.96664237445753542</v>
      </c>
      <c r="H131" s="16">
        <v>6.0264258742795249</v>
      </c>
      <c r="I131" s="16">
        <v>6.6477695176412084</v>
      </c>
      <c r="J131" s="16">
        <v>4.6246224453243059</v>
      </c>
      <c r="K131" s="16">
        <v>9.2131018764903416</v>
      </c>
      <c r="L131" s="16">
        <v>6.5620893739758657</v>
      </c>
      <c r="M131" s="16">
        <v>10.570155274121106</v>
      </c>
      <c r="N131" s="16">
        <v>11.997471227135208</v>
      </c>
      <c r="O131" s="16">
        <v>7.6750525285142572</v>
      </c>
      <c r="P131" s="16">
        <v>8.3876428794463038</v>
      </c>
      <c r="Q131" s="16">
        <v>5.2217689337706616</v>
      </c>
      <c r="R131" s="16">
        <v>12.884442118628783</v>
      </c>
      <c r="S131" s="16">
        <v>7.6521908682136512</v>
      </c>
      <c r="T131" s="16">
        <v>6.0412350593103383</v>
      </c>
      <c r="U131" s="16">
        <v>11.42815462785083</v>
      </c>
      <c r="V131" s="16">
        <v>10.598201529084477</v>
      </c>
      <c r="W131" s="16">
        <v>9.2801307300099722</v>
      </c>
      <c r="X131" s="16">
        <v>7.0352593379445523</v>
      </c>
      <c r="Y131" s="16">
        <v>-3.1666205216750711</v>
      </c>
      <c r="Z131" s="16">
        <v>5.5859026676615855</v>
      </c>
      <c r="AA131" s="16">
        <v>6.6766189145382384</v>
      </c>
      <c r="AB131" s="16">
        <v>11.71702140972333</v>
      </c>
      <c r="AC131" s="16">
        <v>9.1957957603706859</v>
      </c>
      <c r="AD131" s="16">
        <v>6.782329339527422</v>
      </c>
      <c r="AE131" s="16">
        <v>10.225351920763529</v>
      </c>
      <c r="AF131" s="16">
        <v>11.618665630403441</v>
      </c>
      <c r="AG131" s="16">
        <v>10.896495191322614</v>
      </c>
      <c r="AH131" s="16">
        <v>6.0190630970171668</v>
      </c>
      <c r="AI131" s="16">
        <v>8.80042947047626</v>
      </c>
      <c r="AJ131" s="16">
        <v>9.6869989293583814</v>
      </c>
      <c r="AK131" s="16">
        <v>5.1007816958350531</v>
      </c>
      <c r="AL131" s="16">
        <v>5.7972855170931581</v>
      </c>
      <c r="AM131" s="16">
        <v>8.1747641513817797</v>
      </c>
      <c r="AN131" s="16">
        <v>8.5171530445416153</v>
      </c>
      <c r="AO131" s="16">
        <v>6.8676244884239566</v>
      </c>
      <c r="AP131" s="16">
        <v>5.1796297658261778</v>
      </c>
      <c r="AQ131" s="16">
        <v>-5.8118196273288021</v>
      </c>
      <c r="AR131" s="16">
        <v>10.677450583537791</v>
      </c>
      <c r="AS131" s="16">
        <v>8.152689659585306</v>
      </c>
      <c r="AT131" s="16">
        <v>4.0510064029760713</v>
      </c>
      <c r="AU131" s="16">
        <v>7.1043331095484348</v>
      </c>
      <c r="AV131" s="16">
        <v>2.6140398272663958</v>
      </c>
      <c r="AW131" s="16">
        <v>4.7812861532405151</v>
      </c>
      <c r="AX131" s="16">
        <v>4.0876451466190389</v>
      </c>
      <c r="AY131" s="16">
        <v>4.71292765493601</v>
      </c>
      <c r="AZ131" s="19">
        <v>5.2663611457193156</v>
      </c>
      <c r="BA131" s="19">
        <v>2.233752259771677</v>
      </c>
      <c r="BB131" s="19">
        <v>0.27526898032958513</v>
      </c>
      <c r="BC131" s="19">
        <v>6.274019888653882</v>
      </c>
      <c r="BD131" s="19">
        <v>2.8914119943402596</v>
      </c>
      <c r="BE131" s="19">
        <v>1.8655994959656255</v>
      </c>
      <c r="BF131" s="19">
        <v>2.6961509612895469</v>
      </c>
      <c r="BG131" s="19">
        <v>2.5562195088349711</v>
      </c>
      <c r="BH131" s="19">
        <v>2.2684294006858181</v>
      </c>
      <c r="BI131" s="19">
        <v>2.5391447288434961</v>
      </c>
      <c r="BJ131" s="19">
        <v>2.8701969615114677</v>
      </c>
      <c r="BK131" s="19">
        <v>2.4622462161331384</v>
      </c>
      <c r="BL131" s="19">
        <v>1.8889146004306951</v>
      </c>
      <c r="BM131" s="19">
        <v>-0.84621223779923582</v>
      </c>
      <c r="BN131" s="19">
        <v>4.4391212931781894</v>
      </c>
      <c r="BO131" s="16">
        <v>2.8052376287183591</v>
      </c>
      <c r="BP131" s="16">
        <v>1.2782352431085968</v>
      </c>
    </row>
    <row r="132" spans="1:68" x14ac:dyDescent="0.3">
      <c r="A132" s="16" t="s">
        <v>136</v>
      </c>
      <c r="B132" s="16" t="s">
        <v>466</v>
      </c>
      <c r="C132" s="16" t="s">
        <v>604</v>
      </c>
      <c r="D132" s="16" t="s">
        <v>605</v>
      </c>
      <c r="P132" s="16">
        <v>6.9600670371073647E-2</v>
      </c>
      <c r="Q132" s="16">
        <v>-2.3587284847459387</v>
      </c>
      <c r="R132" s="16">
        <v>-12.032468679885582</v>
      </c>
      <c r="S132" s="16">
        <v>-18.049162625851238</v>
      </c>
      <c r="T132" s="16">
        <v>-17.522905934313016</v>
      </c>
      <c r="U132" s="16">
        <v>-3.3312190498577365E-2</v>
      </c>
      <c r="V132" s="16">
        <v>-9.894258416492093</v>
      </c>
      <c r="W132" s="16">
        <v>0.7434939410007928</v>
      </c>
      <c r="X132" s="16">
        <v>7.1897781068601176</v>
      </c>
      <c r="Y132" s="16">
        <v>-23.813006171196548</v>
      </c>
      <c r="Z132" s="16">
        <v>-23.004507346479812</v>
      </c>
      <c r="AA132" s="16">
        <v>-16.014766716933877</v>
      </c>
      <c r="AB132" s="16">
        <v>2.7712500988545941</v>
      </c>
      <c r="AC132" s="16">
        <v>0.71873402976811462</v>
      </c>
      <c r="AD132" s="16">
        <v>-8.0651195284225423</v>
      </c>
      <c r="AE132" s="16">
        <v>4.2032540371011606</v>
      </c>
      <c r="AF132" s="16">
        <v>3.9024035029005404</v>
      </c>
      <c r="AG132" s="16">
        <v>-13.460824430886944</v>
      </c>
      <c r="AH132" s="16">
        <v>21.286686758040062</v>
      </c>
      <c r="AI132" s="16">
        <v>-2.6620050704199372</v>
      </c>
      <c r="AJ132" s="16">
        <v>-26.234943550689266</v>
      </c>
      <c r="AK132" s="16">
        <v>51.097192412264633</v>
      </c>
      <c r="AL132" s="16">
        <v>31.315592770227056</v>
      </c>
      <c r="AM132" s="16">
        <v>9.264680732119885</v>
      </c>
      <c r="AN132" s="16">
        <v>3.9640428434673254</v>
      </c>
      <c r="AO132" s="16">
        <v>-2.2356249472764631</v>
      </c>
      <c r="AP132" s="16">
        <v>-0.90954849484883482</v>
      </c>
      <c r="AQ132" s="16">
        <v>0.35338096662702867</v>
      </c>
      <c r="AR132" s="16">
        <v>-4.8169547036612812</v>
      </c>
      <c r="AS132" s="16">
        <v>1.5847502057911811</v>
      </c>
      <c r="AT132" s="16">
        <v>-2.6432652052488521</v>
      </c>
      <c r="AU132" s="16">
        <v>0.21220915397660178</v>
      </c>
      <c r="AV132" s="16">
        <v>14.303299855476894</v>
      </c>
      <c r="AW132" s="16">
        <v>7.579610784590443</v>
      </c>
      <c r="AX132" s="16">
        <v>6.5554966157057635</v>
      </c>
      <c r="AY132" s="16">
        <v>1.6916014574946701</v>
      </c>
      <c r="AZ132" s="19">
        <v>-6.9993092337000462E-2</v>
      </c>
      <c r="BA132" s="19">
        <v>-3.0932247054017665</v>
      </c>
      <c r="BB132" s="19">
        <v>-11.883218069405302</v>
      </c>
      <c r="BC132" s="19">
        <v>-7.2731893773118657</v>
      </c>
      <c r="BD132" s="19">
        <v>2.6379496689340414</v>
      </c>
      <c r="BE132" s="19">
        <v>-1.2525608488937223</v>
      </c>
      <c r="BF132" s="19">
        <v>-5.8368859339130807</v>
      </c>
      <c r="BG132" s="19">
        <v>-2.5733828742891092</v>
      </c>
      <c r="BH132" s="19">
        <v>-3.1944129440563955</v>
      </c>
      <c r="BI132" s="19">
        <v>-0.61681508563005139</v>
      </c>
      <c r="BJ132" s="19">
        <v>-6.4867891081439808</v>
      </c>
      <c r="BK132" s="19">
        <v>-2.1282781576276761</v>
      </c>
      <c r="BL132" s="19">
        <v>-1.4472688575659021</v>
      </c>
      <c r="BM132" s="19">
        <v>-3.5218553217870578</v>
      </c>
      <c r="BN132" s="19">
        <v>4.3376243562723005</v>
      </c>
      <c r="BO132" s="16">
        <v>5.6718422166951257</v>
      </c>
      <c r="BP132" s="16">
        <v>-3.1654626220755659</v>
      </c>
    </row>
    <row r="133" spans="1:68" x14ac:dyDescent="0.3">
      <c r="A133" s="16" t="s">
        <v>681</v>
      </c>
      <c r="B133" s="16" t="s">
        <v>682</v>
      </c>
      <c r="C133" s="16" t="s">
        <v>604</v>
      </c>
      <c r="D133" s="16" t="s">
        <v>605</v>
      </c>
      <c r="F133" s="16">
        <v>3.2258663501032458</v>
      </c>
      <c r="G133" s="16">
        <v>1.4582890689407435</v>
      </c>
      <c r="H133" s="16">
        <v>-1.0485726025025315</v>
      </c>
      <c r="I133" s="16">
        <v>4.6573759753296287</v>
      </c>
      <c r="J133" s="16">
        <v>2.9938719061262304</v>
      </c>
      <c r="K133" s="16">
        <v>1.8438298563826976</v>
      </c>
      <c r="L133" s="16">
        <v>1.7128442727049986</v>
      </c>
      <c r="M133" s="16">
        <v>4.6842392934760824</v>
      </c>
      <c r="N133" s="16">
        <v>4.1989676828424933</v>
      </c>
      <c r="O133" s="16">
        <v>4.152443749633747</v>
      </c>
      <c r="P133" s="16">
        <v>4.3491475222567288</v>
      </c>
      <c r="Q133" s="16">
        <v>5.1065892692633668</v>
      </c>
      <c r="R133" s="16">
        <v>6.0731412600381134</v>
      </c>
      <c r="S133" s="16">
        <v>4.0972763481144057</v>
      </c>
      <c r="T133" s="16">
        <v>1.7787844279611278</v>
      </c>
      <c r="U133" s="16">
        <v>3.0492720559182942</v>
      </c>
      <c r="V133" s="16">
        <v>2.3205856139078236</v>
      </c>
      <c r="W133" s="16">
        <v>1.8737593870148999</v>
      </c>
      <c r="X133" s="16">
        <v>4.8872853263826528</v>
      </c>
      <c r="Y133" s="16">
        <v>4.2357863554681501</v>
      </c>
      <c r="Z133" s="16">
        <v>-1.1332352074387586</v>
      </c>
      <c r="AA133" s="16">
        <v>-1.8619786355598649</v>
      </c>
      <c r="AB133" s="16">
        <v>-4.1411573701071802</v>
      </c>
      <c r="AC133" s="16">
        <v>1.7652217316981336</v>
      </c>
      <c r="AD133" s="16">
        <v>1.0599876628990046</v>
      </c>
      <c r="AE133" s="16">
        <v>1.3304980561532602</v>
      </c>
      <c r="AF133" s="16">
        <v>1.1738657308714551</v>
      </c>
      <c r="AG133" s="16">
        <v>-1.5509739771647162</v>
      </c>
      <c r="AH133" s="16">
        <v>-0.49961085749120571</v>
      </c>
      <c r="AI133" s="16">
        <v>-2.3255421109020489</v>
      </c>
      <c r="AJ133" s="16">
        <v>0.90870888590144716</v>
      </c>
      <c r="AK133" s="16">
        <v>0.31137123848475312</v>
      </c>
      <c r="AL133" s="16">
        <v>2.52927032869583</v>
      </c>
      <c r="AM133" s="16">
        <v>3.4590122168876007</v>
      </c>
      <c r="AN133" s="16">
        <v>-1.2707588489517718</v>
      </c>
      <c r="AO133" s="16">
        <v>2.1788435896453677</v>
      </c>
      <c r="AP133" s="16">
        <v>3.6100271881905286</v>
      </c>
      <c r="AQ133" s="16">
        <v>1.1917199705334269</v>
      </c>
      <c r="AR133" s="16">
        <v>-0.98816192506619416</v>
      </c>
      <c r="AS133" s="16">
        <v>2.1081256766019862</v>
      </c>
      <c r="AT133" s="16">
        <v>-1.2359757586146998</v>
      </c>
      <c r="AU133" s="16">
        <v>-0.99536574528801225</v>
      </c>
      <c r="AV133" s="16">
        <v>1.0767576992538892</v>
      </c>
      <c r="AW133" s="16">
        <v>3.9465683771784796</v>
      </c>
      <c r="AX133" s="16">
        <v>2.7082535729471431</v>
      </c>
      <c r="AY133" s="16">
        <v>4.0013369817959017</v>
      </c>
      <c r="AZ133" s="19">
        <v>4.1224638465898522</v>
      </c>
      <c r="BA133" s="19">
        <v>2.5838004555482712</v>
      </c>
      <c r="BB133" s="19">
        <v>-3.4717291854034897</v>
      </c>
      <c r="BC133" s="19">
        <v>5.562020209192454</v>
      </c>
      <c r="BD133" s="19">
        <v>3.2470929950321619</v>
      </c>
      <c r="BE133" s="19">
        <v>1.2295597308734614</v>
      </c>
      <c r="BF133" s="19">
        <v>1.6557859121888185</v>
      </c>
      <c r="BG133" s="19">
        <v>0.22797704327098245</v>
      </c>
      <c r="BH133" s="19">
        <v>-0.74543256636528099</v>
      </c>
      <c r="BI133" s="19">
        <v>-1.5090282531848231</v>
      </c>
      <c r="BJ133" s="19">
        <v>0.94372632712263282</v>
      </c>
      <c r="BK133" s="19">
        <v>0.46635605331412933</v>
      </c>
      <c r="BL133" s="19">
        <v>-0.38507840818601835</v>
      </c>
      <c r="BM133" s="19">
        <v>-7.3865762988388752</v>
      </c>
      <c r="BN133" s="19">
        <v>6.0046181124567397</v>
      </c>
      <c r="BO133" s="16">
        <v>3.164305299162379</v>
      </c>
      <c r="BP133" s="16">
        <v>1.4322973169934556</v>
      </c>
    </row>
    <row r="134" spans="1:68" x14ac:dyDescent="0.3">
      <c r="A134" s="16" t="s">
        <v>468</v>
      </c>
      <c r="B134" s="16" t="s">
        <v>467</v>
      </c>
      <c r="C134" s="16" t="s">
        <v>604</v>
      </c>
      <c r="D134" s="16" t="s">
        <v>605</v>
      </c>
      <c r="AD134" s="16">
        <v>2.2155326137053493</v>
      </c>
      <c r="AE134" s="16">
        <v>1.974756757099442</v>
      </c>
      <c r="AF134" s="16">
        <v>-4.1967113010311579</v>
      </c>
      <c r="AG134" s="16">
        <v>-4.7819321655247791</v>
      </c>
      <c r="AH134" s="16">
        <v>10.961926802693583</v>
      </c>
      <c r="AI134" s="16">
        <v>3.7142141607737926</v>
      </c>
      <c r="AJ134" s="16">
        <v>1.4105840757241452</v>
      </c>
      <c r="AK134" s="16">
        <v>2.6928205319920409</v>
      </c>
      <c r="AL134" s="16">
        <v>3.1052034226340908</v>
      </c>
      <c r="AM134" s="16">
        <v>5.3998100843956252</v>
      </c>
      <c r="AN134" s="16">
        <v>4.4359250879544447</v>
      </c>
      <c r="AO134" s="16">
        <v>4.4589665972384296</v>
      </c>
      <c r="AP134" s="16">
        <v>4.659675818743338</v>
      </c>
      <c r="AQ134" s="16">
        <v>2.0577619120000037</v>
      </c>
      <c r="AR134" s="16">
        <v>5.4348840815913206</v>
      </c>
      <c r="AS134" s="16">
        <v>4.0299603702473803</v>
      </c>
      <c r="AT134" s="16">
        <v>4.0490696141432636</v>
      </c>
      <c r="AU134" s="16">
        <v>4.2864605796712993</v>
      </c>
      <c r="AV134" s="16">
        <v>4.5202204018292207</v>
      </c>
      <c r="AW134" s="16">
        <v>4.8991547637914579</v>
      </c>
      <c r="AX134" s="16">
        <v>5.5556992964582719</v>
      </c>
      <c r="AY134" s="16">
        <v>6.909167407178856</v>
      </c>
      <c r="AZ134" s="19">
        <v>5.9092356486568463</v>
      </c>
      <c r="BA134" s="19">
        <v>6.1640347882196949</v>
      </c>
      <c r="BB134" s="19">
        <v>5.8785488945951982</v>
      </c>
      <c r="BC134" s="19">
        <v>6.9223993242259354</v>
      </c>
      <c r="BD134" s="19">
        <v>6.4742431384747761</v>
      </c>
      <c r="BE134" s="19">
        <v>6.4912814369499472</v>
      </c>
      <c r="BF134" s="19">
        <v>6.5216466567447071</v>
      </c>
      <c r="BG134" s="19">
        <v>6.1531330529220156</v>
      </c>
      <c r="BH134" s="19">
        <v>5.7534110050290224</v>
      </c>
      <c r="BI134" s="19">
        <v>5.4085864046275418</v>
      </c>
      <c r="BJ134" s="19">
        <v>5.2649284397735698</v>
      </c>
      <c r="BK134" s="19">
        <v>4.6465556189840385</v>
      </c>
      <c r="BL134" s="19">
        <v>3.8924479033244808</v>
      </c>
      <c r="BM134" s="19">
        <v>-0.97094143773695407</v>
      </c>
      <c r="BN134" s="19">
        <v>1.0693803181078323</v>
      </c>
      <c r="BO134" s="16">
        <v>1.2830902927582883</v>
      </c>
      <c r="BP134" s="16">
        <v>2.328154177790438</v>
      </c>
    </row>
    <row r="135" spans="1:68" x14ac:dyDescent="0.3">
      <c r="A135" s="16" t="s">
        <v>140</v>
      </c>
      <c r="B135" s="16" t="s">
        <v>469</v>
      </c>
      <c r="C135" s="16" t="s">
        <v>604</v>
      </c>
      <c r="D135" s="16" t="s">
        <v>605</v>
      </c>
      <c r="AH135" s="16">
        <v>-43.56690151853897</v>
      </c>
      <c r="AI135" s="16">
        <v>24.13192781118903</v>
      </c>
      <c r="AJ135" s="16">
        <v>46.470686604707623</v>
      </c>
      <c r="AK135" s="16">
        <v>13.992535684028738</v>
      </c>
      <c r="AL135" s="16">
        <v>8.6369931826889541</v>
      </c>
      <c r="AM135" s="16">
        <v>6.1771029164859215</v>
      </c>
      <c r="AN135" s="16">
        <v>4.5268020092222656</v>
      </c>
      <c r="AO135" s="16">
        <v>9.2279871339338655</v>
      </c>
      <c r="AP135" s="16">
        <v>-0.74857454156536107</v>
      </c>
      <c r="AQ135" s="16">
        <v>1.8986019375574159</v>
      </c>
      <c r="AR135" s="16">
        <v>-2.1929084245432762</v>
      </c>
      <c r="AS135" s="16">
        <v>-0.31458722542284079</v>
      </c>
      <c r="AT135" s="16">
        <v>2.2177244929472977</v>
      </c>
      <c r="AU135" s="16">
        <v>2.0865721030046416</v>
      </c>
      <c r="AV135" s="16">
        <v>1.8948044057135291</v>
      </c>
      <c r="AW135" s="16">
        <v>5.0473515795609529</v>
      </c>
      <c r="AX135" s="16">
        <v>1.1764254508029239</v>
      </c>
      <c r="AY135" s="16">
        <v>-0.10329400857236237</v>
      </c>
      <c r="AZ135" s="19">
        <v>7.270960976445167</v>
      </c>
      <c r="BA135" s="19">
        <v>7.3284140684366292</v>
      </c>
      <c r="BB135" s="19">
        <v>8.8179006672127969</v>
      </c>
      <c r="BC135" s="19">
        <v>7.0097827761685778</v>
      </c>
      <c r="BD135" s="19">
        <v>-0.11745031863395639</v>
      </c>
      <c r="BE135" s="19">
        <v>-7.5040322313356E-2</v>
      </c>
      <c r="BF135" s="19">
        <v>-5.3231509386091886</v>
      </c>
      <c r="BG135" s="19">
        <v>-7.2425909822286485</v>
      </c>
      <c r="BH135" s="19">
        <v>-1.493847611249933</v>
      </c>
      <c r="BI135" s="19">
        <v>3.8314472238158714</v>
      </c>
      <c r="BJ135" s="19">
        <v>3.3700379527302573</v>
      </c>
      <c r="BK135" s="19">
        <v>0.72715084189167101</v>
      </c>
      <c r="BL135" s="19">
        <v>-4.1952255123583342</v>
      </c>
      <c r="BM135" s="19">
        <v>-19.748428475045344</v>
      </c>
      <c r="BN135" s="19">
        <v>-5.8323667767103302</v>
      </c>
      <c r="BO135" s="16">
        <v>1.2409294716236019</v>
      </c>
    </row>
    <row r="136" spans="1:68" x14ac:dyDescent="0.3">
      <c r="A136" s="16" t="s">
        <v>142</v>
      </c>
      <c r="B136" s="16" t="s">
        <v>470</v>
      </c>
      <c r="C136" s="16" t="s">
        <v>604</v>
      </c>
      <c r="D136" s="16" t="s">
        <v>605</v>
      </c>
      <c r="F136" s="16">
        <v>-2.0234365249109487E-2</v>
      </c>
      <c r="G136" s="16">
        <v>-1.1234771366712124</v>
      </c>
      <c r="H136" s="16">
        <v>-0.2389381449077348</v>
      </c>
      <c r="I136" s="16">
        <v>2.552644199850846</v>
      </c>
      <c r="J136" s="16">
        <v>2.1792227647728026</v>
      </c>
      <c r="K136" s="16">
        <v>5.0107319722862371</v>
      </c>
      <c r="L136" s="16">
        <v>4.0680955052685164</v>
      </c>
      <c r="M136" s="16">
        <v>2.1172511294834919</v>
      </c>
      <c r="N136" s="16">
        <v>4.5476444281763833</v>
      </c>
      <c r="O136" s="16">
        <v>3.9168157144014941</v>
      </c>
      <c r="P136" s="16">
        <v>2.2435388783044914</v>
      </c>
      <c r="Q136" s="16">
        <v>1.4820998146199145</v>
      </c>
      <c r="R136" s="16">
        <v>-4.8314026629348206</v>
      </c>
      <c r="S136" s="16">
        <v>1.945710501449156</v>
      </c>
      <c r="T136" s="16">
        <v>-6.0873494404524564</v>
      </c>
      <c r="U136" s="16">
        <v>2.4397072658153007</v>
      </c>
      <c r="V136" s="16">
        <v>-1.2624213592828113</v>
      </c>
      <c r="W136" s="16">
        <v>1.7786207532807197</v>
      </c>
      <c r="X136" s="16">
        <v>0.25287451645301928</v>
      </c>
      <c r="Y136" s="16">
        <v>-6.9078079118002762</v>
      </c>
      <c r="Z136" s="16">
        <v>-4.965930538324983</v>
      </c>
      <c r="AA136" s="16">
        <v>-5.1924108840960344</v>
      </c>
      <c r="AB136" s="16">
        <v>-4.7596874847949806</v>
      </c>
      <c r="AC136" s="16">
        <v>-5.0358647921032684</v>
      </c>
      <c r="AD136" s="16">
        <v>-3.7444512280758886</v>
      </c>
      <c r="AE136" s="16">
        <v>-4.4986237028812326</v>
      </c>
      <c r="AF136" s="16">
        <v>-3.7802503289846072</v>
      </c>
      <c r="AG136" s="16">
        <v>-4.7397583280981621</v>
      </c>
      <c r="AH136" s="16">
        <v>-28.655881746525452</v>
      </c>
      <c r="AI136" s="16">
        <v>-44.429886239593785</v>
      </c>
      <c r="AJ136" s="16">
        <v>-2.2608859391439466</v>
      </c>
      <c r="AK136" s="16">
        <v>-38.671641038486001</v>
      </c>
      <c r="AL136" s="16">
        <v>-35.494033794900162</v>
      </c>
      <c r="AM136" s="16">
        <v>-21.483555200374809</v>
      </c>
      <c r="AN136" s="16">
        <v>-5.0358633213253796</v>
      </c>
      <c r="AO136" s="16">
        <v>8.9903163275437947</v>
      </c>
      <c r="AP136" s="16">
        <v>90.758060676180349</v>
      </c>
      <c r="AQ136" s="16">
        <v>17.581925089651946</v>
      </c>
      <c r="AR136" s="16">
        <v>15.172957169454008</v>
      </c>
      <c r="AS136" s="16">
        <v>23.93009996825144</v>
      </c>
      <c r="AT136" s="16">
        <v>-6.2901593936416589E-2</v>
      </c>
      <c r="AU136" s="16">
        <v>1.0863539953110006</v>
      </c>
      <c r="AV136" s="16">
        <v>-30.701540264356865</v>
      </c>
      <c r="AW136" s="16">
        <v>1.3948294090791507</v>
      </c>
      <c r="AX136" s="16">
        <v>0.64390729271390512</v>
      </c>
      <c r="AY136" s="16">
        <v>2.1317573441195066</v>
      </c>
      <c r="AZ136" s="19">
        <v>4.1879853451862346</v>
      </c>
      <c r="BA136" s="19">
        <v>2.8657668658571538</v>
      </c>
      <c r="BB136" s="19">
        <v>2.0329352441046353</v>
      </c>
      <c r="BC136" s="19">
        <v>3.0675012738516898</v>
      </c>
      <c r="BD136" s="19">
        <v>4.0293525538619832</v>
      </c>
      <c r="BE136" s="19">
        <v>4.2394828103780071</v>
      </c>
      <c r="BF136" s="19">
        <v>6.3410407454360609</v>
      </c>
      <c r="BG136" s="19">
        <v>-1.3504482696559847</v>
      </c>
      <c r="BH136" s="19">
        <v>-2.0330298394358834</v>
      </c>
      <c r="BI136" s="19">
        <v>-3.5164555097863257</v>
      </c>
      <c r="BJ136" s="19">
        <v>0.52136633195678428</v>
      </c>
      <c r="BK136" s="19">
        <v>-0.76155482035150612</v>
      </c>
      <c r="BL136" s="19">
        <v>-4.3434558864066588</v>
      </c>
      <c r="BM136" s="19">
        <v>-4.9332022730838787</v>
      </c>
      <c r="BN136" s="19">
        <v>2.8472821031485722</v>
      </c>
      <c r="BO136" s="16">
        <v>2.6484697711696299</v>
      </c>
      <c r="BP136" s="16">
        <v>2.4751811830793713</v>
      </c>
    </row>
    <row r="137" spans="1:68" x14ac:dyDescent="0.3">
      <c r="A137" s="16" t="s">
        <v>143</v>
      </c>
      <c r="B137" s="16" t="s">
        <v>683</v>
      </c>
      <c r="C137" s="16" t="s">
        <v>604</v>
      </c>
      <c r="D137" s="16" t="s">
        <v>605</v>
      </c>
      <c r="F137" s="16">
        <v>6.0481576826689292</v>
      </c>
      <c r="G137" s="16">
        <v>27.65608866538787</v>
      </c>
      <c r="H137" s="16">
        <v>29.974250939971313</v>
      </c>
      <c r="I137" s="16">
        <v>40.036295746162153</v>
      </c>
      <c r="J137" s="16">
        <v>24.532972272810454</v>
      </c>
      <c r="K137" s="16">
        <v>15.88206957296822</v>
      </c>
      <c r="L137" s="16">
        <v>8.689511350303647</v>
      </c>
      <c r="M137" s="16">
        <v>30.860904994564521</v>
      </c>
      <c r="N137" s="16">
        <v>10.451350957025269</v>
      </c>
      <c r="O137" s="16">
        <v>2.4025896782195417</v>
      </c>
      <c r="P137" s="16">
        <v>-7.6545352110955207</v>
      </c>
      <c r="Q137" s="16">
        <v>6.1723672188089154</v>
      </c>
      <c r="R137" s="16">
        <v>-1.5583400441759778</v>
      </c>
      <c r="S137" s="16">
        <v>16.856487453790464</v>
      </c>
      <c r="T137" s="16">
        <v>-1.0734192393431954</v>
      </c>
      <c r="U137" s="16">
        <v>16.674236371999967</v>
      </c>
      <c r="V137" s="16">
        <v>3.3691970390732848</v>
      </c>
      <c r="W137" s="16">
        <v>-1.8798658054068937</v>
      </c>
      <c r="X137" s="16">
        <v>3.51197794663058</v>
      </c>
      <c r="Y137" s="16">
        <v>-4.269698667577785</v>
      </c>
      <c r="Z137" s="16">
        <v>-23.066930096247418</v>
      </c>
      <c r="AA137" s="16">
        <v>-2.0247423919498146</v>
      </c>
      <c r="AB137" s="16">
        <v>-6.9770147488471679</v>
      </c>
      <c r="AC137" s="16">
        <v>-8.7967706880420593</v>
      </c>
      <c r="AD137" s="16">
        <v>4.8053987431475207</v>
      </c>
      <c r="AE137" s="16">
        <v>-14.053773865525926</v>
      </c>
      <c r="AF137" s="16">
        <v>-17.140430683053125</v>
      </c>
      <c r="AG137" s="16">
        <v>4.6464689898730143</v>
      </c>
      <c r="AH137" s="16">
        <v>4.3837868989170374</v>
      </c>
      <c r="AI137" s="16">
        <v>1.1022465505438248</v>
      </c>
      <c r="AJ137" s="16">
        <v>12.858613476168898</v>
      </c>
      <c r="AK137" s="16">
        <v>-4.9634215914807811</v>
      </c>
      <c r="AL137" s="16">
        <v>-5.8838042518344196</v>
      </c>
      <c r="AM137" s="16">
        <v>-0.18077976157947262</v>
      </c>
      <c r="AN137" s="16">
        <v>-4.1162067561171227</v>
      </c>
      <c r="AO137" s="16">
        <v>0.29058512761810107</v>
      </c>
      <c r="AP137" s="16">
        <v>3.4468024873150398</v>
      </c>
      <c r="AQ137" s="16">
        <v>-5.0745082290002301</v>
      </c>
      <c r="AR137" s="16">
        <v>-0.78481165522495644</v>
      </c>
      <c r="AS137" s="16">
        <v>1.732474526825456</v>
      </c>
      <c r="AT137" s="16">
        <v>-4.0181959269090584</v>
      </c>
      <c r="AU137" s="16">
        <v>-3.3300603480231672</v>
      </c>
      <c r="AV137" s="16">
        <v>10.216145074614985</v>
      </c>
      <c r="AW137" s="16">
        <v>1.7999032677307127</v>
      </c>
      <c r="AX137" s="16">
        <v>8.9882667721426799</v>
      </c>
      <c r="AY137" s="16">
        <v>4.0867517798125021</v>
      </c>
      <c r="AZ137" s="19">
        <v>4.0728989895071948</v>
      </c>
      <c r="BA137" s="19">
        <v>-2.2650126428746518</v>
      </c>
      <c r="BB137" s="19">
        <v>-6.3815788060220484</v>
      </c>
      <c r="BC137" s="19">
        <v>2.895038530666767</v>
      </c>
      <c r="BD137" s="19">
        <v>-47.899986008209162</v>
      </c>
      <c r="BE137" s="19">
        <v>96.95641989940242</v>
      </c>
      <c r="BF137" s="19">
        <v>-19.578357208148233</v>
      </c>
      <c r="BG137" s="19">
        <v>-24.463161470662641</v>
      </c>
      <c r="BH137" s="19">
        <v>-2.3554369235898207</v>
      </c>
      <c r="BI137" s="19">
        <v>-2.9015901078619777</v>
      </c>
      <c r="BJ137" s="19">
        <v>30.496301378599725</v>
      </c>
      <c r="BK137" s="19">
        <v>6.2828368956636922</v>
      </c>
      <c r="BL137" s="19">
        <v>-7.3012371677890542</v>
      </c>
      <c r="BM137" s="19">
        <v>-58.849774709914271</v>
      </c>
      <c r="BN137" s="19">
        <v>150.43147128152006</v>
      </c>
      <c r="BO137" s="16">
        <v>0.18979195922258896</v>
      </c>
      <c r="BP137" s="16">
        <v>-2.758113083146128</v>
      </c>
    </row>
    <row r="138" spans="1:68" x14ac:dyDescent="0.3">
      <c r="A138" s="16" t="s">
        <v>684</v>
      </c>
      <c r="B138" s="16" t="s">
        <v>685</v>
      </c>
      <c r="C138" s="16" t="s">
        <v>604</v>
      </c>
      <c r="D138" s="16" t="s">
        <v>605</v>
      </c>
      <c r="W138" s="16">
        <v>8.4213674842826407</v>
      </c>
      <c r="X138" s="16">
        <v>1.9977368793607724</v>
      </c>
      <c r="Y138" s="16">
        <v>-3.9649679559171318</v>
      </c>
      <c r="Z138" s="16">
        <v>4.3575125727556241</v>
      </c>
      <c r="AA138" s="16">
        <v>0.23786046934768024</v>
      </c>
      <c r="AB138" s="16">
        <v>3.1298790482623673</v>
      </c>
      <c r="AC138" s="16">
        <v>5.4713131351166595</v>
      </c>
      <c r="AD138" s="16">
        <v>6.5535424397893109</v>
      </c>
      <c r="AE138" s="16">
        <v>12.654717480085935</v>
      </c>
      <c r="AF138" s="16">
        <v>2.4269500514129305</v>
      </c>
      <c r="AG138" s="16">
        <v>12.355372998275513</v>
      </c>
      <c r="AH138" s="16">
        <v>7.5867065565720253</v>
      </c>
      <c r="AI138" s="16">
        <v>8.4666886730327491</v>
      </c>
      <c r="AJ138" s="16">
        <v>-0.99287881449721738</v>
      </c>
      <c r="AK138" s="16">
        <v>6.3664408967392774</v>
      </c>
      <c r="AL138" s="16">
        <v>-0.88904667990932751</v>
      </c>
      <c r="AM138" s="16">
        <v>0.27190339650915973</v>
      </c>
      <c r="AN138" s="16">
        <v>0.55474725277611014</v>
      </c>
      <c r="AO138" s="16">
        <v>1.8390093469292879</v>
      </c>
      <c r="AP138" s="16">
        <v>-1.6427658589854701</v>
      </c>
      <c r="AQ138" s="16">
        <v>5.3371400100414235</v>
      </c>
      <c r="AR138" s="16">
        <v>1.7616868476450378</v>
      </c>
      <c r="AS138" s="16">
        <v>-0.73156895870923222</v>
      </c>
      <c r="AT138" s="16">
        <v>-4.0660684827708309</v>
      </c>
      <c r="AU138" s="16">
        <v>-0.33140223067026398</v>
      </c>
      <c r="AV138" s="16">
        <v>3.4665456834345605</v>
      </c>
      <c r="AW138" s="16">
        <v>6.4888924921502564</v>
      </c>
      <c r="AX138" s="16">
        <v>-1.1009882211383086</v>
      </c>
      <c r="AY138" s="16">
        <v>5.5037473562636592</v>
      </c>
      <c r="AZ138" s="19">
        <v>1.055431321232561</v>
      </c>
      <c r="BA138" s="19">
        <v>4.2906493972565585</v>
      </c>
      <c r="BB138" s="19">
        <v>-3.4656815464575033</v>
      </c>
      <c r="BC138" s="19">
        <v>-0.40190606344062019</v>
      </c>
      <c r="BD138" s="19">
        <v>3.593633090868849</v>
      </c>
      <c r="BE138" s="19">
        <v>-0.67363177342612346</v>
      </c>
      <c r="BF138" s="19">
        <v>-2.4860490388256125</v>
      </c>
      <c r="BG138" s="19">
        <v>1.0409585846688003</v>
      </c>
      <c r="BH138" s="19">
        <v>-0.36470030142582743</v>
      </c>
      <c r="BI138" s="19">
        <v>2.9647021455596132</v>
      </c>
      <c r="BJ138" s="19">
        <v>2.941982324279266</v>
      </c>
      <c r="BK138" s="19">
        <v>2.4674538576198159</v>
      </c>
      <c r="BL138" s="19">
        <v>-1.0405897340732224</v>
      </c>
      <c r="BM138" s="19">
        <v>-24.779868359769537</v>
      </c>
      <c r="BN138" s="19">
        <v>11.971279751685216</v>
      </c>
      <c r="BO138" s="16">
        <v>17.9401418481349</v>
      </c>
      <c r="BP138" s="16">
        <v>2.9644530602881218</v>
      </c>
    </row>
    <row r="139" spans="1:68" hidden="1" x14ac:dyDescent="0.3">
      <c r="A139" s="16" t="s">
        <v>686</v>
      </c>
      <c r="B139" s="16" t="s">
        <v>687</v>
      </c>
      <c r="C139" s="16" t="s">
        <v>604</v>
      </c>
      <c r="D139" s="16" t="s">
        <v>605</v>
      </c>
      <c r="F139" s="16">
        <v>3.2299819199691768</v>
      </c>
      <c r="G139" s="16">
        <v>1.4597003879316617</v>
      </c>
      <c r="H139" s="16">
        <v>-0.69693551145014965</v>
      </c>
      <c r="I139" s="16">
        <v>4.3697201026886319</v>
      </c>
      <c r="J139" s="16">
        <v>2.8587125078840074</v>
      </c>
      <c r="K139" s="16">
        <v>2.2030952327471027</v>
      </c>
      <c r="L139" s="16">
        <v>1.6674009984813978</v>
      </c>
      <c r="M139" s="16">
        <v>4.4125956278630696</v>
      </c>
      <c r="N139" s="16">
        <v>4.1855034385865935</v>
      </c>
      <c r="O139" s="16">
        <v>3.9191323146017965</v>
      </c>
      <c r="P139" s="16">
        <v>4.2945256126601521</v>
      </c>
      <c r="Q139" s="16">
        <v>4.5990231421124292</v>
      </c>
      <c r="R139" s="16">
        <v>5.4232030780822669</v>
      </c>
      <c r="S139" s="16">
        <v>3.7395566909844291</v>
      </c>
      <c r="T139" s="16">
        <v>1.1789222157543691</v>
      </c>
      <c r="U139" s="16">
        <v>3.0201065529999198</v>
      </c>
      <c r="V139" s="16">
        <v>2.4700383906559438</v>
      </c>
      <c r="W139" s="16">
        <v>2.1333309623477135</v>
      </c>
      <c r="X139" s="16">
        <v>4.9595723832997578</v>
      </c>
      <c r="Y139" s="16">
        <v>4.2770864542873426</v>
      </c>
      <c r="Z139" s="16">
        <v>-0.93570763978932803</v>
      </c>
      <c r="AA139" s="16">
        <v>-2.2520689201309096</v>
      </c>
      <c r="AB139" s="16">
        <v>-4.3112322881841578</v>
      </c>
      <c r="AC139" s="16">
        <v>1.7687741473630467</v>
      </c>
      <c r="AD139" s="16">
        <v>1.0692292018759133</v>
      </c>
      <c r="AE139" s="16">
        <v>1.453871610516245</v>
      </c>
      <c r="AF139" s="16">
        <v>1.319606159370764</v>
      </c>
      <c r="AG139" s="16">
        <v>-1.2950274101196868</v>
      </c>
      <c r="AH139" s="16">
        <v>-0.18347006016331591</v>
      </c>
      <c r="AI139" s="16">
        <v>-2.2290489022887385</v>
      </c>
      <c r="AJ139" s="16">
        <v>1.0596268307020011</v>
      </c>
      <c r="AK139" s="16">
        <v>0.74319263829218585</v>
      </c>
      <c r="AL139" s="16">
        <v>2.5741802382266599</v>
      </c>
      <c r="AM139" s="16">
        <v>3.4246189237591977</v>
      </c>
      <c r="AN139" s="16">
        <v>-0.85889968910984749</v>
      </c>
      <c r="AO139" s="16">
        <v>2.2775453939848802</v>
      </c>
      <c r="AP139" s="16">
        <v>3.720293305108143</v>
      </c>
      <c r="AQ139" s="16">
        <v>1.3901487835036477</v>
      </c>
      <c r="AR139" s="16">
        <v>-0.83034482088581285</v>
      </c>
      <c r="AS139" s="16">
        <v>2.1060019693555319</v>
      </c>
      <c r="AT139" s="16">
        <v>-0.95411775509130337</v>
      </c>
      <c r="AU139" s="16">
        <v>-0.89430143344473834</v>
      </c>
      <c r="AV139" s="16">
        <v>1.1264332047654477</v>
      </c>
      <c r="AW139" s="16">
        <v>4.1087556168415347</v>
      </c>
      <c r="AX139" s="16">
        <v>2.6545728166223768</v>
      </c>
      <c r="AY139" s="16">
        <v>3.8822106753031846</v>
      </c>
      <c r="AZ139" s="19">
        <v>3.9734382273232569</v>
      </c>
      <c r="BA139" s="19">
        <v>2.4871887461937519</v>
      </c>
      <c r="BB139" s="19">
        <v>-3.3442588787559515</v>
      </c>
      <c r="BC139" s="19">
        <v>5.2801555478273769</v>
      </c>
      <c r="BD139" s="19">
        <v>3.232197269623228</v>
      </c>
      <c r="BE139" s="19">
        <v>1.4373894342572413</v>
      </c>
      <c r="BF139" s="19">
        <v>1.6623588265400002</v>
      </c>
      <c r="BG139" s="19">
        <v>0.28131593055584858</v>
      </c>
      <c r="BH139" s="19">
        <v>-0.61714260860244963</v>
      </c>
      <c r="BI139" s="19">
        <v>-1.3315582525083727</v>
      </c>
      <c r="BJ139" s="19">
        <v>0.90472133326875337</v>
      </c>
      <c r="BK139" s="19">
        <v>0.64574670999387251</v>
      </c>
      <c r="BL139" s="19">
        <v>-0.16586599405287927</v>
      </c>
      <c r="BM139" s="19">
        <v>-7.4010623712174635</v>
      </c>
      <c r="BN139" s="19">
        <v>6.2705550775611982</v>
      </c>
      <c r="BO139" s="16">
        <v>3.3052646882962193</v>
      </c>
      <c r="BP139" s="16">
        <v>1.4073607018683276</v>
      </c>
    </row>
    <row r="140" spans="1:68" hidden="1" x14ac:dyDescent="0.3">
      <c r="A140" s="16" t="s">
        <v>688</v>
      </c>
      <c r="B140" s="16" t="s">
        <v>689</v>
      </c>
      <c r="C140" s="16" t="s">
        <v>604</v>
      </c>
      <c r="D140" s="16" t="s">
        <v>605</v>
      </c>
      <c r="G140" s="16">
        <v>4.8993260600915391</v>
      </c>
      <c r="H140" s="16">
        <v>-0.43566982196873028</v>
      </c>
      <c r="I140" s="16">
        <v>1.077027556780493</v>
      </c>
      <c r="J140" s="16">
        <v>1.102114187145105</v>
      </c>
      <c r="K140" s="16">
        <v>0.79850325359853969</v>
      </c>
      <c r="L140" s="16">
        <v>-1.4509809442738231</v>
      </c>
      <c r="M140" s="16">
        <v>2.4999948215167507</v>
      </c>
      <c r="N140" s="16">
        <v>0.60386929796113975</v>
      </c>
      <c r="O140" s="16">
        <v>-3.1464820307809447</v>
      </c>
      <c r="P140" s="16">
        <v>-0.49562908374825554</v>
      </c>
      <c r="Q140" s="16">
        <v>-3.6742777143296053</v>
      </c>
      <c r="R140" s="16">
        <v>-0.26702452831925427</v>
      </c>
      <c r="S140" s="16">
        <v>3.0549860434544485</v>
      </c>
      <c r="T140" s="16">
        <v>-1.9661022657908092</v>
      </c>
      <c r="U140" s="16">
        <v>1.4864329368279243</v>
      </c>
      <c r="V140" s="16">
        <v>-0.30914308617491315</v>
      </c>
      <c r="W140" s="16">
        <v>-0.92248654391566731</v>
      </c>
      <c r="X140" s="16">
        <v>-0.72282651272385579</v>
      </c>
      <c r="Y140" s="16">
        <v>-0.26804714274462071</v>
      </c>
      <c r="Z140" s="16">
        <v>0.22839524686287405</v>
      </c>
      <c r="AA140" s="16">
        <v>-1.4133659672612424</v>
      </c>
      <c r="AB140" s="16">
        <v>-1.0209138463831948</v>
      </c>
      <c r="AC140" s="16">
        <v>-0.37742138918537194</v>
      </c>
      <c r="AD140" s="16">
        <v>-0.98483579516164355</v>
      </c>
      <c r="AE140" s="16">
        <v>0.79858177194526547</v>
      </c>
      <c r="AF140" s="16">
        <v>1.5875362008920746</v>
      </c>
      <c r="AG140" s="16">
        <v>0.23693107338573327</v>
      </c>
      <c r="AH140" s="16">
        <v>-0.73610473658293074</v>
      </c>
      <c r="AI140" s="16">
        <v>-2.4052800352328347</v>
      </c>
      <c r="AJ140" s="16">
        <v>-0.670618719193115</v>
      </c>
      <c r="AK140" s="16">
        <v>-2.1745916362221607</v>
      </c>
      <c r="AL140" s="16">
        <v>-2.9879514383655561</v>
      </c>
      <c r="AM140" s="16">
        <v>-1.8853069572478915</v>
      </c>
      <c r="AN140" s="16">
        <v>3.1561802439769622</v>
      </c>
      <c r="AO140" s="16">
        <v>3.0038730593060023</v>
      </c>
      <c r="AP140" s="16">
        <v>2.8502243418114972</v>
      </c>
      <c r="AQ140" s="16">
        <v>1.5262298689817158</v>
      </c>
      <c r="AR140" s="16">
        <v>1.5385607267734116</v>
      </c>
      <c r="AS140" s="16">
        <v>1.8625337911299766</v>
      </c>
      <c r="AT140" s="16">
        <v>2.3989760295771418</v>
      </c>
      <c r="AU140" s="16">
        <v>2.6116503942858316</v>
      </c>
      <c r="AV140" s="16">
        <v>2.3150284965721681</v>
      </c>
      <c r="AW140" s="16">
        <v>3.7897847870089265</v>
      </c>
      <c r="AX140" s="16">
        <v>4.8298224035470838</v>
      </c>
      <c r="AY140" s="16">
        <v>4.3167247373443303</v>
      </c>
      <c r="AZ140" s="19">
        <v>4.7947203322211749</v>
      </c>
      <c r="BA140" s="19">
        <v>4.0203451459303778</v>
      </c>
      <c r="BB140" s="19">
        <v>1.8448652201205533</v>
      </c>
      <c r="BC140" s="19">
        <v>3.74194840446836</v>
      </c>
      <c r="BD140" s="19">
        <v>0.74436120489946234</v>
      </c>
      <c r="BE140" s="19">
        <v>0.67166574021231895</v>
      </c>
      <c r="BF140" s="19">
        <v>3.1645786221552044</v>
      </c>
      <c r="BG140" s="19">
        <v>3.0841871649516008</v>
      </c>
      <c r="BH140" s="19">
        <v>0.25229949453111544</v>
      </c>
      <c r="BI140" s="19">
        <v>1.1922613424931257</v>
      </c>
      <c r="BJ140" s="19">
        <v>1.9652815590822854</v>
      </c>
      <c r="BK140" s="19">
        <v>2.0839466560086635</v>
      </c>
      <c r="BL140" s="19">
        <v>2.5304145222008003</v>
      </c>
      <c r="BM140" s="19">
        <v>-2.4462377935972057</v>
      </c>
      <c r="BN140" s="19">
        <v>0.35716544104209902</v>
      </c>
      <c r="BO140" s="16">
        <v>2.2476670149582247</v>
      </c>
      <c r="BP140" s="16">
        <v>1.3791651671512852</v>
      </c>
    </row>
    <row r="141" spans="1:68" hidden="1" x14ac:dyDescent="0.3">
      <c r="A141" s="16" t="s">
        <v>690</v>
      </c>
      <c r="B141" s="16" t="s">
        <v>691</v>
      </c>
      <c r="C141" s="16" t="s">
        <v>604</v>
      </c>
      <c r="D141" s="16" t="s">
        <v>605</v>
      </c>
      <c r="M141" s="16">
        <v>0.82675481607313372</v>
      </c>
      <c r="N141" s="16">
        <v>2.9474510590845426</v>
      </c>
      <c r="O141" s="16">
        <v>0.17544604856705348</v>
      </c>
      <c r="P141" s="16">
        <v>2.0443834147356057</v>
      </c>
      <c r="Q141" s="16">
        <v>-0.75989565034356588</v>
      </c>
      <c r="R141" s="16">
        <v>-1.0635522504508543</v>
      </c>
      <c r="S141" s="16">
        <v>3.1178157665952426</v>
      </c>
      <c r="T141" s="16">
        <v>-6.8539973264108767E-2</v>
      </c>
      <c r="U141" s="16">
        <v>0.51854869064931108</v>
      </c>
      <c r="V141" s="16">
        <v>0.3058636833777939</v>
      </c>
      <c r="W141" s="16">
        <v>-2.6862776045342258</v>
      </c>
      <c r="X141" s="16">
        <v>-2.3135134663202308</v>
      </c>
      <c r="Y141" s="16">
        <v>0.64788252982093297</v>
      </c>
      <c r="Z141" s="16">
        <v>0.92000859141367641</v>
      </c>
      <c r="AA141" s="16">
        <v>-1.1284087563339966</v>
      </c>
      <c r="AB141" s="16">
        <v>-1.0962581154785482</v>
      </c>
      <c r="AC141" s="16">
        <v>-3.4154700894928425</v>
      </c>
      <c r="AD141" s="16">
        <v>-1.9092305776365066</v>
      </c>
      <c r="AE141" s="16">
        <v>6.8734158383847443E-2</v>
      </c>
      <c r="AF141" s="16">
        <v>2.4291630410187963</v>
      </c>
      <c r="AG141" s="16">
        <v>0.94166642765914332</v>
      </c>
      <c r="AH141" s="16">
        <v>-2.673083226308151</v>
      </c>
      <c r="AI141" s="16">
        <v>-5.1837466647769617</v>
      </c>
      <c r="AJ141" s="16">
        <v>-1.2759858585171742</v>
      </c>
      <c r="AK141" s="16">
        <v>-2.876366778390107</v>
      </c>
      <c r="AL141" s="16">
        <v>-2.0151954742749467</v>
      </c>
      <c r="AM141" s="16">
        <v>-1.2935544736096034</v>
      </c>
      <c r="AN141" s="16">
        <v>2.1341563704649076</v>
      </c>
      <c r="AO141" s="16">
        <v>2.7271279095219256</v>
      </c>
      <c r="AP141" s="16">
        <v>3.2674377506722152</v>
      </c>
      <c r="AQ141" s="16">
        <v>1.2708134886178186</v>
      </c>
      <c r="AR141" s="16">
        <v>-0.11604972511688061</v>
      </c>
      <c r="AS141" s="16">
        <v>0.5016148818561561</v>
      </c>
      <c r="AT141" s="16">
        <v>1.5830973581713437</v>
      </c>
      <c r="AU141" s="16">
        <v>1.770198016133179</v>
      </c>
      <c r="AV141" s="16">
        <v>1.7433483011613191</v>
      </c>
      <c r="AW141" s="16">
        <v>3.1374708421274136</v>
      </c>
      <c r="AX141" s="16">
        <v>3.5572011593130668</v>
      </c>
      <c r="AY141" s="16">
        <v>2.797538830238679</v>
      </c>
      <c r="AZ141" s="19">
        <v>3.0176944876631353</v>
      </c>
      <c r="BA141" s="19">
        <v>2.5615654266560171</v>
      </c>
      <c r="BB141" s="19">
        <v>1.2248756501097517</v>
      </c>
      <c r="BC141" s="19">
        <v>3.9908733328800565</v>
      </c>
      <c r="BD141" s="19">
        <v>-2.0158623387947898</v>
      </c>
      <c r="BE141" s="19">
        <v>-5.8141735687631808</v>
      </c>
      <c r="BF141" s="19">
        <v>0.71118561462706964</v>
      </c>
      <c r="BG141" s="19">
        <v>1.8409752439741709</v>
      </c>
      <c r="BH141" s="19">
        <v>-3.041183897690658</v>
      </c>
      <c r="BI141" s="19">
        <v>-0.62445316438387977</v>
      </c>
      <c r="BJ141" s="19">
        <v>0.30921778172499614</v>
      </c>
      <c r="BK141" s="19">
        <v>0.64265503279862912</v>
      </c>
      <c r="BL141" s="19">
        <v>1.3593331803103581</v>
      </c>
      <c r="BM141" s="19">
        <v>-2.4082004449386858</v>
      </c>
      <c r="BN141" s="19">
        <v>-0.64064932655175255</v>
      </c>
      <c r="BO141" s="16">
        <v>1.0131029127480957</v>
      </c>
      <c r="BP141" s="16">
        <v>0.26217984179064047</v>
      </c>
    </row>
    <row r="142" spans="1:68" x14ac:dyDescent="0.3">
      <c r="A142" s="16" t="s">
        <v>144</v>
      </c>
      <c r="B142" s="16" t="s">
        <v>692</v>
      </c>
      <c r="C142" s="16" t="s">
        <v>604</v>
      </c>
      <c r="D142" s="16" t="s">
        <v>605</v>
      </c>
      <c r="P142" s="16">
        <v>-0.35310578314195595</v>
      </c>
      <c r="Q142" s="16">
        <v>1.4474345343785444E-2</v>
      </c>
      <c r="R142" s="16">
        <v>-5.7931214333635239E-2</v>
      </c>
      <c r="S142" s="16">
        <v>-6.8828078804557435E-2</v>
      </c>
      <c r="T142" s="16">
        <v>-6.1307848694895029E-2</v>
      </c>
      <c r="U142" s="16">
        <v>3.0317824190623952</v>
      </c>
      <c r="V142" s="16">
        <v>3.0554628758679314</v>
      </c>
      <c r="W142" s="16">
        <v>3.0188301894992264</v>
      </c>
      <c r="X142" s="16">
        <v>3.0095727631257887</v>
      </c>
      <c r="Y142" s="16">
        <v>3.1372028489851971</v>
      </c>
      <c r="Z142" s="16">
        <v>3.3963919298553691</v>
      </c>
      <c r="AA142" s="16">
        <v>-2.9040775807909966</v>
      </c>
      <c r="AB142" s="16">
        <v>-0.87368666900619019</v>
      </c>
      <c r="AC142" s="16">
        <v>2.8449719475386814</v>
      </c>
      <c r="AD142" s="16">
        <v>5.5621821780754317</v>
      </c>
      <c r="AE142" s="16">
        <v>2.5678412304022089</v>
      </c>
      <c r="AF142" s="16">
        <v>7.7118011658279926</v>
      </c>
      <c r="AG142" s="16">
        <v>4.114159495976736</v>
      </c>
      <c r="AH142" s="16">
        <v>2.9701321513066858</v>
      </c>
      <c r="AI142" s="16">
        <v>0.80252605839061175</v>
      </c>
      <c r="AJ142" s="16">
        <v>0.39463306483131078</v>
      </c>
      <c r="AK142" s="16">
        <v>2.1617495973106173</v>
      </c>
      <c r="AL142" s="16">
        <v>2.8337960070362413</v>
      </c>
      <c r="AM142" s="16">
        <v>5.3393345057153283</v>
      </c>
      <c r="AN142" s="16">
        <v>4.3571668188449735</v>
      </c>
      <c r="AO142" s="16">
        <v>5.3803737624487269</v>
      </c>
      <c r="AP142" s="16">
        <v>5.763740980095065</v>
      </c>
      <c r="AQ142" s="16">
        <v>6.3552444961107142</v>
      </c>
      <c r="AR142" s="16">
        <v>8.9721789925172573</v>
      </c>
      <c r="AS142" s="16">
        <v>1.9356445643537938</v>
      </c>
      <c r="AT142" s="16">
        <v>-1.7740625428053534</v>
      </c>
      <c r="AU142" s="16">
        <v>-1.9254169161662276</v>
      </c>
      <c r="AV142" s="16">
        <v>-2.823011442433554</v>
      </c>
      <c r="AW142" s="16">
        <v>2.1379548543501556</v>
      </c>
      <c r="AX142" s="16">
        <v>3.9101532660760228</v>
      </c>
      <c r="AY142" s="16">
        <v>7.7543594691793345</v>
      </c>
      <c r="AZ142" s="19">
        <v>2.5587351601244563</v>
      </c>
      <c r="BA142" s="19">
        <v>1.0763201608570085</v>
      </c>
      <c r="BB142" s="19">
        <v>-1.9166377811435211</v>
      </c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</row>
    <row r="143" spans="1:68" x14ac:dyDescent="0.3">
      <c r="A143" s="16" t="s">
        <v>225</v>
      </c>
      <c r="B143" s="16" t="s">
        <v>471</v>
      </c>
      <c r="C143" s="16" t="s">
        <v>604</v>
      </c>
      <c r="D143" s="16" t="s">
        <v>605</v>
      </c>
      <c r="G143" s="16">
        <v>1.3489424401430341</v>
      </c>
      <c r="H143" s="16">
        <v>7.5419453436325057E-2</v>
      </c>
      <c r="I143" s="16">
        <v>1.4321900695746308</v>
      </c>
      <c r="J143" s="16">
        <v>0.1105147998670617</v>
      </c>
      <c r="K143" s="16">
        <v>2.5654564197904506</v>
      </c>
      <c r="L143" s="16">
        <v>3.9435180981942182</v>
      </c>
      <c r="M143" s="16">
        <v>3.3379272832055449</v>
      </c>
      <c r="N143" s="16">
        <v>5.2957701706653779</v>
      </c>
      <c r="O143" s="16">
        <v>1.5870748324063442</v>
      </c>
      <c r="P143" s="16">
        <v>-0.82161498861249527</v>
      </c>
      <c r="Q143" s="16">
        <v>-2.4139675417594475</v>
      </c>
      <c r="R143" s="16">
        <v>4.982216051424345</v>
      </c>
      <c r="S143" s="16">
        <v>1.922354306998713</v>
      </c>
      <c r="T143" s="16">
        <v>4.2263283418280082</v>
      </c>
      <c r="U143" s="16">
        <v>1.4980003243088476</v>
      </c>
      <c r="V143" s="16">
        <v>3.2531752600126538</v>
      </c>
      <c r="W143" s="16">
        <v>3.7792067597969776</v>
      </c>
      <c r="X143" s="16">
        <v>4.4786962927110778</v>
      </c>
      <c r="Y143" s="16">
        <v>3.981366772940433</v>
      </c>
      <c r="Z143" s="16">
        <v>3.924251369800686</v>
      </c>
      <c r="AA143" s="16">
        <v>2.523698227204747</v>
      </c>
      <c r="AB143" s="16">
        <v>3.3434435893248633</v>
      </c>
      <c r="AC143" s="16">
        <v>3.6812667928209919</v>
      </c>
      <c r="AD143" s="16">
        <v>3.565508165543136</v>
      </c>
      <c r="AE143" s="16">
        <v>2.9124431743119885</v>
      </c>
      <c r="AF143" s="16">
        <v>0.3169192365320157</v>
      </c>
      <c r="AG143" s="16">
        <v>1.0883778677714986</v>
      </c>
      <c r="AH143" s="16">
        <v>0.99372592563709361</v>
      </c>
      <c r="AI143" s="16">
        <v>5.0794712194041125</v>
      </c>
      <c r="AJ143" s="16">
        <v>3.3237501142683072</v>
      </c>
      <c r="AK143" s="16">
        <v>3.1687086890944869</v>
      </c>
      <c r="AL143" s="16">
        <v>5.6937441343945636</v>
      </c>
      <c r="AM143" s="16">
        <v>4.5086512902514215</v>
      </c>
      <c r="AN143" s="16">
        <v>4.5376427179517123</v>
      </c>
      <c r="AO143" s="16">
        <v>2.9788925968379942</v>
      </c>
      <c r="AP143" s="16">
        <v>5.6751355800000312</v>
      </c>
      <c r="AQ143" s="16">
        <v>4.0684826543250239</v>
      </c>
      <c r="AR143" s="16">
        <v>3.6881975162025071</v>
      </c>
      <c r="AS143" s="16">
        <v>5.4018470916925168</v>
      </c>
      <c r="AT143" s="16">
        <v>-2.2942349656134553</v>
      </c>
      <c r="AU143" s="16">
        <v>2.928701394903598</v>
      </c>
      <c r="AV143" s="16">
        <v>4.8839332095149501</v>
      </c>
      <c r="AW143" s="16">
        <v>4.4320157915820175</v>
      </c>
      <c r="AX143" s="16">
        <v>5.2511722691603495</v>
      </c>
      <c r="AY143" s="16">
        <v>6.601725540638455</v>
      </c>
      <c r="AZ143" s="19">
        <v>5.6907613354755284</v>
      </c>
      <c r="BA143" s="19">
        <v>4.8690084449284825</v>
      </c>
      <c r="BB143" s="19">
        <v>2.5439162714145738</v>
      </c>
      <c r="BC143" s="19">
        <v>7.0434944876443808</v>
      </c>
      <c r="BD143" s="19">
        <v>7.6734935701702653</v>
      </c>
      <c r="BE143" s="19">
        <v>7.8186009319532985</v>
      </c>
      <c r="BF143" s="19">
        <v>3.487417146448152</v>
      </c>
      <c r="BG143" s="19">
        <v>5.8385576306299498</v>
      </c>
      <c r="BH143" s="19">
        <v>3.7310465849639911</v>
      </c>
      <c r="BI143" s="19">
        <v>4.6182348507056474</v>
      </c>
      <c r="BJ143" s="19">
        <v>6.0581448214280726</v>
      </c>
      <c r="BK143" s="19">
        <v>1.5396331343019369</v>
      </c>
      <c r="BL143" s="19">
        <v>-0.82914671426837572</v>
      </c>
      <c r="BM143" s="19">
        <v>-5.1292631207445112</v>
      </c>
      <c r="BN143" s="19">
        <v>3.09279134925238</v>
      </c>
      <c r="BO143" s="16">
        <v>-7.4511929889190895</v>
      </c>
      <c r="BP143" s="16">
        <v>-1.6596151300713871</v>
      </c>
    </row>
    <row r="144" spans="1:68" hidden="1" x14ac:dyDescent="0.3">
      <c r="A144" s="16" t="s">
        <v>693</v>
      </c>
      <c r="B144" s="16" t="s">
        <v>694</v>
      </c>
      <c r="C144" s="16" t="s">
        <v>604</v>
      </c>
      <c r="D144" s="16" t="s">
        <v>605</v>
      </c>
      <c r="F144" s="16">
        <v>0.7934195863195157</v>
      </c>
      <c r="G144" s="16">
        <v>1.2954857639699782</v>
      </c>
      <c r="H144" s="16">
        <v>3.5443435245056349</v>
      </c>
      <c r="I144" s="16">
        <v>3.9588353890346468</v>
      </c>
      <c r="J144" s="16">
        <v>-0.35833172246975664</v>
      </c>
      <c r="K144" s="16">
        <v>-0.96539213613094432</v>
      </c>
      <c r="L144" s="16">
        <v>-0.72487784220383844</v>
      </c>
      <c r="M144" s="16">
        <v>1.4687794552547473</v>
      </c>
      <c r="N144" s="16">
        <v>5.3438493408348933</v>
      </c>
      <c r="O144" s="16">
        <v>4.7079759164964372</v>
      </c>
      <c r="P144" s="16">
        <v>2.4547649112461158</v>
      </c>
      <c r="Q144" s="16">
        <v>-0.59404560671573847</v>
      </c>
      <c r="R144" s="16">
        <v>2.1059597138006296</v>
      </c>
      <c r="S144" s="16">
        <v>2.3666093458872979</v>
      </c>
      <c r="T144" s="16">
        <v>1.0778091373163363</v>
      </c>
      <c r="U144" s="16">
        <v>3.0177862949086318</v>
      </c>
      <c r="V144" s="16">
        <v>3.204351419842169</v>
      </c>
      <c r="W144" s="16">
        <v>1.32699675306975</v>
      </c>
      <c r="X144" s="16">
        <v>-0.85581580573452243</v>
      </c>
      <c r="Y144" s="16">
        <v>2.6080249356062808</v>
      </c>
      <c r="Z144" s="16">
        <v>-0.58833625030128189</v>
      </c>
      <c r="AA144" s="16">
        <v>-0.34324914437362963</v>
      </c>
      <c r="AB144" s="16">
        <v>-0.25237554028552722</v>
      </c>
      <c r="AC144" s="16">
        <v>0.19469309484540531</v>
      </c>
      <c r="AD144" s="16">
        <v>1.4489649954363841</v>
      </c>
      <c r="AE144" s="16">
        <v>1.3356734231496148</v>
      </c>
      <c r="AF144" s="16">
        <v>1.1342147099129107</v>
      </c>
      <c r="AG144" s="16">
        <v>4.1868626452337168</v>
      </c>
      <c r="AH144" s="16">
        <v>1.2587961713018956</v>
      </c>
      <c r="AI144" s="16">
        <v>2.5726713297420645</v>
      </c>
      <c r="AJ144" s="16">
        <v>-0.21502923576663591</v>
      </c>
      <c r="AK144" s="16">
        <v>1.4242627252023112</v>
      </c>
      <c r="AL144" s="16">
        <v>0.13204771199551146</v>
      </c>
      <c r="AM144" s="16">
        <v>1.764959902236825</v>
      </c>
      <c r="AN144" s="16">
        <v>2.8945659482843382</v>
      </c>
      <c r="AO144" s="16">
        <v>4.1493783169041336</v>
      </c>
      <c r="AP144" s="16">
        <v>1.8605953526592174</v>
      </c>
      <c r="AQ144" s="16">
        <v>2.4249441463514785</v>
      </c>
      <c r="AR144" s="16">
        <v>3.2779638984487036</v>
      </c>
      <c r="AS144" s="16">
        <v>2.1496817343333845</v>
      </c>
      <c r="AT144" s="16">
        <v>2.2998084035480133</v>
      </c>
      <c r="AU144" s="16">
        <v>2.5287987528166127</v>
      </c>
      <c r="AV144" s="16">
        <v>3.9872361656960038</v>
      </c>
      <c r="AW144" s="16">
        <v>5.1414682302879555</v>
      </c>
      <c r="AX144" s="16">
        <v>4.8250870655823093</v>
      </c>
      <c r="AY144" s="16">
        <v>5.1312804064979787</v>
      </c>
      <c r="AZ144" s="19">
        <v>5.0962793632448182</v>
      </c>
      <c r="BA144" s="19">
        <v>2.8653661959901768</v>
      </c>
      <c r="BB144" s="19">
        <v>4.2163226877895141</v>
      </c>
      <c r="BC144" s="19">
        <v>5.0865485978691396</v>
      </c>
      <c r="BD144" s="19">
        <v>3.0159640176011067</v>
      </c>
      <c r="BE144" s="19">
        <v>3.4657649652376676</v>
      </c>
      <c r="BF144" s="19">
        <v>3.9805264798091713</v>
      </c>
      <c r="BG144" s="19">
        <v>4.4304239909887571</v>
      </c>
      <c r="BH144" s="19">
        <v>4.3183175907075508</v>
      </c>
      <c r="BI144" s="19">
        <v>4.1093885632538445</v>
      </c>
      <c r="BJ144" s="19">
        <v>3.8971559407310963</v>
      </c>
      <c r="BK144" s="19">
        <v>3.9164121712113626</v>
      </c>
      <c r="BL144" s="19">
        <v>2.5968739465442638</v>
      </c>
      <c r="BM144" s="19">
        <v>-4.9199792112207916</v>
      </c>
      <c r="BN144" s="19">
        <v>5.2480157416624422</v>
      </c>
      <c r="BO144" s="16">
        <v>4.5167686289560294</v>
      </c>
      <c r="BP144" s="16">
        <v>3.9429925391981868</v>
      </c>
    </row>
    <row r="145" spans="1:68" hidden="1" x14ac:dyDescent="0.3">
      <c r="A145" s="16" t="s">
        <v>695</v>
      </c>
      <c r="B145" s="16" t="s">
        <v>696</v>
      </c>
      <c r="C145" s="16" t="s">
        <v>604</v>
      </c>
      <c r="D145" s="16" t="s">
        <v>605</v>
      </c>
      <c r="F145" s="16">
        <v>-0.37128872313326156</v>
      </c>
      <c r="G145" s="16">
        <v>1.5647847068985641</v>
      </c>
      <c r="H145" s="16">
        <v>2.2391978553826846</v>
      </c>
      <c r="I145" s="16">
        <v>5.2407049894037812</v>
      </c>
      <c r="J145" s="16">
        <v>3.5183718479190134</v>
      </c>
      <c r="K145" s="16">
        <v>2.3284099140884962</v>
      </c>
      <c r="L145" s="16">
        <v>0.72152789316272958</v>
      </c>
      <c r="M145" s="16">
        <v>3.517837583243093</v>
      </c>
      <c r="N145" s="16">
        <v>5.468512346565447</v>
      </c>
      <c r="O145" s="16">
        <v>5.2705907484787531</v>
      </c>
      <c r="P145" s="16">
        <v>3.6045534529461207</v>
      </c>
      <c r="Q145" s="16">
        <v>3.6745478457840051</v>
      </c>
      <c r="R145" s="16">
        <v>4.3907414772134956</v>
      </c>
      <c r="S145" s="16">
        <v>3.6239731241387574</v>
      </c>
      <c r="T145" s="16">
        <v>2.0188682355086058</v>
      </c>
      <c r="U145" s="16">
        <v>4.0273400805576784</v>
      </c>
      <c r="V145" s="16">
        <v>2.4420880608317503</v>
      </c>
      <c r="W145" s="16">
        <v>1.574040326183777</v>
      </c>
      <c r="X145" s="16">
        <v>2.4389975811301383</v>
      </c>
      <c r="Y145" s="16">
        <v>2.5950243456753128</v>
      </c>
      <c r="Z145" s="16">
        <v>-0.17968489711653035</v>
      </c>
      <c r="AA145" s="16">
        <v>0.6587426488507333</v>
      </c>
      <c r="AB145" s="16">
        <v>-0.51196722482413293</v>
      </c>
      <c r="AC145" s="16">
        <v>2.5045512173633</v>
      </c>
      <c r="AD145" s="16">
        <v>2.2992454820330437</v>
      </c>
      <c r="AE145" s="16">
        <v>1.5447064298131465</v>
      </c>
      <c r="AF145" s="16">
        <v>2.4815291867738409</v>
      </c>
      <c r="AG145" s="16">
        <v>1.9479187790553851</v>
      </c>
      <c r="AH145" s="16">
        <v>0.99603404257548789</v>
      </c>
      <c r="AI145" s="16">
        <v>1.041180148978242</v>
      </c>
      <c r="AJ145" s="16">
        <v>0.84731513371411893</v>
      </c>
      <c r="AK145" s="16">
        <v>2.3144281890805019</v>
      </c>
      <c r="AL145" s="16">
        <v>3.1248277092835224</v>
      </c>
      <c r="AM145" s="16">
        <v>3.2702049987096729</v>
      </c>
      <c r="AN145" s="16">
        <v>2.7755358075639123</v>
      </c>
      <c r="AO145" s="16">
        <v>4.4173510759234489</v>
      </c>
      <c r="AP145" s="16">
        <v>3.8790882310677546</v>
      </c>
      <c r="AQ145" s="16">
        <v>1.6210209671109794</v>
      </c>
      <c r="AR145" s="16">
        <v>2.0014828372125777</v>
      </c>
      <c r="AS145" s="16">
        <v>3.8922710537332819</v>
      </c>
      <c r="AT145" s="16">
        <v>2.0441302381877904</v>
      </c>
      <c r="AU145" s="16">
        <v>3.1563967881841535</v>
      </c>
      <c r="AV145" s="16">
        <v>4.3092303917946424</v>
      </c>
      <c r="AW145" s="16">
        <v>6.1047592550375924</v>
      </c>
      <c r="AX145" s="16">
        <v>5.789137305191062</v>
      </c>
      <c r="AY145" s="16">
        <v>6.7012115667290431</v>
      </c>
      <c r="AZ145" s="19">
        <v>7.3531099046316939</v>
      </c>
      <c r="BA145" s="19">
        <v>4.4782201436657516</v>
      </c>
      <c r="BB145" s="19">
        <v>2.5637090040551556</v>
      </c>
      <c r="BC145" s="19">
        <v>6.6828762255969991</v>
      </c>
      <c r="BD145" s="19">
        <v>4.9131092274518267</v>
      </c>
      <c r="BE145" s="19">
        <v>4.0097244905022791</v>
      </c>
      <c r="BF145" s="19">
        <v>4.149858068583768</v>
      </c>
      <c r="BG145" s="19">
        <v>3.735112725814588</v>
      </c>
      <c r="BH145" s="19">
        <v>3.3513404865247196</v>
      </c>
      <c r="BI145" s="19">
        <v>3.3977095730151348</v>
      </c>
      <c r="BJ145" s="19">
        <v>3.9752348481808042</v>
      </c>
      <c r="BK145" s="19">
        <v>3.6662632051909725</v>
      </c>
      <c r="BL145" s="19">
        <v>2.8151577490498312</v>
      </c>
      <c r="BM145" s="19">
        <v>-2.3362428215228448</v>
      </c>
      <c r="BN145" s="19">
        <v>6.279029377918107</v>
      </c>
      <c r="BO145" s="16">
        <v>2.9015340030808829</v>
      </c>
      <c r="BP145" s="16">
        <v>3.4762238465851851</v>
      </c>
    </row>
    <row r="146" spans="1:68" x14ac:dyDescent="0.3">
      <c r="A146" s="16" t="s">
        <v>141</v>
      </c>
      <c r="B146" s="16" t="s">
        <v>472</v>
      </c>
      <c r="C146" s="16" t="s">
        <v>604</v>
      </c>
      <c r="D146" s="16" t="s">
        <v>605</v>
      </c>
      <c r="F146" s="16">
        <v>-1.2219600136465942</v>
      </c>
      <c r="G146" s="16">
        <v>11.835766206317004</v>
      </c>
      <c r="H146" s="16">
        <v>7.2716195984662875</v>
      </c>
      <c r="I146" s="16">
        <v>4.9970250071069984</v>
      </c>
      <c r="J146" s="16">
        <v>-0.93407828607442411</v>
      </c>
      <c r="K146" s="16">
        <v>-3.5039355112570689</v>
      </c>
      <c r="L146" s="16">
        <v>7.1605298911899524</v>
      </c>
      <c r="M146" s="16">
        <v>-3.9289469871604012</v>
      </c>
      <c r="N146" s="16">
        <v>-2.0415948369365964</v>
      </c>
      <c r="O146" s="16">
        <v>-1.3741845710303551</v>
      </c>
      <c r="P146" s="16">
        <v>1.5039385807184686</v>
      </c>
      <c r="Q146" s="16">
        <v>-3.6009798383104652</v>
      </c>
      <c r="R146" s="16">
        <v>22.131876027965873</v>
      </c>
      <c r="S146" s="16">
        <v>7.2279678935369844</v>
      </c>
      <c r="T146" s="16">
        <v>-16.415700070238529</v>
      </c>
      <c r="U146" s="16">
        <v>7.4875404931192975</v>
      </c>
      <c r="V146" s="16">
        <v>18.237202050081351</v>
      </c>
      <c r="W146" s="16">
        <v>15.04808317517525</v>
      </c>
      <c r="X146" s="16">
        <v>5.9917656648906359E-2</v>
      </c>
      <c r="Y146" s="16">
        <v>-5.4223391264795282</v>
      </c>
      <c r="Z146" s="16">
        <v>-2.0760450835605582</v>
      </c>
      <c r="AA146" s="16">
        <v>1.5869448228312848</v>
      </c>
      <c r="AB146" s="16">
        <v>-0.80831759546154558</v>
      </c>
      <c r="AC146" s="16">
        <v>2.6547469216847475</v>
      </c>
      <c r="AD146" s="16">
        <v>-0.1462122258823797</v>
      </c>
      <c r="AE146" s="16">
        <v>1.9667468776234216</v>
      </c>
      <c r="AF146" s="16">
        <v>-1.5912297080189433</v>
      </c>
      <c r="AG146" s="16">
        <v>6.4224051784916014</v>
      </c>
      <c r="AH146" s="16">
        <v>3.7981102686176911</v>
      </c>
      <c r="AI146" s="16">
        <v>4.1647103976179949</v>
      </c>
      <c r="AJ146" s="16">
        <v>5.1826504415219574</v>
      </c>
      <c r="AK146" s="16">
        <v>5.2875411772095759</v>
      </c>
      <c r="AL146" s="16">
        <v>2.0291008286836103</v>
      </c>
      <c r="AM146" s="16">
        <v>4.5840717380392562</v>
      </c>
      <c r="AN146" s="16">
        <v>2.0392675773252904</v>
      </c>
      <c r="AO146" s="16">
        <v>4.4617762911794756</v>
      </c>
      <c r="AP146" s="16">
        <v>2.784581844712946</v>
      </c>
      <c r="AQ146" s="16">
        <v>0.8698196028564098</v>
      </c>
      <c r="AR146" s="16">
        <v>4.2529375120153645E-2</v>
      </c>
      <c r="AS146" s="16">
        <v>3.6475395789844924</v>
      </c>
      <c r="AT146" s="16">
        <v>3.5179191220533426</v>
      </c>
      <c r="AU146" s="16">
        <v>0.82160837949535903</v>
      </c>
      <c r="AV146" s="16">
        <v>4.7960692599732653</v>
      </c>
      <c r="AW146" s="16">
        <v>2.0840061666569341</v>
      </c>
      <c r="AX146" s="16">
        <v>3.8826188074122143</v>
      </c>
      <c r="AY146" s="16">
        <v>4.2640515516322921</v>
      </c>
      <c r="AZ146" s="19">
        <v>3.8367628537690166</v>
      </c>
      <c r="BA146" s="19">
        <v>4.9125517892771597</v>
      </c>
      <c r="BB146" s="19">
        <v>-1.9494449506386786</v>
      </c>
      <c r="BC146" s="19">
        <v>4.5630319424587924</v>
      </c>
      <c r="BD146" s="19">
        <v>3.8498925288887591</v>
      </c>
      <c r="BE146" s="19">
        <v>5.4521918661913418</v>
      </c>
      <c r="BF146" s="19">
        <v>0.84912551664764635</v>
      </c>
      <c r="BG146" s="19">
        <v>0.67642599774582379</v>
      </c>
      <c r="BH146" s="19">
        <v>1.9909058863207321</v>
      </c>
      <c r="BI146" s="19">
        <v>2.383745828975762</v>
      </c>
      <c r="BJ146" s="19">
        <v>-4.3316464301411486</v>
      </c>
      <c r="BK146" s="19">
        <v>-2.7087540744978611</v>
      </c>
      <c r="BL146" s="19">
        <v>-2.6442329413856527</v>
      </c>
      <c r="BM146" s="19">
        <v>-8.6245869645005513</v>
      </c>
      <c r="BN146" s="19">
        <v>0.63149318564515511</v>
      </c>
      <c r="BO146" s="16">
        <v>0.21498532068132192</v>
      </c>
      <c r="BP146" s="16">
        <v>-0.16234856728016211</v>
      </c>
    </row>
    <row r="147" spans="1:68" hidden="1" x14ac:dyDescent="0.3">
      <c r="A147" s="16" t="s">
        <v>697</v>
      </c>
      <c r="B147" s="16" t="s">
        <v>698</v>
      </c>
      <c r="C147" s="16" t="s">
        <v>604</v>
      </c>
      <c r="D147" s="16" t="s">
        <v>605</v>
      </c>
      <c r="F147" s="16">
        <v>-3.9178927054340136</v>
      </c>
      <c r="G147" s="16">
        <v>1.6103815293990067</v>
      </c>
      <c r="H147" s="16">
        <v>1.7650482681740272</v>
      </c>
      <c r="I147" s="16">
        <v>4.8604656133909714</v>
      </c>
      <c r="J147" s="16">
        <v>4.2784139758274478</v>
      </c>
      <c r="K147" s="16">
        <v>5.1409175105435452</v>
      </c>
      <c r="L147" s="16">
        <v>-0.49140001191119609</v>
      </c>
      <c r="M147" s="16">
        <v>2.8387531290395174</v>
      </c>
      <c r="N147" s="16">
        <v>7.4018581891119624</v>
      </c>
      <c r="O147" s="16">
        <v>8.2496446669312036</v>
      </c>
      <c r="P147" s="16">
        <v>6.0110458431774703</v>
      </c>
      <c r="Q147" s="16">
        <v>5.5692950481864187</v>
      </c>
      <c r="R147" s="16">
        <v>7.608375605576299</v>
      </c>
      <c r="S147" s="16">
        <v>3.0206150341673776</v>
      </c>
      <c r="T147" s="16">
        <v>2.5319594261778491</v>
      </c>
      <c r="U147" s="16">
        <v>4.8891462106848422</v>
      </c>
      <c r="V147" s="16">
        <v>4.7231328589506774</v>
      </c>
      <c r="W147" s="16">
        <v>5.1052182800799528</v>
      </c>
      <c r="X147" s="16">
        <v>6.191240585503067</v>
      </c>
      <c r="Y147" s="16">
        <v>5.8747918675096713</v>
      </c>
      <c r="Z147" s="16">
        <v>-1.2258088521570443</v>
      </c>
      <c r="AA147" s="16">
        <v>0.37390610946192737</v>
      </c>
      <c r="AB147" s="16">
        <v>0.21191731766751332</v>
      </c>
      <c r="AC147" s="16">
        <v>6.2953098241251411</v>
      </c>
      <c r="AD147" s="16">
        <v>5.701040592329278</v>
      </c>
      <c r="AE147" s="16">
        <v>4.2082275556431341</v>
      </c>
      <c r="AF147" s="16">
        <v>4.7672445009756501</v>
      </c>
      <c r="AG147" s="16">
        <v>3.4978002019374799</v>
      </c>
      <c r="AH147" s="16">
        <v>3.2078092132007185</v>
      </c>
      <c r="AI147" s="16">
        <v>-1.1370515765259483</v>
      </c>
      <c r="AJ147" s="16">
        <v>-0.82270357448153675</v>
      </c>
      <c r="AK147" s="16">
        <v>-0.4288378951658558</v>
      </c>
      <c r="AL147" s="16">
        <v>3.1365072025125329</v>
      </c>
      <c r="AM147" s="16">
        <v>3.3003064264848376</v>
      </c>
      <c r="AN147" s="16">
        <v>4.5310687507805483</v>
      </c>
      <c r="AO147" s="16">
        <v>4.0395459528980382</v>
      </c>
      <c r="AP147" s="16">
        <v>4.5773069259485766</v>
      </c>
      <c r="AQ147" s="16">
        <v>1.897150577679767</v>
      </c>
      <c r="AR147" s="16">
        <v>3.7418407893372603</v>
      </c>
      <c r="AS147" s="16">
        <v>6.1772752780830018</v>
      </c>
      <c r="AT147" s="16">
        <v>4.4352623372868862</v>
      </c>
      <c r="AU147" s="16">
        <v>5.2743815005813275</v>
      </c>
      <c r="AV147" s="16">
        <v>6.1300036180278852</v>
      </c>
      <c r="AW147" s="16">
        <v>7.4922170019199825</v>
      </c>
      <c r="AX147" s="16">
        <v>7.0543140509252282</v>
      </c>
      <c r="AY147" s="16">
        <v>8.5853494642377228</v>
      </c>
      <c r="AZ147" s="19">
        <v>9.5103559161364331</v>
      </c>
      <c r="BA147" s="19">
        <v>6.2322855801403563</v>
      </c>
      <c r="BB147" s="19">
        <v>3.0368775550944491</v>
      </c>
      <c r="BC147" s="19">
        <v>7.3762139573917125</v>
      </c>
      <c r="BD147" s="19">
        <v>6.5128490691096488</v>
      </c>
      <c r="BE147" s="19">
        <v>5.0513806290696692</v>
      </c>
      <c r="BF147" s="19">
        <v>4.8430189006097919</v>
      </c>
      <c r="BG147" s="19">
        <v>4.4910133694397842</v>
      </c>
      <c r="BH147" s="19">
        <v>4.0286210637324587</v>
      </c>
      <c r="BI147" s="19">
        <v>3.8262136970144809</v>
      </c>
      <c r="BJ147" s="19">
        <v>4.6409842550361873</v>
      </c>
      <c r="BK147" s="19">
        <v>4.8524152925400159</v>
      </c>
      <c r="BL147" s="19">
        <v>4.1700495482587456</v>
      </c>
      <c r="BM147" s="19">
        <v>-0.14137660479804026</v>
      </c>
      <c r="BN147" s="19">
        <v>7.2205491617304318</v>
      </c>
      <c r="BO147" s="16">
        <v>3.082420996200085</v>
      </c>
      <c r="BP147" s="16">
        <v>4.122561348865375</v>
      </c>
    </row>
    <row r="148" spans="1:68" x14ac:dyDescent="0.3">
      <c r="A148" s="16" t="s">
        <v>145</v>
      </c>
      <c r="B148" s="16" t="s">
        <v>473</v>
      </c>
      <c r="C148" s="16" t="s">
        <v>604</v>
      </c>
      <c r="D148" s="16" t="s">
        <v>605</v>
      </c>
      <c r="AJ148" s="16">
        <v>-5.8359881976238199</v>
      </c>
      <c r="AK148" s="16">
        <v>-21.173422134526461</v>
      </c>
      <c r="AL148" s="16">
        <v>-15.828744606843586</v>
      </c>
      <c r="AM148" s="16">
        <v>-9.1376468058737572</v>
      </c>
      <c r="AN148" s="16">
        <v>4.0882006084665363</v>
      </c>
      <c r="AO148" s="16">
        <v>5.96107720942301</v>
      </c>
      <c r="AP148" s="16">
        <v>9.1130278753569911</v>
      </c>
      <c r="AQ148" s="16">
        <v>8.25717906231543</v>
      </c>
      <c r="AR148" s="16">
        <v>-0.43768720886720303</v>
      </c>
      <c r="AS148" s="16">
        <v>4.4274758479204763</v>
      </c>
      <c r="AT148" s="16">
        <v>7.4075197962490336</v>
      </c>
      <c r="AU148" s="16">
        <v>7.6118272562162019</v>
      </c>
      <c r="AV148" s="16">
        <v>11.467717483924304</v>
      </c>
      <c r="AW148" s="16">
        <v>7.7730012074888322</v>
      </c>
      <c r="AX148" s="16">
        <v>9.5010441823051082</v>
      </c>
      <c r="AY148" s="16">
        <v>9.142617036882001</v>
      </c>
      <c r="AZ148" s="19">
        <v>12.435250175484242</v>
      </c>
      <c r="BA148" s="19">
        <v>3.6752409256626919</v>
      </c>
      <c r="BB148" s="19">
        <v>-13.88775335712441</v>
      </c>
      <c r="BC148" s="19">
        <v>3.8053155902889415</v>
      </c>
      <c r="BD148" s="19">
        <v>8.4611090639129287</v>
      </c>
      <c r="BE148" s="19">
        <v>5.2460024588916383</v>
      </c>
      <c r="BF148" s="19">
        <v>4.6033277290029133</v>
      </c>
      <c r="BG148" s="19">
        <v>4.431087654463866</v>
      </c>
      <c r="BH148" s="19">
        <v>2.9889129706145212</v>
      </c>
      <c r="BI148" s="19">
        <v>3.8298412640854167</v>
      </c>
      <c r="BJ148" s="19">
        <v>5.7510465573537886</v>
      </c>
      <c r="BK148" s="19">
        <v>4.9903538555410591</v>
      </c>
      <c r="BL148" s="19">
        <v>4.9431000015989923</v>
      </c>
      <c r="BM148" s="19">
        <v>-5.1369084508593232E-2</v>
      </c>
      <c r="BN148" s="19">
        <v>6.0587708955274593</v>
      </c>
      <c r="BO148" s="16">
        <v>1.3259241764880301</v>
      </c>
      <c r="BP148" s="16">
        <v>-1.7331662372312024</v>
      </c>
    </row>
    <row r="149" spans="1:68" x14ac:dyDescent="0.3">
      <c r="A149" s="16" t="s">
        <v>146</v>
      </c>
      <c r="B149" s="16" t="s">
        <v>474</v>
      </c>
      <c r="C149" s="16" t="s">
        <v>604</v>
      </c>
      <c r="D149" s="16" t="s">
        <v>605</v>
      </c>
      <c r="F149" s="16">
        <v>2.88784674125489</v>
      </c>
      <c r="G149" s="16">
        <v>0.12467724599136432</v>
      </c>
      <c r="H149" s="16">
        <v>2.3699292327322041</v>
      </c>
      <c r="I149" s="16">
        <v>6.6645770259130472</v>
      </c>
      <c r="J149" s="16">
        <v>-1.857841595380421</v>
      </c>
      <c r="K149" s="16">
        <v>0.38068019361480765</v>
      </c>
      <c r="L149" s="16">
        <v>-0.11234396235686006</v>
      </c>
      <c r="M149" s="16">
        <v>3.9186432741182102</v>
      </c>
      <c r="N149" s="16">
        <v>9.4352128600518625</v>
      </c>
      <c r="O149" s="16">
        <v>1.2585912948287472</v>
      </c>
      <c r="P149" s="16">
        <v>1.6927941992102831</v>
      </c>
      <c r="Q149" s="16">
        <v>5.3129305276330143</v>
      </c>
      <c r="R149" s="16">
        <v>7.122759097325627</v>
      </c>
      <c r="S149" s="16">
        <v>2.8623061140456372</v>
      </c>
      <c r="T149" s="16">
        <v>-7.5864771050461428</v>
      </c>
      <c r="U149" s="16">
        <v>2.0281017423058501</v>
      </c>
      <c r="V149" s="16">
        <v>1.3935355579813375</v>
      </c>
      <c r="W149" s="16">
        <v>3.8883882134514778</v>
      </c>
      <c r="X149" s="16">
        <v>2.1061461242643844</v>
      </c>
      <c r="Y149" s="16">
        <v>0.48254685201776226</v>
      </c>
      <c r="Z149" s="16">
        <v>-0.84367294814781246</v>
      </c>
      <c r="AA149" s="16">
        <v>1.0483007076179263</v>
      </c>
      <c r="AB149" s="16">
        <v>2.9617528589606508</v>
      </c>
      <c r="AC149" s="16">
        <v>6.0778481946047265</v>
      </c>
      <c r="AD149" s="16">
        <v>2.5932443177375575</v>
      </c>
      <c r="AE149" s="16">
        <v>9.491578489866896</v>
      </c>
      <c r="AF149" s="16">
        <v>3.2794638557490146</v>
      </c>
      <c r="AG149" s="16">
        <v>7.6791060421391961</v>
      </c>
      <c r="AH149" s="16">
        <v>8.7353155873243509</v>
      </c>
      <c r="AI149" s="16">
        <v>4.0098102085089522</v>
      </c>
      <c r="AJ149" s="16">
        <v>7.1984061937498325</v>
      </c>
      <c r="AK149" s="16">
        <v>0.47607700394229369</v>
      </c>
      <c r="AL149" s="16">
        <v>2.8112213084695554</v>
      </c>
      <c r="AM149" s="16">
        <v>2.4166290368278709</v>
      </c>
      <c r="AN149" s="16">
        <v>1.7299921845008726E-2</v>
      </c>
      <c r="AO149" s="16">
        <v>2.7251337993348557E-2</v>
      </c>
      <c r="AP149" s="16">
        <v>4.1066407112584784</v>
      </c>
      <c r="AQ149" s="16">
        <v>5.3558373863185977</v>
      </c>
      <c r="AR149" s="16">
        <v>6.7239668034276434</v>
      </c>
      <c r="AS149" s="16">
        <v>5.5104093951583906</v>
      </c>
      <c r="AT149" s="16">
        <v>1.8545746813748707</v>
      </c>
      <c r="AU149" s="16">
        <v>2.1496098989168644</v>
      </c>
      <c r="AV149" s="16">
        <v>1.3798933588558668</v>
      </c>
      <c r="AW149" s="16">
        <v>2.7608881807072834</v>
      </c>
      <c r="AX149" s="16">
        <v>0.92676576074713068</v>
      </c>
      <c r="AY149" s="16">
        <v>4.3391083145198195</v>
      </c>
      <c r="AZ149" s="19">
        <v>6.4420313662556765</v>
      </c>
      <c r="BA149" s="19">
        <v>-2.06647390176839</v>
      </c>
      <c r="BB149" s="19">
        <v>-5.014263012620745</v>
      </c>
      <c r="BC149" s="19">
        <v>1.8835473097916093</v>
      </c>
      <c r="BD149" s="19">
        <v>-1.1767978668692791</v>
      </c>
      <c r="BE149" s="19">
        <v>-0.76218340954868324</v>
      </c>
      <c r="BF149" s="19">
        <v>0.81465230853767423</v>
      </c>
      <c r="BG149" s="19">
        <v>0.23256444149819799</v>
      </c>
      <c r="BH149" s="19">
        <v>-0.11547630553289423</v>
      </c>
      <c r="BI149" s="19">
        <v>2.7397918015241913</v>
      </c>
      <c r="BJ149" s="19">
        <v>-1.1161129623962154</v>
      </c>
      <c r="BK149" s="19">
        <v>-0.71432592215059287</v>
      </c>
      <c r="BL149" s="19">
        <v>0.91546584590113866</v>
      </c>
      <c r="BM149" s="19">
        <v>-2.5473461065411414</v>
      </c>
      <c r="BN149" s="19">
        <v>5.5535021688899207</v>
      </c>
      <c r="BO149" s="16">
        <v>-0.6438382582386879</v>
      </c>
      <c r="BP149" s="16">
        <v>-3.3890219062201083</v>
      </c>
    </row>
    <row r="150" spans="1:68" x14ac:dyDescent="0.3">
      <c r="A150" s="16" t="s">
        <v>139</v>
      </c>
      <c r="B150" s="16" t="s">
        <v>475</v>
      </c>
      <c r="C150" s="16" t="s">
        <v>604</v>
      </c>
      <c r="D150" s="16" t="s">
        <v>605</v>
      </c>
      <c r="AJ150" s="16">
        <v>-12.180717174642709</v>
      </c>
      <c r="AK150" s="16">
        <v>-31.177518981556034</v>
      </c>
      <c r="AL150" s="16">
        <v>-3.0907129342632658</v>
      </c>
      <c r="AM150" s="16">
        <v>3.9147913524232081</v>
      </c>
      <c r="AN150" s="16">
        <v>0.47769635333017391</v>
      </c>
      <c r="AO150" s="16">
        <v>3.7500734675398348</v>
      </c>
      <c r="AP150" s="16">
        <v>9.9271827600343983</v>
      </c>
      <c r="AQ150" s="16">
        <v>7.3433415147550818</v>
      </c>
      <c r="AR150" s="16">
        <v>3.5959828306357196</v>
      </c>
      <c r="AS150" s="16">
        <v>6.6993125562973006</v>
      </c>
      <c r="AT150" s="16">
        <v>7.7055677342399633</v>
      </c>
      <c r="AU150" s="16">
        <v>8.3395752842191797</v>
      </c>
      <c r="AV150" s="16">
        <v>9.4757409357289362</v>
      </c>
      <c r="AW150" s="16">
        <v>9.4723365381119322</v>
      </c>
      <c r="AX150" s="16">
        <v>11.923266020912564</v>
      </c>
      <c r="AY150" s="16">
        <v>13.003648096168675</v>
      </c>
      <c r="AZ150" s="19">
        <v>10.842912495240967</v>
      </c>
      <c r="BA150" s="19">
        <v>-2.2269657657242306</v>
      </c>
      <c r="BB150" s="19">
        <v>-12.832803120927522</v>
      </c>
      <c r="BC150" s="19">
        <v>-2.4461576826906679</v>
      </c>
      <c r="BD150" s="19">
        <v>4.4584469147207528</v>
      </c>
      <c r="BE150" s="19">
        <v>8.3782237971523159</v>
      </c>
      <c r="BF150" s="19">
        <v>3.1063793963100039</v>
      </c>
      <c r="BG150" s="19">
        <v>2.8663625940760937</v>
      </c>
      <c r="BH150" s="19">
        <v>4.7391826061125073</v>
      </c>
      <c r="BI150" s="19">
        <v>3.3084343975577468</v>
      </c>
      <c r="BJ150" s="19">
        <v>4.2321161653691348</v>
      </c>
      <c r="BK150" s="19">
        <v>4.8039139248437834</v>
      </c>
      <c r="BL150" s="19">
        <v>1.2892626996700045</v>
      </c>
      <c r="BM150" s="19">
        <v>-2.8348528072271648</v>
      </c>
      <c r="BN150" s="19">
        <v>7.6356041039265676</v>
      </c>
      <c r="BO150" s="16">
        <v>3.2344990222609624</v>
      </c>
      <c r="BP150" s="16">
        <v>-0.40797132609846187</v>
      </c>
    </row>
    <row r="151" spans="1:68" x14ac:dyDescent="0.3">
      <c r="A151" s="16" t="s">
        <v>699</v>
      </c>
      <c r="B151" s="16" t="s">
        <v>700</v>
      </c>
      <c r="C151" s="16" t="s">
        <v>604</v>
      </c>
      <c r="D151" s="16" t="s">
        <v>605</v>
      </c>
      <c r="AB151" s="16">
        <v>6.0724596413596998</v>
      </c>
      <c r="AC151" s="16">
        <v>4.4056305267017564</v>
      </c>
      <c r="AD151" s="16">
        <v>-3.1570361692284763</v>
      </c>
      <c r="AE151" s="16">
        <v>2.4926856169025058</v>
      </c>
      <c r="AF151" s="16">
        <v>9.7790437135665655</v>
      </c>
      <c r="AG151" s="16">
        <v>3.6011091294935795</v>
      </c>
      <c r="AH151" s="16">
        <v>1.0216237788877862</v>
      </c>
      <c r="AI151" s="16">
        <v>4.0058228572389822</v>
      </c>
      <c r="AJ151" s="16">
        <v>0.18024765559773925</v>
      </c>
      <c r="AK151" s="16">
        <v>10.262422254343505</v>
      </c>
      <c r="AL151" s="16">
        <v>2.8810723379408216</v>
      </c>
      <c r="AM151" s="16">
        <v>2.089850463807565</v>
      </c>
      <c r="AN151" s="16">
        <v>1.2480498751979496</v>
      </c>
      <c r="AO151" s="16">
        <v>-2.3046379166043636</v>
      </c>
      <c r="AP151" s="16">
        <v>-2.0721980492033225</v>
      </c>
      <c r="AQ151" s="16">
        <v>-6.1834964869484281</v>
      </c>
      <c r="AR151" s="16">
        <v>-3.9052919907632173</v>
      </c>
      <c r="AS151" s="16">
        <v>4.1850040421154802</v>
      </c>
      <c r="AT151" s="16">
        <v>1.1953272849653587</v>
      </c>
      <c r="AU151" s="16">
        <v>6.3570500923387527</v>
      </c>
      <c r="AV151" s="16">
        <v>8.5347055659767932</v>
      </c>
      <c r="AW151" s="16">
        <v>23.169590714149308</v>
      </c>
      <c r="AX151" s="16">
        <v>5.1803691829553031</v>
      </c>
      <c r="AY151" s="16">
        <v>10.397818125214783</v>
      </c>
      <c r="AZ151" s="19">
        <v>11.485146873613616</v>
      </c>
      <c r="BA151" s="19">
        <v>0.71235155344417933</v>
      </c>
      <c r="BB151" s="19">
        <v>-1.3334479352872393</v>
      </c>
      <c r="BC151" s="19">
        <v>21.917391302178729</v>
      </c>
      <c r="BD151" s="19">
        <v>18.697437885835228</v>
      </c>
      <c r="BE151" s="19">
        <v>7.0372345637573375</v>
      </c>
      <c r="BF151" s="19">
        <v>8.7728054068942924</v>
      </c>
      <c r="BG151" s="19">
        <v>-3.7981387937617797</v>
      </c>
      <c r="BH151" s="19">
        <v>-22.926849290779799</v>
      </c>
      <c r="BI151" s="19">
        <v>-2.4935243967453289</v>
      </c>
      <c r="BJ151" s="19">
        <v>7.8092554259626183</v>
      </c>
      <c r="BK151" s="19">
        <v>4.381327288843778</v>
      </c>
      <c r="BL151" s="19">
        <v>-4.4225374207094745</v>
      </c>
      <c r="BM151" s="19">
        <v>-55.188681181833601</v>
      </c>
      <c r="BN151" s="19">
        <v>21.678054281120552</v>
      </c>
      <c r="BO151" s="16">
        <v>-22.369886248036224</v>
      </c>
      <c r="BP151" s="16">
        <v>78.231609879856904</v>
      </c>
    </row>
    <row r="152" spans="1:68" x14ac:dyDescent="0.3">
      <c r="A152" s="16" t="s">
        <v>701</v>
      </c>
      <c r="B152" s="16" t="s">
        <v>702</v>
      </c>
      <c r="C152" s="16" t="s">
        <v>604</v>
      </c>
      <c r="D152" s="16" t="s">
        <v>605</v>
      </c>
      <c r="AZ152" s="19"/>
      <c r="BA152" s="19"/>
      <c r="BB152" s="19"/>
      <c r="BC152" s="19"/>
      <c r="BD152" s="19"/>
      <c r="BE152" s="19"/>
      <c r="BF152" s="19"/>
      <c r="BG152" s="19"/>
      <c r="BH152" s="19">
        <v>1.6950599657338472</v>
      </c>
      <c r="BI152" s="19">
        <v>5.630404182585977</v>
      </c>
      <c r="BJ152" s="19">
        <v>-7.1599058673750733</v>
      </c>
      <c r="BK152" s="19">
        <v>-6.2497881927098291</v>
      </c>
      <c r="BL152" s="19">
        <v>8.8505215156547479</v>
      </c>
      <c r="BM152" s="19">
        <v>-10.973261278959725</v>
      </c>
      <c r="BN152" s="19">
        <v>6.8864933423369052</v>
      </c>
    </row>
    <row r="153" spans="1:68" x14ac:dyDescent="0.3">
      <c r="A153" s="16" t="s">
        <v>164</v>
      </c>
      <c r="B153" s="16" t="s">
        <v>476</v>
      </c>
      <c r="C153" s="16" t="s">
        <v>604</v>
      </c>
      <c r="D153" s="16" t="s">
        <v>605</v>
      </c>
      <c r="L153" s="16">
        <v>7.1082392350575674</v>
      </c>
      <c r="M153" s="16">
        <v>6.9809308284651337</v>
      </c>
      <c r="N153" s="16">
        <v>5.5187151842314535</v>
      </c>
      <c r="O153" s="16">
        <v>1.9670551528881361</v>
      </c>
      <c r="P153" s="16">
        <v>2.880552554189947</v>
      </c>
      <c r="Q153" s="16">
        <v>-0.12167378468211609</v>
      </c>
      <c r="R153" s="16">
        <v>1.0125985164422246</v>
      </c>
      <c r="S153" s="16">
        <v>3.0353279542417937</v>
      </c>
      <c r="T153" s="16">
        <v>5.0020337432685125</v>
      </c>
      <c r="U153" s="16">
        <v>8.1462760146294499</v>
      </c>
      <c r="V153" s="16">
        <v>3.373887250152265</v>
      </c>
      <c r="W153" s="16">
        <v>-0.41820580043085442</v>
      </c>
      <c r="X153" s="16">
        <v>2.0663857779397006</v>
      </c>
      <c r="Y153" s="16">
        <v>0.9040551970821582</v>
      </c>
      <c r="Z153" s="16">
        <v>-4.3483385269328068</v>
      </c>
      <c r="AA153" s="16">
        <v>6.109124014165161</v>
      </c>
      <c r="AB153" s="16">
        <v>-1.1993699185261448</v>
      </c>
      <c r="AC153" s="16">
        <v>3.8245491976009589</v>
      </c>
      <c r="AD153" s="16">
        <v>3.5403796975331403</v>
      </c>
      <c r="AE153" s="16">
        <v>6.9175913254786963</v>
      </c>
      <c r="AF153" s="16">
        <v>-2.2855236211750309</v>
      </c>
      <c r="AG153" s="16">
        <v>9.7849032762884889</v>
      </c>
      <c r="AH153" s="16">
        <v>1.0142004815344592</v>
      </c>
      <c r="AI153" s="16">
        <v>1.6214025232800964</v>
      </c>
      <c r="AJ153" s="16">
        <v>5.4142743523232184</v>
      </c>
      <c r="AK153" s="16">
        <v>-3.6971858849245933</v>
      </c>
      <c r="AL153" s="16">
        <v>-2.3112620941452349</v>
      </c>
      <c r="AM153" s="16">
        <v>8.9121175259522403</v>
      </c>
      <c r="AN153" s="16">
        <v>-6.8360456180831477</v>
      </c>
      <c r="AO153" s="16">
        <v>10.674268733442503</v>
      </c>
      <c r="AP153" s="16">
        <v>-3.0227289850736696</v>
      </c>
      <c r="AQ153" s="16">
        <v>5.6810087647311605</v>
      </c>
      <c r="AR153" s="16">
        <v>0.27405923329406789</v>
      </c>
      <c r="AS153" s="16">
        <v>1.1924509405026384</v>
      </c>
      <c r="AT153" s="16">
        <v>6.2870090109633026</v>
      </c>
      <c r="AU153" s="16">
        <v>2.3798601962808874</v>
      </c>
      <c r="AV153" s="16">
        <v>4.8490339621995133</v>
      </c>
      <c r="AW153" s="16">
        <v>3.2424852341279546</v>
      </c>
      <c r="AX153" s="16">
        <v>1.8077511686964982</v>
      </c>
      <c r="AY153" s="16">
        <v>6.3544106842771271</v>
      </c>
      <c r="AZ153" s="19">
        <v>2.0846446310244033</v>
      </c>
      <c r="BA153" s="19">
        <v>4.308112336232611</v>
      </c>
      <c r="BB153" s="19">
        <v>2.3939134130264677</v>
      </c>
      <c r="BC153" s="19">
        <v>2.1227068099384212</v>
      </c>
      <c r="BD153" s="19">
        <v>4.0847612955031707</v>
      </c>
      <c r="BE153" s="19">
        <v>1.6440066547937846</v>
      </c>
      <c r="BF153" s="19">
        <v>2.6996346357549328</v>
      </c>
      <c r="BG153" s="19">
        <v>1.3576132027367294</v>
      </c>
      <c r="BH153" s="19">
        <v>3.0224298760332999</v>
      </c>
      <c r="BI153" s="19">
        <v>-0.72200265063662528</v>
      </c>
      <c r="BJ153" s="19">
        <v>3.7922770236530283</v>
      </c>
      <c r="BK153" s="19">
        <v>1.899445895793292</v>
      </c>
      <c r="BL153" s="19">
        <v>1.8026571820882111</v>
      </c>
      <c r="BM153" s="19">
        <v>-8.1639652855106419</v>
      </c>
      <c r="BN153" s="19">
        <v>6.8807313338151062</v>
      </c>
      <c r="BO153" s="16">
        <v>0.21547043783687059</v>
      </c>
      <c r="BP153" s="16">
        <v>2.1218053799119332</v>
      </c>
    </row>
    <row r="154" spans="1:68" x14ac:dyDescent="0.3">
      <c r="A154" s="16" t="s">
        <v>160</v>
      </c>
      <c r="B154" s="16" t="s">
        <v>703</v>
      </c>
      <c r="C154" s="16" t="s">
        <v>604</v>
      </c>
      <c r="D154" s="16" t="s">
        <v>605</v>
      </c>
      <c r="P154" s="16">
        <v>3.7742794294899511</v>
      </c>
      <c r="Q154" s="16">
        <v>3.4752259947596258</v>
      </c>
      <c r="R154" s="16">
        <v>5.6496084200075529</v>
      </c>
      <c r="S154" s="16">
        <v>3.8129081864255028</v>
      </c>
      <c r="T154" s="16">
        <v>-1.9891383949328656</v>
      </c>
      <c r="U154" s="16">
        <v>2.9037923044013922</v>
      </c>
      <c r="V154" s="16">
        <v>2.1957818760896259</v>
      </c>
      <c r="W154" s="16">
        <v>2.7360032126991598</v>
      </c>
      <c r="X154" s="16">
        <v>2.4500165271963397</v>
      </c>
      <c r="Y154" s="16">
        <v>0.77661267460473482</v>
      </c>
      <c r="Z154" s="16">
        <v>0.15299503870609499</v>
      </c>
      <c r="AA154" s="16">
        <v>1.3587681587659262</v>
      </c>
      <c r="AB154" s="16">
        <v>-0.29483651409915979</v>
      </c>
      <c r="AC154" s="16">
        <v>-2.3086917636334192E-2</v>
      </c>
      <c r="AD154" s="16">
        <v>0.29642211651348305</v>
      </c>
      <c r="AE154" s="16">
        <v>1.1739491081535647</v>
      </c>
      <c r="AF154" s="16">
        <v>1.3416106143982347</v>
      </c>
      <c r="AG154" s="16">
        <v>3.5386465177803075</v>
      </c>
      <c r="AH154" s="16">
        <v>3.2078387781196511</v>
      </c>
      <c r="AI154" s="16">
        <v>1.7939864334955473</v>
      </c>
      <c r="AJ154" s="16">
        <v>0.23844472029901453</v>
      </c>
      <c r="AK154" s="16">
        <v>0.6095335120011498</v>
      </c>
      <c r="AL154" s="16">
        <v>-1.6485048860166529</v>
      </c>
      <c r="AM154" s="16">
        <v>1.466660492421056</v>
      </c>
      <c r="AN154" s="16">
        <v>1.3743513547894537</v>
      </c>
      <c r="AO154" s="16">
        <v>0.35524727773777443</v>
      </c>
      <c r="AP154" s="16">
        <v>1.4409188296266962</v>
      </c>
      <c r="AQ154" s="16">
        <v>2.7288144540093384</v>
      </c>
      <c r="AR154" s="16">
        <v>2.7105988739643578</v>
      </c>
      <c r="AS154" s="16">
        <v>3.6829805618571925</v>
      </c>
      <c r="AT154" s="16">
        <v>2.2538770574498983</v>
      </c>
      <c r="AU154" s="16">
        <v>1.2074237173988536</v>
      </c>
      <c r="AV154" s="16">
        <v>1.3065034394401494</v>
      </c>
      <c r="AW154" s="16">
        <v>2.7247849103053028</v>
      </c>
      <c r="AX154" s="16">
        <v>2.1767962639141842</v>
      </c>
      <c r="AY154" s="16">
        <v>6.2236885633376318</v>
      </c>
      <c r="AZ154" s="19">
        <v>15.114702275878059</v>
      </c>
      <c r="BA154" s="19">
        <v>0.61630462138037956</v>
      </c>
      <c r="BB154" s="19">
        <v>-12.809461461967047</v>
      </c>
      <c r="BC154" s="19">
        <v>-0.32505894066042629</v>
      </c>
      <c r="BD154" s="19">
        <v>4.6041476682353419</v>
      </c>
      <c r="BE154" s="19">
        <v>-1.1855983084681156</v>
      </c>
      <c r="BF154" s="19">
        <v>7.3345179697215315</v>
      </c>
      <c r="BG154" s="19">
        <v>5.1537098667780157</v>
      </c>
      <c r="BH154" s="19">
        <v>3.0092496644411426</v>
      </c>
      <c r="BI154" s="19">
        <v>2.1003071020239616</v>
      </c>
      <c r="BJ154" s="19">
        <v>-2.9734539364436046</v>
      </c>
      <c r="BK154" s="19">
        <v>5.8231971597952423</v>
      </c>
      <c r="BL154" s="19">
        <v>7.0690031589208786</v>
      </c>
      <c r="BM154" s="19">
        <v>-12.747219456341384</v>
      </c>
      <c r="BN154" s="19">
        <v>22.651340456035584</v>
      </c>
      <c r="BO154" s="16">
        <v>11.757881179006972</v>
      </c>
    </row>
    <row r="155" spans="1:68" x14ac:dyDescent="0.3">
      <c r="A155" s="16" t="s">
        <v>318</v>
      </c>
      <c r="B155" s="16" t="s">
        <v>477</v>
      </c>
      <c r="C155" s="16" t="s">
        <v>604</v>
      </c>
      <c r="D155" s="16" t="s">
        <v>605</v>
      </c>
      <c r="AJ155" s="16">
        <v>-16.204320853487388</v>
      </c>
      <c r="AK155" s="16">
        <v>-29.157446716208327</v>
      </c>
      <c r="AL155" s="16">
        <v>-1.1732973829022626</v>
      </c>
      <c r="AM155" s="16">
        <v>-30.731603634854281</v>
      </c>
      <c r="AN155" s="16">
        <v>-0.91971969232569961</v>
      </c>
      <c r="AO155" s="16">
        <v>-5.6884179609585317</v>
      </c>
      <c r="AP155" s="16">
        <v>2.0236873523371344</v>
      </c>
      <c r="AQ155" s="16">
        <v>-6.5044297642833584</v>
      </c>
      <c r="AR155" s="16">
        <v>-3.2164132673901662</v>
      </c>
      <c r="AS155" s="16">
        <v>2.3155856048223171</v>
      </c>
      <c r="AT155" s="16">
        <v>6.3375326939280257</v>
      </c>
      <c r="AU155" s="16">
        <v>8.0499322491646552</v>
      </c>
      <c r="AV155" s="16">
        <v>6.9006112835132285</v>
      </c>
      <c r="AW155" s="16">
        <v>7.666087053360954</v>
      </c>
      <c r="AX155" s="16">
        <v>7.7618862446798573</v>
      </c>
      <c r="AY155" s="16">
        <v>5.0916680157227603</v>
      </c>
      <c r="AZ155" s="19">
        <v>3.2389468356220021</v>
      </c>
      <c r="BA155" s="19">
        <v>8.0053919548355879</v>
      </c>
      <c r="BB155" s="19">
        <v>-5.8812377146196866</v>
      </c>
      <c r="BC155" s="19">
        <v>7.2069746113670732</v>
      </c>
      <c r="BD155" s="19">
        <v>5.8793851233896817</v>
      </c>
      <c r="BE155" s="19">
        <v>-0.57670086838253098</v>
      </c>
      <c r="BF155" s="19">
        <v>9.0730755766005018</v>
      </c>
      <c r="BG155" s="19">
        <v>5.0636658104291143</v>
      </c>
      <c r="BH155" s="19">
        <v>0.42915888797709556</v>
      </c>
      <c r="BI155" s="19">
        <v>5.8701757642913606</v>
      </c>
      <c r="BJ155" s="19">
        <v>5.9904119982224557</v>
      </c>
      <c r="BK155" s="19">
        <v>5.9203671819072241</v>
      </c>
      <c r="BL155" s="19">
        <v>5.2228098496204893</v>
      </c>
      <c r="BM155" s="19">
        <v>-7.2632697677190663</v>
      </c>
      <c r="BN155" s="19">
        <v>15.655797612201482</v>
      </c>
      <c r="BO155" s="16">
        <v>-2.8861914454192856</v>
      </c>
      <c r="BP155" s="16">
        <v>2.8907057913617962</v>
      </c>
    </row>
    <row r="156" spans="1:68" x14ac:dyDescent="0.3">
      <c r="A156" s="16" t="s">
        <v>147</v>
      </c>
      <c r="B156" s="16" t="s">
        <v>478</v>
      </c>
      <c r="C156" s="16" t="s">
        <v>604</v>
      </c>
      <c r="D156" s="16" t="s">
        <v>605</v>
      </c>
      <c r="F156" s="16">
        <v>-0.55631050048644681</v>
      </c>
      <c r="G156" s="16">
        <v>-0.34887283028814409</v>
      </c>
      <c r="H156" s="16">
        <v>-3.4789432744080528</v>
      </c>
      <c r="I156" s="16">
        <v>1.2707320446653938</v>
      </c>
      <c r="J156" s="16">
        <v>-3.0428584239021887</v>
      </c>
      <c r="K156" s="16">
        <v>-0.61766628974856985</v>
      </c>
      <c r="L156" s="16">
        <v>2.7073097165025644</v>
      </c>
      <c r="M156" s="16">
        <v>3.9155361146108163</v>
      </c>
      <c r="N156" s="16">
        <v>0.83010214669094751</v>
      </c>
      <c r="O156" s="16">
        <v>2.2729990978780421</v>
      </c>
      <c r="P156" s="16">
        <v>0.8799712347450992</v>
      </c>
      <c r="Q156" s="16">
        <v>-4.2218455387559715</v>
      </c>
      <c r="R156" s="16">
        <v>-5.5320622469240703</v>
      </c>
      <c r="S156" s="16">
        <v>-1.0344960035738353</v>
      </c>
      <c r="T156" s="16">
        <v>-1.7436355318813668</v>
      </c>
      <c r="U156" s="16">
        <v>-5.9241804986339019</v>
      </c>
      <c r="V156" s="16">
        <v>-0.63310818059420626</v>
      </c>
      <c r="W156" s="16">
        <v>-5.4960340043671465</v>
      </c>
      <c r="X156" s="16">
        <v>6.677792801023827</v>
      </c>
      <c r="Y156" s="16">
        <v>-1.9340385583998625</v>
      </c>
      <c r="Z156" s="16">
        <v>-12.33875992094228</v>
      </c>
      <c r="AA156" s="16">
        <v>-4.6311831181449605</v>
      </c>
      <c r="AB156" s="16">
        <v>-1.8876532743562962</v>
      </c>
      <c r="AC156" s="16">
        <v>-1.0333055829712379</v>
      </c>
      <c r="AD156" s="16">
        <v>-1.6209463500468502</v>
      </c>
      <c r="AE156" s="16">
        <v>-0.83886881660366441</v>
      </c>
      <c r="AF156" s="16">
        <v>-1.6315222154762239</v>
      </c>
      <c r="AG156" s="16">
        <v>0.48860652792825476</v>
      </c>
      <c r="AH156" s="16">
        <v>1.0983895200566565</v>
      </c>
      <c r="AI156" s="16">
        <v>0.12577423312968961</v>
      </c>
      <c r="AJ156" s="16">
        <v>-9.0799766653007765</v>
      </c>
      <c r="AK156" s="16">
        <v>-1.8495860112610245</v>
      </c>
      <c r="AL156" s="16">
        <v>-1.011340274739652</v>
      </c>
      <c r="AM156" s="16">
        <v>-3.1370857087599546</v>
      </c>
      <c r="AN156" s="16">
        <v>-1.4959783702956315</v>
      </c>
      <c r="AO156" s="16">
        <v>-1.044504204522795</v>
      </c>
      <c r="AP156" s="16">
        <v>0.45581939620697653</v>
      </c>
      <c r="AQ156" s="16">
        <v>0.70074171414967168</v>
      </c>
      <c r="AR156" s="16">
        <v>1.5048423142965106</v>
      </c>
      <c r="AS156" s="16">
        <v>1.3292527461553618</v>
      </c>
      <c r="AT156" s="16">
        <v>2.8519231669298648</v>
      </c>
      <c r="AU156" s="16">
        <v>-14.96403254293412</v>
      </c>
      <c r="AV156" s="16">
        <v>6.6112202646068994</v>
      </c>
      <c r="AW156" s="16">
        <v>2.2207475622130204</v>
      </c>
      <c r="AX156" s="16">
        <v>1.7378595590521684</v>
      </c>
      <c r="AY156" s="16">
        <v>2.3584593659172128</v>
      </c>
      <c r="AZ156" s="19">
        <v>2.6617483814245873</v>
      </c>
      <c r="BA156" s="19">
        <v>3.6504965029100447</v>
      </c>
      <c r="BB156" s="19">
        <v>-6.7228448404413399</v>
      </c>
      <c r="BC156" s="19">
        <v>-2.2235258154659334</v>
      </c>
      <c r="BD156" s="19">
        <v>-1.2264822022539761</v>
      </c>
      <c r="BE156" s="19">
        <v>0.23884684051505189</v>
      </c>
      <c r="BF156" s="19">
        <v>-0.39648459021177018</v>
      </c>
      <c r="BG156" s="19">
        <v>0.65969122064666408</v>
      </c>
      <c r="BH156" s="19">
        <v>0.49728778592506728</v>
      </c>
      <c r="BI156" s="19">
        <v>1.3383460258881428</v>
      </c>
      <c r="BJ156" s="19">
        <v>1.2819054385076072</v>
      </c>
      <c r="BK156" s="19">
        <v>0.59206685309007412</v>
      </c>
      <c r="BL156" s="19">
        <v>1.8075321252673433</v>
      </c>
      <c r="BM156" s="19">
        <v>-9.414529771742906</v>
      </c>
      <c r="BN156" s="19">
        <v>3.2146626649715273</v>
      </c>
      <c r="BO156" s="16">
        <v>1.3563374138068554</v>
      </c>
      <c r="BP156" s="16">
        <v>1.5370401153404174</v>
      </c>
    </row>
    <row r="157" spans="1:68" x14ac:dyDescent="0.3">
      <c r="A157" s="16" t="s">
        <v>150</v>
      </c>
      <c r="B157" s="16" t="s">
        <v>479</v>
      </c>
      <c r="C157" s="16" t="s">
        <v>604</v>
      </c>
      <c r="D157" s="16" t="s">
        <v>605</v>
      </c>
      <c r="P157" s="16">
        <v>2.0418853059098012</v>
      </c>
      <c r="Q157" s="16">
        <v>-0.644027878761392</v>
      </c>
      <c r="R157" s="16">
        <v>-1.3955066289415186</v>
      </c>
      <c r="S157" s="16">
        <v>2.6813484444997187</v>
      </c>
      <c r="T157" s="16">
        <v>-10.677451574234468</v>
      </c>
      <c r="U157" s="16">
        <v>-2.3631961395394825</v>
      </c>
      <c r="V157" s="16">
        <v>8.0831805591679426</v>
      </c>
      <c r="W157" s="16">
        <v>11.573295624076991</v>
      </c>
      <c r="X157" s="16">
        <v>7.6954632430356753</v>
      </c>
      <c r="Y157" s="16">
        <v>15.292970140675678</v>
      </c>
      <c r="Z157" s="16">
        <v>8.6185382739377445</v>
      </c>
      <c r="AA157" s="16">
        <v>-5.7130628453807049</v>
      </c>
      <c r="AB157" s="16">
        <v>13.134329135878374</v>
      </c>
      <c r="AC157" s="16">
        <v>23.479120057642348</v>
      </c>
      <c r="AD157" s="16">
        <v>11.781689776519627</v>
      </c>
      <c r="AE157" s="16">
        <v>5.5667234605580376</v>
      </c>
      <c r="AF157" s="16">
        <v>5.0829852349348243</v>
      </c>
      <c r="AG157" s="16">
        <v>5.1753395143207683</v>
      </c>
      <c r="AH157" s="16">
        <v>5.9271663194601132</v>
      </c>
      <c r="AI157" s="16">
        <v>13.302688296200401</v>
      </c>
      <c r="AJ157" s="16">
        <v>-1.7004325751006917</v>
      </c>
      <c r="AK157" s="16">
        <v>3.5545969528579633</v>
      </c>
      <c r="AL157" s="16">
        <v>2.6761719773648878</v>
      </c>
      <c r="AM157" s="16">
        <v>5.0339707057206908</v>
      </c>
      <c r="AN157" s="16">
        <v>10.357261791896107</v>
      </c>
      <c r="AO157" s="16">
        <v>5.5558672493233274</v>
      </c>
      <c r="AP157" s="16">
        <v>6.3032302775975637</v>
      </c>
      <c r="AQ157" s="16">
        <v>5.6274363273314947</v>
      </c>
      <c r="AR157" s="16">
        <v>4.5282993581713242</v>
      </c>
      <c r="AS157" s="16">
        <v>2.2298991863776649</v>
      </c>
      <c r="AT157" s="16">
        <v>-5.5540236534907876</v>
      </c>
      <c r="AU157" s="16">
        <v>5.4480637218297119</v>
      </c>
      <c r="AV157" s="16">
        <v>11.858718666873941</v>
      </c>
      <c r="AW157" s="16">
        <v>4.0970939412150642</v>
      </c>
      <c r="AX157" s="16">
        <v>-12.635126683812203</v>
      </c>
      <c r="AY157" s="16">
        <v>20.703194256798866</v>
      </c>
      <c r="AZ157" s="19">
        <v>3.5897245363849066</v>
      </c>
      <c r="BA157" s="19">
        <v>5.176491364229733</v>
      </c>
      <c r="BB157" s="19">
        <v>-11.355849796171412</v>
      </c>
      <c r="BC157" s="19">
        <v>3.1308370760336146</v>
      </c>
      <c r="BD157" s="19">
        <v>4.8423610919081455</v>
      </c>
      <c r="BE157" s="19">
        <v>-1.0961951968826611</v>
      </c>
      <c r="BF157" s="19">
        <v>3.4428081803542341</v>
      </c>
      <c r="BG157" s="19">
        <v>3.6596545546602357</v>
      </c>
      <c r="BH157" s="19">
        <v>-0.5262732189327437</v>
      </c>
      <c r="BI157" s="19">
        <v>2.1920602005027803</v>
      </c>
      <c r="BJ157" s="19">
        <v>2.9327165156862804</v>
      </c>
      <c r="BK157" s="19">
        <v>4.8259144415362556</v>
      </c>
      <c r="BL157" s="19">
        <v>4.1613181909371235</v>
      </c>
      <c r="BM157" s="19">
        <v>-34.203863998703611</v>
      </c>
      <c r="BN157" s="19">
        <v>35.833872833044296</v>
      </c>
      <c r="BO157" s="16">
        <v>13.399976985171349</v>
      </c>
      <c r="BP157" s="16">
        <v>4.5247673663808285</v>
      </c>
    </row>
    <row r="158" spans="1:68" hidden="1" x14ac:dyDescent="0.3">
      <c r="A158" s="16" t="s">
        <v>704</v>
      </c>
      <c r="B158" s="16" t="s">
        <v>705</v>
      </c>
      <c r="C158" s="16" t="s">
        <v>604</v>
      </c>
      <c r="D158" s="16" t="s">
        <v>605</v>
      </c>
      <c r="G158" s="16">
        <v>2.6212610628087134</v>
      </c>
      <c r="H158" s="16">
        <v>7.9225215038489125</v>
      </c>
      <c r="I158" s="16">
        <v>6.9355100905178659</v>
      </c>
      <c r="J158" s="16">
        <v>9.0202243848954708</v>
      </c>
      <c r="K158" s="16">
        <v>3.833330198765708</v>
      </c>
      <c r="L158" s="16">
        <v>4.959322234295513</v>
      </c>
      <c r="M158" s="16">
        <v>9.7107316836680724</v>
      </c>
      <c r="N158" s="16">
        <v>7.8326944250680839</v>
      </c>
      <c r="O158" s="16">
        <v>14.256313406563081</v>
      </c>
      <c r="P158" s="16">
        <v>7.6061137203583939</v>
      </c>
      <c r="Q158" s="16">
        <v>12.20131664757406</v>
      </c>
      <c r="R158" s="16">
        <v>8.7535928955433207</v>
      </c>
      <c r="S158" s="16">
        <v>5.9926840443218339</v>
      </c>
      <c r="T158" s="16">
        <v>-4.1658007292871417</v>
      </c>
      <c r="U158" s="16">
        <v>11.281464525537402</v>
      </c>
      <c r="V158" s="16">
        <v>0.79481548222968001</v>
      </c>
      <c r="W158" s="16">
        <v>-5.0413503797802548</v>
      </c>
      <c r="X158" s="16">
        <v>2.8879911274093217</v>
      </c>
      <c r="Y158" s="16">
        <v>-2.2272915948154832</v>
      </c>
      <c r="Z158" s="16">
        <v>-3.6526572359750702</v>
      </c>
      <c r="AA158" s="16">
        <v>-6.461511701035306</v>
      </c>
      <c r="AB158" s="16">
        <v>-5.1211460247475742</v>
      </c>
      <c r="AC158" s="16">
        <v>-3.4159809314737686</v>
      </c>
      <c r="AD158" s="16">
        <v>-3.3488441402983824</v>
      </c>
      <c r="AE158" s="16">
        <v>-2.0953719404476487</v>
      </c>
      <c r="AF158" s="16">
        <v>-3.2699878147968633</v>
      </c>
      <c r="AG158" s="16">
        <v>0.19977152698649547</v>
      </c>
      <c r="AH158" s="16">
        <v>0.64913123459935207</v>
      </c>
      <c r="AI158" s="16">
        <v>6.4837667892976896</v>
      </c>
      <c r="AJ158" s="16">
        <v>0.73149449357465812</v>
      </c>
      <c r="AK158" s="16">
        <v>3.1290158991645853</v>
      </c>
      <c r="AL158" s="16">
        <v>-0.26655294572475441</v>
      </c>
      <c r="AM158" s="16">
        <v>0.71120191698213375</v>
      </c>
      <c r="AN158" s="16">
        <v>0.7479273878587378</v>
      </c>
      <c r="AO158" s="16">
        <v>2.7427193644088419</v>
      </c>
      <c r="AP158" s="16">
        <v>1.8995366156038216</v>
      </c>
      <c r="AQ158" s="16">
        <v>2.2317410699544951</v>
      </c>
      <c r="AR158" s="16">
        <v>-8.972318506110355E-2</v>
      </c>
      <c r="AS158" s="16">
        <v>4.5814691534304472</v>
      </c>
      <c r="AT158" s="16">
        <v>-0.53208146512864118</v>
      </c>
      <c r="AU158" s="16">
        <v>-0.3794661920870368</v>
      </c>
      <c r="AV158" s="16">
        <v>3.1233026807002631</v>
      </c>
      <c r="AW158" s="16">
        <v>5.7180580943774402</v>
      </c>
      <c r="AX158" s="16">
        <v>2.7828918335587787</v>
      </c>
      <c r="AY158" s="16">
        <v>3.5098862371450821</v>
      </c>
      <c r="AZ158" s="19">
        <v>2.6992778621096818</v>
      </c>
      <c r="BA158" s="19">
        <v>2.1095851924623332</v>
      </c>
      <c r="BB158" s="19">
        <v>-1.7406168927365968</v>
      </c>
      <c r="BC158" s="19">
        <v>2.772861289893271</v>
      </c>
      <c r="BD158" s="19">
        <v>1.691328896620675</v>
      </c>
      <c r="BE158" s="19">
        <v>1.9132795476141808</v>
      </c>
      <c r="BF158" s="19">
        <v>7.7550157256695229E-2</v>
      </c>
      <c r="BG158" s="19">
        <v>0.7188417315440887</v>
      </c>
      <c r="BH158" s="19">
        <v>0.62920404292803767</v>
      </c>
      <c r="BI158" s="19">
        <v>2.4044649137589005</v>
      </c>
      <c r="BJ158" s="19">
        <v>0.17911057942325215</v>
      </c>
      <c r="BK158" s="19">
        <v>0.46184756708275643</v>
      </c>
      <c r="BL158" s="19">
        <v>-0.36304729203182262</v>
      </c>
      <c r="BM158" s="19">
        <v>-5.3760397930547583</v>
      </c>
      <c r="BN158" s="19">
        <v>4.2247983763624291</v>
      </c>
      <c r="BO158" s="16">
        <v>4.2252686113425568</v>
      </c>
      <c r="BP158" s="16">
        <v>0.25414514524931064</v>
      </c>
    </row>
    <row r="159" spans="1:68" x14ac:dyDescent="0.3">
      <c r="A159" s="16" t="s">
        <v>158</v>
      </c>
      <c r="B159" s="16" t="s">
        <v>480</v>
      </c>
      <c r="C159" s="16" t="s">
        <v>604</v>
      </c>
      <c r="D159" s="16" t="s">
        <v>605</v>
      </c>
      <c r="F159" s="16">
        <v>1.7151508139444473</v>
      </c>
      <c r="G159" s="16">
        <v>1.2986462277170716</v>
      </c>
      <c r="H159" s="16">
        <v>4.5949917228114145</v>
      </c>
      <c r="I159" s="16">
        <v>8.2457865875548606</v>
      </c>
      <c r="J159" s="16">
        <v>3.5813389940393847</v>
      </c>
      <c r="K159" s="16">
        <v>2.6322090622984575</v>
      </c>
      <c r="L159" s="16">
        <v>2.4316234033294108</v>
      </c>
      <c r="M159" s="16">
        <v>5.9126330250029326</v>
      </c>
      <c r="N159" s="16">
        <v>0.14065162307979051</v>
      </c>
      <c r="O159" s="16">
        <v>3.1671419216803258</v>
      </c>
      <c r="P159" s="16">
        <v>0.54674874595200151</v>
      </c>
      <c r="Q159" s="16">
        <v>4.9021857233551458</v>
      </c>
      <c r="R159" s="16">
        <v>4.5707565054584904</v>
      </c>
      <c r="S159" s="16">
        <v>2.5862465724608086</v>
      </c>
      <c r="T159" s="16">
        <v>2.5987334371175876</v>
      </c>
      <c r="U159" s="16">
        <v>1.3763194376590064</v>
      </c>
      <c r="V159" s="16">
        <v>0.38508878914169031</v>
      </c>
      <c r="W159" s="16">
        <v>5.7939692448262292</v>
      </c>
      <c r="X159" s="16">
        <v>6.623838777544762</v>
      </c>
      <c r="Y159" s="16">
        <v>5.974025102282198</v>
      </c>
      <c r="Z159" s="16">
        <v>7.1663418805822658</v>
      </c>
      <c r="AA159" s="16">
        <v>-2.0625684441955627</v>
      </c>
      <c r="AB159" s="16">
        <v>-6.5077232024242164</v>
      </c>
      <c r="AC159" s="16">
        <v>1.5282902730406391</v>
      </c>
      <c r="AD159" s="16">
        <v>3.7494708962299228E-2</v>
      </c>
      <c r="AE159" s="16">
        <v>-5.6344173126044694</v>
      </c>
      <c r="AF159" s="16">
        <v>0.31416571055611087</v>
      </c>
      <c r="AG159" s="16">
        <v>-0.49904509187371104</v>
      </c>
      <c r="AH159" s="16">
        <v>1.8925397085538975</v>
      </c>
      <c r="AI159" s="16">
        <v>3.3353074989630187</v>
      </c>
      <c r="AJ159" s="16">
        <v>1.9411260930104248</v>
      </c>
      <c r="AK159" s="16">
        <v>1.5682759008854816</v>
      </c>
      <c r="AL159" s="16">
        <v>0.90188638734221627</v>
      </c>
      <c r="AM159" s="16">
        <v>2.4248208580688981</v>
      </c>
      <c r="AN159" s="16">
        <v>-7.641244607945211</v>
      </c>
      <c r="AO159" s="16">
        <v>4.3429871768451989</v>
      </c>
      <c r="AP159" s="16">
        <v>5.3621997860569195</v>
      </c>
      <c r="AQ159" s="16">
        <v>4.4100218321002416</v>
      </c>
      <c r="AR159" s="16">
        <v>1.0830368345834387</v>
      </c>
      <c r="AS159" s="16">
        <v>3.3781576617800937</v>
      </c>
      <c r="AT159" s="16">
        <v>-1.9740608911208994</v>
      </c>
      <c r="AU159" s="16">
        <v>-1.7419726597169785</v>
      </c>
      <c r="AV159" s="16">
        <v>-0.30835180925532768</v>
      </c>
      <c r="AW159" s="16">
        <v>2.0545182803488871</v>
      </c>
      <c r="AX159" s="16">
        <v>0.66391024142107824</v>
      </c>
      <c r="AY159" s="16">
        <v>3.3887570950420667</v>
      </c>
      <c r="AZ159" s="19">
        <v>0.74308122643553531</v>
      </c>
      <c r="BA159" s="19">
        <v>-0.3280860861509467</v>
      </c>
      <c r="BB159" s="19">
        <v>-7.4470013529453638</v>
      </c>
      <c r="BC159" s="19">
        <v>3.5880027287709311</v>
      </c>
      <c r="BD159" s="19">
        <v>1.9777284996516329</v>
      </c>
      <c r="BE159" s="19">
        <v>2.1170229620069279</v>
      </c>
      <c r="BF159" s="19">
        <v>-0.46757258654028533</v>
      </c>
      <c r="BG159" s="19">
        <v>1.2390799526034186</v>
      </c>
      <c r="BH159" s="19">
        <v>1.5107446605376396</v>
      </c>
      <c r="BI159" s="19">
        <v>0.6256827472045785</v>
      </c>
      <c r="BJ159" s="19">
        <v>0.7770096859969442</v>
      </c>
      <c r="BK159" s="19">
        <v>1.0062488188233232</v>
      </c>
      <c r="BL159" s="19">
        <v>-1.1057582722521744</v>
      </c>
      <c r="BM159" s="19">
        <v>-9.2866674967105638</v>
      </c>
      <c r="BN159" s="19">
        <v>5.1493326606244096</v>
      </c>
      <c r="BO159" s="16">
        <v>3.2976179385581617</v>
      </c>
      <c r="BP159" s="16">
        <v>2.4641443128506069</v>
      </c>
    </row>
    <row r="160" spans="1:68" x14ac:dyDescent="0.3">
      <c r="A160" s="16" t="s">
        <v>153</v>
      </c>
      <c r="B160" s="16" t="s">
        <v>706</v>
      </c>
      <c r="C160" s="16" t="s">
        <v>604</v>
      </c>
      <c r="D160" s="16" t="s">
        <v>605</v>
      </c>
      <c r="P160" s="16">
        <v>-0.63750989180250883</v>
      </c>
      <c r="Q160" s="16">
        <v>-0.54616949418088723</v>
      </c>
      <c r="R160" s="16">
        <v>31.624421925228319</v>
      </c>
      <c r="S160" s="16">
        <v>12.450416489231259</v>
      </c>
      <c r="T160" s="16">
        <v>-3.1693995566390356</v>
      </c>
      <c r="U160" s="16">
        <v>-2.9297303140450452</v>
      </c>
      <c r="V160" s="16">
        <v>-0.92835887810255713</v>
      </c>
      <c r="W160" s="16">
        <v>2.1610570797302273</v>
      </c>
      <c r="X160" s="16">
        <v>-1.202859476962459</v>
      </c>
      <c r="Y160" s="16">
        <v>-10.345966432813753</v>
      </c>
      <c r="Z160" s="16">
        <v>2.4922839856620413</v>
      </c>
      <c r="AA160" s="16">
        <v>0.73732463406624049</v>
      </c>
      <c r="AB160" s="16">
        <v>10.99363939611932</v>
      </c>
      <c r="AC160" s="16">
        <v>-0.19017867619436402</v>
      </c>
      <c r="AD160" s="16">
        <v>-9.926447937112215</v>
      </c>
      <c r="AE160" s="16">
        <v>19.733137378902541</v>
      </c>
      <c r="AF160" s="16">
        <v>5.2225642132194423</v>
      </c>
      <c r="AG160" s="16">
        <v>3.9277182669247566</v>
      </c>
      <c r="AH160" s="16">
        <v>-4.5345717554383356</v>
      </c>
      <c r="AI160" s="16">
        <v>0.31487341071161268</v>
      </c>
      <c r="AJ160" s="16">
        <v>-2.0520670519276081</v>
      </c>
      <c r="AK160" s="16">
        <v>4.9942480713156954</v>
      </c>
      <c r="AL160" s="16">
        <v>3.9941493471707048</v>
      </c>
      <c r="AM160" s="16">
        <v>3.9743071467178055</v>
      </c>
      <c r="AN160" s="16">
        <v>6.3734876405526109</v>
      </c>
      <c r="AO160" s="16">
        <v>-11.757926329447614</v>
      </c>
      <c r="AP160" s="16">
        <v>-7.9108554414864471</v>
      </c>
      <c r="AQ160" s="16">
        <v>-2.1799659765910917</v>
      </c>
      <c r="AR160" s="16">
        <v>-2.5626607548281441</v>
      </c>
      <c r="AS160" s="16">
        <v>1.7175359416461191</v>
      </c>
      <c r="AT160" s="16">
        <v>6.5586261446517682</v>
      </c>
      <c r="AU160" s="16">
        <v>3.4779500756585264</v>
      </c>
      <c r="AV160" s="16">
        <v>-1.5562812320835775</v>
      </c>
      <c r="AW160" s="16">
        <v>-0.58646771956341581</v>
      </c>
      <c r="AX160" s="16">
        <v>1.9682661291126067</v>
      </c>
      <c r="AY160" s="16">
        <v>0.45810951193332983</v>
      </c>
      <c r="AZ160" s="19">
        <v>3.741620282698662</v>
      </c>
      <c r="BA160" s="19">
        <v>-7.2653002205289567</v>
      </c>
      <c r="BB160" s="19">
        <v>4.1297065395276604</v>
      </c>
      <c r="BC160" s="19">
        <v>5.7961743700806636</v>
      </c>
      <c r="BD160" s="19">
        <v>0.62411725014703734</v>
      </c>
      <c r="BE160" s="19">
        <v>0.14305538382166105</v>
      </c>
      <c r="BF160" s="19">
        <v>5.3274707195342046</v>
      </c>
      <c r="BG160" s="19">
        <v>0.67150426801643448</v>
      </c>
      <c r="BH160" s="19">
        <v>4.1855107113707817</v>
      </c>
      <c r="BI160" s="19">
        <v>4.429005844210991</v>
      </c>
      <c r="BJ160" s="19">
        <v>6.2443201522448248</v>
      </c>
      <c r="BK160" s="19">
        <v>8.4116020980331569</v>
      </c>
      <c r="BL160" s="19">
        <v>13.469107016704612</v>
      </c>
      <c r="BM160" s="19">
        <v>9.6858826834676393E-2</v>
      </c>
      <c r="BN160" s="19">
        <v>4.3897341034607962</v>
      </c>
      <c r="BO160" s="16">
        <v>0.47376994129706418</v>
      </c>
      <c r="BP160" s="16">
        <v>2.1764347123975085</v>
      </c>
    </row>
    <row r="161" spans="1:68" hidden="1" x14ac:dyDescent="0.3">
      <c r="A161" s="16" t="s">
        <v>707</v>
      </c>
      <c r="B161" s="16" t="s">
        <v>708</v>
      </c>
      <c r="C161" s="16" t="s">
        <v>604</v>
      </c>
      <c r="D161" s="16" t="s">
        <v>605</v>
      </c>
      <c r="F161" s="16">
        <v>-0.17182595519643939</v>
      </c>
      <c r="G161" s="16">
        <v>1.3117596108747733</v>
      </c>
      <c r="H161" s="16">
        <v>2.3555880172551014</v>
      </c>
      <c r="I161" s="16">
        <v>5.522419584836328</v>
      </c>
      <c r="J161" s="16">
        <v>3.6147102162524192</v>
      </c>
      <c r="K161" s="16">
        <v>2.3844422205632014</v>
      </c>
      <c r="L161" s="16">
        <v>0.75807450378253805</v>
      </c>
      <c r="M161" s="16">
        <v>3.6177977007982207</v>
      </c>
      <c r="N161" s="16">
        <v>5.5587684758771019</v>
      </c>
      <c r="O161" s="16">
        <v>5.4457319976832963</v>
      </c>
      <c r="P161" s="16">
        <v>3.6599931219484887</v>
      </c>
      <c r="Q161" s="16">
        <v>3.8200855930338236</v>
      </c>
      <c r="R161" s="16">
        <v>4.5624702529135845</v>
      </c>
      <c r="S161" s="16">
        <v>3.6529650588895493</v>
      </c>
      <c r="T161" s="16">
        <v>2.0969981534509685</v>
      </c>
      <c r="U161" s="16">
        <v>4.1472247435160341</v>
      </c>
      <c r="V161" s="16">
        <v>2.5208298538271521</v>
      </c>
      <c r="W161" s="16">
        <v>1.7164670658167154</v>
      </c>
      <c r="X161" s="16">
        <v>2.5933067221760098</v>
      </c>
      <c r="Y161" s="16">
        <v>2.6493576515694883</v>
      </c>
      <c r="Z161" s="16">
        <v>-0.21470041831798881</v>
      </c>
      <c r="AA161" s="16">
        <v>0.71207064691122923</v>
      </c>
      <c r="AB161" s="16">
        <v>-0.47415983226213143</v>
      </c>
      <c r="AC161" s="16">
        <v>2.683841935527667</v>
      </c>
      <c r="AD161" s="16">
        <v>2.4293450546753519</v>
      </c>
      <c r="AE161" s="16">
        <v>1.6032977314607564</v>
      </c>
      <c r="AF161" s="16">
        <v>2.5080869437920086</v>
      </c>
      <c r="AG161" s="16">
        <v>1.995120696532382</v>
      </c>
      <c r="AH161" s="16">
        <v>1.1072861457571719</v>
      </c>
      <c r="AI161" s="16">
        <v>1.199349747617191</v>
      </c>
      <c r="AJ161" s="16">
        <v>0.92736468984830367</v>
      </c>
      <c r="AK161" s="16">
        <v>2.4941495995199432</v>
      </c>
      <c r="AL161" s="16">
        <v>3.3141937503717003</v>
      </c>
      <c r="AM161" s="16">
        <v>3.4330225767753859</v>
      </c>
      <c r="AN161" s="16">
        <v>2.8561884940418167</v>
      </c>
      <c r="AO161" s="16">
        <v>4.5279678272238471</v>
      </c>
      <c r="AP161" s="16">
        <v>3.9629344078174142</v>
      </c>
      <c r="AQ161" s="16">
        <v>1.6963614757854941</v>
      </c>
      <c r="AR161" s="16">
        <v>2.1202856573903546</v>
      </c>
      <c r="AS161" s="16">
        <v>4.0348929894565231</v>
      </c>
      <c r="AT161" s="16">
        <v>2.1284053951471407</v>
      </c>
      <c r="AU161" s="16">
        <v>3.2851324702570537</v>
      </c>
      <c r="AV161" s="16">
        <v>4.4725577272639185</v>
      </c>
      <c r="AW161" s="16">
        <v>6.2705747524947668</v>
      </c>
      <c r="AX161" s="16">
        <v>5.9435662885249059</v>
      </c>
      <c r="AY161" s="16">
        <v>6.9043996861697394</v>
      </c>
      <c r="AZ161" s="19">
        <v>7.5680961263178119</v>
      </c>
      <c r="BA161" s="19">
        <v>4.6361958925255351</v>
      </c>
      <c r="BB161" s="19">
        <v>2.709271434875248</v>
      </c>
      <c r="BC161" s="19">
        <v>6.8617001200733512</v>
      </c>
      <c r="BD161" s="19">
        <v>5.1753283949457227</v>
      </c>
      <c r="BE161" s="19">
        <v>4.3135296814321862</v>
      </c>
      <c r="BF161" s="19">
        <v>4.3133951989395172</v>
      </c>
      <c r="BG161" s="19">
        <v>3.869284048907474</v>
      </c>
      <c r="BH161" s="19">
        <v>3.5704017219790245</v>
      </c>
      <c r="BI161" s="19">
        <v>3.5884815978775748</v>
      </c>
      <c r="BJ161" s="19">
        <v>4.1682341902043589</v>
      </c>
      <c r="BK161" s="19">
        <v>3.8575249727620786</v>
      </c>
      <c r="BL161" s="19">
        <v>2.9958350763869248</v>
      </c>
      <c r="BM161" s="19">
        <v>-2.1770426933047844</v>
      </c>
      <c r="BN161" s="19">
        <v>6.5622759260707966</v>
      </c>
      <c r="BO161" s="16">
        <v>3.1181000752147412</v>
      </c>
      <c r="BP161" s="16">
        <v>3.7109714261653721</v>
      </c>
    </row>
    <row r="162" spans="1:68" x14ac:dyDescent="0.3">
      <c r="A162" s="16" t="s">
        <v>178</v>
      </c>
      <c r="B162" s="16" t="s">
        <v>481</v>
      </c>
      <c r="C162" s="16" t="s">
        <v>604</v>
      </c>
      <c r="D162" s="16" t="s">
        <v>605</v>
      </c>
      <c r="AJ162" s="16">
        <v>-5.8257987663373711</v>
      </c>
      <c r="AK162" s="16">
        <v>-5.7010986655634213</v>
      </c>
      <c r="AL162" s="16">
        <v>-6.4901631254884506</v>
      </c>
      <c r="AM162" s="16">
        <v>-1.0428315455929322</v>
      </c>
      <c r="AN162" s="16">
        <v>-1.1897901550015746</v>
      </c>
      <c r="AO162" s="16">
        <v>0.66441990602115197</v>
      </c>
      <c r="AP162" s="16">
        <v>1.3057182123339146</v>
      </c>
      <c r="AQ162" s="16">
        <v>2.8301008123217599</v>
      </c>
      <c r="AR162" s="16">
        <v>3.8414738938269153</v>
      </c>
      <c r="AS162" s="16">
        <v>4.0740508063107086</v>
      </c>
      <c r="AT162" s="16">
        <v>-3.4736832214787938</v>
      </c>
      <c r="AU162" s="16">
        <v>2.2334565991919817</v>
      </c>
      <c r="AV162" s="16">
        <v>2.0928224530051551</v>
      </c>
      <c r="AW162" s="16">
        <v>5.0135740675289355</v>
      </c>
      <c r="AX162" s="16">
        <v>5.2910201227724087</v>
      </c>
      <c r="AY162" s="16">
        <v>5.7192022347741727</v>
      </c>
      <c r="AZ162" s="19">
        <v>7.0831393116307595</v>
      </c>
      <c r="BA162" s="19">
        <v>6.0840247125331501</v>
      </c>
      <c r="BB162" s="19">
        <v>0.28798167420805498</v>
      </c>
      <c r="BC162" s="19">
        <v>4.0217174978456285</v>
      </c>
      <c r="BD162" s="19">
        <v>2.810014013644647</v>
      </c>
      <c r="BE162" s="19">
        <v>-6.5347234303885671E-2</v>
      </c>
      <c r="BF162" s="19">
        <v>3.305596703502971</v>
      </c>
      <c r="BG162" s="19">
        <v>3.9079275578076675</v>
      </c>
      <c r="BH162" s="19">
        <v>4.1342905053065095</v>
      </c>
      <c r="BI162" s="19">
        <v>3.178225747009904</v>
      </c>
      <c r="BJ162" s="19">
        <v>1.4893671862518829</v>
      </c>
      <c r="BK162" s="19">
        <v>3.4037541108948375</v>
      </c>
      <c r="BL162" s="19">
        <v>4.618695011377568</v>
      </c>
      <c r="BM162" s="19">
        <v>-3.6543682382477272</v>
      </c>
      <c r="BN162" s="19">
        <v>5.5921300792472408</v>
      </c>
      <c r="BO162" s="16">
        <v>2.5231727787642626</v>
      </c>
      <c r="BP162" s="16">
        <v>2.1275779161701536</v>
      </c>
    </row>
    <row r="163" spans="1:68" x14ac:dyDescent="0.3">
      <c r="A163" s="16" t="s">
        <v>151</v>
      </c>
      <c r="B163" s="16" t="s">
        <v>482</v>
      </c>
      <c r="C163" s="16" t="s">
        <v>604</v>
      </c>
      <c r="D163" s="16" t="s">
        <v>605</v>
      </c>
      <c r="M163" s="16">
        <v>2.2281541040273254</v>
      </c>
      <c r="N163" s="16">
        <v>-1.2241097551175812</v>
      </c>
      <c r="O163" s="16">
        <v>4.5531934553755917</v>
      </c>
      <c r="P163" s="16">
        <v>1.0210571547043799</v>
      </c>
      <c r="Q163" s="16">
        <v>4.1884417704117141</v>
      </c>
      <c r="R163" s="16">
        <v>-3.1053372318321522</v>
      </c>
      <c r="S163" s="16">
        <v>-3.2378872668554095</v>
      </c>
      <c r="T163" s="16">
        <v>9.6550459838287992</v>
      </c>
      <c r="U163" s="16">
        <v>11.614646518461086</v>
      </c>
      <c r="V163" s="16">
        <v>4.3906388057484662</v>
      </c>
      <c r="W163" s="16">
        <v>-3.3804764145267114</v>
      </c>
      <c r="X163" s="16">
        <v>8.1758429602330978</v>
      </c>
      <c r="Y163" s="16">
        <v>-6.3308160216587197</v>
      </c>
      <c r="Z163" s="16">
        <v>-0.65108278980017076</v>
      </c>
      <c r="AA163" s="16">
        <v>-9.3458901966454846</v>
      </c>
      <c r="AB163" s="16">
        <v>-0.34911489238950821</v>
      </c>
      <c r="AC163" s="16">
        <v>-2.3502250295675822</v>
      </c>
      <c r="AD163" s="16">
        <v>17.972002830944447</v>
      </c>
      <c r="AE163" s="16">
        <v>0.88217198600528945</v>
      </c>
      <c r="AF163" s="16">
        <v>-1.7858613954895759</v>
      </c>
      <c r="AG163" s="16">
        <v>5.6058686510486808</v>
      </c>
      <c r="AH163" s="16">
        <v>2.3174664565902106</v>
      </c>
      <c r="AI163" s="16">
        <v>-4.3651879748717448</v>
      </c>
      <c r="AJ163" s="16">
        <v>9.5536112964691711</v>
      </c>
      <c r="AK163" s="16">
        <v>-5.158359420133209</v>
      </c>
      <c r="AL163" s="16">
        <v>1.0456939729606631</v>
      </c>
      <c r="AM163" s="16">
        <v>1.5862441168481354</v>
      </c>
      <c r="AN163" s="16">
        <v>-1.2080237765276536</v>
      </c>
      <c r="AO163" s="16">
        <v>4.8283028127312804</v>
      </c>
      <c r="AP163" s="16">
        <v>2.52794282915292</v>
      </c>
      <c r="AQ163" s="16">
        <v>4.9263130089485969</v>
      </c>
      <c r="AR163" s="16">
        <v>2.8299852858519472</v>
      </c>
      <c r="AS163" s="16">
        <v>-2.9250502296793286</v>
      </c>
      <c r="AT163" s="16">
        <v>11.942758131314775</v>
      </c>
      <c r="AU163" s="16">
        <v>-7.5353261820026773E-2</v>
      </c>
      <c r="AV163" s="16">
        <v>5.6753663960766261</v>
      </c>
      <c r="AW163" s="16">
        <v>-1.70398742564592</v>
      </c>
      <c r="AX163" s="16">
        <v>3.0708781645410852</v>
      </c>
      <c r="AY163" s="16">
        <v>1.2589378863774527</v>
      </c>
      <c r="AZ163" s="19">
        <v>0.13197525017505995</v>
      </c>
      <c r="BA163" s="19">
        <v>1.3875041933100363</v>
      </c>
      <c r="BB163" s="19">
        <v>1.4492174955695702</v>
      </c>
      <c r="BC163" s="19">
        <v>1.9465192312595434</v>
      </c>
      <c r="BD163" s="19">
        <v>-7.2193463201145391E-2</v>
      </c>
      <c r="BE163" s="19">
        <v>-3.6886137120456226</v>
      </c>
      <c r="BF163" s="19">
        <v>-0.64880287830530392</v>
      </c>
      <c r="BG163" s="19">
        <v>3.7426387095772498</v>
      </c>
      <c r="BH163" s="19">
        <v>2.8828606071254796</v>
      </c>
      <c r="BI163" s="19">
        <v>2.52844829516809</v>
      </c>
      <c r="BJ163" s="19">
        <v>1.9722951163334841</v>
      </c>
      <c r="BK163" s="19">
        <v>1.4731767251285248</v>
      </c>
      <c r="BL163" s="19">
        <v>1.5314570690414939</v>
      </c>
      <c r="BM163" s="19">
        <v>-4.2909659601104266</v>
      </c>
      <c r="BN163" s="19">
        <v>-0.15090208004548344</v>
      </c>
      <c r="BO163" s="16">
        <v>0.32124412971784011</v>
      </c>
      <c r="BP163" s="16">
        <v>2.0736203270941473</v>
      </c>
    </row>
    <row r="164" spans="1:68" x14ac:dyDescent="0.3">
      <c r="A164" s="16" t="s">
        <v>152</v>
      </c>
      <c r="B164" s="16" t="s">
        <v>483</v>
      </c>
      <c r="C164" s="16" t="s">
        <v>604</v>
      </c>
      <c r="D164" s="16" t="s">
        <v>605</v>
      </c>
      <c r="P164" s="16">
        <v>2.437070256874847</v>
      </c>
      <c r="Q164" s="16">
        <v>5.9258111784693313</v>
      </c>
      <c r="R164" s="16">
        <v>4.2322950065931195</v>
      </c>
      <c r="S164" s="16">
        <v>10.110734170729074</v>
      </c>
      <c r="T164" s="16">
        <v>18.685256755925877</v>
      </c>
      <c r="U164" s="16">
        <v>16.423152464182849</v>
      </c>
      <c r="V164" s="16">
        <v>11.747083874101989</v>
      </c>
      <c r="W164" s="16">
        <v>10.010060963478566</v>
      </c>
      <c r="X164" s="16">
        <v>9.3764927863977334</v>
      </c>
      <c r="Y164" s="16">
        <v>5.9330499818581757</v>
      </c>
      <c r="Z164" s="16">
        <v>2.554855452836847</v>
      </c>
      <c r="AA164" s="16">
        <v>0.11383673827384655</v>
      </c>
      <c r="AB164" s="16">
        <v>-2.0034149239237991</v>
      </c>
      <c r="AC164" s="16">
        <v>0.92130266242322989</v>
      </c>
      <c r="AD164" s="16">
        <v>0.79885202272032529</v>
      </c>
      <c r="AE164" s="16">
        <v>2.1637956986659646</v>
      </c>
      <c r="AF164" s="16">
        <v>3.3960646030584769</v>
      </c>
      <c r="AG164" s="16">
        <v>7.5277569721098132</v>
      </c>
      <c r="AH164" s="16">
        <v>7.1313115402061271</v>
      </c>
      <c r="AI164" s="16">
        <v>5.2565977346500148</v>
      </c>
      <c r="AJ164" s="16">
        <v>3.4310264006064841</v>
      </c>
      <c r="AK164" s="16">
        <v>3.6164505280510895</v>
      </c>
      <c r="AL164" s="16">
        <v>3.4424362464507254</v>
      </c>
      <c r="AM164" s="16">
        <v>4.66759445198295</v>
      </c>
      <c r="AN164" s="16">
        <v>5.6037121015354074</v>
      </c>
      <c r="AO164" s="16">
        <v>3.0982437340940692</v>
      </c>
      <c r="AP164" s="16">
        <v>4.4634096464567961</v>
      </c>
      <c r="AQ164" s="16">
        <v>4.4445673501522407</v>
      </c>
      <c r="AR164" s="16">
        <v>4.1009679665093444</v>
      </c>
      <c r="AS164" s="16">
        <v>18.911491596742749</v>
      </c>
      <c r="AT164" s="16">
        <v>-1.9141992230465519</v>
      </c>
      <c r="AU164" s="16">
        <v>1.8034756637261466</v>
      </c>
      <c r="AV164" s="16">
        <v>3.391785051373347</v>
      </c>
      <c r="AW164" s="16">
        <v>-0.53004846110262349</v>
      </c>
      <c r="AX164" s="16">
        <v>2.7266844435392983</v>
      </c>
      <c r="AY164" s="16">
        <v>2.1373399817627927</v>
      </c>
      <c r="AZ164" s="19">
        <v>4.4099351384415257</v>
      </c>
      <c r="BA164" s="19">
        <v>3.1530002893218239</v>
      </c>
      <c r="BB164" s="19">
        <v>-1.8764296260075071</v>
      </c>
      <c r="BC164" s="19">
        <v>5.0264988871208089</v>
      </c>
      <c r="BD164" s="19">
        <v>4.2271313882551453E-2</v>
      </c>
      <c r="BE164" s="19">
        <v>3.1856671406401489</v>
      </c>
      <c r="BF164" s="19">
        <v>4.0028047664297617</v>
      </c>
      <c r="BG164" s="19">
        <v>5.505675834012564</v>
      </c>
      <c r="BH164" s="19">
        <v>7.0234124407261334</v>
      </c>
      <c r="BI164" s="19">
        <v>1.0423156357579586</v>
      </c>
      <c r="BJ164" s="19">
        <v>7.874134261773861</v>
      </c>
      <c r="BK164" s="19">
        <v>3.730076266641305</v>
      </c>
      <c r="BL164" s="19">
        <v>2.994533833907127</v>
      </c>
      <c r="BM164" s="19">
        <v>-10.165334615390506</v>
      </c>
      <c r="BN164" s="19">
        <v>11.818730856363516</v>
      </c>
      <c r="BO164" s="16">
        <v>5.5162606681112578</v>
      </c>
      <c r="BP164" s="16">
        <v>1.3946321434398925</v>
      </c>
    </row>
    <row r="165" spans="1:68" x14ac:dyDescent="0.3">
      <c r="A165" s="16" t="s">
        <v>166</v>
      </c>
      <c r="B165" s="16" t="s">
        <v>484</v>
      </c>
      <c r="C165" s="16" t="s">
        <v>604</v>
      </c>
      <c r="D165" s="16" t="s">
        <v>605</v>
      </c>
      <c r="F165" s="16">
        <v>-1.7114073824561586</v>
      </c>
      <c r="G165" s="16">
        <v>1.809797963543474</v>
      </c>
      <c r="H165" s="16">
        <v>10.853906653435857</v>
      </c>
      <c r="I165" s="16">
        <v>-7.9837719902943718</v>
      </c>
      <c r="J165" s="16">
        <v>8.1901909339784567</v>
      </c>
      <c r="K165" s="16">
        <v>-7.025517482383691</v>
      </c>
      <c r="L165" s="16">
        <v>-8.0897335318018406</v>
      </c>
      <c r="M165" s="16">
        <v>9.4601717829040837</v>
      </c>
      <c r="N165" s="16">
        <v>0.90750727456105551</v>
      </c>
      <c r="O165" s="16">
        <v>2.5759702016047612</v>
      </c>
      <c r="P165" s="16">
        <v>1.7767630807776555</v>
      </c>
      <c r="Q165" s="16">
        <v>0.15049051254163714</v>
      </c>
      <c r="R165" s="16">
        <v>-3.0509673046183678</v>
      </c>
      <c r="S165" s="16">
        <v>3.2654778791535506</v>
      </c>
      <c r="T165" s="16">
        <v>2.1195805760431341</v>
      </c>
      <c r="U165" s="16">
        <v>4.0332829866422344</v>
      </c>
      <c r="V165" s="16">
        <v>3.8932402854629657</v>
      </c>
      <c r="W165" s="16">
        <v>4.4295210147800077</v>
      </c>
      <c r="X165" s="16">
        <v>3.1621820890762535</v>
      </c>
      <c r="Y165" s="16">
        <v>5.861412362439907</v>
      </c>
      <c r="Z165" s="16">
        <v>4.3467653263332977</v>
      </c>
      <c r="AA165" s="16">
        <v>3.6813602204498466</v>
      </c>
      <c r="AB165" s="16">
        <v>2.3822744723652249</v>
      </c>
      <c r="AC165" s="16">
        <v>2.7981499799352889</v>
      </c>
      <c r="AD165" s="16">
        <v>0.83982240102891126</v>
      </c>
      <c r="AE165" s="16">
        <v>-2.8778644250865</v>
      </c>
      <c r="AF165" s="16">
        <v>-5.664820722843416</v>
      </c>
      <c r="AG165" s="16">
        <v>-12.800921157137054</v>
      </c>
      <c r="AH165" s="16">
        <v>2.0642217591239529</v>
      </c>
      <c r="AI165" s="16">
        <v>1.252524144696892</v>
      </c>
      <c r="AJ165" s="16">
        <v>-2.0694774871788582</v>
      </c>
      <c r="AK165" s="16">
        <v>8.1790052321494073</v>
      </c>
      <c r="AL165" s="16">
        <v>4.6425233922196156</v>
      </c>
      <c r="AM165" s="16">
        <v>6.0847442895063182</v>
      </c>
      <c r="AN165" s="16">
        <v>5.5935557515339127</v>
      </c>
      <c r="AO165" s="16">
        <v>5.1112232316754813</v>
      </c>
      <c r="AP165" s="16">
        <v>4.3332773835124527</v>
      </c>
      <c r="AQ165" s="16">
        <v>4.5721684062151979</v>
      </c>
      <c r="AR165" s="16">
        <v>9.6508557352328097</v>
      </c>
      <c r="AS165" s="16">
        <v>12.505280180006451</v>
      </c>
      <c r="AT165" s="16">
        <v>10.191004629223002</v>
      </c>
      <c r="AU165" s="16">
        <v>10.903808097068833</v>
      </c>
      <c r="AV165" s="16">
        <v>12.766646469966773</v>
      </c>
      <c r="AW165" s="16">
        <v>12.571110934462553</v>
      </c>
      <c r="AX165" s="16">
        <v>12.650334204361727</v>
      </c>
      <c r="AY165" s="16">
        <v>12.220644913694926</v>
      </c>
      <c r="AZ165" s="19">
        <v>11.165298782875126</v>
      </c>
      <c r="BA165" s="19">
        <v>9.613091444172909</v>
      </c>
      <c r="BB165" s="19">
        <v>9.9041771021270932</v>
      </c>
      <c r="BC165" s="19">
        <v>8.8017049615071414</v>
      </c>
      <c r="BD165" s="19">
        <v>4.7357707148126593</v>
      </c>
      <c r="BE165" s="19">
        <v>6.4271641815401637</v>
      </c>
      <c r="BF165" s="19">
        <v>7.5051546272880074</v>
      </c>
      <c r="BG165" s="19">
        <v>7.2716719750639243</v>
      </c>
      <c r="BH165" s="19">
        <v>6.1376427861543448</v>
      </c>
      <c r="BI165" s="19">
        <v>5.0293205377791423</v>
      </c>
      <c r="BJ165" s="19">
        <v>5.3323143390383336</v>
      </c>
      <c r="BK165" s="19">
        <v>5.5067980873739799</v>
      </c>
      <c r="BL165" s="19">
        <v>5.8271958439874822</v>
      </c>
      <c r="BM165" s="19">
        <v>-9.700371225785787</v>
      </c>
      <c r="BN165" s="19">
        <v>-12.629476663084546</v>
      </c>
      <c r="BO165" s="16">
        <v>3.3054541344592678</v>
      </c>
      <c r="BP165" s="16">
        <v>0.26441933852552779</v>
      </c>
    </row>
    <row r="166" spans="1:68" hidden="1" x14ac:dyDescent="0.3">
      <c r="A166" s="16" t="s">
        <v>709</v>
      </c>
      <c r="B166" s="16" t="s">
        <v>710</v>
      </c>
      <c r="C166" s="16" t="s">
        <v>604</v>
      </c>
      <c r="D166" s="16" t="s">
        <v>605</v>
      </c>
      <c r="F166" s="16">
        <v>0.82884360889966047</v>
      </c>
      <c r="G166" s="16">
        <v>-0.23778937650227761</v>
      </c>
      <c r="H166" s="16">
        <v>8.8210973249408511</v>
      </c>
      <c r="I166" s="16">
        <v>7.766033336279591</v>
      </c>
      <c r="J166" s="16">
        <v>9.6001589180909122</v>
      </c>
      <c r="K166" s="16">
        <v>4.5452424693048101</v>
      </c>
      <c r="L166" s="16">
        <v>5.0098851339614612</v>
      </c>
      <c r="M166" s="16">
        <v>10.152012232729504</v>
      </c>
      <c r="N166" s="16">
        <v>8.8108728146555393</v>
      </c>
      <c r="O166" s="16">
        <v>5.5051666010062235</v>
      </c>
      <c r="P166" s="16">
        <v>3.4348708885115258</v>
      </c>
      <c r="Q166" s="16">
        <v>10.311416738563111</v>
      </c>
      <c r="R166" s="16">
        <v>2.5311687511200915</v>
      </c>
      <c r="S166" s="16">
        <v>4.9650167515445105</v>
      </c>
      <c r="T166" s="16">
        <v>0.11377342058152351</v>
      </c>
      <c r="U166" s="16">
        <v>12.596608833565995</v>
      </c>
      <c r="V166" s="16">
        <v>-1.6522300436256643</v>
      </c>
      <c r="W166" s="16">
        <v>-5.3838040396186528</v>
      </c>
      <c r="X166" s="16">
        <v>-3.6696836538966409</v>
      </c>
      <c r="Y166" s="16">
        <v>-7.7142682062942356</v>
      </c>
      <c r="Z166" s="16">
        <v>-5.9379881343878935</v>
      </c>
      <c r="AA166" s="16">
        <v>7.8955150392857547</v>
      </c>
      <c r="AB166" s="16">
        <v>1.274501148722436</v>
      </c>
      <c r="AC166" s="16">
        <v>-3.614945241065044</v>
      </c>
      <c r="AD166" s="16">
        <v>0.73790002277934263</v>
      </c>
      <c r="AE166" s="16">
        <v>-5.8246557265876646</v>
      </c>
      <c r="AF166" s="16">
        <v>-2.8055715957698624</v>
      </c>
      <c r="AG166" s="16">
        <v>-2.0089204854057527</v>
      </c>
      <c r="AH166" s="16">
        <v>-0.32099204136761728</v>
      </c>
      <c r="AI166" s="16">
        <v>6.9145889337841595</v>
      </c>
      <c r="AJ166" s="16">
        <v>-2.2123848717719312</v>
      </c>
      <c r="AK166" s="16">
        <v>1.9065392264674443</v>
      </c>
      <c r="AL166" s="16">
        <v>-0.67446465715332238</v>
      </c>
      <c r="AM166" s="16">
        <v>-5.1285927247263885E-2</v>
      </c>
      <c r="AN166" s="16">
        <v>0.4212610387914566</v>
      </c>
      <c r="AO166" s="16">
        <v>4.041781735213263</v>
      </c>
      <c r="AP166" s="16">
        <v>1.8703385298044708</v>
      </c>
      <c r="AQ166" s="16">
        <v>3.8718558773046254</v>
      </c>
      <c r="AR166" s="16">
        <v>2.2862315262705266</v>
      </c>
      <c r="AS166" s="16">
        <v>3.9630937316442925</v>
      </c>
      <c r="AT166" s="16">
        <v>0.7698326370605173</v>
      </c>
      <c r="AU166" s="16">
        <v>1.2987902815080332</v>
      </c>
      <c r="AV166" s="16">
        <v>0.48006936515466236</v>
      </c>
      <c r="AW166" s="16">
        <v>5.6723132488210979</v>
      </c>
      <c r="AX166" s="16">
        <v>2.4613803540911618</v>
      </c>
      <c r="AY166" s="16">
        <v>3.2794313772649843</v>
      </c>
      <c r="AZ166" s="19">
        <v>4.0206322187177506</v>
      </c>
      <c r="BA166" s="19">
        <v>1.7653102780882222</v>
      </c>
      <c r="BB166" s="19">
        <v>0.60766495061696446</v>
      </c>
      <c r="BC166" s="19">
        <v>3.3217349366748294</v>
      </c>
      <c r="BD166" s="19">
        <v>-2.7696548461029664</v>
      </c>
      <c r="BE166" s="19">
        <v>1.6763366299172873</v>
      </c>
      <c r="BF166" s="19">
        <v>-1.4987325255101211</v>
      </c>
      <c r="BG166" s="19">
        <v>-0.21940742799070279</v>
      </c>
      <c r="BH166" s="19">
        <v>-1.2437511697108334</v>
      </c>
      <c r="BI166" s="19">
        <v>3.5078423040862248</v>
      </c>
      <c r="BJ166" s="19">
        <v>1.3963858633521795</v>
      </c>
      <c r="BK166" s="19">
        <v>8.8030873632050088E-2</v>
      </c>
      <c r="BL166" s="19">
        <v>-0.6049065814335961</v>
      </c>
      <c r="BM166" s="19">
        <v>-5.9235152814000713</v>
      </c>
      <c r="BN166" s="19">
        <v>4.6364840982443241</v>
      </c>
      <c r="BO166" s="16">
        <v>2.8657288745062175</v>
      </c>
      <c r="BP166" s="16">
        <v>1.1704820933278341</v>
      </c>
    </row>
    <row r="167" spans="1:68" x14ac:dyDescent="0.3">
      <c r="A167" s="16" t="s">
        <v>162</v>
      </c>
      <c r="B167" s="16" t="s">
        <v>485</v>
      </c>
      <c r="C167" s="16" t="s">
        <v>604</v>
      </c>
      <c r="D167" s="16" t="s">
        <v>605</v>
      </c>
      <c r="AQ167" s="16">
        <v>5.2207502912078496</v>
      </c>
      <c r="AR167" s="16">
        <v>-9.1516708062176662</v>
      </c>
      <c r="AS167" s="16">
        <v>3.2791191601355223</v>
      </c>
      <c r="AT167" s="16">
        <v>0.6938674016714117</v>
      </c>
      <c r="AU167" s="16">
        <v>1.4963731224543579</v>
      </c>
      <c r="AV167" s="16">
        <v>2.0744137968752057</v>
      </c>
      <c r="AW167" s="16">
        <v>4.2411544324745734</v>
      </c>
      <c r="AX167" s="16">
        <v>4.0266048427616283</v>
      </c>
      <c r="AY167" s="16">
        <v>8.4315540104970665</v>
      </c>
      <c r="AZ167" s="19">
        <v>6.6627360759799075</v>
      </c>
      <c r="BA167" s="19">
        <v>7.0326268462032004</v>
      </c>
      <c r="BB167" s="19">
        <v>-5.9969774860628604</v>
      </c>
      <c r="BC167" s="19">
        <v>2.546253159726831</v>
      </c>
      <c r="BD167" s="19">
        <v>3.1200749562471515</v>
      </c>
      <c r="BE167" s="19">
        <v>-2.8056117500306783</v>
      </c>
      <c r="BF167" s="19">
        <v>3.4479657870029428</v>
      </c>
      <c r="BG167" s="19">
        <v>1.6849938798811479</v>
      </c>
      <c r="BH167" s="19">
        <v>3.3323845778067067</v>
      </c>
      <c r="BI167" s="19">
        <v>2.9254580087474125</v>
      </c>
      <c r="BJ167" s="19">
        <v>4.7046875273776294</v>
      </c>
      <c r="BK167" s="19">
        <v>5.1025443980716574</v>
      </c>
      <c r="BL167" s="19">
        <v>4.096236943245458</v>
      </c>
      <c r="BM167" s="19">
        <v>-15.208474584028636</v>
      </c>
      <c r="BN167" s="19">
        <v>13.425928481001719</v>
      </c>
      <c r="BO167" s="16">
        <v>6.7511328067815839</v>
      </c>
      <c r="BP167" s="16">
        <v>6.160094306716843</v>
      </c>
    </row>
    <row r="168" spans="1:68" x14ac:dyDescent="0.3">
      <c r="A168" s="16" t="s">
        <v>161</v>
      </c>
      <c r="B168" s="16" t="s">
        <v>486</v>
      </c>
      <c r="C168" s="16" t="s">
        <v>604</v>
      </c>
      <c r="D168" s="16" t="s">
        <v>605</v>
      </c>
      <c r="AA168" s="16">
        <v>5.7533031631364082</v>
      </c>
      <c r="AB168" s="16">
        <v>3.2848943024161201</v>
      </c>
      <c r="AC168" s="16">
        <v>3.3367191307017521</v>
      </c>
      <c r="AD168" s="16">
        <v>3.0646319471103709</v>
      </c>
      <c r="AE168" s="16">
        <v>6.5895275859128901</v>
      </c>
      <c r="AF168" s="16">
        <v>0.81831881813280916</v>
      </c>
      <c r="AG168" s="16">
        <v>2.4587460447394847</v>
      </c>
      <c r="AH168" s="16">
        <v>1.8668306743173275</v>
      </c>
      <c r="AI168" s="16">
        <v>-5.0033856046157439</v>
      </c>
      <c r="AJ168" s="16">
        <v>-10.297327988581117</v>
      </c>
      <c r="AK168" s="16">
        <v>-10.734049497241244</v>
      </c>
      <c r="AL168" s="16">
        <v>-4.611123008895234</v>
      </c>
      <c r="AM168" s="16">
        <v>0.74986096521870138</v>
      </c>
      <c r="AN168" s="16">
        <v>5.0606523543285107</v>
      </c>
      <c r="AO168" s="16">
        <v>1.0770384531886776</v>
      </c>
      <c r="AP168" s="16">
        <v>2.8176019056894006</v>
      </c>
      <c r="AQ168" s="16">
        <v>2.3355170385314494</v>
      </c>
      <c r="AR168" s="16">
        <v>2.079768104984808</v>
      </c>
      <c r="AS168" s="16">
        <v>0.21791216782357026</v>
      </c>
      <c r="AT168" s="16">
        <v>2.052426386184365</v>
      </c>
      <c r="AU168" s="16">
        <v>3.8086677384806933</v>
      </c>
      <c r="AV168" s="16">
        <v>6.0760818543518411</v>
      </c>
      <c r="AW168" s="16">
        <v>9.6884710171449342</v>
      </c>
      <c r="AX168" s="16">
        <v>6.3607702025024935</v>
      </c>
      <c r="AY168" s="16">
        <v>7.6315536225078517</v>
      </c>
      <c r="AZ168" s="19">
        <v>9.2155795105287552</v>
      </c>
      <c r="BA168" s="19">
        <v>7.7325949906148281</v>
      </c>
      <c r="BB168" s="19">
        <v>-2.4839366838359922</v>
      </c>
      <c r="BC168" s="19">
        <v>4.955877993690109</v>
      </c>
      <c r="BD168" s="19">
        <v>15.520347851991943</v>
      </c>
      <c r="BE168" s="19">
        <v>10.372529307021324</v>
      </c>
      <c r="BF168" s="19">
        <v>9.5767923441535174</v>
      </c>
      <c r="BG168" s="19">
        <v>5.7418839991016455</v>
      </c>
      <c r="BH168" s="19">
        <v>0.24138371164102068</v>
      </c>
      <c r="BI168" s="19">
        <v>-0.6812099244135652</v>
      </c>
      <c r="BJ168" s="19">
        <v>3.3687422416641226</v>
      </c>
      <c r="BK168" s="19">
        <v>5.4305725732813244</v>
      </c>
      <c r="BL168" s="19">
        <v>3.3663684268228735</v>
      </c>
      <c r="BM168" s="19">
        <v>-6.3512406052347785</v>
      </c>
      <c r="BN168" s="19">
        <v>1.4148862038837251E-2</v>
      </c>
      <c r="BO168" s="16">
        <v>3.469318705758127</v>
      </c>
      <c r="BP168" s="16">
        <v>5.5081903163305839</v>
      </c>
    </row>
    <row r="169" spans="1:68" x14ac:dyDescent="0.3">
      <c r="A169" s="16" t="s">
        <v>179</v>
      </c>
      <c r="B169" s="16" t="s">
        <v>711</v>
      </c>
      <c r="C169" s="16" t="s">
        <v>604</v>
      </c>
      <c r="D169" s="16" t="s">
        <v>605</v>
      </c>
      <c r="AV169" s="16">
        <v>3.7572833163629298</v>
      </c>
      <c r="AW169" s="16">
        <v>0.5954580586671625</v>
      </c>
      <c r="AX169" s="16">
        <v>-9.069360844937421</v>
      </c>
      <c r="AY169" s="16">
        <v>-2.6915341899074576</v>
      </c>
      <c r="AZ169" s="19">
        <v>-2.2291336241078596</v>
      </c>
      <c r="BA169" s="19">
        <v>-6.5989611741954661</v>
      </c>
      <c r="BB169" s="19">
        <v>-13.273900177642389</v>
      </c>
      <c r="BC169" s="19">
        <v>6.9618706991997072</v>
      </c>
      <c r="BD169" s="19">
        <v>-4.6209227642702615</v>
      </c>
      <c r="BE169" s="19">
        <v>1.1207964969495805</v>
      </c>
      <c r="BF169" s="19">
        <v>3.1102712674382076</v>
      </c>
      <c r="BG169" s="19">
        <v>4.7501043258575919</v>
      </c>
      <c r="BH169" s="19">
        <v>4.0698185265936928</v>
      </c>
      <c r="BI169" s="19">
        <v>30.174900986079678</v>
      </c>
      <c r="BJ169" s="19">
        <v>24.151649438984492</v>
      </c>
      <c r="BK169" s="19">
        <v>-18.586782158838304</v>
      </c>
      <c r="BL169" s="19">
        <v>-10.527482957258997</v>
      </c>
      <c r="BM169" s="19">
        <v>-29.296546924404083</v>
      </c>
      <c r="BN169" s="19"/>
    </row>
    <row r="170" spans="1:68" x14ac:dyDescent="0.3">
      <c r="A170" s="16" t="s">
        <v>165</v>
      </c>
      <c r="B170" s="16" t="s">
        <v>487</v>
      </c>
      <c r="C170" s="16" t="s">
        <v>604</v>
      </c>
      <c r="D170" s="16" t="s">
        <v>605</v>
      </c>
      <c r="Z170" s="16">
        <v>2.957484910513017</v>
      </c>
      <c r="AA170" s="16">
        <v>-8.9479789117680468</v>
      </c>
      <c r="AB170" s="16">
        <v>-17.512378860900071</v>
      </c>
      <c r="AC170" s="16">
        <v>-8.4781297207228761</v>
      </c>
      <c r="AD170" s="16">
        <v>-1.0219204510690361</v>
      </c>
      <c r="AE170" s="16">
        <v>-4.0385839622280599</v>
      </c>
      <c r="AF170" s="16">
        <v>14.213448788681674</v>
      </c>
      <c r="AG170" s="16">
        <v>8.2669773077895741</v>
      </c>
      <c r="AH170" s="16">
        <v>5.4353628825389677</v>
      </c>
      <c r="AI170" s="16">
        <v>-0.63878046875294103</v>
      </c>
      <c r="AJ170" s="16">
        <v>2.9314523857094912</v>
      </c>
      <c r="AK170" s="16">
        <v>-9.2871060591937038</v>
      </c>
      <c r="AL170" s="16">
        <v>7.8997171875135024</v>
      </c>
      <c r="AM170" s="16">
        <v>1.3967117792093688</v>
      </c>
      <c r="AN170" s="16">
        <v>-2.3429081483911887</v>
      </c>
      <c r="AO170" s="16">
        <v>7.3589491837661569</v>
      </c>
      <c r="AP170" s="16">
        <v>8.8224418656844534</v>
      </c>
      <c r="AQ170" s="16">
        <v>7.7509298578364252</v>
      </c>
      <c r="AR170" s="16">
        <v>9.1424815756510895</v>
      </c>
      <c r="AS170" s="16">
        <v>-1.6757909753206945</v>
      </c>
      <c r="AT170" s="16">
        <v>10.050871559851203</v>
      </c>
      <c r="AU170" s="16">
        <v>6.8865719144948656</v>
      </c>
      <c r="AV170" s="16">
        <v>4.4694234328719773</v>
      </c>
      <c r="AW170" s="16">
        <v>5.4155443124278975</v>
      </c>
      <c r="AX170" s="16">
        <v>3.5941260125325556</v>
      </c>
      <c r="AY170" s="16">
        <v>7.1286247326332557</v>
      </c>
      <c r="AZ170" s="19">
        <v>4.8947957960007784</v>
      </c>
      <c r="BA170" s="19">
        <v>4.1135200634524409</v>
      </c>
      <c r="BB170" s="19">
        <v>3.138295808901816</v>
      </c>
      <c r="BC170" s="19">
        <v>3.734313550816907</v>
      </c>
      <c r="BD170" s="19">
        <v>4.0377856906753493</v>
      </c>
      <c r="BE170" s="19">
        <v>4.7874723586921704</v>
      </c>
      <c r="BF170" s="19">
        <v>3.3465518550506772</v>
      </c>
      <c r="BG170" s="19">
        <v>4.4474520109722135</v>
      </c>
      <c r="BH170" s="19">
        <v>4.1743229735737799</v>
      </c>
      <c r="BI170" s="19">
        <v>1.471585753926675</v>
      </c>
      <c r="BJ170" s="19">
        <v>-0.49793441734490784</v>
      </c>
      <c r="BK170" s="19">
        <v>0.47984361009561383</v>
      </c>
      <c r="BL170" s="19">
        <v>-0.59343807504545509</v>
      </c>
      <c r="BM170" s="19">
        <v>-4.0476424797786308</v>
      </c>
      <c r="BN170" s="19">
        <v>-0.49128674743020895</v>
      </c>
      <c r="BO170" s="16">
        <v>1.5349033903975027</v>
      </c>
      <c r="BP170" s="16">
        <v>2.1259708640738211</v>
      </c>
    </row>
    <row r="171" spans="1:68" x14ac:dyDescent="0.3">
      <c r="A171" s="16" t="s">
        <v>155</v>
      </c>
      <c r="B171" s="16" t="s">
        <v>488</v>
      </c>
      <c r="C171" s="16" t="s">
        <v>604</v>
      </c>
      <c r="D171" s="16" t="s">
        <v>605</v>
      </c>
      <c r="G171" s="16">
        <v>-2.0333346629625026</v>
      </c>
      <c r="H171" s="16">
        <v>-4.7105697176952361</v>
      </c>
      <c r="I171" s="16">
        <v>24.077314463871375</v>
      </c>
      <c r="J171" s="16">
        <v>12.795817918974322</v>
      </c>
      <c r="K171" s="16">
        <v>-2.6988904910128895</v>
      </c>
      <c r="L171" s="16">
        <v>0.50606872170766337</v>
      </c>
      <c r="M171" s="16">
        <v>6.9208827763377769</v>
      </c>
      <c r="N171" s="16">
        <v>-1.7679122589593277</v>
      </c>
      <c r="O171" s="16">
        <v>8.6562847075617952</v>
      </c>
      <c r="P171" s="16">
        <v>-1.1659131752092833</v>
      </c>
      <c r="Q171" s="16">
        <v>-3.6504059801509783</v>
      </c>
      <c r="R171" s="16">
        <v>-7.3820102822869131</v>
      </c>
      <c r="S171" s="16">
        <v>8.8808164057336114</v>
      </c>
      <c r="T171" s="16">
        <v>-7.9083015218655532</v>
      </c>
      <c r="U171" s="16">
        <v>5.3771118160732101</v>
      </c>
      <c r="V171" s="16">
        <v>-4.7004216943371091</v>
      </c>
      <c r="W171" s="16">
        <v>-3.3358577551375674</v>
      </c>
      <c r="X171" s="16">
        <v>1.8022455409819145</v>
      </c>
      <c r="Y171" s="16">
        <v>0.40871826162785396</v>
      </c>
      <c r="Z171" s="16">
        <v>0.45062493929034986</v>
      </c>
      <c r="AA171" s="16">
        <v>-5.1899917174566923</v>
      </c>
      <c r="AB171" s="16">
        <v>0.71019021728267262</v>
      </c>
      <c r="AC171" s="16">
        <v>-6.0422697175556976</v>
      </c>
      <c r="AD171" s="16">
        <v>1.0960832604240522E-2</v>
      </c>
      <c r="AE171" s="16">
        <v>2.6713012293142953</v>
      </c>
      <c r="AF171" s="16">
        <v>-1.0217710365378707</v>
      </c>
      <c r="AG171" s="16">
        <v>-1.2020298950554178</v>
      </c>
      <c r="AH171" s="16">
        <v>2.1411566208219739</v>
      </c>
      <c r="AI171" s="16">
        <v>-4.2679740675138476</v>
      </c>
      <c r="AJ171" s="16">
        <v>-1.1811190398994569</v>
      </c>
      <c r="AK171" s="16">
        <v>-1.9790159816940616</v>
      </c>
      <c r="AL171" s="16">
        <v>1.6361154505801494</v>
      </c>
      <c r="AM171" s="16">
        <v>-6.3319846497799972</v>
      </c>
      <c r="AN171" s="16">
        <v>6.814029398139624</v>
      </c>
      <c r="AO171" s="16">
        <v>3.7068644183366501</v>
      </c>
      <c r="AP171" s="16">
        <v>-6.1869177418780339</v>
      </c>
      <c r="AQ171" s="16">
        <v>0.10920964700302704</v>
      </c>
      <c r="AR171" s="16">
        <v>0.89957837563881071</v>
      </c>
      <c r="AS171" s="16">
        <v>-6.5702419319764971</v>
      </c>
      <c r="AT171" s="16">
        <v>-3.1995671815441256</v>
      </c>
      <c r="AU171" s="16">
        <v>-0.76995552673095347</v>
      </c>
      <c r="AV171" s="16">
        <v>4.6429779279357319</v>
      </c>
      <c r="AW171" s="16">
        <v>2.4846419912866367</v>
      </c>
      <c r="AX171" s="16">
        <v>6.1953776610095304</v>
      </c>
      <c r="AY171" s="16">
        <v>15.688316128397076</v>
      </c>
      <c r="AZ171" s="19">
        <v>-4.2163021294105363</v>
      </c>
      <c r="BA171" s="19">
        <v>-2.7918103441596998</v>
      </c>
      <c r="BB171" s="19">
        <v>-2.5917934602189803</v>
      </c>
      <c r="BC171" s="19">
        <v>-0.28615137629459753</v>
      </c>
      <c r="BD171" s="19">
        <v>1.0753694468868389</v>
      </c>
      <c r="BE171" s="19">
        <v>1.2560224305014032</v>
      </c>
      <c r="BF171" s="19">
        <v>1.1777381766905819</v>
      </c>
      <c r="BG171" s="19">
        <v>1.5557422896386441</v>
      </c>
      <c r="BH171" s="19">
        <v>2.6246907599230695</v>
      </c>
      <c r="BI171" s="19">
        <v>-1.3798930447675133</v>
      </c>
      <c r="BJ171" s="19">
        <v>3.5084155541403703</v>
      </c>
      <c r="BK171" s="19">
        <v>2.0564753751067144</v>
      </c>
      <c r="BL171" s="19">
        <v>0.47917416598150453</v>
      </c>
      <c r="BM171" s="19">
        <v>-2.9023598187388728</v>
      </c>
      <c r="BN171" s="19">
        <v>-1.797586959859288</v>
      </c>
      <c r="BO171" s="16">
        <v>3.6653158879833825</v>
      </c>
      <c r="BP171" s="16">
        <v>0.68681786008045265</v>
      </c>
    </row>
    <row r="172" spans="1:68" x14ac:dyDescent="0.3">
      <c r="A172" s="16" t="s">
        <v>156</v>
      </c>
      <c r="B172" s="16" t="s">
        <v>489</v>
      </c>
      <c r="C172" s="16" t="s">
        <v>604</v>
      </c>
      <c r="D172" s="16" t="s">
        <v>605</v>
      </c>
      <c r="F172" s="16">
        <v>22.113902831457239</v>
      </c>
      <c r="G172" s="16">
        <v>-2.0135366726994164</v>
      </c>
      <c r="H172" s="16">
        <v>10.961530977080031</v>
      </c>
      <c r="I172" s="16">
        <v>-9.1047811155684428</v>
      </c>
      <c r="J172" s="16">
        <v>0.91938280593649324</v>
      </c>
      <c r="K172" s="16">
        <v>-5.5516205172056203</v>
      </c>
      <c r="L172" s="16">
        <v>2.3729242366500358</v>
      </c>
      <c r="M172" s="16">
        <v>-8.5801687286554653</v>
      </c>
      <c r="N172" s="16">
        <v>3.1257169598458319</v>
      </c>
      <c r="O172" s="16">
        <v>-2.0416046994327246</v>
      </c>
      <c r="P172" s="16">
        <v>2.6297479929791194</v>
      </c>
      <c r="Q172" s="16">
        <v>6.7157999525224312</v>
      </c>
      <c r="R172" s="16">
        <v>10.328671985565279</v>
      </c>
      <c r="S172" s="16">
        <v>7.1731588251117557</v>
      </c>
      <c r="T172" s="16">
        <v>-0.6728864106619028</v>
      </c>
      <c r="U172" s="16">
        <v>21.772010654829145</v>
      </c>
      <c r="V172" s="16">
        <v>4.8278314411931689</v>
      </c>
      <c r="W172" s="16">
        <v>2.4827281878759777</v>
      </c>
      <c r="X172" s="16">
        <v>1.7304916669332187</v>
      </c>
      <c r="Y172" s="16">
        <v>-11.564925133105604</v>
      </c>
      <c r="Z172" s="16">
        <v>4.3247798626643998</v>
      </c>
      <c r="AA172" s="16">
        <v>4.2153002890461266</v>
      </c>
      <c r="AB172" s="16">
        <v>-0.5351701221225369</v>
      </c>
      <c r="AC172" s="16">
        <v>3.6092223905286716</v>
      </c>
      <c r="AD172" s="16">
        <v>6.0838762937148942</v>
      </c>
      <c r="AE172" s="16">
        <v>8.9062369026332107</v>
      </c>
      <c r="AF172" s="16">
        <v>8.0794664090781509</v>
      </c>
      <c r="AG172" s="16">
        <v>6.0587191635791555</v>
      </c>
      <c r="AH172" s="16">
        <v>3.6680908316904635</v>
      </c>
      <c r="AI172" s="16">
        <v>6.4259440372149044</v>
      </c>
      <c r="AJ172" s="16">
        <v>3.3141663995162105</v>
      </c>
      <c r="AK172" s="16">
        <v>5.1204444146398629</v>
      </c>
      <c r="AL172" s="16">
        <v>3.8436280008351531</v>
      </c>
      <c r="AM172" s="16">
        <v>2.6883285166561848</v>
      </c>
      <c r="AN172" s="16">
        <v>3.3947763634549091</v>
      </c>
      <c r="AO172" s="16">
        <v>4.5134326138626051</v>
      </c>
      <c r="AP172" s="16">
        <v>4.3724171399103255</v>
      </c>
      <c r="AQ172" s="16">
        <v>4.9625194260115535</v>
      </c>
      <c r="AR172" s="16">
        <v>1.3147486670756336</v>
      </c>
      <c r="AS172" s="16">
        <v>7.1447159469158379</v>
      </c>
      <c r="AT172" s="16">
        <v>2.5342628530189018</v>
      </c>
      <c r="AU172" s="16">
        <v>0.91191021688126739</v>
      </c>
      <c r="AV172" s="16">
        <v>5.1616704475796098</v>
      </c>
      <c r="AW172" s="16">
        <v>3.67780930188448</v>
      </c>
      <c r="AX172" s="16">
        <v>1.1766990870534642</v>
      </c>
      <c r="AY172" s="16">
        <v>4.3775868209085615</v>
      </c>
      <c r="AZ172" s="19">
        <v>5.2464969653438089</v>
      </c>
      <c r="BA172" s="19">
        <v>5.0065390553084086</v>
      </c>
      <c r="BB172" s="19">
        <v>3.0411004632039607</v>
      </c>
      <c r="BC172" s="19">
        <v>4.1291988482215203</v>
      </c>
      <c r="BD172" s="19">
        <v>3.9110012406983685</v>
      </c>
      <c r="BE172" s="19">
        <v>3.2094994788002538</v>
      </c>
      <c r="BF172" s="19">
        <v>3.1104055543771381</v>
      </c>
      <c r="BG172" s="19">
        <v>3.6391900738820766</v>
      </c>
      <c r="BH172" s="19">
        <v>3.5533569656273727</v>
      </c>
      <c r="BI172" s="19">
        <v>3.7911307073443652</v>
      </c>
      <c r="BJ172" s="19">
        <v>3.844308006398947</v>
      </c>
      <c r="BK172" s="19">
        <v>3.9500354872733965</v>
      </c>
      <c r="BL172" s="19">
        <v>2.8581253238977098</v>
      </c>
      <c r="BM172" s="19">
        <v>-14.548495592136206</v>
      </c>
      <c r="BN172" s="19">
        <v>3.3776687343074485</v>
      </c>
      <c r="BO172" s="16">
        <v>9.2085455328961672</v>
      </c>
      <c r="BP172" s="16">
        <v>7.0779804026126101</v>
      </c>
    </row>
    <row r="173" spans="1:68" x14ac:dyDescent="0.3">
      <c r="A173" s="16" t="s">
        <v>148</v>
      </c>
      <c r="B173" s="16" t="s">
        <v>490</v>
      </c>
      <c r="C173" s="16" t="s">
        <v>604</v>
      </c>
      <c r="D173" s="16" t="s">
        <v>605</v>
      </c>
      <c r="F173" s="16">
        <v>5.1109536756567309</v>
      </c>
      <c r="G173" s="16">
        <v>-1.7419069598737877</v>
      </c>
      <c r="H173" s="16">
        <v>-3.7836749959260629</v>
      </c>
      <c r="I173" s="16">
        <v>0.17242705485000442</v>
      </c>
      <c r="J173" s="16">
        <v>10.873091125386992</v>
      </c>
      <c r="K173" s="16">
        <v>10.5016399583522</v>
      </c>
      <c r="L173" s="16">
        <v>4.6593496956145231</v>
      </c>
      <c r="M173" s="16">
        <v>-4.3211520137413117</v>
      </c>
      <c r="N173" s="16">
        <v>3.3148506063512144</v>
      </c>
      <c r="O173" s="16">
        <v>-1.9599391348044577</v>
      </c>
      <c r="P173" s="16">
        <v>13.343070213585008</v>
      </c>
      <c r="Q173" s="16">
        <v>3.5352087608570457</v>
      </c>
      <c r="R173" s="16">
        <v>-0.36650196509488353</v>
      </c>
      <c r="S173" s="16">
        <v>4.29606045495008</v>
      </c>
      <c r="T173" s="16">
        <v>3.1385106130129543</v>
      </c>
      <c r="U173" s="16">
        <v>1.9614381178858906</v>
      </c>
      <c r="V173" s="16">
        <v>1.6744918586600193</v>
      </c>
      <c r="W173" s="16">
        <v>6.0213219588632398</v>
      </c>
      <c r="X173" s="16">
        <v>0.58108151123555274</v>
      </c>
      <c r="Y173" s="16">
        <v>-3.4098150171640782</v>
      </c>
      <c r="Z173" s="16">
        <v>-8.9583291440538062</v>
      </c>
      <c r="AA173" s="16">
        <v>-1.4921634208446051</v>
      </c>
      <c r="AB173" s="16">
        <v>-0.30715349402069592</v>
      </c>
      <c r="AC173" s="16">
        <v>1.3307293051556286</v>
      </c>
      <c r="AD173" s="16">
        <v>0.64771090031534584</v>
      </c>
      <c r="AE173" s="16">
        <v>-3.8069120246922239</v>
      </c>
      <c r="AF173" s="16">
        <v>-3.1053607880327974</v>
      </c>
      <c r="AG173" s="16">
        <v>-2.2296403286344315</v>
      </c>
      <c r="AH173" s="16">
        <v>-3.2958347570748288</v>
      </c>
      <c r="AI173" s="16">
        <v>1.6509180958015293</v>
      </c>
      <c r="AJ173" s="16">
        <v>5.5018180556351268</v>
      </c>
      <c r="AK173" s="16">
        <v>-9.9331903635902847</v>
      </c>
      <c r="AL173" s="16">
        <v>8.1752786711711423</v>
      </c>
      <c r="AM173" s="16">
        <v>-9.1289345338943662</v>
      </c>
      <c r="AN173" s="16">
        <v>16.947931656045398</v>
      </c>
      <c r="AO173" s="16">
        <v>5.2588050373221193</v>
      </c>
      <c r="AP173" s="16">
        <v>1.7965777362476416</v>
      </c>
      <c r="AQ173" s="16">
        <v>1.7676984497564661</v>
      </c>
      <c r="AR173" s="16">
        <v>0.77466286891964842</v>
      </c>
      <c r="AS173" s="16">
        <v>-0.73443844270380509</v>
      </c>
      <c r="AT173" s="16">
        <v>-7.2015133874045176</v>
      </c>
      <c r="AU173" s="16">
        <v>-0.76541309276872482</v>
      </c>
      <c r="AV173" s="16">
        <v>3.0519112337045016</v>
      </c>
      <c r="AW173" s="16">
        <v>2.6737708664680753</v>
      </c>
      <c r="AX173" s="16">
        <v>0.48125164291580802</v>
      </c>
      <c r="AY173" s="16">
        <v>1.8055411118222935</v>
      </c>
      <c r="AZ173" s="19">
        <v>6.5370225220754037</v>
      </c>
      <c r="BA173" s="19">
        <v>4.5866397694844068</v>
      </c>
      <c r="BB173" s="19">
        <v>5.2256868224062316</v>
      </c>
      <c r="BC173" s="19">
        <v>3.8280462545573215</v>
      </c>
      <c r="BD173" s="19">
        <v>1.9697433954957404</v>
      </c>
      <c r="BE173" s="19">
        <v>-0.94588819531067259</v>
      </c>
      <c r="BF173" s="19">
        <v>2.4928662861121609</v>
      </c>
      <c r="BG173" s="19">
        <v>2.720274217152749</v>
      </c>
      <c r="BH173" s="19">
        <v>2.4030320595187504E-3</v>
      </c>
      <c r="BI173" s="19">
        <v>-0.248244189153354</v>
      </c>
      <c r="BJ173" s="19">
        <v>1.2341585986335133</v>
      </c>
      <c r="BK173" s="19">
        <v>1.625495536665241</v>
      </c>
      <c r="BL173" s="19">
        <v>2.6567690684491652</v>
      </c>
      <c r="BM173" s="19">
        <v>-1.851599780349602</v>
      </c>
      <c r="BN173" s="19">
        <v>0.10286690434371337</v>
      </c>
      <c r="BO173" s="16">
        <v>-1.6265526936819441</v>
      </c>
      <c r="BP173" s="16">
        <v>-1.0140825195997678</v>
      </c>
    </row>
    <row r="174" spans="1:68" x14ac:dyDescent="0.3">
      <c r="A174" s="16" t="s">
        <v>149</v>
      </c>
      <c r="B174" s="16" t="s">
        <v>491</v>
      </c>
      <c r="C174" s="16" t="s">
        <v>604</v>
      </c>
      <c r="D174" s="16" t="s">
        <v>605</v>
      </c>
      <c r="F174" s="16">
        <v>4.3863261881275548</v>
      </c>
      <c r="G174" s="16">
        <v>3.2324071753346146</v>
      </c>
      <c r="H174" s="16">
        <v>4.1467710743175559</v>
      </c>
      <c r="I174" s="16">
        <v>2.2995802295091181</v>
      </c>
      <c r="J174" s="16">
        <v>4.6632606627742916</v>
      </c>
      <c r="K174" s="16">
        <v>4.9398564711884489</v>
      </c>
      <c r="L174" s="16">
        <v>1.2358555273754916</v>
      </c>
      <c r="M174" s="16">
        <v>5.3479262403027974</v>
      </c>
      <c r="N174" s="16">
        <v>2.3827218853393504</v>
      </c>
      <c r="O174" s="16">
        <v>3.468901392408668</v>
      </c>
      <c r="P174" s="16">
        <v>7.46903423962533</v>
      </c>
      <c r="Q174" s="16">
        <v>6.866183755303922</v>
      </c>
      <c r="R174" s="16">
        <v>9.0652780795539911</v>
      </c>
      <c r="S174" s="16">
        <v>5.7144414418335288</v>
      </c>
      <c r="T174" s="16">
        <v>-1.6522491775239274</v>
      </c>
      <c r="U174" s="16">
        <v>8.8270274036915168</v>
      </c>
      <c r="V174" s="16">
        <v>5.0295143261041488</v>
      </c>
      <c r="W174" s="16">
        <v>3.8908660310000585</v>
      </c>
      <c r="X174" s="16">
        <v>6.5368643047102353</v>
      </c>
      <c r="Y174" s="16">
        <v>4.6720165363948638</v>
      </c>
      <c r="Z174" s="16">
        <v>4.1915087975568497</v>
      </c>
      <c r="AA174" s="16">
        <v>3.2305765739738348</v>
      </c>
      <c r="AB174" s="16">
        <v>3.4880478404958097</v>
      </c>
      <c r="AC174" s="16">
        <v>4.8738105937217995</v>
      </c>
      <c r="AD174" s="16">
        <v>-3.7877203695460508</v>
      </c>
      <c r="AE174" s="16">
        <v>-1.691488151027059</v>
      </c>
      <c r="AF174" s="16">
        <v>2.0796736501705482</v>
      </c>
      <c r="AG174" s="16">
        <v>6.6677000638786268</v>
      </c>
      <c r="AH174" s="16">
        <v>5.8844232643786114</v>
      </c>
      <c r="AI174" s="16">
        <v>5.9162528187572292</v>
      </c>
      <c r="AJ174" s="16">
        <v>6.5029944366099386</v>
      </c>
      <c r="AK174" s="16">
        <v>5.8921905235491181</v>
      </c>
      <c r="AL174" s="16">
        <v>6.8757635898959961</v>
      </c>
      <c r="AM174" s="16">
        <v>6.2090637389576244</v>
      </c>
      <c r="AN174" s="16">
        <v>6.8392162032070445</v>
      </c>
      <c r="AO174" s="16">
        <v>7.0668762629672273</v>
      </c>
      <c r="AP174" s="16">
        <v>4.4937211030900528</v>
      </c>
      <c r="AQ174" s="16">
        <v>-9.7438166969645152</v>
      </c>
      <c r="AR174" s="16">
        <v>3.4894071430040015</v>
      </c>
      <c r="AS174" s="16">
        <v>6.1237980914643515</v>
      </c>
      <c r="AT174" s="16">
        <v>-2.0328566461191002</v>
      </c>
      <c r="AU174" s="16">
        <v>2.7720735767505147</v>
      </c>
      <c r="AV174" s="16">
        <v>3.2358056399191639</v>
      </c>
      <c r="AW174" s="16">
        <v>4.2803298700555104</v>
      </c>
      <c r="AX174" s="16">
        <v>2.9336853743445914</v>
      </c>
      <c r="AY174" s="16">
        <v>3.251346380238445</v>
      </c>
      <c r="AZ174" s="19">
        <v>4.0106155003884396</v>
      </c>
      <c r="BA174" s="19">
        <v>2.665386034958189</v>
      </c>
      <c r="BB174" s="19">
        <v>-3.4433428061677489</v>
      </c>
      <c r="BC174" s="19">
        <v>5.5525185218268547</v>
      </c>
      <c r="BD174" s="19">
        <v>3.6111733971429203</v>
      </c>
      <c r="BE174" s="19">
        <v>3.7804893344812314</v>
      </c>
      <c r="BF174" s="19">
        <v>3.04489440326752</v>
      </c>
      <c r="BG174" s="19">
        <v>4.3731359623398163</v>
      </c>
      <c r="BH174" s="19">
        <v>3.5275344364348769</v>
      </c>
      <c r="BI174" s="19">
        <v>2.9337622538982941</v>
      </c>
      <c r="BJ174" s="19">
        <v>4.3256303347090466</v>
      </c>
      <c r="BK174" s="19">
        <v>3.4727667050550508</v>
      </c>
      <c r="BL174" s="19">
        <v>3.1248961327409148</v>
      </c>
      <c r="BM174" s="19">
        <v>-6.5844533306747053</v>
      </c>
      <c r="BN174" s="19">
        <v>2.1473112811670916</v>
      </c>
      <c r="BO174" s="16">
        <v>7.4839181176850929</v>
      </c>
      <c r="BP174" s="16">
        <v>2.5612243650343913</v>
      </c>
    </row>
    <row r="175" spans="1:68" hidden="1" x14ac:dyDescent="0.3">
      <c r="A175" s="16" t="s">
        <v>712</v>
      </c>
      <c r="B175" s="16" t="s">
        <v>713</v>
      </c>
      <c r="C175" s="16" t="s">
        <v>604</v>
      </c>
      <c r="D175" s="16" t="s">
        <v>605</v>
      </c>
      <c r="F175" s="16">
        <v>0.65123227588192378</v>
      </c>
      <c r="G175" s="16">
        <v>4.5474244688439711</v>
      </c>
      <c r="H175" s="16">
        <v>2.9341148085132858</v>
      </c>
      <c r="I175" s="16">
        <v>4.3599190218233588</v>
      </c>
      <c r="J175" s="16">
        <v>5.0168062592265414</v>
      </c>
      <c r="K175" s="16">
        <v>5.2315624816130253</v>
      </c>
      <c r="L175" s="16">
        <v>1.3712985999197116</v>
      </c>
      <c r="M175" s="16">
        <v>3.7135799600968227</v>
      </c>
      <c r="N175" s="16">
        <v>2.2121539087462452</v>
      </c>
      <c r="O175" s="16">
        <v>-0.75146730781828808</v>
      </c>
      <c r="P175" s="16">
        <v>1.8907596827448998</v>
      </c>
      <c r="Q175" s="16">
        <v>4.1455994927812583</v>
      </c>
      <c r="R175" s="16">
        <v>4.7011567492863549</v>
      </c>
      <c r="S175" s="16">
        <v>-1.1708253934294106</v>
      </c>
      <c r="T175" s="16">
        <v>-1.0791871666169186</v>
      </c>
      <c r="U175" s="16">
        <v>4.3995662000255749</v>
      </c>
      <c r="V175" s="16">
        <v>3.4673506706765664</v>
      </c>
      <c r="W175" s="16">
        <v>4.2733013145299594</v>
      </c>
      <c r="X175" s="16">
        <v>2.0917081936799917</v>
      </c>
      <c r="Y175" s="16">
        <v>-1.0305808173032887</v>
      </c>
      <c r="Z175" s="16">
        <v>1.5872902355533114</v>
      </c>
      <c r="AA175" s="16">
        <v>-2.8780786964188962</v>
      </c>
      <c r="AB175" s="16">
        <v>3.4486310718783386</v>
      </c>
      <c r="AC175" s="16">
        <v>6.1867832049082807</v>
      </c>
      <c r="AD175" s="16">
        <v>3.2921965215459039</v>
      </c>
      <c r="AE175" s="16">
        <v>2.3925996655199953</v>
      </c>
      <c r="AF175" s="16">
        <v>2.5428154557082223</v>
      </c>
      <c r="AG175" s="16">
        <v>3.2152985207081599</v>
      </c>
      <c r="AH175" s="16">
        <v>2.4980029249685742</v>
      </c>
      <c r="AI175" s="16">
        <v>0.56372058698461558</v>
      </c>
      <c r="AJ175" s="16">
        <v>-1.5872873581937483</v>
      </c>
      <c r="AK175" s="16">
        <v>1.9064104798829078</v>
      </c>
      <c r="AL175" s="16">
        <v>1.4208404237189285</v>
      </c>
      <c r="AM175" s="16">
        <v>2.8092811290260045</v>
      </c>
      <c r="AN175" s="16">
        <v>1.4853042138318244</v>
      </c>
      <c r="AO175" s="16">
        <v>2.4210132058763065</v>
      </c>
      <c r="AP175" s="16">
        <v>3.2059931760353777</v>
      </c>
      <c r="AQ175" s="16">
        <v>3.2610199059251102</v>
      </c>
      <c r="AR175" s="16">
        <v>3.6525946614627998</v>
      </c>
      <c r="AS175" s="16">
        <v>3.0277086806673736</v>
      </c>
      <c r="AT175" s="16">
        <v>2.5732793849343238E-2</v>
      </c>
      <c r="AU175" s="16">
        <v>0.84560943120270338</v>
      </c>
      <c r="AV175" s="16">
        <v>1.8340497143497316</v>
      </c>
      <c r="AW175" s="16">
        <v>2.8306483120573489</v>
      </c>
      <c r="AX175" s="16">
        <v>2.5095454860520618</v>
      </c>
      <c r="AY175" s="16">
        <v>1.7832124633300594</v>
      </c>
      <c r="AZ175" s="19">
        <v>1.040655895451664</v>
      </c>
      <c r="BA175" s="19">
        <v>-0.77490929237535511</v>
      </c>
      <c r="BB175" s="19">
        <v>-3.4801626331938564</v>
      </c>
      <c r="BC175" s="19">
        <v>1.8472007180017727</v>
      </c>
      <c r="BD175" s="19">
        <v>0.92527156456610271</v>
      </c>
      <c r="BE175" s="19">
        <v>1.4608144981122848</v>
      </c>
      <c r="BF175" s="19">
        <v>1.3919117699454659</v>
      </c>
      <c r="BG175" s="19">
        <v>1.7729509109603754</v>
      </c>
      <c r="BH175" s="19">
        <v>2.0049869749876166</v>
      </c>
      <c r="BI175" s="19">
        <v>0.98176150650775185</v>
      </c>
      <c r="BJ175" s="19">
        <v>1.7989701955118704</v>
      </c>
      <c r="BK175" s="19">
        <v>2.3132881833231522</v>
      </c>
      <c r="BL175" s="19">
        <v>1.8525372898588728</v>
      </c>
      <c r="BM175" s="19">
        <v>-3.3864953771447119</v>
      </c>
      <c r="BN175" s="19">
        <v>5.5519230795972021</v>
      </c>
      <c r="BO175" s="16">
        <v>1.5518043580636061</v>
      </c>
      <c r="BP175" s="16">
        <v>1.6643953110447427</v>
      </c>
    </row>
    <row r="176" spans="1:68" x14ac:dyDescent="0.3">
      <c r="A176" s="16" t="s">
        <v>167</v>
      </c>
      <c r="B176" s="16" t="s">
        <v>492</v>
      </c>
      <c r="C176" s="16" t="s">
        <v>604</v>
      </c>
      <c r="D176" s="16" t="s">
        <v>605</v>
      </c>
      <c r="Z176" s="16">
        <v>-0.19432072359148833</v>
      </c>
      <c r="AA176" s="16">
        <v>-2.19356393924744</v>
      </c>
      <c r="AB176" s="16">
        <v>-4.4430185521763121</v>
      </c>
      <c r="AC176" s="16">
        <v>-2.9526778197179624</v>
      </c>
      <c r="AD176" s="16">
        <v>-2.4134509218521458</v>
      </c>
      <c r="AE176" s="16">
        <v>1.5463877450604855</v>
      </c>
      <c r="AF176" s="16">
        <v>0.22696558333493044</v>
      </c>
      <c r="AG176" s="16">
        <v>-2.7354067328736562</v>
      </c>
      <c r="AH176" s="16">
        <v>-4.4771754935336219</v>
      </c>
      <c r="AI176" s="16">
        <v>-3.9859637908098051</v>
      </c>
      <c r="AJ176" s="16">
        <v>4.6045034340750135</v>
      </c>
      <c r="AK176" s="16">
        <v>3.810908555734585</v>
      </c>
      <c r="AL176" s="16">
        <v>-4.71806294927012</v>
      </c>
      <c r="AM176" s="16">
        <v>-1.443530800433166</v>
      </c>
      <c r="AN176" s="16">
        <v>0.86230265537901118</v>
      </c>
      <c r="AO176" s="16">
        <v>0.3961394836815515</v>
      </c>
      <c r="AP176" s="16">
        <v>1.5625905971880627</v>
      </c>
      <c r="AQ176" s="16">
        <v>0.75022251148364205</v>
      </c>
      <c r="AR176" s="16">
        <v>0.90903103890333625</v>
      </c>
      <c r="AS176" s="16">
        <v>1.1674022823764574</v>
      </c>
      <c r="AT176" s="16">
        <v>-0.85285688854709463</v>
      </c>
      <c r="AU176" s="16">
        <v>3.0062510498626693</v>
      </c>
      <c r="AV176" s="16">
        <v>2.7758630708673309</v>
      </c>
      <c r="AW176" s="16">
        <v>10.881320969660464</v>
      </c>
      <c r="AX176" s="16">
        <v>1.3038936324556403</v>
      </c>
      <c r="AY176" s="16">
        <v>5.796150060287971</v>
      </c>
      <c r="AZ176" s="19">
        <v>4.067851327206796</v>
      </c>
      <c r="BA176" s="19">
        <v>1.2872253028344431</v>
      </c>
      <c r="BB176" s="19">
        <v>-1.1283555600201396</v>
      </c>
      <c r="BC176" s="19">
        <v>4.4555842216270776</v>
      </c>
      <c r="BD176" s="19">
        <v>3.4615485830815231</v>
      </c>
      <c r="BE176" s="19">
        <v>3.3588594741090532</v>
      </c>
      <c r="BF176" s="19">
        <v>3.8401895842056888</v>
      </c>
      <c r="BG176" s="19">
        <v>4.2719193673679285</v>
      </c>
      <c r="BH176" s="19">
        <v>2.4507109778989218</v>
      </c>
      <c r="BI176" s="19">
        <v>-1.716337977773577</v>
      </c>
      <c r="BJ176" s="19">
        <v>-2.7510136303615553</v>
      </c>
      <c r="BK176" s="19">
        <v>-0.66855426548112007</v>
      </c>
      <c r="BL176" s="19">
        <v>-2.4993982146257565</v>
      </c>
      <c r="BM176" s="19">
        <v>-9.668821206001283</v>
      </c>
      <c r="BN176" s="19">
        <v>1.9228038308231703</v>
      </c>
      <c r="BO176" s="16">
        <v>3.8368959458787657</v>
      </c>
      <c r="BP176" s="16">
        <v>2.6736841148533159</v>
      </c>
    </row>
    <row r="177" spans="1:68" x14ac:dyDescent="0.3">
      <c r="A177" s="16" t="s">
        <v>174</v>
      </c>
      <c r="B177" s="16" t="s">
        <v>493</v>
      </c>
      <c r="C177" s="16" t="s">
        <v>604</v>
      </c>
      <c r="D177" s="16" t="s">
        <v>605</v>
      </c>
      <c r="F177" s="16">
        <v>1.4963916870629674</v>
      </c>
      <c r="G177" s="16">
        <v>7.0533802509657733</v>
      </c>
      <c r="H177" s="16">
        <v>6.2327461805486308</v>
      </c>
      <c r="I177" s="16">
        <v>-2.7762641583324239</v>
      </c>
      <c r="J177" s="16">
        <v>3.8464204563798603</v>
      </c>
      <c r="K177" s="16">
        <v>-3.2230457409050643</v>
      </c>
      <c r="L177" s="16">
        <v>-2.7165257492293762</v>
      </c>
      <c r="M177" s="16">
        <v>-2.426522636444929</v>
      </c>
      <c r="N177" s="16">
        <v>-8.0873019724494526</v>
      </c>
      <c r="O177" s="16">
        <v>0.25930577507011776</v>
      </c>
      <c r="P177" s="16">
        <v>2.8735821609016341</v>
      </c>
      <c r="Q177" s="16">
        <v>-7.6543900622940981</v>
      </c>
      <c r="R177" s="16">
        <v>-19.229269070186575</v>
      </c>
      <c r="S177" s="16">
        <v>5.9034186592107858</v>
      </c>
      <c r="T177" s="16">
        <v>-5.3950494498656809</v>
      </c>
      <c r="U177" s="16">
        <v>-2.0578500187089759</v>
      </c>
      <c r="V177" s="16">
        <v>4.7854830054697004</v>
      </c>
      <c r="W177" s="16">
        <v>10.237607889400152</v>
      </c>
      <c r="X177" s="16">
        <v>3.9829554597408077</v>
      </c>
      <c r="Y177" s="16">
        <v>-5.3945111264806371</v>
      </c>
      <c r="Z177" s="16">
        <v>-3.2052190287759288</v>
      </c>
      <c r="AA177" s="16">
        <v>-0.91022417471704387</v>
      </c>
      <c r="AB177" s="16">
        <v>-6.7358248576754107</v>
      </c>
      <c r="AC177" s="16">
        <v>-19.291713542855277</v>
      </c>
      <c r="AD177" s="16">
        <v>4.5144518532471238</v>
      </c>
      <c r="AE177" s="16">
        <v>3.1831773407598831</v>
      </c>
      <c r="AF177" s="16">
        <v>-2.9029549379762045</v>
      </c>
      <c r="AG177" s="16">
        <v>3.6718925275355474</v>
      </c>
      <c r="AH177" s="16">
        <v>-2.0759040457996463</v>
      </c>
      <c r="AI177" s="16">
        <v>-4.3099420612916788</v>
      </c>
      <c r="AJ177" s="16">
        <v>-3.483411996304298</v>
      </c>
      <c r="AK177" s="16">
        <v>-1.1253956298562287</v>
      </c>
      <c r="AL177" s="16">
        <v>-2.7932111032998534</v>
      </c>
      <c r="AM177" s="16">
        <v>-1.3665891843029812</v>
      </c>
      <c r="AN177" s="16">
        <v>-0.88975528425685013</v>
      </c>
      <c r="AO177" s="16">
        <v>-3.2133501788714227</v>
      </c>
      <c r="AP177" s="16">
        <v>-1.8031499272147613</v>
      </c>
      <c r="AQ177" s="16">
        <v>6.3181235650123853</v>
      </c>
      <c r="AR177" s="16">
        <v>-3.5648260763559279</v>
      </c>
      <c r="AS177" s="16">
        <v>-4.5336056993207876</v>
      </c>
      <c r="AT177" s="16">
        <v>3.6237252880407311</v>
      </c>
      <c r="AU177" s="16">
        <v>1.338057375232296</v>
      </c>
      <c r="AV177" s="16">
        <v>-1.3479062022204715</v>
      </c>
      <c r="AW177" s="16">
        <v>-3.1358220132242707</v>
      </c>
      <c r="AX177" s="16">
        <v>3.5488894514146665</v>
      </c>
      <c r="AY177" s="16">
        <v>2.170619107617398</v>
      </c>
      <c r="AZ177" s="19">
        <v>-0.54536245258636029</v>
      </c>
      <c r="BA177" s="19">
        <v>3.8467003625491429</v>
      </c>
      <c r="BB177" s="19">
        <v>-1.7422251912411184</v>
      </c>
      <c r="BC177" s="19">
        <v>4.6020670482128878</v>
      </c>
      <c r="BD177" s="19">
        <v>-1.4063462658661479</v>
      </c>
      <c r="BE177" s="19">
        <v>6.415644392753066</v>
      </c>
      <c r="BF177" s="19">
        <v>1.3697821301352775</v>
      </c>
      <c r="BG177" s="19">
        <v>2.6850897800347013</v>
      </c>
      <c r="BH177" s="19">
        <v>0.47115442412814446</v>
      </c>
      <c r="BI177" s="19">
        <v>1.7298515331947328</v>
      </c>
      <c r="BJ177" s="19">
        <v>1.0627957902426033</v>
      </c>
      <c r="BK177" s="19">
        <v>3.2266224675505697</v>
      </c>
      <c r="BL177" s="19">
        <v>2.0249157625018768</v>
      </c>
      <c r="BM177" s="19">
        <v>-0.23775833210805786</v>
      </c>
      <c r="BN177" s="19">
        <v>-2.3063005091391631</v>
      </c>
      <c r="BO177" s="16">
        <v>7.821354994347729</v>
      </c>
      <c r="BP177" s="16">
        <v>-1.2486436619878418</v>
      </c>
    </row>
    <row r="178" spans="1:68" x14ac:dyDescent="0.3">
      <c r="A178" s="16" t="s">
        <v>175</v>
      </c>
      <c r="B178" s="16" t="s">
        <v>494</v>
      </c>
      <c r="C178" s="16" t="s">
        <v>604</v>
      </c>
      <c r="D178" s="16" t="s">
        <v>605</v>
      </c>
      <c r="F178" s="16">
        <v>-1.8340097439208876</v>
      </c>
      <c r="G178" s="16">
        <v>1.9544510766535694</v>
      </c>
      <c r="H178" s="16">
        <v>6.30652788991965</v>
      </c>
      <c r="I178" s="16">
        <v>2.7298157752712768</v>
      </c>
      <c r="J178" s="16">
        <v>2.638222174882273</v>
      </c>
      <c r="K178" s="16">
        <v>-6.3045501892966058</v>
      </c>
      <c r="L178" s="16">
        <v>-17.500310013922658</v>
      </c>
      <c r="M178" s="16">
        <v>-3.2962096758627553</v>
      </c>
      <c r="N178" s="16">
        <v>21.568550456687134</v>
      </c>
      <c r="O178" s="16">
        <v>22.288598724522672</v>
      </c>
      <c r="P178" s="16">
        <v>11.688283567949213</v>
      </c>
      <c r="Q178" s="16">
        <v>0.99004351238480126</v>
      </c>
      <c r="R178" s="16">
        <v>2.8614223135851518</v>
      </c>
      <c r="S178" s="16">
        <v>8.338877323115284</v>
      </c>
      <c r="T178" s="16">
        <v>-7.7811633315424018</v>
      </c>
      <c r="U178" s="16">
        <v>5.9949500627035377</v>
      </c>
      <c r="V178" s="16">
        <v>2.9490362956946967</v>
      </c>
      <c r="W178" s="16">
        <v>-8.5702106954798154</v>
      </c>
      <c r="X178" s="16">
        <v>3.5650170199156435</v>
      </c>
      <c r="Y178" s="16">
        <v>1.0607040563715771</v>
      </c>
      <c r="Z178" s="16">
        <v>-15.697858295089489</v>
      </c>
      <c r="AA178" s="16">
        <v>-9.4680667900035331</v>
      </c>
      <c r="AB178" s="16">
        <v>-13.128228143041071</v>
      </c>
      <c r="AC178" s="16">
        <v>-3.5300197887772953</v>
      </c>
      <c r="AD178" s="16">
        <v>3.0649113483684545</v>
      </c>
      <c r="AE178" s="16">
        <v>-2.5266748231238694</v>
      </c>
      <c r="AF178" s="16">
        <v>0.57452921447503513</v>
      </c>
      <c r="AG178" s="16">
        <v>4.5930666681028214</v>
      </c>
      <c r="AH178" s="16">
        <v>-0.70991911874260438</v>
      </c>
      <c r="AI178" s="16">
        <v>8.8770000358537402</v>
      </c>
      <c r="AJ178" s="16">
        <v>-2.1803679004603254</v>
      </c>
      <c r="AK178" s="16">
        <v>2.0236285870086164</v>
      </c>
      <c r="AL178" s="16">
        <v>-4.5071492558690522</v>
      </c>
      <c r="AM178" s="16">
        <v>-4.31075317014691</v>
      </c>
      <c r="AN178" s="16">
        <v>-2.5956007729375727</v>
      </c>
      <c r="AO178" s="16">
        <v>1.5960326820480049</v>
      </c>
      <c r="AP178" s="16">
        <v>0.37252043856884143</v>
      </c>
      <c r="AQ178" s="16">
        <v>3.2473524775795681E-2</v>
      </c>
      <c r="AR178" s="16">
        <v>-1.9411055458105011</v>
      </c>
      <c r="AS178" s="16">
        <v>2.3177749007206927</v>
      </c>
      <c r="AT178" s="16">
        <v>3.1464246826453888</v>
      </c>
      <c r="AU178" s="16">
        <v>12.276139069330497</v>
      </c>
      <c r="AV178" s="16">
        <v>4.4951558826680014</v>
      </c>
      <c r="AW178" s="16">
        <v>6.3450407295680264</v>
      </c>
      <c r="AX178" s="16">
        <v>3.6096606137971037</v>
      </c>
      <c r="AY178" s="16">
        <v>3.2383425717152221</v>
      </c>
      <c r="AZ178" s="19">
        <v>3.7416873554155359</v>
      </c>
      <c r="BA178" s="19">
        <v>3.8999431832192499</v>
      </c>
      <c r="BB178" s="19">
        <v>5.1301618746483655</v>
      </c>
      <c r="BC178" s="19">
        <v>5.0818748549804411</v>
      </c>
      <c r="BD178" s="19">
        <v>2.4370072366228612</v>
      </c>
      <c r="BE178" s="19">
        <v>1.403508778557196</v>
      </c>
      <c r="BF178" s="19">
        <v>3.8323661806400935</v>
      </c>
      <c r="BG178" s="19">
        <v>3.5521622989247703</v>
      </c>
      <c r="BH178" s="19">
        <v>7.6961616724190662E-2</v>
      </c>
      <c r="BI178" s="19">
        <v>-4.0527063618021657</v>
      </c>
      <c r="BJ178" s="19">
        <v>-1.7098730922510867</v>
      </c>
      <c r="BK178" s="19">
        <v>-0.59038927124774432</v>
      </c>
      <c r="BL178" s="19">
        <v>-0.26345637824294954</v>
      </c>
      <c r="BM178" s="19">
        <v>-4.1620592907919018</v>
      </c>
      <c r="BN178" s="19">
        <v>1.1828282225788058</v>
      </c>
      <c r="BO178" s="16">
        <v>0.823296497959916</v>
      </c>
      <c r="BP178" s="16">
        <v>0.44115642223164286</v>
      </c>
    </row>
    <row r="179" spans="1:68" x14ac:dyDescent="0.3">
      <c r="A179" s="16" t="s">
        <v>173</v>
      </c>
      <c r="B179" s="16" t="s">
        <v>495</v>
      </c>
      <c r="C179" s="16" t="s">
        <v>604</v>
      </c>
      <c r="D179" s="16" t="s">
        <v>605</v>
      </c>
      <c r="F179" s="16">
        <v>4.295707755151625</v>
      </c>
      <c r="G179" s="16">
        <v>7.5770521153600185</v>
      </c>
      <c r="H179" s="16">
        <v>7.5452075868345645</v>
      </c>
      <c r="I179" s="16">
        <v>8.3388046278205508</v>
      </c>
      <c r="J179" s="16">
        <v>6.2061304923204546</v>
      </c>
      <c r="K179" s="16">
        <v>0.13455258661959135</v>
      </c>
      <c r="L179" s="16">
        <v>3.6433853034734511</v>
      </c>
      <c r="M179" s="16">
        <v>-1.8547856239666487</v>
      </c>
      <c r="N179" s="16">
        <v>2.8559329871999921</v>
      </c>
      <c r="O179" s="16">
        <v>-1.8853275620433863</v>
      </c>
      <c r="P179" s="16">
        <v>3.1517301997610048E-3</v>
      </c>
      <c r="Q179" s="16">
        <v>-0.83040929541890307</v>
      </c>
      <c r="R179" s="16">
        <v>3.2608946240486603</v>
      </c>
      <c r="S179" s="16">
        <v>10.626956865024923</v>
      </c>
      <c r="T179" s="16">
        <v>-3.2369201138806289</v>
      </c>
      <c r="U179" s="16">
        <v>1.9971517997135209</v>
      </c>
      <c r="V179" s="16">
        <v>5.1150866208198948</v>
      </c>
      <c r="W179" s="16">
        <v>-10.486029894501797</v>
      </c>
      <c r="X179" s="16">
        <v>-28.440544813102917</v>
      </c>
      <c r="Y179" s="16">
        <v>1.793275105405101</v>
      </c>
      <c r="Z179" s="16">
        <v>2.4374443557151579</v>
      </c>
      <c r="AA179" s="16">
        <v>-3.4933412928286174</v>
      </c>
      <c r="AB179" s="16">
        <v>1.9077392964948814</v>
      </c>
      <c r="AC179" s="16">
        <v>-3.9741276168346218</v>
      </c>
      <c r="AD179" s="16">
        <v>-6.3385202929355415</v>
      </c>
      <c r="AE179" s="16">
        <v>-3.303845482019014</v>
      </c>
      <c r="AF179" s="16">
        <v>-2.9596836348985676</v>
      </c>
      <c r="AG179" s="16">
        <v>-14.443121737133879</v>
      </c>
      <c r="AH179" s="16">
        <v>-4.0262854280353082</v>
      </c>
      <c r="AI179" s="16">
        <v>-2.378080149224516</v>
      </c>
      <c r="AJ179" s="16">
        <v>-2.4835753021472442</v>
      </c>
      <c r="AK179" s="16">
        <v>-1.8785054434370494</v>
      </c>
      <c r="AL179" s="16">
        <v>-2.582747669119172</v>
      </c>
      <c r="AM179" s="16">
        <v>1.1354492677037484</v>
      </c>
      <c r="AN179" s="16">
        <v>3.7436419104944321</v>
      </c>
      <c r="AO179" s="16">
        <v>4.3452381062345466</v>
      </c>
      <c r="AP179" s="16">
        <v>2.1920054167420915</v>
      </c>
      <c r="AQ179" s="16">
        <v>2.0732020498904262</v>
      </c>
      <c r="AR179" s="16">
        <v>5.4393791179024191</v>
      </c>
      <c r="AS179" s="16">
        <v>2.611272822492964</v>
      </c>
      <c r="AT179" s="16">
        <v>1.5819818712074891</v>
      </c>
      <c r="AU179" s="16">
        <v>-0.51514931644753403</v>
      </c>
      <c r="AV179" s="16">
        <v>1.2870316787420251</v>
      </c>
      <c r="AW179" s="16">
        <v>4.0772380378723909</v>
      </c>
      <c r="AX179" s="16">
        <v>2.9736773502884546</v>
      </c>
      <c r="AY179" s="16">
        <v>2.7380802746692154</v>
      </c>
      <c r="AZ179" s="19">
        <v>3.6209151360640845</v>
      </c>
      <c r="BA179" s="19">
        <v>1.9746358960615709</v>
      </c>
      <c r="BB179" s="19">
        <v>-4.6805088751913217</v>
      </c>
      <c r="BC179" s="19">
        <v>2.8923739181472001</v>
      </c>
      <c r="BD179" s="19">
        <v>4.7642084558079318</v>
      </c>
      <c r="BE179" s="19">
        <v>4.9410118841039434</v>
      </c>
      <c r="BF179" s="19">
        <v>3.4039832934648899</v>
      </c>
      <c r="BG179" s="19">
        <v>3.2787525057989484</v>
      </c>
      <c r="BH179" s="19">
        <v>3.2966281258759693</v>
      </c>
      <c r="BI179" s="19">
        <v>3.0796091727946191</v>
      </c>
      <c r="BJ179" s="19">
        <v>3.157348612048267</v>
      </c>
      <c r="BK179" s="19">
        <v>-4.7120518308017267</v>
      </c>
      <c r="BL179" s="19">
        <v>-4.232565456683119</v>
      </c>
      <c r="BM179" s="19">
        <v>-3.0928280142084219</v>
      </c>
      <c r="BN179" s="19">
        <v>8.7913633529555852</v>
      </c>
      <c r="BO179" s="16">
        <v>2.2911742489098117</v>
      </c>
      <c r="BP179" s="16">
        <v>3.1165945845570207</v>
      </c>
    </row>
    <row r="180" spans="1:68" x14ac:dyDescent="0.3">
      <c r="A180" s="16" t="s">
        <v>170</v>
      </c>
      <c r="B180" s="16" t="s">
        <v>496</v>
      </c>
      <c r="C180" s="16" t="s">
        <v>604</v>
      </c>
      <c r="D180" s="16" t="s">
        <v>605</v>
      </c>
      <c r="F180" s="16">
        <v>-1.0149975725171743</v>
      </c>
      <c r="G180" s="16">
        <v>5.3323368741413475</v>
      </c>
      <c r="H180" s="16">
        <v>2.2366313368661821</v>
      </c>
      <c r="I180" s="16">
        <v>6.8360681750391734</v>
      </c>
      <c r="J180" s="16">
        <v>7.1619820145110822</v>
      </c>
      <c r="K180" s="16">
        <v>1.4088703878388174</v>
      </c>
      <c r="L180" s="16">
        <v>4.0937741009248185</v>
      </c>
      <c r="M180" s="16">
        <v>5.3166716126467719</v>
      </c>
      <c r="N180" s="16">
        <v>5.2041372163107269</v>
      </c>
      <c r="O180" s="16">
        <v>4.833288527583008</v>
      </c>
      <c r="P180" s="16">
        <v>3.0838584246169631</v>
      </c>
      <c r="Q180" s="16">
        <v>2.4922432017600471</v>
      </c>
      <c r="R180" s="16">
        <v>4.5754489970609029</v>
      </c>
      <c r="S180" s="16">
        <v>2.6312653559611903</v>
      </c>
      <c r="T180" s="16">
        <v>-0.88541799588188042</v>
      </c>
      <c r="U180" s="16">
        <v>3.6395444968410544</v>
      </c>
      <c r="V180" s="16">
        <v>1.9126359572889413</v>
      </c>
      <c r="W180" s="16">
        <v>2.0663331397848168</v>
      </c>
      <c r="X180" s="16">
        <v>1.3124052968786799</v>
      </c>
      <c r="Y180" s="16">
        <v>0.54312802706417074</v>
      </c>
      <c r="Z180" s="16">
        <v>-1.4619530323131187</v>
      </c>
      <c r="AA180" s="16">
        <v>-1.6925900898913824</v>
      </c>
      <c r="AB180" s="16">
        <v>1.6836185500993963</v>
      </c>
      <c r="AC180" s="16">
        <v>2.6534039974745838</v>
      </c>
      <c r="AD180" s="16">
        <v>2.1029348128396776</v>
      </c>
      <c r="AE180" s="16">
        <v>2.2181313568390806</v>
      </c>
      <c r="AF180" s="16">
        <v>1.2865151805813611</v>
      </c>
      <c r="AG180" s="16">
        <v>2.7750434330549467</v>
      </c>
      <c r="AH180" s="16">
        <v>3.795569306030373</v>
      </c>
      <c r="AI180" s="16">
        <v>3.4682777247539605</v>
      </c>
      <c r="AJ180" s="16">
        <v>1.6350545971285158</v>
      </c>
      <c r="AK180" s="16">
        <v>0.94001499947317768</v>
      </c>
      <c r="AL180" s="16">
        <v>0.55424962422333124</v>
      </c>
      <c r="AM180" s="16">
        <v>2.3421682698805597</v>
      </c>
      <c r="AN180" s="16">
        <v>2.607973421419544</v>
      </c>
      <c r="AO180" s="16">
        <v>3.0223033050510253</v>
      </c>
      <c r="AP180" s="16">
        <v>3.7933817772403131</v>
      </c>
      <c r="AQ180" s="16">
        <v>4.0205028414745101</v>
      </c>
      <c r="AR180" s="16">
        <v>4.3373744464788615</v>
      </c>
      <c r="AS180" s="16">
        <v>3.4535382560578114</v>
      </c>
      <c r="AT180" s="16">
        <v>1.5574581294935257</v>
      </c>
      <c r="AU180" s="16">
        <v>-0.42036773994065868</v>
      </c>
      <c r="AV180" s="16">
        <v>-0.31578983514646097</v>
      </c>
      <c r="AW180" s="16">
        <v>1.6311880702255905</v>
      </c>
      <c r="AX180" s="16">
        <v>1.8126991927321967</v>
      </c>
      <c r="AY180" s="16">
        <v>3.2949498403695827</v>
      </c>
      <c r="AZ180" s="19">
        <v>3.5473594981308025</v>
      </c>
      <c r="BA180" s="19">
        <v>1.773356663747677</v>
      </c>
      <c r="BB180" s="19">
        <v>-4.1610384954080644</v>
      </c>
      <c r="BC180" s="19">
        <v>0.82425985281990677</v>
      </c>
      <c r="BD180" s="19">
        <v>1.0786282739109367</v>
      </c>
      <c r="BE180" s="19">
        <v>-1.3959193357790838</v>
      </c>
      <c r="BF180" s="19">
        <v>-0.4241786935326104</v>
      </c>
      <c r="BG180" s="19">
        <v>1.0591012542706864</v>
      </c>
      <c r="BH180" s="19">
        <v>1.5082661839127098</v>
      </c>
      <c r="BI180" s="19">
        <v>1.6493155465206826</v>
      </c>
      <c r="BJ180" s="19">
        <v>2.3042847325931461</v>
      </c>
      <c r="BK180" s="19">
        <v>1.7649372641622278</v>
      </c>
      <c r="BL180" s="19">
        <v>1.289889121062231</v>
      </c>
      <c r="BM180" s="19">
        <v>-4.4185555092473408</v>
      </c>
      <c r="BN180" s="19">
        <v>5.6374053292825579</v>
      </c>
      <c r="BO180" s="16">
        <v>3.3390980986057741</v>
      </c>
      <c r="BP180" s="16">
        <v>-0.88353387123291327</v>
      </c>
    </row>
    <row r="181" spans="1:68" x14ac:dyDescent="0.3">
      <c r="A181" s="16" t="s">
        <v>180</v>
      </c>
      <c r="B181" s="16" t="s">
        <v>497</v>
      </c>
      <c r="C181" s="16" t="s">
        <v>604</v>
      </c>
      <c r="D181" s="16" t="s">
        <v>605</v>
      </c>
      <c r="F181" s="16">
        <v>5.4324931547331943</v>
      </c>
      <c r="G181" s="16">
        <v>1.991245518794301</v>
      </c>
      <c r="H181" s="16">
        <v>3.0032593174179425</v>
      </c>
      <c r="I181" s="16">
        <v>4.219393699263378</v>
      </c>
      <c r="J181" s="16">
        <v>4.4703679045971825</v>
      </c>
      <c r="K181" s="16">
        <v>2.9612015581644613</v>
      </c>
      <c r="L181" s="16">
        <v>5.3709156078984677</v>
      </c>
      <c r="M181" s="16">
        <v>1.4038796609212199</v>
      </c>
      <c r="N181" s="16">
        <v>3.656641879359384</v>
      </c>
      <c r="O181" s="16">
        <v>1.2053500067088692</v>
      </c>
      <c r="P181" s="16">
        <v>4.9351216605109727</v>
      </c>
      <c r="Q181" s="16">
        <v>4.5281059099469445</v>
      </c>
      <c r="R181" s="16">
        <v>3.8042725121459853</v>
      </c>
      <c r="S181" s="16">
        <v>3.279496571036006</v>
      </c>
      <c r="T181" s="16">
        <v>4.3744794620921681</v>
      </c>
      <c r="U181" s="16">
        <v>5.330359502955389</v>
      </c>
      <c r="V181" s="16">
        <v>3.721396890164911</v>
      </c>
      <c r="W181" s="16">
        <v>3.4735491429793228</v>
      </c>
      <c r="X181" s="16">
        <v>4.0176542227028165</v>
      </c>
      <c r="Y181" s="16">
        <v>4.2288947976464613</v>
      </c>
      <c r="Z181" s="16">
        <v>1.2493654167707007</v>
      </c>
      <c r="AA181" s="16">
        <v>-0.1321449094513838</v>
      </c>
      <c r="AB181" s="16">
        <v>3.629363188844124</v>
      </c>
      <c r="AC181" s="16">
        <v>5.7535206065057167</v>
      </c>
      <c r="AD181" s="16">
        <v>5.2377754032403914</v>
      </c>
      <c r="AE181" s="16">
        <v>3.6716668954416036</v>
      </c>
      <c r="AF181" s="16">
        <v>1.2783530286886418</v>
      </c>
      <c r="AG181" s="16">
        <v>-0.79023674040884373</v>
      </c>
      <c r="AH181" s="16">
        <v>0.62201854920076016</v>
      </c>
      <c r="AI181" s="16">
        <v>1.5820928592685988</v>
      </c>
      <c r="AJ181" s="16">
        <v>2.594405977875013</v>
      </c>
      <c r="AK181" s="16">
        <v>2.9783695199287763</v>
      </c>
      <c r="AL181" s="16">
        <v>2.234836322426645</v>
      </c>
      <c r="AM181" s="16">
        <v>4.4588013525474111</v>
      </c>
      <c r="AN181" s="16">
        <v>3.6162950095966124</v>
      </c>
      <c r="AO181" s="16">
        <v>4.4969437130412615</v>
      </c>
      <c r="AP181" s="16">
        <v>4.7152773713443992</v>
      </c>
      <c r="AQ181" s="16">
        <v>2.0592029085798202</v>
      </c>
      <c r="AR181" s="16">
        <v>1.3754868020778162</v>
      </c>
      <c r="AS181" s="16">
        <v>2.6505309069619898</v>
      </c>
      <c r="AT181" s="16">
        <v>1.5519275837341979</v>
      </c>
      <c r="AU181" s="16">
        <v>0.83230871657855232</v>
      </c>
      <c r="AV181" s="16">
        <v>0.35456746325780841</v>
      </c>
      <c r="AW181" s="16">
        <v>3.4017461541682366</v>
      </c>
      <c r="AX181" s="16">
        <v>1.988138461021947</v>
      </c>
      <c r="AY181" s="16">
        <v>1.639570085159761</v>
      </c>
      <c r="AZ181" s="19">
        <v>1.8546433169967003</v>
      </c>
      <c r="BA181" s="19">
        <v>-0.76264795832250343</v>
      </c>
      <c r="BB181" s="19">
        <v>-3.1692562848501069</v>
      </c>
      <c r="BC181" s="19">
        <v>-0.46063125613248701</v>
      </c>
      <c r="BD181" s="19">
        <v>-0.19740595301944097</v>
      </c>
      <c r="BE181" s="19">
        <v>1.3776409008746953</v>
      </c>
      <c r="BF181" s="19">
        <v>-0.19788322231009658</v>
      </c>
      <c r="BG181" s="19">
        <v>0.90376265017326318</v>
      </c>
      <c r="BH181" s="19">
        <v>0.84879912421639858</v>
      </c>
      <c r="BI181" s="19">
        <v>0.27740778448787751</v>
      </c>
      <c r="BJ181" s="19">
        <v>1.6395071451149619</v>
      </c>
      <c r="BK181" s="19">
        <v>0.16553015518934444</v>
      </c>
      <c r="BL181" s="19">
        <v>0.44342927972070356</v>
      </c>
      <c r="BM181" s="19">
        <v>-1.8576961085907584</v>
      </c>
      <c r="BN181" s="19">
        <v>3.3544950740956239</v>
      </c>
      <c r="BO181" s="16">
        <v>2.0843819014396274</v>
      </c>
      <c r="BP181" s="16">
        <v>-0.62343200323327608</v>
      </c>
    </row>
    <row r="182" spans="1:68" x14ac:dyDescent="0.3">
      <c r="A182" s="16" t="s">
        <v>169</v>
      </c>
      <c r="B182" s="16" t="s">
        <v>498</v>
      </c>
      <c r="C182" s="16" t="s">
        <v>604</v>
      </c>
      <c r="D182" s="16" t="s">
        <v>605</v>
      </c>
      <c r="F182" s="16">
        <v>-3.0599110441571042E-2</v>
      </c>
      <c r="G182" s="16">
        <v>-7.1561642078066257E-2</v>
      </c>
      <c r="H182" s="16">
        <v>-0.10826705498477907</v>
      </c>
      <c r="I182" s="16">
        <v>5.3813537295455376</v>
      </c>
      <c r="J182" s="16">
        <v>-3.2272615621496925</v>
      </c>
      <c r="K182" s="16">
        <v>4.8266293772107929</v>
      </c>
      <c r="L182" s="16">
        <v>-3.6330589421250323</v>
      </c>
      <c r="M182" s="16">
        <v>-1.4677457712607946</v>
      </c>
      <c r="N182" s="16">
        <v>2.2304588044330274</v>
      </c>
      <c r="O182" s="16">
        <v>0.36541132538916088</v>
      </c>
      <c r="P182" s="16">
        <v>-3.3113704755480455</v>
      </c>
      <c r="Q182" s="16">
        <v>0.92662354271118375</v>
      </c>
      <c r="R182" s="16">
        <v>-2.594050103928609</v>
      </c>
      <c r="S182" s="16">
        <v>4.0679217977389612</v>
      </c>
      <c r="T182" s="16">
        <v>-0.72368403607767107</v>
      </c>
      <c r="U182" s="16">
        <v>2.1595714778574973</v>
      </c>
      <c r="V182" s="16">
        <v>0.75355564126343211</v>
      </c>
      <c r="W182" s="16">
        <v>2.0331720943260052</v>
      </c>
      <c r="X182" s="16">
        <v>1.9048819348981283E-2</v>
      </c>
      <c r="Y182" s="16">
        <v>-4.585257073866245</v>
      </c>
      <c r="Z182" s="16">
        <v>5.8362365435552448</v>
      </c>
      <c r="AA182" s="16">
        <v>1.3838903473572373</v>
      </c>
      <c r="AB182" s="16">
        <v>-5.2582157284544166</v>
      </c>
      <c r="AC182" s="16">
        <v>7.1156644408698213</v>
      </c>
      <c r="AD182" s="16">
        <v>3.7306350553568848</v>
      </c>
      <c r="AE182" s="16">
        <v>2.2550473562785669</v>
      </c>
      <c r="AF182" s="16">
        <v>-0.4645599625147554</v>
      </c>
      <c r="AG182" s="16">
        <v>5.4270909938729943</v>
      </c>
      <c r="AH182" s="16">
        <v>2.0172828184969802</v>
      </c>
      <c r="AI182" s="16">
        <v>2.1202948615048456</v>
      </c>
      <c r="AJ182" s="16">
        <v>3.6509324013169504</v>
      </c>
      <c r="AK182" s="16">
        <v>1.233194864381332</v>
      </c>
      <c r="AL182" s="16">
        <v>1.0898159604315651</v>
      </c>
      <c r="AM182" s="16">
        <v>5.5973788742193875</v>
      </c>
      <c r="AN182" s="16">
        <v>1.0989203264739018</v>
      </c>
      <c r="AO182" s="16">
        <v>3.1166923100879131</v>
      </c>
      <c r="AP182" s="16">
        <v>2.9455633972343946</v>
      </c>
      <c r="AQ182" s="16">
        <v>1.0436592172983694</v>
      </c>
      <c r="AR182" s="16">
        <v>2.5104327404112752</v>
      </c>
      <c r="AS182" s="16">
        <v>4.3996528008936764</v>
      </c>
      <c r="AT182" s="16">
        <v>3.134541934708281</v>
      </c>
      <c r="AU182" s="16">
        <v>-1.36634119401036</v>
      </c>
      <c r="AV182" s="16">
        <v>2.5255472926192652</v>
      </c>
      <c r="AW182" s="16">
        <v>3.3901433304317976</v>
      </c>
      <c r="AX182" s="16">
        <v>2.3723698401309861</v>
      </c>
      <c r="AY182" s="16">
        <v>2.4530804613315667</v>
      </c>
      <c r="AZ182" s="19">
        <v>2.6579166394430302</v>
      </c>
      <c r="BA182" s="19">
        <v>5.441961368931203</v>
      </c>
      <c r="BB182" s="19">
        <v>3.970721480914392</v>
      </c>
      <c r="BC182" s="19">
        <v>4.2968932718255246</v>
      </c>
      <c r="BD182" s="19">
        <v>3.0241795514612875</v>
      </c>
      <c r="BE182" s="19">
        <v>4.4239071682268332</v>
      </c>
      <c r="BF182" s="19">
        <v>3.3328561006742348</v>
      </c>
      <c r="BG182" s="19">
        <v>5.7005332396426809</v>
      </c>
      <c r="BH182" s="19">
        <v>3.4178843025984662</v>
      </c>
      <c r="BI182" s="19">
        <v>-0.4711820037351373</v>
      </c>
      <c r="BJ182" s="19">
        <v>7.7312690772082249</v>
      </c>
      <c r="BK182" s="19">
        <v>6.4018632829584163</v>
      </c>
      <c r="BL182" s="19">
        <v>5.4519165438377826</v>
      </c>
      <c r="BM182" s="19">
        <v>-4.0865685918845145</v>
      </c>
      <c r="BN182" s="19">
        <v>2.4423797323466658</v>
      </c>
      <c r="BO182" s="16">
        <v>3.8588120835306512</v>
      </c>
      <c r="BP182" s="16">
        <v>0.80088169501057394</v>
      </c>
    </row>
    <row r="183" spans="1:68" x14ac:dyDescent="0.3">
      <c r="A183" s="16" t="s">
        <v>168</v>
      </c>
      <c r="B183" s="16" t="s">
        <v>714</v>
      </c>
      <c r="C183" s="16" t="s">
        <v>604</v>
      </c>
      <c r="D183" s="16" t="s">
        <v>605</v>
      </c>
      <c r="P183" s="16">
        <v>1.1525457236645593</v>
      </c>
      <c r="Q183" s="16">
        <v>1.3286749355060579</v>
      </c>
      <c r="R183" s="16">
        <v>1.3232622038516126</v>
      </c>
      <c r="S183" s="16">
        <v>1.3612918696229457</v>
      </c>
      <c r="T183" s="16">
        <v>1.4261643812784683</v>
      </c>
      <c r="U183" s="16">
        <v>-4.2400442301563572</v>
      </c>
      <c r="V183" s="16">
        <v>-4.5799158592149212</v>
      </c>
      <c r="W183" s="16">
        <v>-4.1054791092370806</v>
      </c>
      <c r="X183" s="16">
        <v>-3.3932362340467535</v>
      </c>
      <c r="Y183" s="16">
        <v>-3.4404510234992642</v>
      </c>
      <c r="Z183" s="16">
        <v>-3.5243615746963002</v>
      </c>
      <c r="AA183" s="16">
        <v>-2.5760691086200325</v>
      </c>
      <c r="AB183" s="16">
        <v>-4.8021047290734913</v>
      </c>
      <c r="AC183" s="16">
        <v>-6.3213247797015413</v>
      </c>
      <c r="AD183" s="16">
        <v>-5.0145640414014991</v>
      </c>
      <c r="AE183" s="16">
        <v>-5.2557308751966332</v>
      </c>
      <c r="AF183" s="16">
        <v>-5.390844381427911</v>
      </c>
      <c r="AG183" s="16">
        <v>-5.6497325705662149</v>
      </c>
      <c r="AH183" s="16">
        <v>-5.7825806125117936</v>
      </c>
      <c r="AI183" s="16">
        <v>-5.7733535495847548</v>
      </c>
      <c r="AJ183" s="16">
        <v>-21.480717392346378</v>
      </c>
      <c r="AK183" s="16">
        <v>-18.136993361275785</v>
      </c>
      <c r="AL183" s="16">
        <v>-16.913066067155697</v>
      </c>
      <c r="AM183" s="16">
        <v>-4.3152676675004216</v>
      </c>
      <c r="AN183" s="16">
        <v>-8.298320596126274</v>
      </c>
      <c r="AO183" s="16">
        <v>-12.106573893434458</v>
      </c>
      <c r="AP183" s="16">
        <v>-9.1117982030249181</v>
      </c>
      <c r="AQ183" s="16">
        <v>-11.907044897929055</v>
      </c>
      <c r="AR183" s="16">
        <v>-6.6221815369272576</v>
      </c>
      <c r="AS183" s="16">
        <v>-6.8023370328436812</v>
      </c>
      <c r="AT183" s="16">
        <v>-6.635056806655129</v>
      </c>
      <c r="AU183" s="16">
        <v>-9.8669850714450291</v>
      </c>
      <c r="AV183" s="16">
        <v>0.35253879888725237</v>
      </c>
      <c r="AW183" s="16">
        <v>-4.2315127043964793</v>
      </c>
      <c r="AX183" s="16">
        <v>-7.6912990433623918</v>
      </c>
      <c r="AY183" s="16">
        <v>-8.2973349482655578</v>
      </c>
      <c r="AZ183" s="19">
        <v>-4.4004158729369607</v>
      </c>
      <c r="BA183" s="19">
        <v>76.021220917081052</v>
      </c>
      <c r="BB183" s="19">
        <v>-5.4632615611801469</v>
      </c>
      <c r="BC183" s="19">
        <v>-7.8117371350444387E-2</v>
      </c>
      <c r="BD183" s="19">
        <v>14.2373763664758</v>
      </c>
      <c r="BE183" s="19">
        <v>22.441912421805327</v>
      </c>
      <c r="BF183" s="19">
        <v>1.6895493956529606</v>
      </c>
      <c r="BG183" s="19">
        <v>13.236736836389767</v>
      </c>
      <c r="BH183" s="19">
        <v>1.1534831829863776</v>
      </c>
      <c r="BI183" s="19">
        <v>1.8378078398590105</v>
      </c>
      <c r="BJ183" s="19">
        <v>-8.3132916466247337</v>
      </c>
      <c r="BK183" s="19">
        <v>-2.859778597786061</v>
      </c>
      <c r="BL183" s="19">
        <v>6.6859981795687702</v>
      </c>
      <c r="BM183" s="19">
        <v>6.5408998052390643E-2</v>
      </c>
      <c r="BN183" s="19">
        <v>6.0638730940036396</v>
      </c>
      <c r="BO183" s="16">
        <v>0.89218173929378963</v>
      </c>
      <c r="BP183" s="16">
        <v>-0.17831558994019758</v>
      </c>
    </row>
    <row r="184" spans="1:68" x14ac:dyDescent="0.3">
      <c r="A184" s="16" t="s">
        <v>172</v>
      </c>
      <c r="B184" s="16" t="s">
        <v>499</v>
      </c>
      <c r="C184" s="16" t="s">
        <v>604</v>
      </c>
      <c r="D184" s="16" t="s">
        <v>605</v>
      </c>
      <c r="F184" s="16">
        <v>1.2704293306045429</v>
      </c>
      <c r="G184" s="16">
        <v>0.4934687727138396</v>
      </c>
      <c r="H184" s="16">
        <v>4.0151099155779804</v>
      </c>
      <c r="I184" s="16">
        <v>3.903572370452423</v>
      </c>
      <c r="J184" s="16">
        <v>4.3757691221376689</v>
      </c>
      <c r="K184" s="16">
        <v>4.3624418737595079</v>
      </c>
      <c r="L184" s="16">
        <v>-6.2776108766215231</v>
      </c>
      <c r="M184" s="16">
        <v>-0.92175258426591711</v>
      </c>
      <c r="N184" s="16">
        <v>9.2130618310710872</v>
      </c>
      <c r="O184" s="16">
        <v>-2.7271805431074938</v>
      </c>
      <c r="P184" s="16">
        <v>2.246682695537757</v>
      </c>
      <c r="Q184" s="16">
        <v>3.2765640329105281</v>
      </c>
      <c r="R184" s="16">
        <v>5.7107451019409439</v>
      </c>
      <c r="S184" s="16">
        <v>3.8060570622949541</v>
      </c>
      <c r="T184" s="16">
        <v>-3.6249521309716641</v>
      </c>
      <c r="U184" s="16">
        <v>3.9743521794292747E-2</v>
      </c>
      <c r="V184" s="16">
        <v>-4.2349785691918242</v>
      </c>
      <c r="W184" s="16">
        <v>0.28640122856491246</v>
      </c>
      <c r="X184" s="16">
        <v>2.5926378778344201</v>
      </c>
      <c r="Y184" s="16">
        <v>1.15727442011287</v>
      </c>
      <c r="Z184" s="16">
        <v>4.2534636710755791</v>
      </c>
      <c r="AA184" s="16">
        <v>-6.8124655359625308E-2</v>
      </c>
      <c r="AB184" s="16">
        <v>2.0938744084229057</v>
      </c>
      <c r="AC184" s="16">
        <v>3.8906508798947073</v>
      </c>
      <c r="AD184" s="16">
        <v>0.98934620199220547</v>
      </c>
      <c r="AE184" s="16">
        <v>2.7307771672435877</v>
      </c>
      <c r="AF184" s="16">
        <v>0.10516400770286793</v>
      </c>
      <c r="AG184" s="16">
        <v>-0.62767522244271845</v>
      </c>
      <c r="AH184" s="16">
        <v>-0.31827294407649731</v>
      </c>
      <c r="AI184" s="16">
        <v>-0.76725040221302265</v>
      </c>
      <c r="AJ184" s="16">
        <v>-5.7686174833242632</v>
      </c>
      <c r="AK184" s="16">
        <v>4.610280202412298E-2</v>
      </c>
      <c r="AL184" s="16">
        <v>5.1857951343735635</v>
      </c>
      <c r="AM184" s="16">
        <v>3.7308717872365378</v>
      </c>
      <c r="AN184" s="16">
        <v>3.2002296893089976</v>
      </c>
      <c r="AO184" s="16">
        <v>1.9839708449647588</v>
      </c>
      <c r="AP184" s="16">
        <v>0.74825972071765534</v>
      </c>
      <c r="AQ184" s="16">
        <v>-3.1869245598826978E-2</v>
      </c>
      <c r="AR184" s="16">
        <v>4.823679152197542</v>
      </c>
      <c r="AS184" s="16">
        <v>2.2679318143186862</v>
      </c>
      <c r="AT184" s="16">
        <v>2.8038734155382485</v>
      </c>
      <c r="AU184" s="16">
        <v>2.9104896551884707</v>
      </c>
      <c r="AV184" s="16">
        <v>2.6823423562523772</v>
      </c>
      <c r="AW184" s="16">
        <v>2.552719084443126</v>
      </c>
      <c r="AX184" s="16">
        <v>2.1931770001774424</v>
      </c>
      <c r="AY184" s="16">
        <v>1.5343091343382724</v>
      </c>
      <c r="AZ184" s="19">
        <v>2.0935308317868078</v>
      </c>
      <c r="BA184" s="19">
        <v>-2.0741697740898104</v>
      </c>
      <c r="BB184" s="19">
        <v>-1.0461829890031424</v>
      </c>
      <c r="BC184" s="19">
        <v>0.32308077711553551</v>
      </c>
      <c r="BD184" s="19">
        <v>1.4647371297103575</v>
      </c>
      <c r="BE184" s="19">
        <v>1.7302251875350265</v>
      </c>
      <c r="BF184" s="19">
        <v>1.9736493209605186</v>
      </c>
      <c r="BG184" s="19">
        <v>2.0451815064295005</v>
      </c>
      <c r="BH184" s="19">
        <v>1.643331576421005</v>
      </c>
      <c r="BI184" s="19">
        <v>1.4440649983108642</v>
      </c>
      <c r="BJ184" s="19">
        <v>1.2599986401492487</v>
      </c>
      <c r="BK184" s="19">
        <v>1.6620778896059107</v>
      </c>
      <c r="BL184" s="19">
        <v>0.74611018814294994</v>
      </c>
      <c r="BM184" s="19">
        <v>-2.5963015664508475</v>
      </c>
      <c r="BN184" s="19">
        <v>4.1146694049731138</v>
      </c>
      <c r="BO184" s="16">
        <v>2.6563458979276504</v>
      </c>
      <c r="BP184" s="16">
        <v>-1.4081080942487887</v>
      </c>
    </row>
    <row r="185" spans="1:68" hidden="1" x14ac:dyDescent="0.3">
      <c r="A185" s="16" t="s">
        <v>715</v>
      </c>
      <c r="B185" s="16" t="s">
        <v>716</v>
      </c>
      <c r="C185" s="16" t="s">
        <v>604</v>
      </c>
      <c r="D185" s="16" t="s">
        <v>605</v>
      </c>
      <c r="F185" s="16">
        <v>2.9804548866980412</v>
      </c>
      <c r="G185" s="16">
        <v>4.0947879040960089</v>
      </c>
      <c r="H185" s="16">
        <v>3.6645846478213571</v>
      </c>
      <c r="I185" s="16">
        <v>5.0225922454119001</v>
      </c>
      <c r="J185" s="16">
        <v>4.0954555940726038</v>
      </c>
      <c r="K185" s="16">
        <v>4.2547980731689989</v>
      </c>
      <c r="L185" s="16">
        <v>2.5804191746453284</v>
      </c>
      <c r="M185" s="16">
        <v>4.7170782347006934</v>
      </c>
      <c r="N185" s="16">
        <v>4.3168342722389639</v>
      </c>
      <c r="O185" s="16">
        <v>1.6181933781347624</v>
      </c>
      <c r="P185" s="16">
        <v>2.4215201078610278</v>
      </c>
      <c r="Q185" s="16">
        <v>4.1686692356124695</v>
      </c>
      <c r="R185" s="16">
        <v>4.8656429638695755</v>
      </c>
      <c r="S185" s="16">
        <v>-2.4754573955192427E-3</v>
      </c>
      <c r="T185" s="16">
        <v>-0.91839168902033919</v>
      </c>
      <c r="U185" s="16">
        <v>3.7185762611523927</v>
      </c>
      <c r="V185" s="16">
        <v>2.7535870138096499</v>
      </c>
      <c r="W185" s="16">
        <v>3.3853195787596775</v>
      </c>
      <c r="X185" s="16">
        <v>2.9070703878310411</v>
      </c>
      <c r="Y185" s="16">
        <v>0.30295661975692667</v>
      </c>
      <c r="Z185" s="16">
        <v>1.2279822000331677</v>
      </c>
      <c r="AA185" s="16">
        <v>-0.68810963352355259</v>
      </c>
      <c r="AB185" s="16">
        <v>2.0341239170484045</v>
      </c>
      <c r="AC185" s="16">
        <v>3.9132231817977896</v>
      </c>
      <c r="AD185" s="16">
        <v>2.9085339993293928</v>
      </c>
      <c r="AE185" s="16">
        <v>2.2225037959157703</v>
      </c>
      <c r="AF185" s="16">
        <v>2.7363171042943009</v>
      </c>
      <c r="AG185" s="16">
        <v>3.7091000075174918</v>
      </c>
      <c r="AH185" s="16">
        <v>2.9262867960515848</v>
      </c>
      <c r="AI185" s="16">
        <v>2.0369161599058003</v>
      </c>
      <c r="AJ185" s="16">
        <v>0.15052643257564569</v>
      </c>
      <c r="AK185" s="16">
        <v>1.123953154180839</v>
      </c>
      <c r="AL185" s="16">
        <v>0.48656775237665784</v>
      </c>
      <c r="AM185" s="16">
        <v>2.3526059491011182</v>
      </c>
      <c r="AN185" s="16">
        <v>1.8405828035676421</v>
      </c>
      <c r="AO185" s="16">
        <v>2.2941147952130052</v>
      </c>
      <c r="AP185" s="16">
        <v>2.8265976521669529</v>
      </c>
      <c r="AQ185" s="16">
        <v>2.2663167001298206</v>
      </c>
      <c r="AR185" s="16">
        <v>2.6586358717306808</v>
      </c>
      <c r="AS185" s="16">
        <v>3.3423215269446729</v>
      </c>
      <c r="AT185" s="16">
        <v>0.65610807052381404</v>
      </c>
      <c r="AU185" s="16">
        <v>0.77723012398895719</v>
      </c>
      <c r="AV185" s="16">
        <v>1.2825259697290647</v>
      </c>
      <c r="AW185" s="16">
        <v>2.5079314544812235</v>
      </c>
      <c r="AX185" s="16">
        <v>2.0809482214390016</v>
      </c>
      <c r="AY185" s="16">
        <v>2.2705590557756636</v>
      </c>
      <c r="AZ185" s="19">
        <v>1.8444626042751509</v>
      </c>
      <c r="BA185" s="19">
        <v>-0.37816572411691141</v>
      </c>
      <c r="BB185" s="19">
        <v>-4.0687228227538839</v>
      </c>
      <c r="BC185" s="19">
        <v>2.2947892240544405</v>
      </c>
      <c r="BD185" s="19">
        <v>1.3570488157475467</v>
      </c>
      <c r="BE185" s="19">
        <v>0.77809686621637297</v>
      </c>
      <c r="BF185" s="19">
        <v>0.98028193572955047</v>
      </c>
      <c r="BG185" s="19">
        <v>1.5250194616215822</v>
      </c>
      <c r="BH185" s="19">
        <v>1.866803987427673</v>
      </c>
      <c r="BI185" s="19">
        <v>1.2065824491091206</v>
      </c>
      <c r="BJ185" s="19">
        <v>1.9710646594917733</v>
      </c>
      <c r="BK185" s="19">
        <v>1.7412779231219986</v>
      </c>
      <c r="BL185" s="19">
        <v>1.2621759745492085</v>
      </c>
      <c r="BM185" s="19">
        <v>-4.4772451823372847</v>
      </c>
      <c r="BN185" s="19">
        <v>5.5243120984066962</v>
      </c>
      <c r="BO185" s="16">
        <v>2.3684712147927769</v>
      </c>
      <c r="BP185" s="16">
        <v>1.1130744219165933</v>
      </c>
    </row>
    <row r="186" spans="1:68" x14ac:dyDescent="0.3">
      <c r="A186" s="16" t="s">
        <v>181</v>
      </c>
      <c r="B186" s="16" t="s">
        <v>500</v>
      </c>
      <c r="C186" s="16" t="s">
        <v>604</v>
      </c>
      <c r="D186" s="16" t="s">
        <v>605</v>
      </c>
      <c r="K186" s="16">
        <v>2.8269048536288039</v>
      </c>
      <c r="L186" s="16">
        <v>62.343394368022047</v>
      </c>
      <c r="M186" s="16">
        <v>77.51110225079259</v>
      </c>
      <c r="N186" s="16">
        <v>22.548706944949942</v>
      </c>
      <c r="O186" s="16">
        <v>10.991225148022195</v>
      </c>
      <c r="P186" s="16">
        <v>-1.7545898054163729</v>
      </c>
      <c r="Q186" s="16">
        <v>6.840587651647084</v>
      </c>
      <c r="R186" s="16">
        <v>-16.670804719760497</v>
      </c>
      <c r="S186" s="16">
        <v>7.6457922376576448</v>
      </c>
      <c r="T186" s="16">
        <v>19.293310305505656</v>
      </c>
      <c r="U186" s="16">
        <v>15.144581078254475</v>
      </c>
      <c r="V186" s="16">
        <v>-3.895828440202564</v>
      </c>
      <c r="W186" s="16">
        <v>-8.6131535711880929</v>
      </c>
      <c r="X186" s="16">
        <v>-1.1483902642835346</v>
      </c>
      <c r="Y186" s="16">
        <v>0.39623211899568389</v>
      </c>
      <c r="Z186" s="16">
        <v>10.718015285225889</v>
      </c>
      <c r="AA186" s="16">
        <v>5.4265917227457265</v>
      </c>
      <c r="AB186" s="16">
        <v>10.24316921484585</v>
      </c>
      <c r="AC186" s="16">
        <v>10.416365442756728</v>
      </c>
      <c r="AD186" s="16">
        <v>7.2690667855951574</v>
      </c>
      <c r="AE186" s="16">
        <v>-4.3688500920655002</v>
      </c>
      <c r="AF186" s="16">
        <v>-9.1023426096035678</v>
      </c>
      <c r="AG186" s="16">
        <v>8.4233693928652542E-2</v>
      </c>
      <c r="AH186" s="16">
        <v>5.8616844072378456</v>
      </c>
      <c r="AI186" s="16">
        <v>-5.1493516219147608</v>
      </c>
      <c r="AJ186" s="16">
        <v>0.99964771980820899</v>
      </c>
      <c r="AK186" s="16">
        <v>3.4967709324245959</v>
      </c>
      <c r="AL186" s="16">
        <v>1.6084753908954212</v>
      </c>
      <c r="AM186" s="16">
        <v>0.86676390310680063</v>
      </c>
      <c r="AN186" s="16">
        <v>3.112245608168223</v>
      </c>
      <c r="AO186" s="16">
        <v>1.3073679932711144</v>
      </c>
      <c r="AP186" s="16">
        <v>4.3511139323707084</v>
      </c>
      <c r="AQ186" s="16">
        <v>1.10526505000594</v>
      </c>
      <c r="AR186" s="16">
        <v>-1.0946902186214373</v>
      </c>
      <c r="AS186" s="16">
        <v>5.1123736552527248</v>
      </c>
      <c r="AT186" s="16">
        <v>3.1452272322378008</v>
      </c>
      <c r="AU186" s="16">
        <v>-2.2943637415011864</v>
      </c>
      <c r="AV186" s="16">
        <v>-3.7870056901625304</v>
      </c>
      <c r="AW186" s="16">
        <v>-0.23629280242781192</v>
      </c>
      <c r="AX186" s="16">
        <v>0.60205937327017978</v>
      </c>
      <c r="AY186" s="16">
        <v>3.5013123317646517</v>
      </c>
      <c r="AZ186" s="19">
        <v>2.6467589204472972</v>
      </c>
      <c r="BA186" s="19">
        <v>6.3500437020038873</v>
      </c>
      <c r="BB186" s="19">
        <v>4.2828817190317068</v>
      </c>
      <c r="BC186" s="19">
        <v>-4.7933981391620932</v>
      </c>
      <c r="BD186" s="19">
        <v>-7.5318250128568138</v>
      </c>
      <c r="BE186" s="19">
        <v>-1.2580737503757291</v>
      </c>
      <c r="BF186" s="19">
        <v>-2.5223857466116613</v>
      </c>
      <c r="BG186" s="19">
        <v>-3.5733680281490763</v>
      </c>
      <c r="BH186" s="19">
        <v>0.44463851723513415</v>
      </c>
      <c r="BI186" s="19">
        <v>0.11916108235688228</v>
      </c>
      <c r="BJ186" s="19">
        <v>-2.8713238120475495</v>
      </c>
      <c r="BK186" s="19">
        <v>-1.8356672740267754E-2</v>
      </c>
      <c r="BL186" s="19">
        <v>-1.1633166831766175</v>
      </c>
      <c r="BM186" s="19">
        <v>-2.1171685095458059</v>
      </c>
      <c r="BN186" s="19">
        <v>3.6151646165057798</v>
      </c>
      <c r="BO186" s="16">
        <v>3.0387436441855016</v>
      </c>
      <c r="BP186" s="16">
        <v>-0.18504339865094721</v>
      </c>
    </row>
    <row r="187" spans="1:68" hidden="1" x14ac:dyDescent="0.3">
      <c r="A187" s="16" t="s">
        <v>717</v>
      </c>
      <c r="B187" s="16" t="s">
        <v>718</v>
      </c>
      <c r="C187" s="16" t="s">
        <v>604</v>
      </c>
      <c r="D187" s="16" t="s">
        <v>605</v>
      </c>
      <c r="U187" s="16">
        <v>16.097729675231662</v>
      </c>
      <c r="V187" s="16">
        <v>8.8393394769887408</v>
      </c>
      <c r="W187" s="16">
        <v>4.201085994322824</v>
      </c>
      <c r="X187" s="16">
        <v>8.5621989242046936</v>
      </c>
      <c r="Y187" s="16">
        <v>-1.7242225376852787</v>
      </c>
      <c r="Z187" s="16">
        <v>-6.3208487639515738</v>
      </c>
      <c r="AA187" s="16">
        <v>-0.3937291931350444</v>
      </c>
      <c r="AB187" s="16">
        <v>0.31860475216551265</v>
      </c>
      <c r="AC187" s="16">
        <v>2.5007243314711047</v>
      </c>
      <c r="AD187" s="16">
        <v>-0.48356273569648067</v>
      </c>
      <c r="AE187" s="16">
        <v>0.99927856864950115</v>
      </c>
      <c r="AF187" s="16">
        <v>4.9526668678817316</v>
      </c>
      <c r="AG187" s="16">
        <v>2.5330842315453879</v>
      </c>
      <c r="AH187" s="16">
        <v>0.95198402687191219</v>
      </c>
      <c r="AI187" s="16">
        <v>2.7624941905502141</v>
      </c>
      <c r="AJ187" s="16">
        <v>-1.0085412511452745</v>
      </c>
      <c r="AK187" s="16">
        <v>-1.3091289982614427</v>
      </c>
      <c r="AL187" s="16">
        <v>1.9759004459547072</v>
      </c>
      <c r="AM187" s="16">
        <v>1.6667057894194386</v>
      </c>
      <c r="AN187" s="16">
        <v>3.8767138407098258</v>
      </c>
      <c r="AO187" s="16">
        <v>2.5736417513594176</v>
      </c>
      <c r="AP187" s="16">
        <v>3.3437222922735543</v>
      </c>
      <c r="AQ187" s="16">
        <v>3.2305358180585273</v>
      </c>
      <c r="AR187" s="16">
        <v>1.1727867570628945</v>
      </c>
      <c r="AS187" s="16">
        <v>5.4540292776191279</v>
      </c>
      <c r="AT187" s="16">
        <v>1.8407322548771106</v>
      </c>
      <c r="AU187" s="16">
        <v>2.0460033220399083</v>
      </c>
      <c r="AV187" s="16">
        <v>3.1355402960059138</v>
      </c>
      <c r="AW187" s="16">
        <v>3.3872357856805593</v>
      </c>
      <c r="AX187" s="16">
        <v>3.2543198077295727</v>
      </c>
      <c r="AY187" s="16">
        <v>4.6596043427315834</v>
      </c>
      <c r="AZ187" s="19">
        <v>4.5920220728628607</v>
      </c>
      <c r="BA187" s="19">
        <v>0.38557926232721229</v>
      </c>
      <c r="BB187" s="19">
        <v>-5.0923905975674728</v>
      </c>
      <c r="BC187" s="19">
        <v>1.431450843438185</v>
      </c>
      <c r="BD187" s="19">
        <v>2.0788033000457062</v>
      </c>
      <c r="BE187" s="19">
        <v>0.58403078951674559</v>
      </c>
      <c r="BF187" s="19">
        <v>0.45600834230408793</v>
      </c>
      <c r="BG187" s="19">
        <v>1.0311710201965383</v>
      </c>
      <c r="BH187" s="19">
        <v>1.9235781541055132</v>
      </c>
      <c r="BI187" s="19">
        <v>2.5138935491880545</v>
      </c>
      <c r="BJ187" s="19">
        <v>3.3496682612970829</v>
      </c>
      <c r="BK187" s="19">
        <v>2.6794934901615903</v>
      </c>
      <c r="BL187" s="19">
        <v>2.9868637662213189</v>
      </c>
      <c r="BM187" s="19">
        <v>-6.4114690123019642</v>
      </c>
      <c r="BN187" s="19">
        <v>5.892710064445879</v>
      </c>
      <c r="BO187" s="16">
        <v>3.4159433779520327</v>
      </c>
      <c r="BP187" s="16">
        <v>1.4334395507954412</v>
      </c>
    </row>
    <row r="188" spans="1:68" x14ac:dyDescent="0.3">
      <c r="A188" s="16" t="s">
        <v>182</v>
      </c>
      <c r="B188" s="16" t="s">
        <v>501</v>
      </c>
      <c r="C188" s="16" t="s">
        <v>604</v>
      </c>
      <c r="D188" s="16" t="s">
        <v>605</v>
      </c>
      <c r="F188" s="16">
        <v>3.4949377948214675</v>
      </c>
      <c r="G188" s="16">
        <v>2.0944969446706523</v>
      </c>
      <c r="H188" s="16">
        <v>6.1256749269975757</v>
      </c>
      <c r="I188" s="16">
        <v>4.9576976124710228</v>
      </c>
      <c r="J188" s="16">
        <v>7.6738053952816614</v>
      </c>
      <c r="K188" s="16">
        <v>3.0899159123815849</v>
      </c>
      <c r="L188" s="16">
        <v>2.6408946014585695</v>
      </c>
      <c r="M188" s="16">
        <v>4.3769351755631192</v>
      </c>
      <c r="N188" s="16">
        <v>2.6687201457185239</v>
      </c>
      <c r="O188" s="16">
        <v>8.3221022216527274</v>
      </c>
      <c r="P188" s="16">
        <v>-2.1521568110625964</v>
      </c>
      <c r="Q188" s="16">
        <v>-1.8166693310272137</v>
      </c>
      <c r="R188" s="16">
        <v>4.1063327120002242</v>
      </c>
      <c r="S188" s="16">
        <v>0.62327212813220001</v>
      </c>
      <c r="T188" s="16">
        <v>1.1860003452613057</v>
      </c>
      <c r="U188" s="16">
        <v>2.0060013027546404</v>
      </c>
      <c r="V188" s="16">
        <v>0.7623388829011617</v>
      </c>
      <c r="W188" s="16">
        <v>4.6704878136130503</v>
      </c>
      <c r="X188" s="16">
        <v>0.24919830302299317</v>
      </c>
      <c r="Y188" s="16">
        <v>5.818348808322682</v>
      </c>
      <c r="Z188" s="16">
        <v>3.2513223797929243</v>
      </c>
      <c r="AA188" s="16">
        <v>2.2215613851840743</v>
      </c>
      <c r="AB188" s="16">
        <v>2.9656812869716589</v>
      </c>
      <c r="AC188" s="16">
        <v>1.7977059469044008</v>
      </c>
      <c r="AD188" s="16">
        <v>4.1383156684997431</v>
      </c>
      <c r="AE188" s="16">
        <v>1.8349707081334259</v>
      </c>
      <c r="AF188" s="16">
        <v>2.7430717204307626</v>
      </c>
      <c r="AG188" s="16">
        <v>3.9203262290198069</v>
      </c>
      <c r="AH188" s="16">
        <v>1.4797183965051204</v>
      </c>
      <c r="AI188" s="16">
        <v>1.0702664911376161</v>
      </c>
      <c r="AJ188" s="16">
        <v>1.7216441781457092</v>
      </c>
      <c r="AK188" s="16">
        <v>4.9144730742727916</v>
      </c>
      <c r="AL188" s="16">
        <v>-0.81275716465282244</v>
      </c>
      <c r="AM188" s="16">
        <v>0.76882947307397842</v>
      </c>
      <c r="AN188" s="16">
        <v>1.9092865681101756</v>
      </c>
      <c r="AO188" s="16">
        <v>1.7009625191294617</v>
      </c>
      <c r="AP188" s="16">
        <v>-1.9127909536602914</v>
      </c>
      <c r="AQ188" s="16">
        <v>-0.37228523099540212</v>
      </c>
      <c r="AR188" s="16">
        <v>0.73901370095930474</v>
      </c>
      <c r="AS188" s="16">
        <v>1.102322126550547</v>
      </c>
      <c r="AT188" s="16">
        <v>0.49541184801360316</v>
      </c>
      <c r="AU188" s="16">
        <v>5.2876798088206556E-2</v>
      </c>
      <c r="AV188" s="16">
        <v>3.1187453790967936</v>
      </c>
      <c r="AW188" s="16">
        <v>5.4478022130413137</v>
      </c>
      <c r="AX188" s="16">
        <v>4.9858297048834999</v>
      </c>
      <c r="AY188" s="16">
        <v>3.8493189163629324</v>
      </c>
      <c r="AZ188" s="19">
        <v>2.2318833995236105</v>
      </c>
      <c r="BA188" s="19">
        <v>-8.058420558960222E-2</v>
      </c>
      <c r="BB188" s="19">
        <v>1.1914979070257345</v>
      </c>
      <c r="BC188" s="19">
        <v>-0.75912991363706794</v>
      </c>
      <c r="BD188" s="19">
        <v>0.53542452908233429</v>
      </c>
      <c r="BE188" s="19">
        <v>1.1917268522041695</v>
      </c>
      <c r="BF188" s="19">
        <v>2.7751162608152384</v>
      </c>
      <c r="BG188" s="19">
        <v>2.6595265075545171</v>
      </c>
      <c r="BH188" s="19">
        <v>2.8754245949307489</v>
      </c>
      <c r="BI188" s="19">
        <v>5.2983242988275663</v>
      </c>
      <c r="BJ188" s="19">
        <v>3.0547892200762305</v>
      </c>
      <c r="BK188" s="19">
        <v>4.5324452061315128</v>
      </c>
      <c r="BL188" s="19">
        <v>0.86267422158638851</v>
      </c>
      <c r="BM188" s="19">
        <v>-2.9702946497842504</v>
      </c>
      <c r="BN188" s="19">
        <v>4.5781604305014127</v>
      </c>
      <c r="BO188" s="16">
        <v>2.8026910933554916</v>
      </c>
      <c r="BP188" s="16">
        <v>-1.9428376607639137</v>
      </c>
    </row>
    <row r="189" spans="1:68" x14ac:dyDescent="0.3">
      <c r="A189" s="16" t="s">
        <v>185</v>
      </c>
      <c r="B189" s="16" t="s">
        <v>502</v>
      </c>
      <c r="C189" s="16" t="s">
        <v>604</v>
      </c>
      <c r="D189" s="16" t="s">
        <v>605</v>
      </c>
      <c r="F189" s="16">
        <v>7.692630969826709</v>
      </c>
      <c r="G189" s="16">
        <v>5.0364538436822102</v>
      </c>
      <c r="H189" s="16">
        <v>5.2843861986439578</v>
      </c>
      <c r="I189" s="16">
        <v>1.2950457174156043</v>
      </c>
      <c r="J189" s="16">
        <v>5.9036995487315096</v>
      </c>
      <c r="K189" s="16">
        <v>4.4023835739021004</v>
      </c>
      <c r="L189" s="16">
        <v>5.3839115055445177</v>
      </c>
      <c r="M189" s="16">
        <v>3.9013652929097447</v>
      </c>
      <c r="N189" s="16">
        <v>5.372733982097543</v>
      </c>
      <c r="O189" s="16">
        <v>3.9806117117287272</v>
      </c>
      <c r="P189" s="16">
        <v>6.6010244573221826</v>
      </c>
      <c r="Q189" s="16">
        <v>1.7393327398495586</v>
      </c>
      <c r="R189" s="16">
        <v>2.5529827353443295</v>
      </c>
      <c r="S189" s="16">
        <v>-0.22372469641456405</v>
      </c>
      <c r="T189" s="16">
        <v>-0.85116704862176107</v>
      </c>
      <c r="U189" s="16">
        <v>-0.85915353872766786</v>
      </c>
      <c r="V189" s="16">
        <v>-1.3518321964706672</v>
      </c>
      <c r="W189" s="16">
        <v>7.1957511080518799</v>
      </c>
      <c r="X189" s="16">
        <v>2.0819773174431049</v>
      </c>
      <c r="Y189" s="16">
        <v>10.474160202566679</v>
      </c>
      <c r="Z189" s="16">
        <v>6.6932055103469281</v>
      </c>
      <c r="AA189" s="16">
        <v>2.9254769323212173</v>
      </c>
      <c r="AB189" s="16">
        <v>-6.6874495900035811</v>
      </c>
      <c r="AC189" s="16">
        <v>0.36228177303524944</v>
      </c>
      <c r="AD189" s="16">
        <v>2.5784523073614878</v>
      </c>
      <c r="AE189" s="16">
        <v>1.2680077275824431</v>
      </c>
      <c r="AF189" s="16">
        <v>-3.9577975852124894</v>
      </c>
      <c r="AG189" s="16">
        <v>-15.246303663136771</v>
      </c>
      <c r="AH189" s="16">
        <v>-0.58515872118239542</v>
      </c>
      <c r="AI189" s="16">
        <v>5.8296345866573773</v>
      </c>
      <c r="AJ189" s="16">
        <v>7.1416261051049759</v>
      </c>
      <c r="AK189" s="16">
        <v>5.9846822583668171</v>
      </c>
      <c r="AL189" s="16">
        <v>3.3075200341420157</v>
      </c>
      <c r="AM189" s="16">
        <v>0.76770392662015752</v>
      </c>
      <c r="AN189" s="16">
        <v>-0.2968661431767714</v>
      </c>
      <c r="AO189" s="16">
        <v>1.9940953183915582</v>
      </c>
      <c r="AP189" s="16">
        <v>4.3383148160866796</v>
      </c>
      <c r="AQ189" s="16">
        <v>5.2139628269796958</v>
      </c>
      <c r="AR189" s="16">
        <v>1.8713252249465455</v>
      </c>
      <c r="AS189" s="16">
        <v>0.70978077114558857</v>
      </c>
      <c r="AT189" s="16">
        <v>-1.3738822302243392</v>
      </c>
      <c r="AU189" s="16">
        <v>0.26494143730788267</v>
      </c>
      <c r="AV189" s="16">
        <v>2.2201071493724385</v>
      </c>
      <c r="AW189" s="16">
        <v>5.4765050328899036</v>
      </c>
      <c r="AX189" s="16">
        <v>5.1628968260857562</v>
      </c>
      <c r="AY189" s="16">
        <v>6.6299318529817981</v>
      </c>
      <c r="AZ189" s="19">
        <v>9.9267658543753896</v>
      </c>
      <c r="BA189" s="19">
        <v>7.8547742862461405</v>
      </c>
      <c r="BB189" s="19">
        <v>-0.57934833785141393</v>
      </c>
      <c r="BC189" s="19">
        <v>3.9508666847895171</v>
      </c>
      <c r="BD189" s="19">
        <v>9.350391873580449</v>
      </c>
      <c r="BE189" s="19">
        <v>7.843394039574946</v>
      </c>
      <c r="BF189" s="19">
        <v>5.0382546808242807</v>
      </c>
      <c r="BG189" s="19">
        <v>3.2498301368466258</v>
      </c>
      <c r="BH189" s="19">
        <v>3.9079288807470931</v>
      </c>
      <c r="BI189" s="19">
        <v>3.1484327588663774</v>
      </c>
      <c r="BJ189" s="19">
        <v>3.7936779764710309</v>
      </c>
      <c r="BK189" s="19">
        <v>1.9630377271513595</v>
      </c>
      <c r="BL189" s="19">
        <v>1.6401875183941002</v>
      </c>
      <c r="BM189" s="19">
        <v>-18.854382230211471</v>
      </c>
      <c r="BN189" s="19">
        <v>14.321793185275467</v>
      </c>
      <c r="BO189" s="16">
        <v>9.3687828534733626</v>
      </c>
      <c r="BP189" s="16">
        <v>5.8875321585790203</v>
      </c>
    </row>
    <row r="190" spans="1:68" x14ac:dyDescent="0.3">
      <c r="A190" s="16" t="s">
        <v>188</v>
      </c>
      <c r="B190" s="16" t="s">
        <v>503</v>
      </c>
      <c r="C190" s="16" t="s">
        <v>604</v>
      </c>
      <c r="D190" s="16" t="s">
        <v>605</v>
      </c>
      <c r="F190" s="16">
        <v>4.2132926375658286</v>
      </c>
      <c r="G190" s="16">
        <v>6.8337958272166617</v>
      </c>
      <c r="H190" s="16">
        <v>1.3186556866558163</v>
      </c>
      <c r="I190" s="16">
        <v>3.4783790134538037</v>
      </c>
      <c r="J190" s="16">
        <v>2.5800922873329313</v>
      </c>
      <c r="K190" s="16">
        <v>5.1473169572427508</v>
      </c>
      <c r="L190" s="16">
        <v>0.91015886972620308</v>
      </c>
      <c r="M190" s="16">
        <v>-2.6677148304960525</v>
      </c>
      <c r="N190" s="16">
        <v>0.61209555551884876</v>
      </c>
      <c r="O190" s="16">
        <v>0.70883859290124462</v>
      </c>
      <c r="P190" s="16">
        <v>1.9622605219052502</v>
      </c>
      <c r="Q190" s="16">
        <v>0.7229318101251323</v>
      </c>
      <c r="R190" s="16">
        <v>3.5079147359100773</v>
      </c>
      <c r="S190" s="16">
        <v>6.6088615077156732</v>
      </c>
      <c r="T190" s="16">
        <v>1.7049285657828648</v>
      </c>
      <c r="U190" s="16">
        <v>-1.0226973623402102</v>
      </c>
      <c r="V190" s="16">
        <v>-2.1113251888369149</v>
      </c>
      <c r="W190" s="16">
        <v>-5.0641818352834207</v>
      </c>
      <c r="X190" s="16">
        <v>1.5237170833279521</v>
      </c>
      <c r="Y190" s="16">
        <v>3.3195180855504844</v>
      </c>
      <c r="Z190" s="16">
        <v>2.9625111783582554</v>
      </c>
      <c r="AA190" s="16">
        <v>-2.6230422143414387</v>
      </c>
      <c r="AB190" s="16">
        <v>-12.5615669545397</v>
      </c>
      <c r="AC190" s="16">
        <v>1.1437973856403829</v>
      </c>
      <c r="AD190" s="16">
        <v>-0.32137853590469945</v>
      </c>
      <c r="AE190" s="16">
        <v>6.9252314076612436</v>
      </c>
      <c r="AF190" s="16">
        <v>7.2688936477139947</v>
      </c>
      <c r="AG190" s="16">
        <v>-11.464726006276464</v>
      </c>
      <c r="AH190" s="16">
        <v>-14.260548215283137</v>
      </c>
      <c r="AI190" s="16">
        <v>-7.0660185424020057</v>
      </c>
      <c r="AJ190" s="16">
        <v>7.4176095523142749E-2</v>
      </c>
      <c r="AK190" s="16">
        <v>-2.5439271884736741</v>
      </c>
      <c r="AL190" s="16">
        <v>3.1550136937966471</v>
      </c>
      <c r="AM190" s="16">
        <v>10.110380753241444</v>
      </c>
      <c r="AN190" s="16">
        <v>5.3650212476738233</v>
      </c>
      <c r="AO190" s="16">
        <v>0.90765932575733643</v>
      </c>
      <c r="AP190" s="16">
        <v>4.5539237921873905</v>
      </c>
      <c r="AQ190" s="16">
        <v>-2.1386249092877847</v>
      </c>
      <c r="AR190" s="16">
        <v>-0.18304568867212367</v>
      </c>
      <c r="AS190" s="16">
        <v>1.1447729924788348</v>
      </c>
      <c r="AT190" s="16">
        <v>-0.72468971478227218</v>
      </c>
      <c r="AU190" s="16">
        <v>4.2205701707474361</v>
      </c>
      <c r="AV190" s="16">
        <v>3.0758421808619261</v>
      </c>
      <c r="AW190" s="16">
        <v>3.9401121595990816</v>
      </c>
      <c r="AX190" s="16">
        <v>5.3283792468327107</v>
      </c>
      <c r="AY190" s="16">
        <v>6.64304687824702</v>
      </c>
      <c r="AZ190" s="19">
        <v>7.6862640952706727</v>
      </c>
      <c r="BA190" s="19">
        <v>8.346943040316134</v>
      </c>
      <c r="BB190" s="19">
        <v>0.38788902077635612</v>
      </c>
      <c r="BC190" s="19">
        <v>7.5161696733367762</v>
      </c>
      <c r="BD190" s="19">
        <v>5.4321100963248341</v>
      </c>
      <c r="BE190" s="19">
        <v>5.1697619045632024</v>
      </c>
      <c r="BF190" s="19">
        <v>4.8333477997673384</v>
      </c>
      <c r="BG190" s="19">
        <v>1.3192012565219216</v>
      </c>
      <c r="BH190" s="19">
        <v>2.0489567322859727</v>
      </c>
      <c r="BI190" s="19">
        <v>2.547867081727432</v>
      </c>
      <c r="BJ190" s="19">
        <v>0.98551394411303761</v>
      </c>
      <c r="BK190" s="19">
        <v>2.0372497930251114</v>
      </c>
      <c r="BL190" s="19">
        <v>0.30664196888636752</v>
      </c>
      <c r="BM190" s="19">
        <v>-12.216686594760702</v>
      </c>
      <c r="BN190" s="19">
        <v>11.974359193484219</v>
      </c>
      <c r="BO190" s="16">
        <v>1.7174898997512003</v>
      </c>
      <c r="BP190" s="16">
        <v>-1.4277350463904384</v>
      </c>
    </row>
    <row r="191" spans="1:68" x14ac:dyDescent="0.3">
      <c r="A191" s="16" t="s">
        <v>189</v>
      </c>
      <c r="B191" s="16" t="s">
        <v>504</v>
      </c>
      <c r="C191" s="16" t="s">
        <v>604</v>
      </c>
      <c r="D191" s="16" t="s">
        <v>605</v>
      </c>
      <c r="F191" s="16">
        <v>2.613696135786995</v>
      </c>
      <c r="G191" s="16">
        <v>1.9162921939757069</v>
      </c>
      <c r="H191" s="16">
        <v>4.0594255470185487</v>
      </c>
      <c r="I191" s="16">
        <v>0.57446411281787846</v>
      </c>
      <c r="J191" s="16">
        <v>2.4906037413626478</v>
      </c>
      <c r="K191" s="16">
        <v>1.6547666636532767</v>
      </c>
      <c r="L191" s="16">
        <v>2.4502101476254552</v>
      </c>
      <c r="M191" s="16">
        <v>2.2955044412811105</v>
      </c>
      <c r="N191" s="16">
        <v>2.0140681649605057</v>
      </c>
      <c r="O191" s="16">
        <v>1.0377797684182752</v>
      </c>
      <c r="P191" s="16">
        <v>2.6840187850872184</v>
      </c>
      <c r="Q191" s="16">
        <v>2.7801262887600302</v>
      </c>
      <c r="R191" s="16">
        <v>6.1066134031013632</v>
      </c>
      <c r="S191" s="16">
        <v>0.9411895893065747</v>
      </c>
      <c r="T191" s="16">
        <v>2.9485265607067248</v>
      </c>
      <c r="U191" s="16">
        <v>6.0762635972050845</v>
      </c>
      <c r="V191" s="16">
        <v>2.7915240111951078</v>
      </c>
      <c r="W191" s="16">
        <v>2.340336890063611</v>
      </c>
      <c r="X191" s="16">
        <v>2.7661481540107786</v>
      </c>
      <c r="Y191" s="16">
        <v>2.4515747584541856</v>
      </c>
      <c r="Z191" s="16">
        <v>0.7995959967406634</v>
      </c>
      <c r="AA191" s="16">
        <v>1.134998322918463</v>
      </c>
      <c r="AB191" s="16">
        <v>-0.60299826651541366</v>
      </c>
      <c r="AC191" s="16">
        <v>-9.2893934995611858</v>
      </c>
      <c r="AD191" s="16">
        <v>-9.0635242866751895</v>
      </c>
      <c r="AE191" s="16">
        <v>1.1176672815708173</v>
      </c>
      <c r="AF191" s="16">
        <v>1.9891384834470784</v>
      </c>
      <c r="AG191" s="16">
        <v>4.2622200205799032</v>
      </c>
      <c r="AH191" s="16">
        <v>3.7620125965653415</v>
      </c>
      <c r="AI191" s="16">
        <v>0.68548024497347626</v>
      </c>
      <c r="AJ191" s="16">
        <v>-2.775217060355601</v>
      </c>
      <c r="AK191" s="16">
        <v>-1.9219614618634893</v>
      </c>
      <c r="AL191" s="16">
        <v>-0.19903250876781442</v>
      </c>
      <c r="AM191" s="16">
        <v>1.9560918735338078</v>
      </c>
      <c r="AN191" s="16">
        <v>2.2076282304776385</v>
      </c>
      <c r="AO191" s="16">
        <v>3.3319026857806904</v>
      </c>
      <c r="AP191" s="16">
        <v>2.6205454226054314</v>
      </c>
      <c r="AQ191" s="16">
        <v>-2.8820867588792538</v>
      </c>
      <c r="AR191" s="16">
        <v>0.96485075788261554</v>
      </c>
      <c r="AS191" s="16">
        <v>2.0940188891652269</v>
      </c>
      <c r="AT191" s="16">
        <v>0.89074289076806679</v>
      </c>
      <c r="AU191" s="16">
        <v>1.5988352810514215</v>
      </c>
      <c r="AV191" s="16">
        <v>2.9871896150872175</v>
      </c>
      <c r="AW191" s="16">
        <v>4.4724645592652195</v>
      </c>
      <c r="AX191" s="16">
        <v>2.9306102888540693</v>
      </c>
      <c r="AY191" s="16">
        <v>3.3508090079388069</v>
      </c>
      <c r="AZ191" s="19">
        <v>4.5455251336928626</v>
      </c>
      <c r="BA191" s="19">
        <v>2.4109343295319832</v>
      </c>
      <c r="BB191" s="19">
        <v>-0.40130043344842647</v>
      </c>
      <c r="BC191" s="19">
        <v>5.4180303082181069</v>
      </c>
      <c r="BD191" s="19">
        <v>2.0242199176007176</v>
      </c>
      <c r="BE191" s="19">
        <v>5.0493301468918332</v>
      </c>
      <c r="BF191" s="19">
        <v>4.9648013387488135</v>
      </c>
      <c r="BG191" s="19">
        <v>4.6423360267532416</v>
      </c>
      <c r="BH191" s="19">
        <v>4.5872182507049359</v>
      </c>
      <c r="BI191" s="19">
        <v>5.2655712764181146</v>
      </c>
      <c r="BJ191" s="19">
        <v>5.0643932525349555</v>
      </c>
      <c r="BK191" s="19">
        <v>4.5487009178263946</v>
      </c>
      <c r="BL191" s="19">
        <v>4.3765255512270897</v>
      </c>
      <c r="BM191" s="19">
        <v>-10.978194139283147</v>
      </c>
      <c r="BN191" s="19">
        <v>4.1465141690420353</v>
      </c>
      <c r="BO191" s="16">
        <v>6.0181948365647173</v>
      </c>
      <c r="BP191" s="16">
        <v>3.9462037819709224</v>
      </c>
    </row>
    <row r="192" spans="1:68" x14ac:dyDescent="0.3">
      <c r="A192" s="16" t="s">
        <v>183</v>
      </c>
      <c r="B192" s="16" t="s">
        <v>719</v>
      </c>
      <c r="C192" s="16" t="s">
        <v>604</v>
      </c>
      <c r="D192" s="16" t="s">
        <v>605</v>
      </c>
      <c r="P192" s="16">
        <v>-3.0633748217399699</v>
      </c>
      <c r="Q192" s="16">
        <v>-3.2199412571347636</v>
      </c>
      <c r="R192" s="16">
        <v>-2.746268455080326</v>
      </c>
      <c r="S192" s="16">
        <v>-0.85108952074916999</v>
      </c>
      <c r="T192" s="16">
        <v>0.46164274047349352</v>
      </c>
      <c r="U192" s="16">
        <v>0.50055881850892092</v>
      </c>
      <c r="V192" s="16">
        <v>2.0486302325509342</v>
      </c>
      <c r="W192" s="16">
        <v>0.12195389840098869</v>
      </c>
      <c r="X192" s="16">
        <v>0.33052352569970367</v>
      </c>
      <c r="Y192" s="16">
        <v>1.6162296689543609E-2</v>
      </c>
      <c r="Z192" s="16">
        <v>-1.4519662518499103</v>
      </c>
      <c r="AA192" s="16">
        <v>-2.5765209572551839</v>
      </c>
      <c r="AB192" s="16">
        <v>-0.48016438784745219</v>
      </c>
      <c r="AC192" s="16">
        <v>2.0573848137912023</v>
      </c>
      <c r="AD192" s="16">
        <v>2.770455628231943</v>
      </c>
      <c r="AE192" s="16">
        <v>2.8656202852711914</v>
      </c>
      <c r="AF192" s="16">
        <v>3.0490972116907074</v>
      </c>
      <c r="AG192" s="16">
        <v>3.1090055489913766</v>
      </c>
      <c r="AH192" s="16">
        <v>3.1454811350610612</v>
      </c>
      <c r="AI192" s="16">
        <v>3.1199785837950884</v>
      </c>
      <c r="AJ192" s="16">
        <v>2.5777114037108788</v>
      </c>
      <c r="AK192" s="16">
        <v>-8.5288663855321829</v>
      </c>
      <c r="AL192" s="16">
        <v>-14.313205707005466</v>
      </c>
      <c r="AM192" s="16">
        <v>4.8046861518358241</v>
      </c>
      <c r="AN192" s="16">
        <v>8.0709509992271933</v>
      </c>
      <c r="AO192" s="16">
        <v>7.1438335552000041</v>
      </c>
      <c r="AP192" s="16">
        <v>-0.85897253356998249</v>
      </c>
      <c r="AQ192" s="16">
        <v>-1.0029045200943898</v>
      </c>
      <c r="AR192" s="16">
        <v>-7.9773186086423351</v>
      </c>
      <c r="AS192" s="16">
        <v>-4.3122590802294809</v>
      </c>
      <c r="AT192" s="16">
        <v>5.9525270709121685</v>
      </c>
      <c r="AU192" s="16">
        <v>4.8945238845114574</v>
      </c>
      <c r="AV192" s="16">
        <v>-3.3645075425793323</v>
      </c>
      <c r="AW192" s="16">
        <v>3.7980804719798016</v>
      </c>
      <c r="AX192" s="16">
        <v>3.8103116239893779</v>
      </c>
      <c r="AY192" s="16">
        <v>0.95552515902819835</v>
      </c>
      <c r="AZ192" s="19">
        <v>3.0833311290184611</v>
      </c>
      <c r="BA192" s="19">
        <v>-4.1878109426283316</v>
      </c>
      <c r="BB192" s="19">
        <v>-5.9009993926602817</v>
      </c>
      <c r="BC192" s="19">
        <v>0.63289999809934727</v>
      </c>
      <c r="BD192" s="19">
        <v>6.8471983848772595</v>
      </c>
      <c r="BE192" s="19">
        <v>2.9122364455974434</v>
      </c>
      <c r="BF192" s="19">
        <v>-2.2684304802533148</v>
      </c>
      <c r="BG192" s="19">
        <v>5.3477058758065539</v>
      </c>
      <c r="BH192" s="19">
        <v>9.7607488748040936</v>
      </c>
      <c r="BI192" s="19">
        <v>0.75787699553644927</v>
      </c>
      <c r="BJ192" s="19">
        <v>-3.6531751830246151</v>
      </c>
      <c r="BK192" s="19">
        <v>0.48140101017804682</v>
      </c>
      <c r="BL192" s="19">
        <v>0.61658725230459765</v>
      </c>
      <c r="BM192" s="19">
        <v>-7.8560354069440592</v>
      </c>
      <c r="BN192" s="19">
        <v>-14.411691444420867</v>
      </c>
      <c r="BO192" s="16">
        <v>-0.53336411540276174</v>
      </c>
      <c r="BP192" s="16">
        <v>0.43174285945593738</v>
      </c>
    </row>
    <row r="193" spans="1:68" x14ac:dyDescent="0.3">
      <c r="A193" s="16" t="s">
        <v>186</v>
      </c>
      <c r="B193" s="16" t="s">
        <v>505</v>
      </c>
      <c r="C193" s="16" t="s">
        <v>604</v>
      </c>
      <c r="D193" s="16" t="s">
        <v>605</v>
      </c>
      <c r="F193" s="16">
        <v>3.5727874557672408</v>
      </c>
      <c r="G193" s="16">
        <v>3.9790294374339084</v>
      </c>
      <c r="H193" s="16">
        <v>1.7918653309029224</v>
      </c>
      <c r="I193" s="16">
        <v>6.2651813877054252</v>
      </c>
      <c r="J193" s="16">
        <v>7.9477568441526074</v>
      </c>
      <c r="K193" s="16">
        <v>3.5166366936349505</v>
      </c>
      <c r="L193" s="16">
        <v>1.7782782036846072</v>
      </c>
      <c r="M193" s="16">
        <v>2.0438575175476927</v>
      </c>
      <c r="N193" s="16">
        <v>5.7985439175069189</v>
      </c>
      <c r="O193" s="16">
        <v>8.2538481838699198</v>
      </c>
      <c r="P193" s="16">
        <v>3.7827831070486297</v>
      </c>
      <c r="Q193" s="16">
        <v>3.1595722458997528</v>
      </c>
      <c r="R193" s="16">
        <v>4.0797021785006251</v>
      </c>
      <c r="S193" s="16">
        <v>0.31420441284868161</v>
      </c>
      <c r="T193" s="16">
        <v>-3.0488512012870217</v>
      </c>
      <c r="U193" s="16">
        <v>-5.4647344689839059</v>
      </c>
      <c r="V193" s="16">
        <v>-1.2988206351801779</v>
      </c>
      <c r="W193" s="16">
        <v>6.2899021537911892</v>
      </c>
      <c r="X193" s="16">
        <v>-0.25305987152921716</v>
      </c>
      <c r="Y193" s="16">
        <v>-4.282248197231155</v>
      </c>
      <c r="Z193" s="16">
        <v>-2.2977657996846688</v>
      </c>
      <c r="AA193" s="16">
        <v>-1.7001993606215393</v>
      </c>
      <c r="AB193" s="16">
        <v>1.085603533762594</v>
      </c>
      <c r="AC193" s="16">
        <v>-2.4450399163566203</v>
      </c>
      <c r="AD193" s="16">
        <v>1.7946223449847309</v>
      </c>
      <c r="AE193" s="16">
        <v>2.4542126455155966</v>
      </c>
      <c r="AF193" s="16">
        <v>0.56036898998952722</v>
      </c>
      <c r="AG193" s="16">
        <v>0.69122414423088685</v>
      </c>
      <c r="AH193" s="16">
        <v>-3.6315759303368509</v>
      </c>
      <c r="AI193" s="16">
        <v>-5.5431558919069204</v>
      </c>
      <c r="AJ193" s="16">
        <v>6.0877531386425545</v>
      </c>
      <c r="AK193" s="16">
        <v>9.8405204951031493</v>
      </c>
      <c r="AL193" s="16">
        <v>13.934696660686868</v>
      </c>
      <c r="AM193" s="16">
        <v>2.1318814669660782</v>
      </c>
      <c r="AN193" s="16">
        <v>-6.7628984920304731</v>
      </c>
      <c r="AO193" s="16">
        <v>3.9191279574368281</v>
      </c>
      <c r="AP193" s="16">
        <v>-7.2857259074420142</v>
      </c>
      <c r="AQ193" s="16">
        <v>-7.1096851444486902</v>
      </c>
      <c r="AR193" s="16">
        <v>-1.6387689309845257</v>
      </c>
      <c r="AS193" s="16">
        <v>-5.8034129679861053</v>
      </c>
      <c r="AT193" s="16">
        <v>-3.4548270010114237</v>
      </c>
      <c r="AU193" s="16">
        <v>-3.4477491652008325</v>
      </c>
      <c r="AV193" s="16">
        <v>-1.1633954227108489</v>
      </c>
      <c r="AW193" s="16">
        <v>-0.57903652711391373</v>
      </c>
      <c r="AX193" s="16">
        <v>2.9795655117853244</v>
      </c>
      <c r="AY193" s="16">
        <v>2.1195411594555225</v>
      </c>
      <c r="AZ193" s="19">
        <v>4.4994637013534771</v>
      </c>
      <c r="BA193" s="19">
        <v>-3.326428164008874</v>
      </c>
      <c r="BB193" s="19">
        <v>3.5944452141794869</v>
      </c>
      <c r="BC193" s="19">
        <v>6.8698973208085619</v>
      </c>
      <c r="BD193" s="19">
        <v>-1.7854037216434051</v>
      </c>
      <c r="BE193" s="19">
        <v>1.7897666004851516</v>
      </c>
      <c r="BF193" s="19">
        <v>1.0663717658258065</v>
      </c>
      <c r="BG193" s="19">
        <v>10.612317702636261</v>
      </c>
      <c r="BH193" s="19">
        <v>3.902031266218728</v>
      </c>
      <c r="BI193" s="19">
        <v>2.9173431022807534</v>
      </c>
      <c r="BJ193" s="19">
        <v>1.0853121687201224</v>
      </c>
      <c r="BK193" s="19">
        <v>-2.5713199614441749</v>
      </c>
      <c r="BL193" s="19">
        <v>2.1454633863509827</v>
      </c>
      <c r="BM193" s="19">
        <v>-5.2248175862362132</v>
      </c>
      <c r="BN193" s="19">
        <v>-2.7727824391003679</v>
      </c>
      <c r="BO193" s="16">
        <v>3.1620188802351237</v>
      </c>
      <c r="BP193" s="16">
        <v>0.8191020706882739</v>
      </c>
    </row>
    <row r="194" spans="1:68" x14ac:dyDescent="0.3">
      <c r="A194" s="16" t="s">
        <v>191</v>
      </c>
      <c r="B194" s="16" t="s">
        <v>506</v>
      </c>
      <c r="C194" s="16" t="s">
        <v>604</v>
      </c>
      <c r="D194" s="16" t="s">
        <v>605</v>
      </c>
      <c r="AJ194" s="16">
        <v>-7.3447909961724633</v>
      </c>
      <c r="AK194" s="16">
        <v>2.2010658533475009</v>
      </c>
      <c r="AL194" s="16">
        <v>3.4746827595409542</v>
      </c>
      <c r="AM194" s="16">
        <v>5.0708555225453864</v>
      </c>
      <c r="AN194" s="16">
        <v>6.9576030201115913</v>
      </c>
      <c r="AO194" s="16">
        <v>6.0348469780482645</v>
      </c>
      <c r="AP194" s="16">
        <v>6.3793492888621017</v>
      </c>
      <c r="AQ194" s="16">
        <v>4.6031092103282987</v>
      </c>
      <c r="AR194" s="16">
        <v>4.66358144954404</v>
      </c>
      <c r="AS194" s="16">
        <v>5.6586745951939292</v>
      </c>
      <c r="AT194" s="16">
        <v>1.2865076420141861</v>
      </c>
      <c r="AU194" s="16">
        <v>2.0831359159386551</v>
      </c>
      <c r="AV194" s="16">
        <v>3.568268652226152</v>
      </c>
      <c r="AW194" s="16">
        <v>5.0442908788376712</v>
      </c>
      <c r="AX194" s="16">
        <v>3.5523347824910019</v>
      </c>
      <c r="AY194" s="16">
        <v>6.1984136839628121</v>
      </c>
      <c r="AZ194" s="19">
        <v>7.1196902114933209</v>
      </c>
      <c r="BA194" s="19">
        <v>4.185772086276927</v>
      </c>
      <c r="BB194" s="19">
        <v>2.762525251049766</v>
      </c>
      <c r="BC194" s="19">
        <v>3.2290491285198186</v>
      </c>
      <c r="BD194" s="19">
        <v>4.9857221863863259</v>
      </c>
      <c r="BE194" s="19">
        <v>1.5454643418035801</v>
      </c>
      <c r="BF194" s="19">
        <v>0.91745249247622951</v>
      </c>
      <c r="BG194" s="19">
        <v>3.9147056333337389</v>
      </c>
      <c r="BH194" s="19">
        <v>4.4528839981582848</v>
      </c>
      <c r="BI194" s="19">
        <v>2.9977730550259736</v>
      </c>
      <c r="BJ194" s="19">
        <v>5.1268968150083367</v>
      </c>
      <c r="BK194" s="19">
        <v>5.9454205083611527</v>
      </c>
      <c r="BL194" s="19">
        <v>4.4755051056255581</v>
      </c>
      <c r="BM194" s="19">
        <v>-1.8483948269398525</v>
      </c>
      <c r="BN194" s="19">
        <v>7.365432847730105</v>
      </c>
      <c r="BO194" s="16">
        <v>8.292366333997748</v>
      </c>
      <c r="BP194" s="16">
        <v>0.53162345488789242</v>
      </c>
    </row>
    <row r="195" spans="1:68" hidden="1" x14ac:dyDescent="0.3">
      <c r="A195" s="16" t="s">
        <v>720</v>
      </c>
      <c r="B195" s="16" t="s">
        <v>721</v>
      </c>
      <c r="C195" s="16" t="s">
        <v>604</v>
      </c>
      <c r="D195" s="16" t="s">
        <v>605</v>
      </c>
      <c r="F195" s="16">
        <v>-2.5812804182586859</v>
      </c>
      <c r="G195" s="16">
        <v>3.6359093284719535</v>
      </c>
      <c r="H195" s="16">
        <v>3.2758720047273613</v>
      </c>
      <c r="I195" s="16">
        <v>2.1044275911086459</v>
      </c>
      <c r="J195" s="16">
        <v>1.8233578273497244</v>
      </c>
      <c r="K195" s="16">
        <v>-1.3326989890497742</v>
      </c>
      <c r="L195" s="16">
        <v>-8.1431965788216587</v>
      </c>
      <c r="M195" s="16">
        <v>1.024286630856281</v>
      </c>
      <c r="N195" s="16">
        <v>8.5350561085228378</v>
      </c>
      <c r="O195" s="16">
        <v>5.8475071736024944</v>
      </c>
      <c r="P195" s="16">
        <v>6.5838113485392427</v>
      </c>
      <c r="Q195" s="16">
        <v>0.7512708893001161</v>
      </c>
      <c r="R195" s="16">
        <v>1.3211199196106378</v>
      </c>
      <c r="S195" s="16">
        <v>5.4148253968511142</v>
      </c>
      <c r="T195" s="16">
        <v>-3.189646903959698</v>
      </c>
      <c r="U195" s="16">
        <v>3.9648850169585756</v>
      </c>
      <c r="V195" s="16">
        <v>1.7505592557815817</v>
      </c>
      <c r="W195" s="16">
        <v>-3.1601602994288953</v>
      </c>
      <c r="X195" s="16">
        <v>2.4982303321367425</v>
      </c>
      <c r="Y195" s="16">
        <v>1.3482299141617631</v>
      </c>
      <c r="Z195" s="16">
        <v>-6.2961344154678756</v>
      </c>
      <c r="AA195" s="16">
        <v>-3.6548081351687927</v>
      </c>
      <c r="AB195" s="16">
        <v>-7.3636864755750224</v>
      </c>
      <c r="AC195" s="16">
        <v>-2.1654809074255184</v>
      </c>
      <c r="AD195" s="16">
        <v>0.80253010125905178</v>
      </c>
      <c r="AE195" s="16">
        <v>-0.15568125678484535</v>
      </c>
      <c r="AF195" s="16">
        <v>1.1745481802812918</v>
      </c>
      <c r="AG195" s="16">
        <v>1.1980211622468602</v>
      </c>
      <c r="AH195" s="16">
        <v>-1.2442922555007527</v>
      </c>
      <c r="AI195" s="16">
        <v>5.632736465858045</v>
      </c>
      <c r="AJ195" s="16">
        <v>-10.482885958339935</v>
      </c>
      <c r="AK195" s="16">
        <v>-0.43517027481965442</v>
      </c>
      <c r="AL195" s="16">
        <v>-3.4799840973319505</v>
      </c>
      <c r="AM195" s="16">
        <v>-3.2320099053550706</v>
      </c>
      <c r="AN195" s="16">
        <v>-2.7649377479463055E-2</v>
      </c>
      <c r="AO195" s="16">
        <v>2.8772837607837971</v>
      </c>
      <c r="AP195" s="16">
        <v>3.5956158904664193</v>
      </c>
      <c r="AQ195" s="16">
        <v>4.092648124989708</v>
      </c>
      <c r="AR195" s="16">
        <v>1.384155561966665</v>
      </c>
      <c r="AS195" s="16">
        <v>2.679445637003667</v>
      </c>
      <c r="AT195" s="16">
        <v>1.4617232926333656</v>
      </c>
      <c r="AU195" s="16">
        <v>2.7940046246253729</v>
      </c>
      <c r="AV195" s="16">
        <v>-3.6942539659582394</v>
      </c>
      <c r="AW195" s="16">
        <v>8.7458148431922496</v>
      </c>
      <c r="AX195" s="16">
        <v>2.9090077799977649</v>
      </c>
      <c r="AY195" s="16">
        <v>3.2240094134072876</v>
      </c>
      <c r="AZ195" s="19">
        <v>3.209552861014501</v>
      </c>
      <c r="BA195" s="19">
        <v>3.3846395555940205</v>
      </c>
      <c r="BB195" s="19">
        <v>1.8367838012621291</v>
      </c>
      <c r="BC195" s="19">
        <v>3.4777246579102297</v>
      </c>
      <c r="BD195" s="19">
        <v>1.2582330488057494</v>
      </c>
      <c r="BE195" s="19">
        <v>1.1813028307161773</v>
      </c>
      <c r="BF195" s="19">
        <v>2.7538150102530636</v>
      </c>
      <c r="BG195" s="19">
        <v>2.0780360358507295</v>
      </c>
      <c r="BH195" s="19">
        <v>0.38846647940519574</v>
      </c>
      <c r="BI195" s="19">
        <v>-0.44630635588228529</v>
      </c>
      <c r="BJ195" s="19">
        <v>-1.1995240564721286</v>
      </c>
      <c r="BK195" s="19">
        <v>-0.21880059526661455</v>
      </c>
      <c r="BL195" s="19">
        <v>0.49885186518201863</v>
      </c>
      <c r="BM195" s="19">
        <v>-5.2056089108304633</v>
      </c>
      <c r="BN195" s="19">
        <v>0.41688682161552038</v>
      </c>
      <c r="BO195" s="16">
        <v>1.4348436505990492</v>
      </c>
      <c r="BP195" s="16">
        <v>-0.29377335667749094</v>
      </c>
    </row>
    <row r="196" spans="1:68" x14ac:dyDescent="0.3">
      <c r="A196" s="16" t="s">
        <v>193</v>
      </c>
      <c r="B196" s="16" t="s">
        <v>722</v>
      </c>
      <c r="C196" s="16" t="s">
        <v>604</v>
      </c>
      <c r="D196" s="16" t="s">
        <v>605</v>
      </c>
      <c r="F196" s="16">
        <v>5.1806914767450252</v>
      </c>
      <c r="G196" s="16">
        <v>6.0863985189990615</v>
      </c>
      <c r="H196" s="16">
        <v>6.2994058030817541</v>
      </c>
      <c r="I196" s="16">
        <v>4.9844817177721694</v>
      </c>
      <c r="J196" s="16">
        <v>7.5236604403518186</v>
      </c>
      <c r="K196" s="16">
        <v>6.2298369849176396</v>
      </c>
      <c r="L196" s="16">
        <v>5.3929660986406134</v>
      </c>
      <c r="M196" s="16">
        <v>4.5328516236054099</v>
      </c>
      <c r="N196" s="16">
        <v>8.4752614492528124</v>
      </c>
      <c r="O196" s="16">
        <v>7.0479291596726057</v>
      </c>
      <c r="P196" s="16">
        <v>4.6637954754589686</v>
      </c>
      <c r="Q196" s="16">
        <v>5.078763542742422</v>
      </c>
      <c r="R196" s="16">
        <v>4.0719233388392979</v>
      </c>
      <c r="S196" s="16">
        <v>0.79856059444747984</v>
      </c>
      <c r="T196" s="16">
        <v>-2.4696290126737779</v>
      </c>
      <c r="U196" s="16">
        <v>4.502977118432085</v>
      </c>
      <c r="V196" s="16">
        <v>4.4126823743946488</v>
      </c>
      <c r="W196" s="16">
        <v>5.5401727626199317</v>
      </c>
      <c r="X196" s="16">
        <v>6.5898053402680574</v>
      </c>
      <c r="Y196" s="16">
        <v>3.0107521873578236</v>
      </c>
      <c r="Z196" s="16">
        <v>7.7466156796361929E-3</v>
      </c>
      <c r="AA196" s="16">
        <v>-2.6049485825877809</v>
      </c>
      <c r="AB196" s="16">
        <v>-3.33547311715175</v>
      </c>
      <c r="AC196" s="16">
        <v>4.8817499168137175</v>
      </c>
      <c r="AD196" s="16">
        <v>2.0957763451219478</v>
      </c>
      <c r="AE196" s="16">
        <v>3.9750565251432874</v>
      </c>
      <c r="AF196" s="16">
        <v>4.7765339244345739</v>
      </c>
      <c r="AG196" s="16">
        <v>4.9115131494641417</v>
      </c>
      <c r="AH196" s="16">
        <v>3.3899512107965251</v>
      </c>
      <c r="AI196" s="16">
        <v>-3.7017081133196399</v>
      </c>
      <c r="AJ196" s="16">
        <v>1.5832278143703746</v>
      </c>
      <c r="AK196" s="16">
        <v>3.8913165236801603</v>
      </c>
      <c r="AL196" s="16">
        <v>3.7669362569680231</v>
      </c>
      <c r="AM196" s="16">
        <v>3.2226793729633272</v>
      </c>
      <c r="AN196" s="16">
        <v>3.5876639097802041</v>
      </c>
      <c r="AO196" s="16">
        <v>1.1723026874803253</v>
      </c>
      <c r="AP196" s="16">
        <v>3.9099388004468096</v>
      </c>
      <c r="AQ196" s="16">
        <v>4.9258868744217494</v>
      </c>
      <c r="AR196" s="16">
        <v>4.8633173310250584</v>
      </c>
      <c r="AS196" s="16">
        <v>2.9867515100344662</v>
      </c>
      <c r="AT196" s="16">
        <v>6.0860491544291193</v>
      </c>
      <c r="AU196" s="16">
        <v>0.78642426955597955</v>
      </c>
      <c r="AV196" s="16">
        <v>-9.1839432607798699E-3</v>
      </c>
      <c r="AW196" s="16">
        <v>8.7264263572645291</v>
      </c>
      <c r="AX196" s="16">
        <v>-1.8454603688162621</v>
      </c>
      <c r="AY196" s="16">
        <v>-0.99102999074925435</v>
      </c>
      <c r="AZ196" s="19">
        <v>-0.5822974381934074</v>
      </c>
      <c r="BA196" s="19">
        <v>-1.2665834534511049</v>
      </c>
      <c r="BB196" s="19">
        <v>-1.4162108787671599</v>
      </c>
      <c r="BC196" s="19">
        <v>9.2102071779279981E-2</v>
      </c>
      <c r="BD196" s="19">
        <v>0.80057305997304695</v>
      </c>
      <c r="BE196" s="19">
        <v>1.2469693903962167</v>
      </c>
      <c r="BF196" s="19">
        <v>0.84215901765836065</v>
      </c>
      <c r="BG196" s="19">
        <v>0.43657353906216656</v>
      </c>
      <c r="BH196" s="19">
        <v>0.70686091400082773</v>
      </c>
      <c r="BI196" s="19">
        <v>0.66542841605034653</v>
      </c>
      <c r="BJ196" s="19">
        <v>-0.50834505140497299</v>
      </c>
      <c r="BK196" s="19">
        <v>-0.4101619326530539</v>
      </c>
      <c r="BL196" s="19">
        <v>1.6646394462216136</v>
      </c>
      <c r="BM196" s="19">
        <v>-6.7464112908829748</v>
      </c>
      <c r="BN196" s="19">
        <v>0.96562266564160382</v>
      </c>
      <c r="BO196" s="16">
        <v>4.937605707249844</v>
      </c>
      <c r="BP196" s="16">
        <v>1.0159420330886633</v>
      </c>
    </row>
    <row r="197" spans="1:68" x14ac:dyDescent="0.3">
      <c r="A197" s="16" t="s">
        <v>723</v>
      </c>
      <c r="B197" s="16" t="s">
        <v>724</v>
      </c>
      <c r="C197" s="16" t="s">
        <v>604</v>
      </c>
      <c r="D197" s="16" t="s">
        <v>605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</row>
    <row r="198" spans="1:68" x14ac:dyDescent="0.3">
      <c r="A198" s="16" t="s">
        <v>192</v>
      </c>
      <c r="B198" s="16" t="s">
        <v>507</v>
      </c>
      <c r="C198" s="16" t="s">
        <v>604</v>
      </c>
      <c r="D198" s="16" t="s">
        <v>605</v>
      </c>
      <c r="F198" s="16">
        <v>4.6886685469462037</v>
      </c>
      <c r="G198" s="16">
        <v>5.8478632433647277</v>
      </c>
      <c r="H198" s="16">
        <v>5.4472929056764201</v>
      </c>
      <c r="I198" s="16">
        <v>6.2517993661541027</v>
      </c>
      <c r="J198" s="16">
        <v>7.9081276075716005</v>
      </c>
      <c r="K198" s="16">
        <v>4.8657489755419903</v>
      </c>
      <c r="L198" s="16">
        <v>8.2288053913033536</v>
      </c>
      <c r="M198" s="16">
        <v>9.3421018378284941</v>
      </c>
      <c r="N198" s="16">
        <v>3.0412930541168919</v>
      </c>
      <c r="O198" s="16">
        <v>10.085183477803824</v>
      </c>
      <c r="P198" s="16">
        <v>7.0840854692457214</v>
      </c>
      <c r="Q198" s="16">
        <v>8.1824796463818785</v>
      </c>
      <c r="R198" s="16">
        <v>11.166280448748097</v>
      </c>
      <c r="S198" s="16">
        <v>-0.25816620231196907</v>
      </c>
      <c r="T198" s="16">
        <v>-7.9146073695149965</v>
      </c>
      <c r="U198" s="16">
        <v>3.9027126739239719</v>
      </c>
      <c r="V198" s="16">
        <v>4.4872878950040302</v>
      </c>
      <c r="W198" s="16">
        <v>1.7125897264002958</v>
      </c>
      <c r="X198" s="16">
        <v>4.5125433826557213</v>
      </c>
      <c r="Y198" s="16">
        <v>3.4643711134550301</v>
      </c>
      <c r="Z198" s="16">
        <v>0.74080219732981334</v>
      </c>
      <c r="AA198" s="16">
        <v>1.5128933966638556</v>
      </c>
      <c r="AB198" s="16">
        <v>-0.63520261092811836</v>
      </c>
      <c r="AC198" s="16">
        <v>-2.2565780760726568</v>
      </c>
      <c r="AD198" s="16">
        <v>2.5266049361</v>
      </c>
      <c r="AE198" s="16">
        <v>4.0462786298993478</v>
      </c>
      <c r="AF198" s="16">
        <v>6.4100629304780057</v>
      </c>
      <c r="AG198" s="16">
        <v>7.6009034587024331</v>
      </c>
      <c r="AH198" s="16">
        <v>6.5960712981771223</v>
      </c>
      <c r="AI198" s="16">
        <v>4.1773284171828777</v>
      </c>
      <c r="AJ198" s="16">
        <v>4.6090335605418318</v>
      </c>
      <c r="AK198" s="16">
        <v>1.1681032968968879</v>
      </c>
      <c r="AL198" s="16">
        <v>-2.1630206123993219</v>
      </c>
      <c r="AM198" s="16">
        <v>0.69351739136156709</v>
      </c>
      <c r="AN198" s="16">
        <v>3.9223735979341541</v>
      </c>
      <c r="AO198" s="16">
        <v>3.1158057663207757</v>
      </c>
      <c r="AP198" s="16">
        <v>3.9357979572653363</v>
      </c>
      <c r="AQ198" s="16">
        <v>4.2796110565720653</v>
      </c>
      <c r="AR198" s="16">
        <v>3.3205092588992784</v>
      </c>
      <c r="AS198" s="16">
        <v>3.0890540479514357</v>
      </c>
      <c r="AT198" s="16">
        <v>1.2272634226526975</v>
      </c>
      <c r="AU198" s="16">
        <v>0.22054248819860334</v>
      </c>
      <c r="AV198" s="16">
        <v>-1.3017420859207931</v>
      </c>
      <c r="AW198" s="16">
        <v>1.5456201021614362</v>
      </c>
      <c r="AX198" s="16">
        <v>0.59503871809047837</v>
      </c>
      <c r="AY198" s="16">
        <v>1.4419364129667258</v>
      </c>
      <c r="AZ198" s="19">
        <v>2.3055521127716077</v>
      </c>
      <c r="BA198" s="19">
        <v>0.17470055493622283</v>
      </c>
      <c r="BB198" s="19">
        <v>-3.2143899672230845</v>
      </c>
      <c r="BC198" s="19">
        <v>1.6909284148323138</v>
      </c>
      <c r="BD198" s="19">
        <v>-1.5514683167247796</v>
      </c>
      <c r="BE198" s="19">
        <v>-3.667531415669373</v>
      </c>
      <c r="BF198" s="19">
        <v>-0.3773982487910672</v>
      </c>
      <c r="BG198" s="19">
        <v>1.3371199674465402</v>
      </c>
      <c r="BH198" s="19">
        <v>2.2144828853082998</v>
      </c>
      <c r="BI198" s="19">
        <v>2.341823215937751</v>
      </c>
      <c r="BJ198" s="19">
        <v>3.7590943888776707</v>
      </c>
      <c r="BK198" s="19">
        <v>3.0141237296509757</v>
      </c>
      <c r="BL198" s="19">
        <v>2.6583926055708531</v>
      </c>
      <c r="BM198" s="19">
        <v>-8.396855009531663</v>
      </c>
      <c r="BN198" s="19">
        <v>5.076695013820995</v>
      </c>
      <c r="BO198" s="16">
        <v>6.3362237626698743</v>
      </c>
      <c r="BP198" s="16">
        <v>1.1377005371886639</v>
      </c>
    </row>
    <row r="199" spans="1:68" x14ac:dyDescent="0.3">
      <c r="A199" s="16" t="s">
        <v>187</v>
      </c>
      <c r="B199" s="16" t="s">
        <v>508</v>
      </c>
      <c r="C199" s="16" t="s">
        <v>604</v>
      </c>
      <c r="D199" s="16" t="s">
        <v>605</v>
      </c>
      <c r="F199" s="16">
        <v>4.346242700752228</v>
      </c>
      <c r="G199" s="16">
        <v>0.79908887679754059</v>
      </c>
      <c r="H199" s="16">
        <v>2.1423761735160411</v>
      </c>
      <c r="I199" s="16">
        <v>1.6480860334136622</v>
      </c>
      <c r="J199" s="16">
        <v>3.5764820989116117</v>
      </c>
      <c r="K199" s="16">
        <v>-0.46089453221954102</v>
      </c>
      <c r="L199" s="16">
        <v>6.5815345641825331</v>
      </c>
      <c r="M199" s="16">
        <v>2.1201539761406707</v>
      </c>
      <c r="N199" s="16">
        <v>2.3344944807250272</v>
      </c>
      <c r="O199" s="16">
        <v>3.2018169806772363</v>
      </c>
      <c r="P199" s="16">
        <v>3.1826047584567476</v>
      </c>
      <c r="Q199" s="16">
        <v>4.1899284875841687</v>
      </c>
      <c r="R199" s="16">
        <v>4.7418282911354908</v>
      </c>
      <c r="S199" s="16">
        <v>5.7243775859471953</v>
      </c>
      <c r="T199" s="16">
        <v>4.2316969995113851</v>
      </c>
      <c r="U199" s="16">
        <v>4.8998442688565262</v>
      </c>
      <c r="V199" s="16">
        <v>8.7655463319594702</v>
      </c>
      <c r="W199" s="16">
        <v>9.2728041117285329</v>
      </c>
      <c r="X199" s="16">
        <v>9.0633696032212896</v>
      </c>
      <c r="Y199" s="16">
        <v>8.8277567611438741</v>
      </c>
      <c r="Z199" s="16">
        <v>6.2581298185892393</v>
      </c>
      <c r="AA199" s="16">
        <v>-4.0775817069964688</v>
      </c>
      <c r="AB199" s="16">
        <v>-5.6990250395558206</v>
      </c>
      <c r="AC199" s="16">
        <v>-1.3069250146912736E-2</v>
      </c>
      <c r="AD199" s="16">
        <v>1.6375209272848679</v>
      </c>
      <c r="AE199" s="16">
        <v>2.0627642661782204</v>
      </c>
      <c r="AF199" s="16">
        <v>4.6180616556360548</v>
      </c>
      <c r="AG199" s="16">
        <v>3.0119291645912938</v>
      </c>
      <c r="AH199" s="16">
        <v>4.0434548223588109</v>
      </c>
      <c r="AI199" s="16">
        <v>1.3553372434798945</v>
      </c>
      <c r="AJ199" s="16">
        <v>0.79206103858521715</v>
      </c>
      <c r="AK199" s="16">
        <v>-0.89659787429108917</v>
      </c>
      <c r="AL199" s="16">
        <v>2.3250094207307228</v>
      </c>
      <c r="AM199" s="16">
        <v>2.7618976075634265</v>
      </c>
      <c r="AN199" s="16">
        <v>4.3026375107369432</v>
      </c>
      <c r="AO199" s="16">
        <v>-0.74882899481998777</v>
      </c>
      <c r="AP199" s="16">
        <v>1.9355153266772192</v>
      </c>
      <c r="AQ199" s="16">
        <v>-2.0693165359497669</v>
      </c>
      <c r="AR199" s="16">
        <v>-3.3792119057642083</v>
      </c>
      <c r="AS199" s="16">
        <v>-4.1784735631923979</v>
      </c>
      <c r="AT199" s="16">
        <v>-2.503241441390017</v>
      </c>
      <c r="AU199" s="16">
        <v>-1.4392570908975983</v>
      </c>
      <c r="AV199" s="16">
        <v>3.0201206328199106</v>
      </c>
      <c r="AW199" s="16">
        <v>2.8457291485548382</v>
      </c>
      <c r="AX199" s="16">
        <v>1.0042722679649358</v>
      </c>
      <c r="AY199" s="16">
        <v>3.7126469749409807</v>
      </c>
      <c r="AZ199" s="19">
        <v>4.3755431335136876</v>
      </c>
      <c r="BA199" s="19">
        <v>5.4586549212759792</v>
      </c>
      <c r="BB199" s="19">
        <v>-1.2655265613980191</v>
      </c>
      <c r="BC199" s="19">
        <v>9.8234146329511134</v>
      </c>
      <c r="BD199" s="19">
        <v>2.9421622415390658</v>
      </c>
      <c r="BE199" s="19">
        <v>-2.0387310967984007</v>
      </c>
      <c r="BF199" s="19">
        <v>6.8085134498924873</v>
      </c>
      <c r="BG199" s="19">
        <v>3.8304979254091052</v>
      </c>
      <c r="BH199" s="19">
        <v>1.5034576472398697</v>
      </c>
      <c r="BI199" s="19">
        <v>2.7927597587985389</v>
      </c>
      <c r="BJ199" s="19">
        <v>3.3458159870422719</v>
      </c>
      <c r="BK199" s="19">
        <v>1.7959516313166262</v>
      </c>
      <c r="BL199" s="19">
        <v>-1.7242020509802529</v>
      </c>
      <c r="BM199" s="19">
        <v>-2.14847789745059</v>
      </c>
      <c r="BN199" s="19">
        <v>2.6962561379982901</v>
      </c>
      <c r="BO199" s="16">
        <v>-0.96071672624074722</v>
      </c>
      <c r="BP199" s="16">
        <v>3.4813357159456046</v>
      </c>
    </row>
    <row r="200" spans="1:68" hidden="1" x14ac:dyDescent="0.3">
      <c r="A200" s="16" t="s">
        <v>725</v>
      </c>
      <c r="B200" s="16" t="s">
        <v>726</v>
      </c>
      <c r="C200" s="16" t="s">
        <v>604</v>
      </c>
      <c r="D200" s="16" t="s">
        <v>605</v>
      </c>
      <c r="AN200" s="16">
        <v>2.4276893493906613</v>
      </c>
      <c r="AO200" s="16">
        <v>-3.2171628083113291</v>
      </c>
      <c r="AP200" s="16">
        <v>9.6458382019078357</v>
      </c>
      <c r="AQ200" s="16">
        <v>11.44966725909336</v>
      </c>
      <c r="AR200" s="16">
        <v>5.5486249477760339</v>
      </c>
      <c r="AS200" s="16">
        <v>-10.863188110542879</v>
      </c>
      <c r="AT200" s="16">
        <v>-11.598637277812671</v>
      </c>
      <c r="AU200" s="16">
        <v>-14.697013738976466</v>
      </c>
      <c r="AV200" s="16">
        <v>11.139384987189487</v>
      </c>
      <c r="AW200" s="16">
        <v>18.849181499214993</v>
      </c>
      <c r="AX200" s="16">
        <v>8.4829084168251967</v>
      </c>
      <c r="AY200" s="16">
        <v>-3.494302349611317</v>
      </c>
      <c r="AZ200" s="19">
        <v>1.1698259623352101</v>
      </c>
      <c r="BA200" s="19">
        <v>4.5137114394218258</v>
      </c>
      <c r="BB200" s="19">
        <v>5.7345768131615245</v>
      </c>
      <c r="BC200" s="19">
        <v>3.0656542562540068</v>
      </c>
      <c r="BD200" s="19">
        <v>6.8678348750254088</v>
      </c>
      <c r="BE200" s="19">
        <v>3.5103674636903577</v>
      </c>
      <c r="BF200" s="19">
        <v>2.2148504792688612</v>
      </c>
      <c r="BG200" s="19">
        <v>-2.4710263048180394</v>
      </c>
      <c r="BH200" s="19">
        <v>1.372585088323433</v>
      </c>
      <c r="BI200" s="19">
        <v>6.4466614609455632</v>
      </c>
      <c r="BJ200" s="19">
        <v>-0.57762280240348218</v>
      </c>
      <c r="BK200" s="19">
        <v>-1.3048141919532696</v>
      </c>
      <c r="BL200" s="19">
        <v>-1.1516136653513627</v>
      </c>
      <c r="BM200" s="19">
        <v>-13.496386973047663</v>
      </c>
      <c r="BN200" s="19">
        <v>4.4146953449132127</v>
      </c>
      <c r="BO200" s="16">
        <v>1.5885647138339323</v>
      </c>
      <c r="BP200" s="16">
        <v>-7.7433727559069467</v>
      </c>
    </row>
    <row r="201" spans="1:68" hidden="1" x14ac:dyDescent="0.3">
      <c r="A201" s="16" t="s">
        <v>727</v>
      </c>
      <c r="B201" s="16" t="s">
        <v>728</v>
      </c>
      <c r="C201" s="16" t="s">
        <v>604</v>
      </c>
      <c r="D201" s="16" t="s">
        <v>605</v>
      </c>
      <c r="P201" s="16">
        <v>4.144894727621562</v>
      </c>
      <c r="Q201" s="16">
        <v>3.4298945927184121</v>
      </c>
      <c r="R201" s="16">
        <v>9.1048770084166222</v>
      </c>
      <c r="S201" s="16">
        <v>1.3987925454926398</v>
      </c>
      <c r="T201" s="16">
        <v>-1.5560445563776142</v>
      </c>
      <c r="U201" s="16">
        <v>-1.2264528552924645</v>
      </c>
      <c r="V201" s="16">
        <v>1.248288483643023</v>
      </c>
      <c r="W201" s="16">
        <v>3.7758253901841954E-2</v>
      </c>
      <c r="X201" s="16">
        <v>6.2650115378781663</v>
      </c>
      <c r="Y201" s="16">
        <v>-6.0156201839567984</v>
      </c>
      <c r="Z201" s="16">
        <v>0.78149291646185759</v>
      </c>
      <c r="AA201" s="16">
        <v>-5.4170443602885854</v>
      </c>
      <c r="AB201" s="16">
        <v>-3.3065402628740657</v>
      </c>
      <c r="AC201" s="16">
        <v>3.1415947862660971</v>
      </c>
      <c r="AD201" s="16">
        <v>-3.880109408304719</v>
      </c>
      <c r="AE201" s="16">
        <v>3.2663742778757552</v>
      </c>
      <c r="AF201" s="16">
        <v>-3.90242061242148</v>
      </c>
      <c r="AG201" s="16">
        <v>-0.54617856771781703</v>
      </c>
      <c r="AH201" s="16">
        <v>2.9761172548804922</v>
      </c>
      <c r="AI201" s="16">
        <v>2.196788848297345</v>
      </c>
      <c r="AJ201" s="16">
        <v>-1.7052531334510235</v>
      </c>
      <c r="AK201" s="16">
        <v>3.7025365599696869</v>
      </c>
      <c r="AL201" s="16">
        <v>0.656581614470511</v>
      </c>
      <c r="AM201" s="16">
        <v>3.496262145097262</v>
      </c>
      <c r="AN201" s="16">
        <v>3.2831774765049317</v>
      </c>
      <c r="AO201" s="16">
        <v>1.8375560169798604</v>
      </c>
      <c r="AP201" s="16">
        <v>-2.6198062528076065</v>
      </c>
      <c r="AQ201" s="16">
        <v>-9.3323404453286685E-2</v>
      </c>
      <c r="AR201" s="16">
        <v>2.8061860659832121</v>
      </c>
      <c r="AS201" s="16">
        <v>-3.1051995222148037</v>
      </c>
      <c r="AT201" s="16">
        <v>-0.37166527121755166</v>
      </c>
      <c r="AU201" s="16">
        <v>0.71330992162559426</v>
      </c>
      <c r="AV201" s="16">
        <v>0.67655535930992983</v>
      </c>
      <c r="AW201" s="16">
        <v>2.6819367377611627</v>
      </c>
      <c r="AX201" s="16">
        <v>1.1827980956001625</v>
      </c>
      <c r="AY201" s="16">
        <v>1.1312503793288471</v>
      </c>
      <c r="AZ201" s="19">
        <v>-0.77630012962369221</v>
      </c>
      <c r="BA201" s="19">
        <v>0.97776988356635286</v>
      </c>
      <c r="BB201" s="19">
        <v>-1.6683266752313557</v>
      </c>
      <c r="BC201" s="19">
        <v>2.5921501606943878</v>
      </c>
      <c r="BD201" s="19">
        <v>2.7069763233855468</v>
      </c>
      <c r="BE201" s="19">
        <v>-0.10035130005573478</v>
      </c>
      <c r="BF201" s="19">
        <v>2.0862033909597528</v>
      </c>
      <c r="BG201" s="19">
        <v>2.4938815958535798</v>
      </c>
      <c r="BH201" s="19">
        <v>2.6643775137412007</v>
      </c>
      <c r="BI201" s="19">
        <v>2.6663803576775678</v>
      </c>
      <c r="BJ201" s="19">
        <v>2.8981949089604768</v>
      </c>
      <c r="BK201" s="19">
        <v>1.7003115082099924</v>
      </c>
      <c r="BL201" s="19">
        <v>0.18306673326864598</v>
      </c>
      <c r="BM201" s="19">
        <v>-11.32818462202178</v>
      </c>
      <c r="BN201" s="19">
        <v>-4.1876341226903122</v>
      </c>
      <c r="BO201" s="16">
        <v>7.782232620429923</v>
      </c>
      <c r="BP201" s="16">
        <v>4.229616821754135</v>
      </c>
    </row>
    <row r="202" spans="1:68" hidden="1" x14ac:dyDescent="0.3">
      <c r="A202" s="16" t="s">
        <v>729</v>
      </c>
      <c r="B202" s="16" t="s">
        <v>730</v>
      </c>
      <c r="C202" s="16" t="s">
        <v>604</v>
      </c>
      <c r="D202" s="16" t="s">
        <v>605</v>
      </c>
      <c r="F202" s="16">
        <v>3.165794587952206</v>
      </c>
      <c r="G202" s="16">
        <v>4.3144204824291421</v>
      </c>
      <c r="H202" s="16">
        <v>3.7950028484320768</v>
      </c>
      <c r="I202" s="16">
        <v>5.1676674455155336</v>
      </c>
      <c r="J202" s="16">
        <v>4.3333847624221704</v>
      </c>
      <c r="K202" s="16">
        <v>4.4243203153604611</v>
      </c>
      <c r="L202" s="16">
        <v>2.7644347630523924</v>
      </c>
      <c r="M202" s="16">
        <v>4.8560732855211342</v>
      </c>
      <c r="N202" s="16">
        <v>4.605068716245114</v>
      </c>
      <c r="O202" s="16">
        <v>1.7527217073150467</v>
      </c>
      <c r="P202" s="16">
        <v>2.5795816261472453</v>
      </c>
      <c r="Q202" s="16">
        <v>4.3262211743576415</v>
      </c>
      <c r="R202" s="16">
        <v>5.1498297459874323</v>
      </c>
      <c r="S202" s="16">
        <v>5.8281015811928683E-2</v>
      </c>
      <c r="T202" s="16">
        <v>-0.83612963086009984</v>
      </c>
      <c r="U202" s="16">
        <v>4.0122484916720538</v>
      </c>
      <c r="V202" s="16">
        <v>3.0667364961553147</v>
      </c>
      <c r="W202" s="16">
        <v>3.5842838841714979</v>
      </c>
      <c r="X202" s="16">
        <v>3.0775295006458521</v>
      </c>
      <c r="Y202" s="16">
        <v>0.3954905985928292</v>
      </c>
      <c r="Z202" s="16">
        <v>1.2720645531813375</v>
      </c>
      <c r="AA202" s="16">
        <v>-0.4098382688078317</v>
      </c>
      <c r="AB202" s="16">
        <v>2.5758975000778435</v>
      </c>
      <c r="AC202" s="16">
        <v>4.2518107225625528</v>
      </c>
      <c r="AD202" s="16">
        <v>3.1925512470622408</v>
      </c>
      <c r="AE202" s="16">
        <v>2.6277214031430418</v>
      </c>
      <c r="AF202" s="16">
        <v>2.9557693141294408</v>
      </c>
      <c r="AG202" s="16">
        <v>4.0666324199719099</v>
      </c>
      <c r="AH202" s="16">
        <v>3.1639895550374035</v>
      </c>
      <c r="AI202" s="16">
        <v>2.053115778027518</v>
      </c>
      <c r="AJ202" s="16">
        <v>0.28633708371860678</v>
      </c>
      <c r="AK202" s="16">
        <v>1.1964174087831339</v>
      </c>
      <c r="AL202" s="16">
        <v>0.50679319267131007</v>
      </c>
      <c r="AM202" s="16">
        <v>2.5496071381169543</v>
      </c>
      <c r="AN202" s="16">
        <v>2.151570619656141</v>
      </c>
      <c r="AO202" s="16">
        <v>2.3584936601221074</v>
      </c>
      <c r="AP202" s="16">
        <v>2.8875815239704394</v>
      </c>
      <c r="AQ202" s="16">
        <v>2.3380710716840269</v>
      </c>
      <c r="AR202" s="16">
        <v>3.0356310636762203</v>
      </c>
      <c r="AS202" s="16">
        <v>3.5169514633381311</v>
      </c>
      <c r="AT202" s="16">
        <v>1.0492218764142933</v>
      </c>
      <c r="AU202" s="16">
        <v>1.0234947960253749</v>
      </c>
      <c r="AV202" s="16">
        <v>1.5139875617734333</v>
      </c>
      <c r="AW202" s="16">
        <v>2.6826105051396212</v>
      </c>
      <c r="AX202" s="16">
        <v>2.2537601374757372</v>
      </c>
      <c r="AY202" s="16">
        <v>2.3689802420789476</v>
      </c>
      <c r="AZ202" s="19">
        <v>1.9462114028081885</v>
      </c>
      <c r="BA202" s="19">
        <v>-0.24560721791949902</v>
      </c>
      <c r="BB202" s="19">
        <v>-3.8838782759234789</v>
      </c>
      <c r="BC202" s="19">
        <v>2.4350992625340666</v>
      </c>
      <c r="BD202" s="19">
        <v>1.3893283839417165</v>
      </c>
      <c r="BE202" s="19">
        <v>0.83532409940372077</v>
      </c>
      <c r="BF202" s="19">
        <v>1.0665238826987462</v>
      </c>
      <c r="BG202" s="19">
        <v>1.5493478042336761</v>
      </c>
      <c r="BH202" s="19">
        <v>1.7678021214856443</v>
      </c>
      <c r="BI202" s="19">
        <v>1.3380461085714614</v>
      </c>
      <c r="BJ202" s="19">
        <v>2.0753817532621639</v>
      </c>
      <c r="BK202" s="19">
        <v>1.8880027025031723</v>
      </c>
      <c r="BL202" s="19">
        <v>1.4750238765854533</v>
      </c>
      <c r="BM202" s="19">
        <v>-4.4771942273437446</v>
      </c>
      <c r="BN202" s="19">
        <v>5.5292768427075032</v>
      </c>
      <c r="BO202" s="16">
        <v>2.6243506603377682</v>
      </c>
      <c r="BP202" s="16">
        <v>1.2238421485256197</v>
      </c>
    </row>
    <row r="203" spans="1:68" x14ac:dyDescent="0.3">
      <c r="A203" s="16" t="s">
        <v>101</v>
      </c>
      <c r="B203" s="16" t="s">
        <v>731</v>
      </c>
      <c r="C203" s="16" t="s">
        <v>604</v>
      </c>
      <c r="D203" s="16" t="s">
        <v>605</v>
      </c>
      <c r="K203" s="16">
        <v>5.7122953510126138</v>
      </c>
      <c r="L203" s="16">
        <v>-8.0770479810258422</v>
      </c>
      <c r="M203" s="16">
        <v>10.915674603634869</v>
      </c>
      <c r="N203" s="16">
        <v>-6.0815819750982456</v>
      </c>
      <c r="O203" s="16">
        <v>-1.8973065757783161</v>
      </c>
      <c r="P203" s="16">
        <v>8.1344052631761059</v>
      </c>
      <c r="Q203" s="16">
        <v>-7.9727233275615532</v>
      </c>
      <c r="R203" s="16">
        <v>4.1570599041529874</v>
      </c>
      <c r="S203" s="16">
        <v>14.107465031233261</v>
      </c>
      <c r="T203" s="16">
        <v>-7.9521705652249182</v>
      </c>
      <c r="U203" s="16">
        <v>4.8133522794453256</v>
      </c>
      <c r="V203" s="16">
        <v>-1.1072293876779611</v>
      </c>
      <c r="W203" s="16">
        <v>6.5059714700147424</v>
      </c>
      <c r="X203" s="16">
        <v>0.7680935190287812</v>
      </c>
      <c r="Y203" s="16">
        <v>-2.6035209849666501</v>
      </c>
      <c r="Z203" s="16">
        <v>-0.57571981782386672</v>
      </c>
      <c r="AA203" s="16">
        <v>-1.4811137386972746</v>
      </c>
      <c r="AB203" s="16">
        <v>-0.26837292889084097</v>
      </c>
      <c r="AC203" s="16">
        <v>6.6567005631384291E-2</v>
      </c>
      <c r="AD203" s="16">
        <v>-3.5058758413008491</v>
      </c>
      <c r="AE203" s="16">
        <v>10.819518629221164</v>
      </c>
      <c r="AF203" s="16">
        <v>-1.1274418423022894</v>
      </c>
      <c r="AG203" s="16">
        <v>-5.932449335785634</v>
      </c>
      <c r="AH203" s="16">
        <v>-0.23124786205966075</v>
      </c>
      <c r="AI203" s="16">
        <v>-2.0132261557005933</v>
      </c>
      <c r="AJ203" s="16">
        <v>1.5602267908380441</v>
      </c>
      <c r="AK203" s="16">
        <v>-3.3315828763658288</v>
      </c>
      <c r="AL203" s="16">
        <v>-3.1035087245786883</v>
      </c>
      <c r="AM203" s="16">
        <v>-3.3800663546916212</v>
      </c>
      <c r="AN203" s="16">
        <v>-2.0089408967074149</v>
      </c>
      <c r="AO203" s="16">
        <v>-2.249382893251834</v>
      </c>
      <c r="AP203" s="16">
        <v>-1.7302191095564865</v>
      </c>
      <c r="AQ203" s="16">
        <v>0.12244169213548162</v>
      </c>
      <c r="AR203" s="16">
        <v>0.26446851962707285</v>
      </c>
      <c r="AS203" s="16">
        <v>1.5559728194251505</v>
      </c>
      <c r="AT203" s="16">
        <v>-1.9522348788787696</v>
      </c>
      <c r="AU203" s="16">
        <v>-0.74471132640708504</v>
      </c>
      <c r="AV203" s="16">
        <v>0.56071846683487081</v>
      </c>
      <c r="AW203" s="16">
        <v>-0.52517414979780597</v>
      </c>
      <c r="AX203" s="16">
        <v>-1.1436440838230624</v>
      </c>
      <c r="AY203" s="16">
        <v>-0.52007569664712605</v>
      </c>
      <c r="AZ203" s="19">
        <v>0.50686793301444766</v>
      </c>
      <c r="BA203" s="19">
        <v>-0.84159929958023838</v>
      </c>
      <c r="BB203" s="19">
        <v>-4.8166231379005495</v>
      </c>
      <c r="BC203" s="19">
        <v>-2.9833114779138725</v>
      </c>
      <c r="BD203" s="19">
        <v>-3.4643856836030693</v>
      </c>
      <c r="BE203" s="19">
        <v>-1.3835177315044263</v>
      </c>
      <c r="BF203" s="19">
        <v>-0.10592536756610116</v>
      </c>
      <c r="BG203" s="19">
        <v>-4.5320964043298773E-2</v>
      </c>
      <c r="BH203" s="19">
        <v>0.99822529559270379</v>
      </c>
      <c r="BI203" s="19">
        <v>1.7579535543163161</v>
      </c>
      <c r="BJ203" s="19">
        <v>3.7001042612267128</v>
      </c>
      <c r="BK203" s="19">
        <v>1.0943083806311193</v>
      </c>
      <c r="BL203" s="19">
        <v>1.9765869350067931</v>
      </c>
      <c r="BM203" s="19">
        <v>-7.7292056370736475</v>
      </c>
      <c r="BN203" s="19">
        <v>1.3855735098004232</v>
      </c>
      <c r="BO203" s="16">
        <v>3.6996646513398019</v>
      </c>
    </row>
    <row r="204" spans="1:68" x14ac:dyDescent="0.3">
      <c r="A204" s="16" t="s">
        <v>194</v>
      </c>
      <c r="B204" s="16" t="s">
        <v>509</v>
      </c>
      <c r="C204" s="16" t="s">
        <v>604</v>
      </c>
      <c r="D204" s="16" t="s">
        <v>605</v>
      </c>
      <c r="P204" s="16">
        <v>-2.4636611835049678</v>
      </c>
      <c r="Q204" s="16">
        <v>-0.33422034424795299</v>
      </c>
      <c r="R204" s="16">
        <v>0.36772928332871402</v>
      </c>
      <c r="S204" s="16">
        <v>-3.2582786490733611</v>
      </c>
      <c r="T204" s="16">
        <v>-2.6675011706147984</v>
      </c>
      <c r="U204" s="16">
        <v>0.15970837320782039</v>
      </c>
      <c r="V204" s="16">
        <v>-13.910181700746662</v>
      </c>
      <c r="W204" s="16">
        <v>1.5140256064893833</v>
      </c>
      <c r="X204" s="16">
        <v>-1.5393524100084903</v>
      </c>
      <c r="Y204" s="16">
        <v>-7.1106278823046267</v>
      </c>
      <c r="Z204" s="16">
        <v>-5.0654158732463657</v>
      </c>
      <c r="AA204" s="16">
        <v>-12.153556380731416</v>
      </c>
      <c r="AB204" s="16">
        <v>-7.1270473651265718</v>
      </c>
      <c r="AC204" s="16">
        <v>-0.68783387363149018</v>
      </c>
      <c r="AD204" s="16">
        <v>-6.8358812852297035</v>
      </c>
      <c r="AE204" s="16">
        <v>0.80086616774961783</v>
      </c>
      <c r="AF204" s="16">
        <v>-3.7471873519662182</v>
      </c>
      <c r="AG204" s="16">
        <v>2.1140167511524339</v>
      </c>
      <c r="AH204" s="16">
        <v>2.5510535006414443</v>
      </c>
      <c r="AI204" s="16">
        <v>-4.5915651347456787E-2</v>
      </c>
      <c r="AJ204" s="16">
        <v>-4.8528685501291733</v>
      </c>
      <c r="AK204" s="16">
        <v>7.8327648787101793</v>
      </c>
      <c r="AL204" s="16">
        <v>-4.3192392037230434</v>
      </c>
      <c r="AM204" s="16">
        <v>-1.547185617789637</v>
      </c>
      <c r="AN204" s="16">
        <v>-0.4731655846616718</v>
      </c>
      <c r="AO204" s="16">
        <v>1.5870040089503163</v>
      </c>
      <c r="AP204" s="16">
        <v>24.976293163456688</v>
      </c>
      <c r="AQ204" s="16">
        <v>5.3981157721580502</v>
      </c>
      <c r="AR204" s="16">
        <v>-1.2089826252517355</v>
      </c>
      <c r="AS204" s="16">
        <v>2.5701661538459035</v>
      </c>
      <c r="AT204" s="16">
        <v>-1.1363903561986319</v>
      </c>
      <c r="AU204" s="16">
        <v>2.0190626389639164</v>
      </c>
      <c r="AV204" s="16">
        <v>-1.1768178101021221</v>
      </c>
      <c r="AW204" s="16">
        <v>14.710638960329774</v>
      </c>
      <c r="AX204" s="16">
        <v>-1.4701853255203616</v>
      </c>
      <c r="AY204" s="16">
        <v>5.493221290212432</v>
      </c>
      <c r="AZ204" s="19">
        <v>-2.7817182111792818</v>
      </c>
      <c r="BA204" s="19">
        <v>0.36088052236753754</v>
      </c>
      <c r="BB204" s="19">
        <v>0.41538659729754102</v>
      </c>
      <c r="BC204" s="19">
        <v>12.387494904147033</v>
      </c>
      <c r="BD204" s="19">
        <v>7.6776083201643104</v>
      </c>
      <c r="BE204" s="19">
        <v>-0.84755402438324268</v>
      </c>
      <c r="BF204" s="19">
        <v>-1.1771920466434267</v>
      </c>
      <c r="BG204" s="19">
        <v>-3.1783657022724583</v>
      </c>
      <c r="BH204" s="19">
        <v>-3.9280991961910132</v>
      </c>
      <c r="BI204" s="19">
        <v>-4.1078624678907971</v>
      </c>
      <c r="BJ204" s="19">
        <v>-5.7326096217368416</v>
      </c>
      <c r="BK204" s="19">
        <v>-0.77673917535480541</v>
      </c>
      <c r="BL204" s="19">
        <v>-0.76449664072224266</v>
      </c>
      <c r="BM204" s="19">
        <v>-1.9207575885120605</v>
      </c>
      <c r="BN204" s="19">
        <v>4.3544270798293638</v>
      </c>
      <c r="BO204" s="16">
        <v>3.9425803357713249</v>
      </c>
    </row>
    <row r="205" spans="1:68" x14ac:dyDescent="0.3">
      <c r="A205" s="16" t="s">
        <v>198</v>
      </c>
      <c r="B205" s="16" t="s">
        <v>510</v>
      </c>
      <c r="C205" s="16" t="s">
        <v>604</v>
      </c>
      <c r="D205" s="16" t="s">
        <v>605</v>
      </c>
      <c r="AJ205" s="16">
        <v>-12.158441341251773</v>
      </c>
      <c r="AK205" s="16">
        <v>-7.9392395282675778</v>
      </c>
      <c r="AL205" s="16">
        <v>1.6671186096830866</v>
      </c>
      <c r="AM205" s="16">
        <v>4.0831478994374208</v>
      </c>
      <c r="AN205" s="16">
        <v>6.4486594144634921</v>
      </c>
      <c r="AO205" s="16">
        <v>4.2075225437610442</v>
      </c>
      <c r="AP205" s="16">
        <v>-4.5747304296563982</v>
      </c>
      <c r="AQ205" s="16">
        <v>-1.8268239744175077</v>
      </c>
      <c r="AR205" s="16">
        <v>-0.22015055490290081</v>
      </c>
      <c r="AS205" s="16">
        <v>2.5939752319906688</v>
      </c>
      <c r="AT205" s="16">
        <v>6.6966736663748776</v>
      </c>
      <c r="AU205" s="16">
        <v>7.6558694342613052</v>
      </c>
      <c r="AV205" s="16">
        <v>3.08196384315724</v>
      </c>
      <c r="AW205" s="16">
        <v>11.05911321619493</v>
      </c>
      <c r="AX205" s="16">
        <v>5.3165061122384003</v>
      </c>
      <c r="AY205" s="16">
        <v>8.6706758529233099</v>
      </c>
      <c r="AZ205" s="19">
        <v>8.8296482372390415</v>
      </c>
      <c r="BA205" s="19">
        <v>11.144208901497905</v>
      </c>
      <c r="BB205" s="19">
        <v>-4.7269826011584115</v>
      </c>
      <c r="BC205" s="19">
        <v>-3.3287503644697125</v>
      </c>
      <c r="BD205" s="19">
        <v>5.0324375805685122</v>
      </c>
      <c r="BE205" s="19">
        <v>2.3797523363663373</v>
      </c>
      <c r="BF205" s="19">
        <v>0.64298150128570342</v>
      </c>
      <c r="BG205" s="19">
        <v>4.5114168545427447</v>
      </c>
      <c r="BH205" s="19">
        <v>3.6465535659062596</v>
      </c>
      <c r="BI205" s="19">
        <v>3.4492952189512494</v>
      </c>
      <c r="BJ205" s="19">
        <v>8.8237007680819488</v>
      </c>
      <c r="BK205" s="19">
        <v>6.6537658078578374</v>
      </c>
      <c r="BL205" s="19">
        <v>4.4017213661076084</v>
      </c>
      <c r="BM205" s="19">
        <v>-3.1455415612917506</v>
      </c>
      <c r="BN205" s="19">
        <v>6.5004705234421181</v>
      </c>
      <c r="BO205" s="16">
        <v>4.5172350409029178</v>
      </c>
      <c r="BP205" s="16">
        <v>2.0996597981589389</v>
      </c>
    </row>
    <row r="206" spans="1:68" x14ac:dyDescent="0.3">
      <c r="A206" s="16" t="s">
        <v>199</v>
      </c>
      <c r="B206" s="16" t="s">
        <v>511</v>
      </c>
      <c r="C206" s="16" t="s">
        <v>604</v>
      </c>
      <c r="D206" s="16" t="s">
        <v>605</v>
      </c>
      <c r="AI206" s="16">
        <v>-3.1628359729669597</v>
      </c>
      <c r="AJ206" s="16">
        <v>-5.3187619096563168</v>
      </c>
      <c r="AK206" s="16">
        <v>-14.613917135803561</v>
      </c>
      <c r="AL206" s="16">
        <v>-8.6196861844154</v>
      </c>
      <c r="AM206" s="16">
        <v>-12.53978986086544</v>
      </c>
      <c r="AN206" s="16">
        <v>-4.1227723652260266</v>
      </c>
      <c r="AO206" s="16">
        <v>-3.6149754949764628</v>
      </c>
      <c r="AP206" s="16">
        <v>1.5677041497550448</v>
      </c>
      <c r="AQ206" s="16">
        <v>-5.1431153621187065</v>
      </c>
      <c r="AR206" s="16">
        <v>6.7295029233502106</v>
      </c>
      <c r="AS206" s="16">
        <v>10.4637091559227</v>
      </c>
      <c r="AT206" s="16">
        <v>5.5467183393264321</v>
      </c>
      <c r="AU206" s="16">
        <v>5.1827502382498807</v>
      </c>
      <c r="AV206" s="16">
        <v>7.7879675239034896</v>
      </c>
      <c r="AW206" s="16">
        <v>7.6324911823090815</v>
      </c>
      <c r="AX206" s="16">
        <v>6.806607652592092</v>
      </c>
      <c r="AY206" s="16">
        <v>8.5549414746973724</v>
      </c>
      <c r="AZ206" s="19">
        <v>8.6857654815596561</v>
      </c>
      <c r="BA206" s="19">
        <v>5.2462100182986546</v>
      </c>
      <c r="BB206" s="19">
        <v>-7.8277499767232968</v>
      </c>
      <c r="BC206" s="19">
        <v>4.4530963983475687</v>
      </c>
      <c r="BD206" s="19">
        <v>4.1769762436818354</v>
      </c>
      <c r="BE206" s="19">
        <v>3.7627191550001555</v>
      </c>
      <c r="BF206" s="19">
        <v>1.453147678759322</v>
      </c>
      <c r="BG206" s="19">
        <v>-1.1219404174418628</v>
      </c>
      <c r="BH206" s="19">
        <v>-2.2762114110788048</v>
      </c>
      <c r="BI206" s="19">
        <v>-9.0486200478210321E-2</v>
      </c>
      <c r="BJ206" s="19">
        <v>1.6138732592420268</v>
      </c>
      <c r="BK206" s="19">
        <v>2.7165927166054189</v>
      </c>
      <c r="BL206" s="19">
        <v>2.1420262471736748</v>
      </c>
      <c r="BM206" s="19">
        <v>-2.526804317432223</v>
      </c>
      <c r="BN206" s="19">
        <v>5.9655401331199585</v>
      </c>
      <c r="BO206" s="16">
        <v>-1.7331866319056815</v>
      </c>
      <c r="BP206" s="16">
        <v>3.8936180494116854</v>
      </c>
    </row>
    <row r="207" spans="1:68" x14ac:dyDescent="0.3">
      <c r="A207" s="16" t="s">
        <v>200</v>
      </c>
      <c r="B207" s="16" t="s">
        <v>512</v>
      </c>
      <c r="C207" s="16" t="s">
        <v>604</v>
      </c>
      <c r="D207" s="16" t="s">
        <v>605</v>
      </c>
      <c r="F207" s="16">
        <v>-6.8259666030741641</v>
      </c>
      <c r="G207" s="16">
        <v>8.6425658091270776</v>
      </c>
      <c r="H207" s="16">
        <v>-11.775519588443757</v>
      </c>
      <c r="I207" s="16">
        <v>-14.404949155888275</v>
      </c>
      <c r="J207" s="16">
        <v>4.2935396757624744</v>
      </c>
      <c r="K207" s="16">
        <v>4.045055491039335</v>
      </c>
      <c r="L207" s="16">
        <v>3.7399789829936907</v>
      </c>
      <c r="M207" s="16">
        <v>3.7247964546784686</v>
      </c>
      <c r="N207" s="16">
        <v>7.6027314690877574</v>
      </c>
      <c r="O207" s="16">
        <v>2.777936064277327</v>
      </c>
      <c r="P207" s="16">
        <v>-1.7936144866344392</v>
      </c>
      <c r="Q207" s="16">
        <v>-2.6504813213591945</v>
      </c>
      <c r="R207" s="16">
        <v>0.42915646935352925</v>
      </c>
      <c r="S207" s="16">
        <v>-1.5236700435063426</v>
      </c>
      <c r="T207" s="16">
        <v>-4.918493894062749</v>
      </c>
      <c r="U207" s="16">
        <v>16.099285465166574</v>
      </c>
      <c r="V207" s="16">
        <v>-0.88547840478234718</v>
      </c>
      <c r="W207" s="16">
        <v>6.0749620391674028</v>
      </c>
      <c r="X207" s="16">
        <v>8.5096268973055231</v>
      </c>
      <c r="Y207" s="16">
        <v>5.3564282911053169</v>
      </c>
      <c r="Z207" s="16">
        <v>1.6691083191394398</v>
      </c>
      <c r="AA207" s="16">
        <v>-1.9881539038140801</v>
      </c>
      <c r="AB207" s="16">
        <v>2.2454055237974586</v>
      </c>
      <c r="AC207" s="16">
        <v>-7.3606842867873894</v>
      </c>
      <c r="AD207" s="16">
        <v>0.90381006079770998</v>
      </c>
      <c r="AE207" s="16">
        <v>1.7217091413185557</v>
      </c>
      <c r="AF207" s="16">
        <v>-3.5569017450174698</v>
      </c>
      <c r="AG207" s="16">
        <v>1.2206997947928926</v>
      </c>
      <c r="AH207" s="16">
        <v>-2.6678840363197338</v>
      </c>
      <c r="AI207" s="16">
        <v>-4.7724939879936699</v>
      </c>
      <c r="AJ207" s="16">
        <v>-4.6725292610328211</v>
      </c>
      <c r="AK207" s="16">
        <v>3.5010995861138809</v>
      </c>
      <c r="AL207" s="16">
        <v>-10.986210848886131</v>
      </c>
      <c r="AM207" s="16">
        <v>-41.586861366353254</v>
      </c>
      <c r="AN207" s="16">
        <v>60.090541329857928</v>
      </c>
      <c r="AO207" s="16">
        <v>-4.523534472352793</v>
      </c>
      <c r="AP207" s="16">
        <v>-0.27574313267651007</v>
      </c>
      <c r="AQ207" s="16">
        <v>5.4488539756410717</v>
      </c>
      <c r="AR207" s="16">
        <v>3.1149485184882337</v>
      </c>
      <c r="AS207" s="16">
        <v>7.0292490817213746</v>
      </c>
      <c r="AT207" s="16">
        <v>6.9813816055497568</v>
      </c>
      <c r="AU207" s="16">
        <v>11.186203859562795</v>
      </c>
      <c r="AV207" s="16">
        <v>-0.13181210955858091</v>
      </c>
      <c r="AW207" s="16">
        <v>4.7118120556615111</v>
      </c>
      <c r="AX207" s="16">
        <v>6.5369456683467462</v>
      </c>
      <c r="AY207" s="16">
        <v>6.3548170087413922</v>
      </c>
      <c r="AZ207" s="19">
        <v>4.7726606993342671</v>
      </c>
      <c r="BA207" s="19">
        <v>8.2199778989469507</v>
      </c>
      <c r="BB207" s="19">
        <v>3.4794226136708915</v>
      </c>
      <c r="BC207" s="19">
        <v>4.5724902430798835</v>
      </c>
      <c r="BD207" s="19">
        <v>5.2239290174434814</v>
      </c>
      <c r="BE207" s="19">
        <v>6.0016996541073127</v>
      </c>
      <c r="BF207" s="19">
        <v>2.2576657577949959</v>
      </c>
      <c r="BG207" s="19">
        <v>3.6727699052465681</v>
      </c>
      <c r="BH207" s="19">
        <v>6.2903281037869334</v>
      </c>
      <c r="BI207" s="19">
        <v>3.4132461314237048</v>
      </c>
      <c r="BJ207" s="19">
        <v>1.3738980284159936</v>
      </c>
      <c r="BK207" s="19">
        <v>5.9059630075100955</v>
      </c>
      <c r="BL207" s="19">
        <v>6.8617612290112788</v>
      </c>
      <c r="BM207" s="19">
        <v>-5.6620115893554157</v>
      </c>
      <c r="BN207" s="19">
        <v>8.2596265273250538</v>
      </c>
      <c r="BO207" s="16">
        <v>5.6862324242333671</v>
      </c>
      <c r="BP207" s="16">
        <v>5.7992947871947393</v>
      </c>
    </row>
    <row r="208" spans="1:68" x14ac:dyDescent="0.3">
      <c r="A208" s="16" t="s">
        <v>732</v>
      </c>
      <c r="B208" s="16" t="s">
        <v>733</v>
      </c>
      <c r="C208" s="16" t="s">
        <v>604</v>
      </c>
      <c r="D208" s="16" t="s">
        <v>605</v>
      </c>
      <c r="F208" s="16">
        <v>1.7898133047037135</v>
      </c>
      <c r="G208" s="16">
        <v>0.99204484112216562</v>
      </c>
      <c r="H208" s="16">
        <v>2.8244951493035586</v>
      </c>
      <c r="I208" s="16">
        <v>5.2331089714292318</v>
      </c>
      <c r="J208" s="16">
        <v>-2.828985119894341</v>
      </c>
      <c r="K208" s="16">
        <v>-1.026240667743096</v>
      </c>
      <c r="L208" s="16">
        <v>3.7386538099824662</v>
      </c>
      <c r="M208" s="16">
        <v>2.2286936305330158</v>
      </c>
      <c r="N208" s="16">
        <v>3.358654271956425</v>
      </c>
      <c r="O208" s="16">
        <v>3.5128919723321275</v>
      </c>
      <c r="P208" s="16">
        <v>-1.5314673180109679</v>
      </c>
      <c r="Q208" s="16">
        <v>-3.8815365552464556</v>
      </c>
      <c r="R208" s="16">
        <v>1.4960181661170822</v>
      </c>
      <c r="S208" s="16">
        <v>0.12255367609337497</v>
      </c>
      <c r="T208" s="16">
        <v>4.4427116285633161</v>
      </c>
      <c r="U208" s="16">
        <v>0.30055333771754533</v>
      </c>
      <c r="V208" s="16">
        <v>3.8266518594798526</v>
      </c>
      <c r="W208" s="16">
        <v>3.7285282033295886</v>
      </c>
      <c r="X208" s="16">
        <v>-4.7499157330821333</v>
      </c>
      <c r="Y208" s="16">
        <v>4.0554822542850957</v>
      </c>
      <c r="Z208" s="16">
        <v>4.0056749591135059</v>
      </c>
      <c r="AA208" s="16">
        <v>1.4652379169824314</v>
      </c>
      <c r="AB208" s="16">
        <v>4.1539271877984163</v>
      </c>
      <c r="AC208" s="16">
        <v>1.7980036534742254</v>
      </c>
      <c r="AD208" s="16">
        <v>3.0111631223310695</v>
      </c>
      <c r="AE208" s="16">
        <v>2.4175608320978483</v>
      </c>
      <c r="AF208" s="16">
        <v>1.9027229875242995</v>
      </c>
      <c r="AG208" s="16">
        <v>5.9212048554846461</v>
      </c>
      <c r="AH208" s="16">
        <v>3.0089335430745479</v>
      </c>
      <c r="AI208" s="16">
        <v>3.0730000972551466</v>
      </c>
      <c r="AJ208" s="16">
        <v>-9.5271213691290768E-2</v>
      </c>
      <c r="AK208" s="16">
        <v>3.5075560930041547</v>
      </c>
      <c r="AL208" s="16">
        <v>1.9947557687986546</v>
      </c>
      <c r="AM208" s="16">
        <v>3.6252552480154066</v>
      </c>
      <c r="AN208" s="16">
        <v>4.5813589477009771</v>
      </c>
      <c r="AO208" s="16">
        <v>4.5295303645596334</v>
      </c>
      <c r="AP208" s="16">
        <v>1.6143878273585841</v>
      </c>
      <c r="AQ208" s="16">
        <v>3.3530670055936866</v>
      </c>
      <c r="AR208" s="16">
        <v>5.4069782046970687</v>
      </c>
      <c r="AS208" s="16">
        <v>2.1092518557313014</v>
      </c>
      <c r="AT208" s="16">
        <v>2.3677781710309347</v>
      </c>
      <c r="AU208" s="16">
        <v>1.752066282692482</v>
      </c>
      <c r="AV208" s="16">
        <v>5.2123971525622323</v>
      </c>
      <c r="AW208" s="16">
        <v>5.6793840664799404</v>
      </c>
      <c r="AX208" s="16">
        <v>5.8280428620375346</v>
      </c>
      <c r="AY208" s="16">
        <v>5.9258624713013148</v>
      </c>
      <c r="AZ208" s="19">
        <v>5.550958397207765</v>
      </c>
      <c r="BA208" s="19">
        <v>1.8085972423651668</v>
      </c>
      <c r="BB208" s="19">
        <v>5.4007880738494549</v>
      </c>
      <c r="BC208" s="19">
        <v>5.8055259945337951</v>
      </c>
      <c r="BD208" s="19">
        <v>3.552625759974589</v>
      </c>
      <c r="BE208" s="19">
        <v>3.9129311787175425</v>
      </c>
      <c r="BF208" s="19">
        <v>4.6020066407336913</v>
      </c>
      <c r="BG208" s="19">
        <v>5.486592969003226</v>
      </c>
      <c r="BH208" s="19">
        <v>5.9519585078574408</v>
      </c>
      <c r="BI208" s="19">
        <v>6.4851639063116124</v>
      </c>
      <c r="BJ208" s="19">
        <v>5.2227536161595083</v>
      </c>
      <c r="BK208" s="19">
        <v>5.086630236734706</v>
      </c>
      <c r="BL208" s="19">
        <v>2.7483949097325109</v>
      </c>
      <c r="BM208" s="19">
        <v>-5.6437008584737924</v>
      </c>
      <c r="BN208" s="19">
        <v>7.6555455403238142</v>
      </c>
      <c r="BO208" s="16">
        <v>5.3464140235964379</v>
      </c>
      <c r="BP208" s="16">
        <v>5.2994191636849735</v>
      </c>
    </row>
    <row r="209" spans="1:68" x14ac:dyDescent="0.3">
      <c r="A209" s="16" t="s">
        <v>211</v>
      </c>
      <c r="B209" s="16" t="s">
        <v>513</v>
      </c>
      <c r="C209" s="16" t="s">
        <v>604</v>
      </c>
      <c r="D209" s="16" t="s">
        <v>605</v>
      </c>
      <c r="F209" s="16">
        <v>8.2268640313273522</v>
      </c>
      <c r="G209" s="16">
        <v>8.0952371552856874</v>
      </c>
      <c r="H209" s="16">
        <v>4.8592640874767881</v>
      </c>
      <c r="I209" s="16">
        <v>4.8415307483450789</v>
      </c>
      <c r="J209" s="16">
        <v>7.9973458191644085</v>
      </c>
      <c r="K209" s="16">
        <v>4.1176897529688432</v>
      </c>
      <c r="L209" s="16">
        <v>4.703833710454191</v>
      </c>
      <c r="M209" s="16">
        <v>3.365771077514367</v>
      </c>
      <c r="N209" s="16">
        <v>1.6790408619666408</v>
      </c>
      <c r="O209" s="16">
        <v>46.061076969774348</v>
      </c>
      <c r="P209" s="16">
        <v>15.039862198233124</v>
      </c>
      <c r="Q209" s="16">
        <v>16.94149052228812</v>
      </c>
      <c r="R209" s="16">
        <v>17.785854064398606</v>
      </c>
      <c r="S209" s="16">
        <v>10.097025170151653</v>
      </c>
      <c r="T209" s="16">
        <v>-13.703116104348013</v>
      </c>
      <c r="U209" s="16">
        <v>11.844473359336021</v>
      </c>
      <c r="V209" s="16">
        <v>1.7643512221334703</v>
      </c>
      <c r="W209" s="16">
        <v>-9.9053350046254991</v>
      </c>
      <c r="X209" s="16">
        <v>6.469760714579607</v>
      </c>
      <c r="Y209" s="16">
        <v>0.56596323965109718</v>
      </c>
      <c r="Z209" s="16">
        <v>-2.8925434441771785</v>
      </c>
      <c r="AA209" s="16">
        <v>-24.43072738356129</v>
      </c>
      <c r="AB209" s="16">
        <v>-19.945549417561637</v>
      </c>
      <c r="AC209" s="16">
        <v>-9.0320500266457913</v>
      </c>
      <c r="AD209" s="16">
        <v>-13.852498781148498</v>
      </c>
      <c r="AE209" s="16">
        <v>11.865678106957319</v>
      </c>
      <c r="AF209" s="16">
        <v>-10.651212786236684</v>
      </c>
      <c r="AG209" s="16">
        <v>8.3130482269623514</v>
      </c>
      <c r="AH209" s="16">
        <v>-4.6474322153413254</v>
      </c>
      <c r="AI209" s="16">
        <v>10.504099562341878</v>
      </c>
      <c r="AJ209" s="16">
        <v>10.522620627528511</v>
      </c>
      <c r="AK209" s="16">
        <v>0.21417292526884069</v>
      </c>
      <c r="AL209" s="16">
        <v>-4.4870411205315008</v>
      </c>
      <c r="AM209" s="16">
        <v>-2.2939935852710533</v>
      </c>
      <c r="AN209" s="16">
        <v>-2.5537772466493323</v>
      </c>
      <c r="AO209" s="16">
        <v>-0.11976103445435626</v>
      </c>
      <c r="AP209" s="16">
        <v>-1.5741167407133219</v>
      </c>
      <c r="AQ209" s="16">
        <v>0.20848999141757929</v>
      </c>
      <c r="AR209" s="16">
        <v>-6.2233994906325449</v>
      </c>
      <c r="AS209" s="16">
        <v>2.9894580275468172</v>
      </c>
      <c r="AT209" s="16">
        <v>-3.6196223140357091</v>
      </c>
      <c r="AU209" s="16">
        <v>-5.1280006877989734</v>
      </c>
      <c r="AV209" s="16">
        <v>8.7077060823840498</v>
      </c>
      <c r="AW209" s="16">
        <v>5.6271750712610498</v>
      </c>
      <c r="AX209" s="16">
        <v>2.3897136692657028</v>
      </c>
      <c r="AY209" s="16">
        <v>-1.201285108440004</v>
      </c>
      <c r="AZ209" s="19">
        <v>-2.077048158866404</v>
      </c>
      <c r="BA209" s="19">
        <v>2.232919975382103</v>
      </c>
      <c r="BB209" s="19">
        <v>-5.6574322203488947</v>
      </c>
      <c r="BC209" s="19">
        <v>1.7248481272164753</v>
      </c>
      <c r="BD209" s="19">
        <v>8.2732444330276991</v>
      </c>
      <c r="BE209" s="19">
        <v>3.1154874746459171</v>
      </c>
      <c r="BF209" s="19">
        <v>0.38212588742447906</v>
      </c>
      <c r="BG209" s="19">
        <v>1.7334017982767449</v>
      </c>
      <c r="BH209" s="19">
        <v>2.5168869642946419</v>
      </c>
      <c r="BI209" s="19">
        <v>-0.14739375009426681</v>
      </c>
      <c r="BJ209" s="19">
        <v>-1.3816039419270396</v>
      </c>
      <c r="BK209" s="19">
        <v>0.76790077882746743</v>
      </c>
      <c r="BL209" s="19">
        <v>-1.1857505322325181</v>
      </c>
      <c r="BM209" s="19">
        <v>-4.0361978548739188</v>
      </c>
      <c r="BN209" s="19">
        <v>5.2116363419593768</v>
      </c>
      <c r="BO209" s="16">
        <v>6.1326266471558597</v>
      </c>
      <c r="BP209" s="16">
        <v>-2.2006117530142433</v>
      </c>
    </row>
    <row r="210" spans="1:68" x14ac:dyDescent="0.3">
      <c r="A210" s="16" t="s">
        <v>226</v>
      </c>
      <c r="B210" s="16" t="s">
        <v>734</v>
      </c>
      <c r="C210" s="16" t="s">
        <v>604</v>
      </c>
      <c r="D210" s="16" t="s">
        <v>605</v>
      </c>
      <c r="F210" s="16">
        <v>-2.5137137882454681</v>
      </c>
      <c r="G210" s="16">
        <v>4.1406326838750829</v>
      </c>
      <c r="H210" s="16">
        <v>-5.3872329929403406</v>
      </c>
      <c r="I210" s="16">
        <v>-3.8432040887701646</v>
      </c>
      <c r="J210" s="16">
        <v>3.7788080641188486</v>
      </c>
      <c r="K210" s="16">
        <v>-6.0837121874852755</v>
      </c>
      <c r="L210" s="16">
        <v>-1.1421256175292456</v>
      </c>
      <c r="M210" s="16">
        <v>-0.66398610895858212</v>
      </c>
      <c r="N210" s="16">
        <v>-1.2215048338049144</v>
      </c>
      <c r="O210" s="16">
        <v>3.1801259948041007</v>
      </c>
      <c r="P210" s="16">
        <v>-0.59030695591397375</v>
      </c>
      <c r="Q210" s="16">
        <v>-7.8612925744449171</v>
      </c>
      <c r="R210" s="16">
        <v>-2.4478486792190637</v>
      </c>
      <c r="S210" s="16">
        <v>7.6240542051233291</v>
      </c>
      <c r="T210" s="16">
        <v>11.443714300335998</v>
      </c>
      <c r="U210" s="16">
        <v>12.365325591463645</v>
      </c>
      <c r="V210" s="16">
        <v>2.2557323144675223</v>
      </c>
      <c r="W210" s="16">
        <v>-9.5055551915092167</v>
      </c>
      <c r="X210" s="16">
        <v>-8.6355069897198433</v>
      </c>
      <c r="Y210" s="16">
        <v>-2.3670817376120112</v>
      </c>
      <c r="Z210" s="16">
        <v>3.3149684762107938</v>
      </c>
      <c r="AA210" s="16">
        <v>2.06062987045037</v>
      </c>
      <c r="AB210" s="16">
        <v>-1.0543281894603496</v>
      </c>
      <c r="AC210" s="16">
        <v>-7.1363806575861588</v>
      </c>
      <c r="AD210" s="16">
        <v>-8.0424951297040366</v>
      </c>
      <c r="AE210" s="16">
        <v>3.3532954031266939</v>
      </c>
      <c r="AF210" s="16">
        <v>12.324104604398627</v>
      </c>
      <c r="AG210" s="16">
        <v>-0.90048946815954878</v>
      </c>
      <c r="AH210" s="16">
        <v>8.2602968315661229</v>
      </c>
      <c r="AI210" s="16">
        <v>-6.9931422388837348</v>
      </c>
      <c r="AJ210" s="16">
        <v>5.5535891654375575</v>
      </c>
      <c r="AK210" s="16">
        <v>4.9190997635336799</v>
      </c>
      <c r="AL210" s="16">
        <v>2.8591250452903552</v>
      </c>
      <c r="AM210" s="16">
        <v>-1.4061456546640727</v>
      </c>
      <c r="AN210" s="16">
        <v>3.2310071670746936</v>
      </c>
      <c r="AO210" s="16">
        <v>3.3720882691261238</v>
      </c>
      <c r="AP210" s="16">
        <v>15.372419384088957</v>
      </c>
      <c r="AQ210" s="16">
        <v>1.9839501878598185</v>
      </c>
      <c r="AR210" s="16">
        <v>0.62925959081781002</v>
      </c>
      <c r="AS210" s="16">
        <v>3.2981791404471181</v>
      </c>
      <c r="AT210" s="16">
        <v>3.534626661349094</v>
      </c>
      <c r="AU210" s="16">
        <v>3.1758315969374564</v>
      </c>
      <c r="AV210" s="16">
        <v>3.4944516850302421</v>
      </c>
      <c r="AW210" s="16">
        <v>2.327351126763503</v>
      </c>
      <c r="AX210" s="16">
        <v>2.6489481233194994</v>
      </c>
      <c r="AY210" s="16">
        <v>3.3121959081481123</v>
      </c>
      <c r="AZ210" s="19">
        <v>2.4077757883645035</v>
      </c>
      <c r="BA210" s="19">
        <v>0.59554252476610259</v>
      </c>
      <c r="BB210" s="19">
        <v>-5.7375355774292416</v>
      </c>
      <c r="BC210" s="19">
        <v>0.80621376246246257</v>
      </c>
      <c r="BD210" s="19">
        <v>6.3649740792885723</v>
      </c>
      <c r="BE210" s="19">
        <v>-6.6624194238724641</v>
      </c>
      <c r="BF210" s="19">
        <v>-0.39867596402926608</v>
      </c>
      <c r="BG210" s="19">
        <v>1.7974671592001101</v>
      </c>
      <c r="BH210" s="19">
        <v>-1.2079980615544912</v>
      </c>
      <c r="BI210" s="19">
        <v>0.29878369001971805</v>
      </c>
      <c r="BJ210" s="19">
        <v>-2.5156863868962063</v>
      </c>
      <c r="BK210" s="19">
        <v>-5.7378122836290686</v>
      </c>
      <c r="BL210" s="19">
        <v>-4.9682507017501791</v>
      </c>
      <c r="BM210" s="19">
        <v>-6.2502280790674121</v>
      </c>
      <c r="BN210" s="19">
        <v>-4.4836196256331959</v>
      </c>
      <c r="BO210" s="16">
        <v>-3.5292693463605644</v>
      </c>
      <c r="BP210" s="16">
        <v>-14.304253520765158</v>
      </c>
    </row>
    <row r="211" spans="1:68" x14ac:dyDescent="0.3">
      <c r="A211" s="16" t="s">
        <v>212</v>
      </c>
      <c r="B211" s="16" t="s">
        <v>514</v>
      </c>
      <c r="C211" s="16" t="s">
        <v>604</v>
      </c>
      <c r="D211" s="16" t="s">
        <v>605</v>
      </c>
      <c r="F211" s="16">
        <v>0.121050209977696</v>
      </c>
      <c r="G211" s="16">
        <v>-2.9169469102318715</v>
      </c>
      <c r="H211" s="16">
        <v>-0.96473365179402037</v>
      </c>
      <c r="I211" s="16">
        <v>0.98874935507946304</v>
      </c>
      <c r="J211" s="16">
        <v>-1.5236679140630827</v>
      </c>
      <c r="K211" s="16">
        <v>-6.8031231924763347E-2</v>
      </c>
      <c r="L211" s="16">
        <v>-4.0828572882900858</v>
      </c>
      <c r="M211" s="16">
        <v>3.1985864994649802</v>
      </c>
      <c r="N211" s="16">
        <v>-9.2688121892574884</v>
      </c>
      <c r="O211" s="16">
        <v>5.4082674668716919</v>
      </c>
      <c r="P211" s="16">
        <v>-3.0455249343870179</v>
      </c>
      <c r="Q211" s="16">
        <v>3.2873990620700937</v>
      </c>
      <c r="R211" s="16">
        <v>-8.3252410646029062</v>
      </c>
      <c r="S211" s="16">
        <v>1.2436450957085299</v>
      </c>
      <c r="T211" s="16">
        <v>4.6277877383230646</v>
      </c>
      <c r="U211" s="16">
        <v>6.118802109940475</v>
      </c>
      <c r="V211" s="16">
        <v>-5.0130683251313854</v>
      </c>
      <c r="W211" s="16">
        <v>-6.1623513560354439</v>
      </c>
      <c r="X211" s="16">
        <v>4.477841628142528</v>
      </c>
      <c r="Y211" s="16">
        <v>1.4464388662559458</v>
      </c>
      <c r="Z211" s="16">
        <v>2.5173066346254984</v>
      </c>
      <c r="AA211" s="16">
        <v>5.199511224009882</v>
      </c>
      <c r="AB211" s="16">
        <v>-8.1466917784673853</v>
      </c>
      <c r="AC211" s="16">
        <v>1.1509070755199247</v>
      </c>
      <c r="AD211" s="16">
        <v>0.62444053582935055</v>
      </c>
      <c r="AE211" s="16">
        <v>0.20446637129225564</v>
      </c>
      <c r="AF211" s="16">
        <v>3.1964834912291167</v>
      </c>
      <c r="AG211" s="16">
        <v>-3.6580875830529038</v>
      </c>
      <c r="AH211" s="16">
        <v>1.0172929458897642</v>
      </c>
      <c r="AI211" s="16">
        <v>-3.5670182462239239</v>
      </c>
      <c r="AJ211" s="16">
        <v>-0.22997837118501252</v>
      </c>
      <c r="AK211" s="16">
        <v>-1.477836954922978</v>
      </c>
      <c r="AL211" s="16">
        <v>-1.3855415938455451</v>
      </c>
      <c r="AM211" s="16">
        <v>-2.6653339521535315</v>
      </c>
      <c r="AN211" s="16">
        <v>2.8334954512605748</v>
      </c>
      <c r="AO211" s="16">
        <v>-0.41119610940157258</v>
      </c>
      <c r="AP211" s="16">
        <v>0.67634224858927894</v>
      </c>
      <c r="AQ211" s="16">
        <v>3.4974382822855432</v>
      </c>
      <c r="AR211" s="16">
        <v>3.8496572609795692</v>
      </c>
      <c r="AS211" s="16">
        <v>1.4707806816199849</v>
      </c>
      <c r="AT211" s="16">
        <v>1.857485378357012</v>
      </c>
      <c r="AU211" s="16">
        <v>-2.3189969094639622</v>
      </c>
      <c r="AV211" s="16">
        <v>3.0280629408961488</v>
      </c>
      <c r="AW211" s="16">
        <v>2.0592957733858128</v>
      </c>
      <c r="AX211" s="16">
        <v>1.6928388589752643</v>
      </c>
      <c r="AY211" s="16">
        <v>-0.29786656316554172</v>
      </c>
      <c r="AZ211" s="19">
        <v>0.15520217841907424</v>
      </c>
      <c r="BA211" s="19">
        <v>1.0037086838431009</v>
      </c>
      <c r="BB211" s="19">
        <v>3.8174664910584966E-2</v>
      </c>
      <c r="BC211" s="19">
        <v>0.6259151671830665</v>
      </c>
      <c r="BD211" s="19">
        <v>-1.3870568339743699</v>
      </c>
      <c r="BE211" s="19">
        <v>1.2051837681129598</v>
      </c>
      <c r="BF211" s="19">
        <v>-0.32753479300319555</v>
      </c>
      <c r="BG211" s="19">
        <v>3.374701174055474</v>
      </c>
      <c r="BH211" s="19">
        <v>3.5080541858104226</v>
      </c>
      <c r="BI211" s="19">
        <v>3.5068891880476514</v>
      </c>
      <c r="BJ211" s="19">
        <v>4.5274906313348424</v>
      </c>
      <c r="BK211" s="19">
        <v>3.3648216036975782</v>
      </c>
      <c r="BL211" s="19">
        <v>1.829263070243897</v>
      </c>
      <c r="BM211" s="19">
        <v>-1.3421459248105521</v>
      </c>
      <c r="BN211" s="19">
        <v>3.7624602025461371</v>
      </c>
      <c r="BO211" s="16">
        <v>1.1854332524115563</v>
      </c>
      <c r="BP211" s="16">
        <v>1.0921139594982492</v>
      </c>
    </row>
    <row r="212" spans="1:68" x14ac:dyDescent="0.3">
      <c r="A212" s="16" t="s">
        <v>216</v>
      </c>
      <c r="B212" s="16" t="s">
        <v>515</v>
      </c>
      <c r="C212" s="16" t="s">
        <v>604</v>
      </c>
      <c r="D212" s="16" t="s">
        <v>605</v>
      </c>
      <c r="F212" s="16">
        <v>4.5803739322498132</v>
      </c>
      <c r="G212" s="16">
        <v>4.6160343805974122</v>
      </c>
      <c r="H212" s="16">
        <v>7.2937667591422155</v>
      </c>
      <c r="I212" s="16">
        <v>-5.5550536707034723</v>
      </c>
      <c r="J212" s="16">
        <v>5.2454152694272409</v>
      </c>
      <c r="K212" s="16">
        <v>7.4745770443612116</v>
      </c>
      <c r="L212" s="16">
        <v>10.050900331678861</v>
      </c>
      <c r="M212" s="16">
        <v>11.585976031158182</v>
      </c>
      <c r="N212" s="16">
        <v>12.133980971073811</v>
      </c>
      <c r="O212" s="16">
        <v>12.184023063802087</v>
      </c>
      <c r="P212" s="16">
        <v>10.370799507618372</v>
      </c>
      <c r="Q212" s="16">
        <v>11.236039878848374</v>
      </c>
      <c r="R212" s="16">
        <v>8.5553596416667972</v>
      </c>
      <c r="S212" s="16">
        <v>4.366072197425666</v>
      </c>
      <c r="T212" s="16">
        <v>2.4812558062229328</v>
      </c>
      <c r="U212" s="16">
        <v>5.9989245378909288</v>
      </c>
      <c r="V212" s="16">
        <v>5.3819748599143225</v>
      </c>
      <c r="W212" s="16">
        <v>6.4812547578807482</v>
      </c>
      <c r="X212" s="16">
        <v>8.1801344886986129</v>
      </c>
      <c r="Y212" s="16">
        <v>8.7246074026835743</v>
      </c>
      <c r="Z212" s="16">
        <v>5.6142796381211326</v>
      </c>
      <c r="AA212" s="16">
        <v>2.5035126271782673</v>
      </c>
      <c r="AB212" s="16">
        <v>7.153752205383924</v>
      </c>
      <c r="AC212" s="16">
        <v>6.7551840559560077</v>
      </c>
      <c r="AD212" s="16">
        <v>-0.75840319316927207</v>
      </c>
      <c r="AE212" s="16">
        <v>1.4386150565983229</v>
      </c>
      <c r="AF212" s="16">
        <v>9.144182519857182</v>
      </c>
      <c r="AG212" s="16">
        <v>8.4755011241352634</v>
      </c>
      <c r="AH212" s="16">
        <v>6.9718572751131092</v>
      </c>
      <c r="AI212" s="16">
        <v>5.6318480241230873</v>
      </c>
      <c r="AJ212" s="16">
        <v>3.6953822822512308</v>
      </c>
      <c r="AK212" s="16">
        <v>3.4837182442404355</v>
      </c>
      <c r="AL212" s="16">
        <v>8.6753048882442414</v>
      </c>
      <c r="AM212" s="16">
        <v>7.6651584750404851</v>
      </c>
      <c r="AN212" s="16">
        <v>3.9685677515224995</v>
      </c>
      <c r="AO212" s="16">
        <v>3.1909851392228035</v>
      </c>
      <c r="AP212" s="16">
        <v>4.7399267471725608</v>
      </c>
      <c r="AQ212" s="16">
        <v>-5.4579866744620631</v>
      </c>
      <c r="AR212" s="16">
        <v>4.8768918419775247</v>
      </c>
      <c r="AS212" s="16">
        <v>7.1659882015649146</v>
      </c>
      <c r="AT212" s="16">
        <v>-3.7036659520453696</v>
      </c>
      <c r="AU212" s="16">
        <v>2.9792296206273079</v>
      </c>
      <c r="AV212" s="16">
        <v>6.1012755455540457</v>
      </c>
      <c r="AW212" s="16">
        <v>8.5722052915980953</v>
      </c>
      <c r="AX212" s="16">
        <v>4.8720932685075269</v>
      </c>
      <c r="AY212" s="16">
        <v>5.6483432938378115</v>
      </c>
      <c r="AZ212" s="19">
        <v>4.5729862709655151</v>
      </c>
      <c r="BA212" s="19">
        <v>-3.415492694462813</v>
      </c>
      <c r="BB212" s="19">
        <v>-2.8467719492420827</v>
      </c>
      <c r="BC212" s="19">
        <v>12.508521549855217</v>
      </c>
      <c r="BD212" s="19">
        <v>4.0233816486589689</v>
      </c>
      <c r="BE212" s="19">
        <v>1.9044622366221233</v>
      </c>
      <c r="BF212" s="19">
        <v>3.1339791489926512</v>
      </c>
      <c r="BG212" s="19">
        <v>2.5947231548674381</v>
      </c>
      <c r="BH212" s="19">
        <v>1.7623246863890216</v>
      </c>
      <c r="BI212" s="19">
        <v>2.2533284005262573</v>
      </c>
      <c r="BJ212" s="19">
        <v>4.4203736042448298</v>
      </c>
      <c r="BK212" s="19">
        <v>3.0320299723957049</v>
      </c>
      <c r="BL212" s="19">
        <v>0.19199389724100513</v>
      </c>
      <c r="BM212" s="19">
        <v>-3.5694959814691316</v>
      </c>
      <c r="BN212" s="19">
        <v>14.361966117120446</v>
      </c>
      <c r="BO212" s="16">
        <v>0.45868280470531886</v>
      </c>
      <c r="BP212" s="16">
        <v>-3.7181363895234369</v>
      </c>
    </row>
    <row r="213" spans="1:68" x14ac:dyDescent="0.3">
      <c r="A213" s="16" t="s">
        <v>220</v>
      </c>
      <c r="B213" s="16" t="s">
        <v>735</v>
      </c>
      <c r="C213" s="16" t="s">
        <v>604</v>
      </c>
      <c r="D213" s="16" t="s">
        <v>605</v>
      </c>
      <c r="Z213" s="16">
        <v>-5.1102892639786432</v>
      </c>
      <c r="AA213" s="16">
        <v>-4.9792049185526963</v>
      </c>
      <c r="AB213" s="16">
        <v>0.40209525561949988</v>
      </c>
      <c r="AC213" s="16">
        <v>-3.1828522039288316</v>
      </c>
      <c r="AD213" s="16">
        <v>-6.3634822948846761</v>
      </c>
      <c r="AE213" s="16">
        <v>-3.4646926140373182</v>
      </c>
      <c r="AF213" s="16">
        <v>5.009642985551622</v>
      </c>
      <c r="AG213" s="16">
        <v>-1.8344418825442972</v>
      </c>
      <c r="AH213" s="16">
        <v>1.1392458755220929</v>
      </c>
      <c r="AI213" s="16">
        <v>-0.83001872454400427</v>
      </c>
      <c r="AJ213" s="16">
        <v>2.895405637782261</v>
      </c>
      <c r="AK213" s="16">
        <v>9.4348323863857217</v>
      </c>
      <c r="AL213" s="16">
        <v>1.0129286106467958</v>
      </c>
      <c r="AM213" s="16">
        <v>5.010074029678151</v>
      </c>
      <c r="AN213" s="16">
        <v>6.9536973430863327</v>
      </c>
      <c r="AO213" s="16">
        <v>-1.2536110500094111</v>
      </c>
      <c r="AP213" s="16">
        <v>-3.6544436870797767</v>
      </c>
      <c r="AQ213" s="16">
        <v>-1.4619928245762708</v>
      </c>
      <c r="AR213" s="16">
        <v>-3.1167895541088626</v>
      </c>
      <c r="AS213" s="16">
        <v>-16.419984886693513</v>
      </c>
      <c r="AT213" s="16">
        <v>-10.133778943302218</v>
      </c>
      <c r="AU213" s="16">
        <v>-5.035048501387422</v>
      </c>
      <c r="AV213" s="16">
        <v>4.108525978184943</v>
      </c>
      <c r="AW213" s="16">
        <v>5.2709621482668751</v>
      </c>
      <c r="AX213" s="16">
        <v>4.9767650390367635</v>
      </c>
      <c r="AY213" s="16">
        <v>1.8285518059968382</v>
      </c>
      <c r="AZ213" s="19">
        <v>1.3416529438625702</v>
      </c>
      <c r="BA213" s="19">
        <v>3.8828268263115859</v>
      </c>
      <c r="BB213" s="19">
        <v>0.55844386677583202</v>
      </c>
      <c r="BC213" s="19">
        <v>7.1583097750148852</v>
      </c>
      <c r="BD213" s="19">
        <v>4.8443172521881905</v>
      </c>
      <c r="BE213" s="19">
        <v>-6.8203186894336909E-2</v>
      </c>
      <c r="BF213" s="19">
        <v>2.5990488380484891</v>
      </c>
      <c r="BG213" s="19">
        <v>-1.3533230676636663</v>
      </c>
      <c r="BH213" s="19">
        <v>-0.86052980407102098</v>
      </c>
      <c r="BI213" s="19">
        <v>2.9596495814660102</v>
      </c>
      <c r="BJ213" s="19">
        <v>0.58796187119732224</v>
      </c>
      <c r="BK213" s="19">
        <v>0.31234938286843317</v>
      </c>
      <c r="BL213" s="19">
        <v>-0.62468684490114867</v>
      </c>
      <c r="BM213" s="19">
        <v>-5.6454018095304264</v>
      </c>
      <c r="BN213" s="19">
        <v>0.15039248504862712</v>
      </c>
      <c r="BO213" s="16">
        <v>8.0631042595058489E-2</v>
      </c>
      <c r="BP213" s="16">
        <v>0.70441689680416175</v>
      </c>
    </row>
    <row r="214" spans="1:68" x14ac:dyDescent="0.3">
      <c r="A214" s="16" t="s">
        <v>215</v>
      </c>
      <c r="B214" s="16" t="s">
        <v>516</v>
      </c>
      <c r="C214" s="16" t="s">
        <v>604</v>
      </c>
      <c r="D214" s="16" t="s">
        <v>605</v>
      </c>
      <c r="F214" s="16">
        <v>8.0164374839270636E-2</v>
      </c>
      <c r="G214" s="16">
        <v>2.7050070041678964</v>
      </c>
      <c r="H214" s="16">
        <v>-0.13735445284025616</v>
      </c>
      <c r="I214" s="16">
        <v>4.7033077531512646</v>
      </c>
      <c r="J214" s="16">
        <v>5.1437729723376151</v>
      </c>
      <c r="K214" s="16">
        <v>-0.24555861186539119</v>
      </c>
      <c r="L214" s="16">
        <v>-1.8977154545709425</v>
      </c>
      <c r="M214" s="16">
        <v>3.5773613783334213E-2</v>
      </c>
      <c r="N214" s="16">
        <v>6.4332789592916697</v>
      </c>
      <c r="O214" s="16">
        <v>6.5229508156205043</v>
      </c>
      <c r="P214" s="16">
        <v>1.4993498537742198</v>
      </c>
      <c r="Q214" s="16">
        <v>-0.99603018955868095</v>
      </c>
      <c r="R214" s="16">
        <v>0.32115638102445132</v>
      </c>
      <c r="S214" s="16">
        <v>1.5494843712603057</v>
      </c>
      <c r="T214" s="16">
        <v>-0.22958147799816686</v>
      </c>
      <c r="U214" s="16">
        <v>-2.2703682008846471</v>
      </c>
      <c r="V214" s="16">
        <v>-1.8245740247845958</v>
      </c>
      <c r="W214" s="16">
        <v>0.41291643590794536</v>
      </c>
      <c r="X214" s="16">
        <v>2.4571007660996145</v>
      </c>
      <c r="Y214" s="16">
        <v>2.743661616065225</v>
      </c>
      <c r="Z214" s="16">
        <v>0.79719474041493754</v>
      </c>
      <c r="AA214" s="16">
        <v>2.629236888725913</v>
      </c>
      <c r="AB214" s="16">
        <v>-4.1934459117947114</v>
      </c>
      <c r="AC214" s="16">
        <v>1.8077790846949142</v>
      </c>
      <c r="AD214" s="16">
        <v>-7.4114058307769568</v>
      </c>
      <c r="AE214" s="16">
        <v>-1.2270216161741843</v>
      </c>
      <c r="AF214" s="16">
        <v>4.3806881793658334</v>
      </c>
      <c r="AG214" s="16">
        <v>-9.562087857303851</v>
      </c>
      <c r="AH214" s="16">
        <v>-1.7632785864102374</v>
      </c>
      <c r="AI214" s="16">
        <v>-0.6217505424677654</v>
      </c>
      <c r="AJ214" s="16">
        <v>1.1180577211984826</v>
      </c>
      <c r="AK214" s="16">
        <v>-17.570678388992775</v>
      </c>
      <c r="AL214" s="16">
        <v>1.5132422147313207</v>
      </c>
      <c r="AM214" s="16">
        <v>-2.3851385810911978</v>
      </c>
      <c r="AN214" s="16">
        <v>-8.1954056857808268</v>
      </c>
      <c r="AO214" s="16">
        <v>1.2103132357466677</v>
      </c>
      <c r="AP214" s="16">
        <v>-7.1090682531418992</v>
      </c>
      <c r="AQ214" s="16">
        <v>0.75693264401049021</v>
      </c>
      <c r="AR214" s="16">
        <v>-2.5305944515797876</v>
      </c>
      <c r="AS214" s="16">
        <v>4.1185545219092177</v>
      </c>
      <c r="AT214" s="16">
        <v>-11.610001678797659</v>
      </c>
      <c r="AU214" s="16">
        <v>19.557657481377205</v>
      </c>
      <c r="AV214" s="16">
        <v>5.1706257437555792</v>
      </c>
      <c r="AW214" s="16">
        <v>2.9684666322031603</v>
      </c>
      <c r="AX214" s="16">
        <v>1.5992105204782661</v>
      </c>
      <c r="AY214" s="16">
        <v>2.0135632154123329</v>
      </c>
      <c r="AZ214" s="19">
        <v>5.6242170637516438</v>
      </c>
      <c r="BA214" s="19">
        <v>2.8099406061479471</v>
      </c>
      <c r="BB214" s="19">
        <v>0.42333310095203558</v>
      </c>
      <c r="BC214" s="19">
        <v>3.7074994142916466</v>
      </c>
      <c r="BD214" s="19">
        <v>3.1932150766529332</v>
      </c>
      <c r="BE214" s="19">
        <v>12.21161520906027</v>
      </c>
      <c r="BF214" s="19">
        <v>18.014653494653771</v>
      </c>
      <c r="BG214" s="19">
        <v>1.98463481397566</v>
      </c>
      <c r="BH214" s="19">
        <v>-22.383314831716234</v>
      </c>
      <c r="BI214" s="19">
        <v>3.8045375666475536</v>
      </c>
      <c r="BJ214" s="19">
        <v>1.2719494663820257</v>
      </c>
      <c r="BK214" s="19">
        <v>1.0547690134313967</v>
      </c>
      <c r="BL214" s="19">
        <v>2.8267630512030166</v>
      </c>
      <c r="BM214" s="19">
        <v>-4.1965510481128661</v>
      </c>
      <c r="BN214" s="19">
        <v>1.7968795238409569</v>
      </c>
      <c r="BO214" s="16">
        <v>1.2325528058940449</v>
      </c>
      <c r="BP214" s="16">
        <v>1.2498198288396338</v>
      </c>
    </row>
    <row r="215" spans="1:68" x14ac:dyDescent="0.3">
      <c r="A215" s="16" t="s">
        <v>90</v>
      </c>
      <c r="B215" s="16" t="s">
        <v>517</v>
      </c>
      <c r="C215" s="16" t="s">
        <v>604</v>
      </c>
      <c r="D215" s="16" t="s">
        <v>605</v>
      </c>
      <c r="K215" s="16">
        <v>4.3092472683568701</v>
      </c>
      <c r="L215" s="16">
        <v>2.6654711423775552</v>
      </c>
      <c r="M215" s="16">
        <v>0.57905853369533133</v>
      </c>
      <c r="N215" s="16">
        <v>0.91489953244676769</v>
      </c>
      <c r="O215" s="16">
        <v>0.46959426992125941</v>
      </c>
      <c r="P215" s="16">
        <v>1.3676827151242463</v>
      </c>
      <c r="Q215" s="16">
        <v>3.6002063361928833</v>
      </c>
      <c r="R215" s="16">
        <v>2.3677770903270243</v>
      </c>
      <c r="S215" s="16">
        <v>2.8662935646686805</v>
      </c>
      <c r="T215" s="16">
        <v>0.58313453456619868</v>
      </c>
      <c r="U215" s="16">
        <v>2.7768135138278325</v>
      </c>
      <c r="V215" s="16">
        <v>4.5271867742637539</v>
      </c>
      <c r="W215" s="16">
        <v>3.146219438420033</v>
      </c>
      <c r="X215" s="16">
        <v>-6.0503649011013891</v>
      </c>
      <c r="Y215" s="16">
        <v>-17.254536874444796</v>
      </c>
      <c r="Z215" s="16">
        <v>-6.5537187040418843</v>
      </c>
      <c r="AA215" s="16">
        <v>-7.341767926956436</v>
      </c>
      <c r="AB215" s="16">
        <v>-0.40476779654218831</v>
      </c>
      <c r="AC215" s="16">
        <v>-0.62564410450086427</v>
      </c>
      <c r="AD215" s="16">
        <v>-1.3361348962709059</v>
      </c>
      <c r="AE215" s="16">
        <v>-1.7006814413075375</v>
      </c>
      <c r="AF215" s="16">
        <v>0.55777893639033493</v>
      </c>
      <c r="AG215" s="16">
        <v>-0.15606054750692522</v>
      </c>
      <c r="AH215" s="16">
        <v>-0.95884226234829839</v>
      </c>
      <c r="AI215" s="16">
        <v>2.9508934188163352</v>
      </c>
      <c r="AJ215" s="16">
        <v>-0.25087841418179835</v>
      </c>
      <c r="AK215" s="16">
        <v>5.265264510134287</v>
      </c>
      <c r="AL215" s="16">
        <v>4.337851702823059</v>
      </c>
      <c r="AM215" s="16">
        <v>3.5509755224056789</v>
      </c>
      <c r="AN215" s="16">
        <v>3.7291019734667827</v>
      </c>
      <c r="AO215" s="16">
        <v>-3.9684873505265728E-2</v>
      </c>
      <c r="AP215" s="16">
        <v>2.3348103702860641</v>
      </c>
      <c r="AQ215" s="16">
        <v>1.9119180036168046</v>
      </c>
      <c r="AR215" s="16">
        <v>1.4934282612727827</v>
      </c>
      <c r="AS215" s="16">
        <v>0.54016341746101659</v>
      </c>
      <c r="AT215" s="16">
        <v>0.38073246322333887</v>
      </c>
      <c r="AU215" s="16">
        <v>1.1812444267594913</v>
      </c>
      <c r="AV215" s="16">
        <v>1.3029375707416762</v>
      </c>
      <c r="AW215" s="16">
        <v>0.7422071896404816</v>
      </c>
      <c r="AX215" s="16">
        <v>2.6440625078203226</v>
      </c>
      <c r="AY215" s="16">
        <v>4.3954569894065827</v>
      </c>
      <c r="AZ215" s="19">
        <v>1.684235047988409</v>
      </c>
      <c r="BA215" s="19">
        <v>1.7509097750384655</v>
      </c>
      <c r="BB215" s="19">
        <v>-2.4798307448903785</v>
      </c>
      <c r="BC215" s="19">
        <v>1.7724809788003171</v>
      </c>
      <c r="BD215" s="19">
        <v>3.3793624872534735</v>
      </c>
      <c r="BE215" s="19">
        <v>2.4879247398742876</v>
      </c>
      <c r="BF215" s="19">
        <v>1.7806559363642975</v>
      </c>
      <c r="BG215" s="19">
        <v>1.3381131344982151</v>
      </c>
      <c r="BH215" s="19">
        <v>2.0460163557366258</v>
      </c>
      <c r="BI215" s="19">
        <v>2.2200853151654485</v>
      </c>
      <c r="BJ215" s="19">
        <v>1.9842112783177583</v>
      </c>
      <c r="BK215" s="19">
        <v>2.2543630102889125</v>
      </c>
      <c r="BL215" s="19">
        <v>2.3742659398954942</v>
      </c>
      <c r="BM215" s="19">
        <v>-8.0762691656388768</v>
      </c>
      <c r="BN215" s="19">
        <v>11.524855615514113</v>
      </c>
      <c r="BO215" s="16">
        <v>2.4389810357452859</v>
      </c>
      <c r="BP215" s="16">
        <v>3.0466615323585984</v>
      </c>
    </row>
    <row r="216" spans="1:68" x14ac:dyDescent="0.3">
      <c r="A216" s="16" t="s">
        <v>209</v>
      </c>
      <c r="B216" s="16" t="s">
        <v>736</v>
      </c>
      <c r="C216" s="16" t="s">
        <v>604</v>
      </c>
      <c r="D216" s="16" t="s">
        <v>605</v>
      </c>
      <c r="AQ216" s="16">
        <v>5.8079770878807011</v>
      </c>
      <c r="AR216" s="16">
        <v>7.3684371959597144</v>
      </c>
      <c r="AS216" s="16">
        <v>0.5832435594441705</v>
      </c>
      <c r="AT216" s="16">
        <v>3.6008008675514986</v>
      </c>
      <c r="AU216" s="16">
        <v>-1.9630402768877673</v>
      </c>
      <c r="AV216" s="16">
        <v>1.5776722989459699</v>
      </c>
      <c r="AW216" s="16">
        <v>2.7807888985085754</v>
      </c>
      <c r="AX216" s="16">
        <v>0.98460206250796034</v>
      </c>
      <c r="AY216" s="16">
        <v>2.2670351430148514</v>
      </c>
      <c r="AZ216" s="19">
        <v>5.6528445884932665</v>
      </c>
      <c r="BA216" s="19">
        <v>-1.5639911152629509</v>
      </c>
      <c r="BB216" s="19">
        <v>-11.357524933108593</v>
      </c>
      <c r="BC216" s="19">
        <v>-7.1155137273708107</v>
      </c>
      <c r="BD216" s="19">
        <v>-10.817460010123199</v>
      </c>
      <c r="BE216" s="19">
        <v>-8.83170788811384</v>
      </c>
      <c r="BF216" s="19">
        <v>-1.2400349845254652</v>
      </c>
      <c r="BG216" s="19">
        <v>-1.0116625866935607</v>
      </c>
      <c r="BH216" s="19">
        <v>1.7399785281875211</v>
      </c>
      <c r="BI216" s="19">
        <v>1.5458327379713239</v>
      </c>
      <c r="BJ216" s="19">
        <v>-0.39528559449556155</v>
      </c>
      <c r="BK216" s="19">
        <v>1.1967572172739267</v>
      </c>
      <c r="BL216" s="19">
        <v>1.9999865941013866</v>
      </c>
      <c r="BM216" s="19">
        <v>-6.1785013664486144</v>
      </c>
      <c r="BN216" s="19">
        <v>9.305191412319715</v>
      </c>
    </row>
    <row r="217" spans="1:68" x14ac:dyDescent="0.3">
      <c r="A217" s="16" t="s">
        <v>221</v>
      </c>
      <c r="B217" s="16" t="s">
        <v>737</v>
      </c>
      <c r="C217" s="16" t="s">
        <v>604</v>
      </c>
      <c r="D217" s="16" t="s">
        <v>605</v>
      </c>
      <c r="F217" s="16">
        <v>-5.7227454544881908</v>
      </c>
      <c r="G217" s="16">
        <v>4.3432637724634731</v>
      </c>
      <c r="H217" s="16">
        <v>0.17930166514065604</v>
      </c>
      <c r="I217" s="16">
        <v>-8.5118348709126224</v>
      </c>
      <c r="J217" s="16">
        <v>-8.3616732447499089</v>
      </c>
      <c r="K217" s="16">
        <v>6.298631626106868</v>
      </c>
      <c r="L217" s="16">
        <v>3.2281183979688564</v>
      </c>
      <c r="M217" s="16">
        <v>-0.58750830120868613</v>
      </c>
      <c r="N217" s="16">
        <v>-4.2173347617028583</v>
      </c>
      <c r="O217" s="16">
        <v>1.8915889619930795</v>
      </c>
      <c r="P217" s="16">
        <v>-0.46731588544407998</v>
      </c>
      <c r="Q217" s="16">
        <v>11.953939513596779</v>
      </c>
      <c r="R217" s="16">
        <v>-14.423332063018051</v>
      </c>
      <c r="S217" s="16">
        <v>-1.7746585170938545</v>
      </c>
      <c r="T217" s="16">
        <v>11.915736324267428</v>
      </c>
      <c r="U217" s="16">
        <v>-4.2370937779504345</v>
      </c>
      <c r="V217" s="16">
        <v>10.689557691932876</v>
      </c>
      <c r="W217" s="16">
        <v>-1.4683327786351583</v>
      </c>
      <c r="X217" s="16">
        <v>-16.073241954514458</v>
      </c>
      <c r="Y217" s="16">
        <v>-6.558372820705344</v>
      </c>
      <c r="Z217" s="16">
        <v>5.4994165673883657</v>
      </c>
      <c r="AA217" s="16">
        <v>2.4757752243968554</v>
      </c>
      <c r="AB217" s="16">
        <v>-14.321787905420493</v>
      </c>
      <c r="AC217" s="16">
        <v>-0.40686037310325673</v>
      </c>
      <c r="AD217" s="16">
        <v>5.2083255710290786</v>
      </c>
      <c r="AE217" s="16">
        <v>-6.082732029833366</v>
      </c>
      <c r="AF217" s="16">
        <v>6.2516458082101849</v>
      </c>
      <c r="AG217" s="16">
        <v>3.3797623986812368</v>
      </c>
      <c r="AH217" s="16">
        <v>5.6532761101069582</v>
      </c>
      <c r="AI217" s="16">
        <v>2.8573740876038016</v>
      </c>
      <c r="AJ217" s="16">
        <v>7.0240341239742037</v>
      </c>
      <c r="AK217" s="16">
        <v>-4.1525617560066053</v>
      </c>
      <c r="AL217" s="16">
        <v>0.96565143409752352</v>
      </c>
      <c r="AM217" s="16">
        <v>-21.849675145413698</v>
      </c>
      <c r="AN217" s="16">
        <v>0.36939267080755656</v>
      </c>
      <c r="AO217" s="16">
        <v>4.2646322564762613</v>
      </c>
      <c r="AP217" s="16">
        <v>-2.2452070018225925</v>
      </c>
      <c r="AQ217" s="16">
        <v>2.3194018210100751</v>
      </c>
      <c r="AR217" s="16">
        <v>3.1249165215732972</v>
      </c>
      <c r="AS217" s="16">
        <v>2.9717118656461565</v>
      </c>
      <c r="AT217" s="16">
        <v>2.9858794876324311</v>
      </c>
      <c r="AU217" s="16">
        <v>3.737779106291697</v>
      </c>
      <c r="AV217" s="16">
        <v>3.8010210420748223</v>
      </c>
      <c r="AW217" s="16">
        <v>3.308883434120574</v>
      </c>
      <c r="AX217" s="16">
        <v>3.5294483939554766</v>
      </c>
      <c r="AY217" s="16">
        <v>3.3497196961106255</v>
      </c>
      <c r="AZ217" s="19">
        <v>3.4975879647483055</v>
      </c>
      <c r="BA217" s="19">
        <v>3.6479768305991627</v>
      </c>
      <c r="BB217" s="19">
        <v>4.1005230863977431</v>
      </c>
      <c r="BC217" s="19">
        <v>4.0629601627483822</v>
      </c>
      <c r="BD217" s="19">
        <v>5.0333667291865254</v>
      </c>
      <c r="BE217" s="19">
        <v>4.7776003856903486</v>
      </c>
      <c r="BF217" s="19">
        <v>-5.8285692784411367</v>
      </c>
      <c r="BG217" s="19">
        <v>3.836271227359461</v>
      </c>
      <c r="BH217" s="19">
        <v>6.3148642851504633</v>
      </c>
      <c r="BI217" s="19">
        <v>2.4802967852003235</v>
      </c>
      <c r="BJ217" s="19">
        <v>5.2978755396650996</v>
      </c>
      <c r="BK217" s="19">
        <v>-0.66561861731312888</v>
      </c>
      <c r="BL217" s="19">
        <v>-6.709168768080076E-2</v>
      </c>
      <c r="BM217" s="19">
        <v>-5.8373936113431739</v>
      </c>
      <c r="BN217" s="19">
        <v>0.1111817958230148</v>
      </c>
      <c r="BO217" s="16">
        <v>-0.6583885373551368</v>
      </c>
      <c r="BP217" s="16">
        <v>9.7599575137508054E-4</v>
      </c>
    </row>
    <row r="218" spans="1:68" x14ac:dyDescent="0.3">
      <c r="A218" s="16" t="s">
        <v>213</v>
      </c>
      <c r="B218" s="16" t="s">
        <v>518</v>
      </c>
      <c r="C218" s="16" t="s">
        <v>604</v>
      </c>
      <c r="D218" s="16" t="s">
        <v>605</v>
      </c>
      <c r="AO218" s="16">
        <v>6.36958237907767</v>
      </c>
      <c r="AP218" s="16">
        <v>7.507882233733369</v>
      </c>
      <c r="AQ218" s="16">
        <v>3.73355315095354</v>
      </c>
      <c r="AR218" s="16">
        <v>-9.095703514128374</v>
      </c>
      <c r="AS218" s="16">
        <v>6.4714729141160063</v>
      </c>
      <c r="AT218" s="16">
        <v>7.0627073221427565</v>
      </c>
      <c r="AU218" s="16">
        <v>6.4784767804913344</v>
      </c>
      <c r="AV218" s="16">
        <v>4.6100658428650263</v>
      </c>
      <c r="AW218" s="16">
        <v>9.2828877495147566</v>
      </c>
      <c r="AX218" s="16">
        <v>5.8478698682772716</v>
      </c>
      <c r="AY218" s="16">
        <v>5.5218924011054327</v>
      </c>
      <c r="AZ218" s="19">
        <v>6.8719698010325061</v>
      </c>
      <c r="BA218" s="19">
        <v>6.1063170095860784</v>
      </c>
      <c r="BB218" s="19">
        <v>-2.3409282022316233</v>
      </c>
      <c r="BC218" s="19">
        <v>1.1368043383446462</v>
      </c>
      <c r="BD218" s="19">
        <v>2.8450096070723845</v>
      </c>
      <c r="BE218" s="19">
        <v>-0.19837889947034171</v>
      </c>
      <c r="BF218" s="19">
        <v>3.3945235204925268</v>
      </c>
      <c r="BG218" s="19">
        <v>-1.1263973271085348</v>
      </c>
      <c r="BH218" s="19">
        <v>2.3110158888219416</v>
      </c>
      <c r="BI218" s="19">
        <v>3.8811847602668195</v>
      </c>
      <c r="BJ218" s="19">
        <v>2.645985862382588</v>
      </c>
      <c r="BK218" s="19">
        <v>5.067594881402897</v>
      </c>
      <c r="BL218" s="19">
        <v>4.8930942555800669</v>
      </c>
      <c r="BM218" s="19">
        <v>-0.2409239589782004</v>
      </c>
      <c r="BN218" s="19">
        <v>8.7473566787934089</v>
      </c>
      <c r="BO218" s="16">
        <v>5.1639569380502053</v>
      </c>
      <c r="BP218" s="16">
        <v>3.2469878130685856</v>
      </c>
    </row>
    <row r="219" spans="1:68" hidden="1" x14ac:dyDescent="0.3">
      <c r="A219" s="16" t="s">
        <v>738</v>
      </c>
      <c r="B219" s="16" t="s">
        <v>739</v>
      </c>
      <c r="C219" s="16" t="s">
        <v>604</v>
      </c>
      <c r="D219" s="16" t="s">
        <v>605</v>
      </c>
      <c r="F219" s="16">
        <v>-1.2974247374375238</v>
      </c>
      <c r="G219" s="16">
        <v>3.4450855439314552</v>
      </c>
      <c r="H219" s="16">
        <v>3.673558928627159</v>
      </c>
      <c r="I219" s="16">
        <v>2.3759849484824542</v>
      </c>
      <c r="J219" s="16">
        <v>2.0433996620093069</v>
      </c>
      <c r="K219" s="16">
        <v>-0.54164700809235455</v>
      </c>
      <c r="L219" s="16">
        <v>-3.2728983436363137</v>
      </c>
      <c r="M219" s="16">
        <v>0.4832201035342365</v>
      </c>
      <c r="N219" s="16">
        <v>6.194407090998638</v>
      </c>
      <c r="O219" s="16">
        <v>5.0236909234478588</v>
      </c>
      <c r="P219" s="16">
        <v>4.9233322763140706</v>
      </c>
      <c r="Q219" s="16">
        <v>0.26618780273838638</v>
      </c>
      <c r="R219" s="16">
        <v>1.5347833954362926</v>
      </c>
      <c r="S219" s="16">
        <v>4.6215803465109389</v>
      </c>
      <c r="T219" s="16">
        <v>-3.0338823000359838</v>
      </c>
      <c r="U219" s="16">
        <v>2.2549884136672205</v>
      </c>
      <c r="V219" s="16">
        <v>-3.7191132800444393E-2</v>
      </c>
      <c r="W219" s="16">
        <v>-3.0179263760278872</v>
      </c>
      <c r="X219" s="16">
        <v>0.89207711886416519</v>
      </c>
      <c r="Y219" s="16">
        <v>0.82489418589119623</v>
      </c>
      <c r="Z219" s="16">
        <v>-3.6555274763655348</v>
      </c>
      <c r="AA219" s="16">
        <v>-4.110565993480364</v>
      </c>
      <c r="AB219" s="16">
        <v>-5.3215342411359217</v>
      </c>
      <c r="AC219" s="16">
        <v>-0.54766056595889268</v>
      </c>
      <c r="AD219" s="16">
        <v>-0.83849828503663559</v>
      </c>
      <c r="AE219" s="16">
        <v>-0.96596417346030705</v>
      </c>
      <c r="AF219" s="16">
        <v>2.7192445021185563E-2</v>
      </c>
      <c r="AG219" s="16">
        <v>1.5597192069826349</v>
      </c>
      <c r="AH219" s="16">
        <v>-0.49282595084682157</v>
      </c>
      <c r="AI219" s="16">
        <v>-0.44663704973039842</v>
      </c>
      <c r="AJ219" s="16">
        <v>-2.3163774185072015</v>
      </c>
      <c r="AK219" s="16">
        <v>-2.9997659689476706</v>
      </c>
      <c r="AL219" s="16">
        <v>-3.4726276537474945</v>
      </c>
      <c r="AM219" s="16">
        <v>-1.5978352368464925</v>
      </c>
      <c r="AN219" s="16">
        <v>0.65097412802653309</v>
      </c>
      <c r="AO219" s="16">
        <v>2.3709258094214363</v>
      </c>
      <c r="AP219" s="16">
        <v>1.4123353333422699</v>
      </c>
      <c r="AQ219" s="16">
        <v>-9.2955891838386151E-2</v>
      </c>
      <c r="AR219" s="16">
        <v>-0.40296978122536586</v>
      </c>
      <c r="AS219" s="16">
        <v>0.80543945956451068</v>
      </c>
      <c r="AT219" s="16">
        <v>1.4917930193362139</v>
      </c>
      <c r="AU219" s="16">
        <v>3.5524434187301495</v>
      </c>
      <c r="AV219" s="16">
        <v>1.3266652776831478</v>
      </c>
      <c r="AW219" s="16">
        <v>3.7886911421245486</v>
      </c>
      <c r="AX219" s="16">
        <v>3.19178969007055</v>
      </c>
      <c r="AY219" s="16">
        <v>3.2092047969234159</v>
      </c>
      <c r="AZ219" s="19">
        <v>3.2880766001647714</v>
      </c>
      <c r="BA219" s="19">
        <v>2.3386814895527124</v>
      </c>
      <c r="BB219" s="19">
        <v>0.38299411917907378</v>
      </c>
      <c r="BC219" s="19">
        <v>3.1159505527675151</v>
      </c>
      <c r="BD219" s="19">
        <v>1.582673617555642</v>
      </c>
      <c r="BE219" s="19">
        <v>0.47527077451945843</v>
      </c>
      <c r="BF219" s="19">
        <v>2.2582352416853411</v>
      </c>
      <c r="BG219" s="19">
        <v>2.0494789396422277</v>
      </c>
      <c r="BH219" s="19">
        <v>0.14109676917115621</v>
      </c>
      <c r="BI219" s="19">
        <v>-1.4500029119614624</v>
      </c>
      <c r="BJ219" s="19">
        <v>-0.19115502622378244</v>
      </c>
      <c r="BK219" s="19">
        <v>7.0144262785660771E-2</v>
      </c>
      <c r="BL219" s="19">
        <v>-1.0990166983376071E-2</v>
      </c>
      <c r="BM219" s="19">
        <v>-4.4905796142019625</v>
      </c>
      <c r="BN219" s="19">
        <v>1.6322641302712384</v>
      </c>
      <c r="BO219" s="16">
        <v>1.0822044789058509</v>
      </c>
      <c r="BP219" s="16">
        <v>0.40891745359203924</v>
      </c>
    </row>
    <row r="220" spans="1:68" x14ac:dyDescent="0.3">
      <c r="A220" s="16" t="s">
        <v>223</v>
      </c>
      <c r="B220" s="16" t="s">
        <v>740</v>
      </c>
      <c r="C220" s="16" t="s">
        <v>604</v>
      </c>
      <c r="D220" s="16" t="s">
        <v>605</v>
      </c>
      <c r="AZ220" s="19"/>
      <c r="BA220" s="19"/>
      <c r="BB220" s="19">
        <v>0.42831141587042509</v>
      </c>
      <c r="BC220" s="19">
        <v>0.224489690813229</v>
      </c>
      <c r="BD220" s="19">
        <v>-9.5617107274005093</v>
      </c>
      <c r="BE220" s="19">
        <v>-48.392454400861837</v>
      </c>
      <c r="BF220" s="19">
        <v>9.0101030056713398</v>
      </c>
      <c r="BG220" s="19">
        <v>2.3848985337758535</v>
      </c>
      <c r="BH220" s="19">
        <v>-10.642074405854871</v>
      </c>
      <c r="BI220" s="19"/>
      <c r="BJ220" s="19"/>
      <c r="BK220" s="19"/>
      <c r="BL220" s="19"/>
      <c r="BM220" s="19"/>
      <c r="BN220" s="19"/>
    </row>
    <row r="221" spans="1:68" x14ac:dyDescent="0.3">
      <c r="A221" s="16" t="s">
        <v>741</v>
      </c>
      <c r="B221" s="16" t="s">
        <v>742</v>
      </c>
      <c r="C221" s="16" t="s">
        <v>604</v>
      </c>
      <c r="D221" s="16" t="s">
        <v>605</v>
      </c>
      <c r="F221" s="16">
        <v>-1.3008645513870931</v>
      </c>
      <c r="G221" s="16">
        <v>3.4462809326690262</v>
      </c>
      <c r="H221" s="16">
        <v>3.6755772776445355</v>
      </c>
      <c r="I221" s="16">
        <v>2.376494064889954</v>
      </c>
      <c r="J221" s="16">
        <v>2.0402479861134424</v>
      </c>
      <c r="K221" s="16">
        <v>-0.53546782672785298</v>
      </c>
      <c r="L221" s="16">
        <v>-3.2721464198469619</v>
      </c>
      <c r="M221" s="16">
        <v>0.48583031277031807</v>
      </c>
      <c r="N221" s="16">
        <v>6.1889735131008337</v>
      </c>
      <c r="O221" s="16">
        <v>5.0243246168622449</v>
      </c>
      <c r="P221" s="16">
        <v>4.9279747331178498</v>
      </c>
      <c r="Q221" s="16">
        <v>0.26823979821979549</v>
      </c>
      <c r="R221" s="16">
        <v>1.53793136778053</v>
      </c>
      <c r="S221" s="16">
        <v>4.6176988284762217</v>
      </c>
      <c r="T221" s="16">
        <v>-3.0317010426937117</v>
      </c>
      <c r="U221" s="16">
        <v>2.2621257335172089</v>
      </c>
      <c r="V221" s="16">
        <v>-4.3326422681460031E-2</v>
      </c>
      <c r="W221" s="16">
        <v>-3.0039931623110618</v>
      </c>
      <c r="X221" s="16">
        <v>0.90156534294732182</v>
      </c>
      <c r="Y221" s="16">
        <v>0.81760308919302815</v>
      </c>
      <c r="Z221" s="16">
        <v>-3.6575414704994529</v>
      </c>
      <c r="AA221" s="16">
        <v>-4.1108291447409613</v>
      </c>
      <c r="AB221" s="16">
        <v>-5.3197099077964936</v>
      </c>
      <c r="AC221" s="16">
        <v>-0.54584667440649071</v>
      </c>
      <c r="AD221" s="16">
        <v>-0.83209345733141049</v>
      </c>
      <c r="AE221" s="16">
        <v>-0.96655558588803103</v>
      </c>
      <c r="AF221" s="16">
        <v>2.8512506627691891E-2</v>
      </c>
      <c r="AG221" s="16">
        <v>1.5607759459707893</v>
      </c>
      <c r="AH221" s="16">
        <v>-0.48606339170925139</v>
      </c>
      <c r="AI221" s="16">
        <v>-0.44187154650978755</v>
      </c>
      <c r="AJ221" s="16">
        <v>-2.3139868973147628</v>
      </c>
      <c r="AK221" s="16">
        <v>-2.9923651193577143</v>
      </c>
      <c r="AL221" s="16">
        <v>-3.4642771498507301</v>
      </c>
      <c r="AM221" s="16">
        <v>-1.6015852193882836</v>
      </c>
      <c r="AN221" s="16">
        <v>0.64812678546259406</v>
      </c>
      <c r="AO221" s="16">
        <v>2.3760827149541797</v>
      </c>
      <c r="AP221" s="16">
        <v>1.4212443130105896</v>
      </c>
      <c r="AQ221" s="16">
        <v>-9.2920874458471303E-2</v>
      </c>
      <c r="AR221" s="16">
        <v>-0.4032792807271619</v>
      </c>
      <c r="AS221" s="16">
        <v>0.80654695250484565</v>
      </c>
      <c r="AT221" s="16">
        <v>1.4845712825759563</v>
      </c>
      <c r="AU221" s="16">
        <v>3.5468072840413072</v>
      </c>
      <c r="AV221" s="16">
        <v>1.3167884690683564</v>
      </c>
      <c r="AW221" s="16">
        <v>3.780167724279309</v>
      </c>
      <c r="AX221" s="16">
        <v>3.1945981030997501</v>
      </c>
      <c r="AY221" s="16">
        <v>3.2122231701360136</v>
      </c>
      <c r="AZ221" s="19">
        <v>3.2907838061715182</v>
      </c>
      <c r="BA221" s="19">
        <v>2.3313718420465648</v>
      </c>
      <c r="BB221" s="19">
        <v>0.37844771093840279</v>
      </c>
      <c r="BC221" s="19">
        <v>3.1147543226604455</v>
      </c>
      <c r="BD221" s="19">
        <v>1.5872353125425462</v>
      </c>
      <c r="BE221" s="19">
        <v>0.47531733402659881</v>
      </c>
      <c r="BF221" s="19">
        <v>2.2551510789054561</v>
      </c>
      <c r="BG221" s="19">
        <v>2.0489484285326967</v>
      </c>
      <c r="BH221" s="19">
        <v>0.14587819862006768</v>
      </c>
      <c r="BI221" s="19">
        <v>-1.4407845997614857</v>
      </c>
      <c r="BJ221" s="19">
        <v>-0.18688433550580896</v>
      </c>
      <c r="BK221" s="19">
        <v>7.2408179710748755E-2</v>
      </c>
      <c r="BL221" s="19">
        <v>-8.0170723799142252E-3</v>
      </c>
      <c r="BM221" s="19">
        <v>-4.5003586010395935</v>
      </c>
      <c r="BN221" s="19">
        <v>1.6290194481904763</v>
      </c>
      <c r="BO221" s="16">
        <v>1.0906810973911263</v>
      </c>
      <c r="BP221" s="16">
        <v>0.40937398915525591</v>
      </c>
    </row>
    <row r="222" spans="1:68" hidden="1" x14ac:dyDescent="0.3">
      <c r="A222" s="16" t="s">
        <v>743</v>
      </c>
      <c r="B222" s="16" t="s">
        <v>744</v>
      </c>
      <c r="C222" s="16" t="s">
        <v>604</v>
      </c>
      <c r="D222" s="16" t="s">
        <v>605</v>
      </c>
      <c r="T222" s="16">
        <v>-2.8802675075804274</v>
      </c>
      <c r="U222" s="16">
        <v>11.002999071939044</v>
      </c>
      <c r="V222" s="16">
        <v>7.0786187661233413</v>
      </c>
      <c r="W222" s="16">
        <v>4.4265329417396231</v>
      </c>
      <c r="X222" s="16">
        <v>8.3737831192753305</v>
      </c>
      <c r="Y222" s="16">
        <v>-1.0649003687875762</v>
      </c>
      <c r="Z222" s="16">
        <v>-4.8176269098677409</v>
      </c>
      <c r="AA222" s="16">
        <v>-1.3281170900223032</v>
      </c>
      <c r="AB222" s="16">
        <v>-0.27352923235515902</v>
      </c>
      <c r="AC222" s="16">
        <v>3.2495255935806426</v>
      </c>
      <c r="AD222" s="16">
        <v>0.13148210142787775</v>
      </c>
      <c r="AE222" s="16">
        <v>1.5043644574681281</v>
      </c>
      <c r="AF222" s="16">
        <v>3.1269231798745807</v>
      </c>
      <c r="AG222" s="16">
        <v>2.4253809481373168</v>
      </c>
      <c r="AH222" s="16">
        <v>1.8695777466867014</v>
      </c>
      <c r="AI222" s="16">
        <v>1.4115083857369086</v>
      </c>
      <c r="AJ222" s="16">
        <v>-1.1987329727658533</v>
      </c>
      <c r="AK222" s="16">
        <v>-1.069337809576183</v>
      </c>
      <c r="AL222" s="16">
        <v>1.4120036521443069</v>
      </c>
      <c r="AM222" s="16">
        <v>1.9113462616309249</v>
      </c>
      <c r="AN222" s="16">
        <v>3.3455038330288289</v>
      </c>
      <c r="AO222" s="16">
        <v>2.5952772111622409</v>
      </c>
      <c r="AP222" s="16">
        <v>2.7211971818432517</v>
      </c>
      <c r="AQ222" s="16">
        <v>2.8577318428874463</v>
      </c>
      <c r="AR222" s="16">
        <v>1.6042797592240845</v>
      </c>
      <c r="AS222" s="16">
        <v>4.366379273975852</v>
      </c>
      <c r="AT222" s="16">
        <v>1.3937492372188274</v>
      </c>
      <c r="AU222" s="16">
        <v>1.7915269816556503</v>
      </c>
      <c r="AV222" s="16">
        <v>2.5476372865013417</v>
      </c>
      <c r="AW222" s="16">
        <v>3.0629062565118232</v>
      </c>
      <c r="AX222" s="16">
        <v>3.0097519649293929</v>
      </c>
      <c r="AY222" s="16">
        <v>4.3106715794083641</v>
      </c>
      <c r="AZ222" s="19">
        <v>3.9653262387040229</v>
      </c>
      <c r="BA222" s="19">
        <v>0.32209667010204157</v>
      </c>
      <c r="BB222" s="19">
        <v>-4.5898368564712371</v>
      </c>
      <c r="BC222" s="19">
        <v>1.2679361466827856</v>
      </c>
      <c r="BD222" s="19">
        <v>1.8954306454668597</v>
      </c>
      <c r="BE222" s="19">
        <v>0.72759676473100399</v>
      </c>
      <c r="BF222" s="19">
        <v>0.31233808453821155</v>
      </c>
      <c r="BG222" s="19">
        <v>1.0935574551443068</v>
      </c>
      <c r="BH222" s="19">
        <v>1.6067828741712447</v>
      </c>
      <c r="BI222" s="19">
        <v>2.0371034143051219</v>
      </c>
      <c r="BJ222" s="19">
        <v>2.9703902347537223</v>
      </c>
      <c r="BK222" s="19">
        <v>2.4539752351934681</v>
      </c>
      <c r="BL222" s="19">
        <v>2.3554933951299262</v>
      </c>
      <c r="BM222" s="19">
        <v>-7.2002107639117554</v>
      </c>
      <c r="BN222" s="19">
        <v>5.9811225739695857</v>
      </c>
      <c r="BO222" s="16">
        <v>6.5645785720413556</v>
      </c>
      <c r="BP222" s="16">
        <v>3.4647518719853991</v>
      </c>
    </row>
    <row r="223" spans="1:68" x14ac:dyDescent="0.3">
      <c r="A223" s="16" t="s">
        <v>210</v>
      </c>
      <c r="B223" s="16" t="s">
        <v>745</v>
      </c>
      <c r="C223" s="16" t="s">
        <v>604</v>
      </c>
      <c r="D223" s="16" t="s">
        <v>605</v>
      </c>
      <c r="P223" s="16">
        <v>3.1900415048288835</v>
      </c>
      <c r="Q223" s="16">
        <v>0.25495590179403393</v>
      </c>
      <c r="R223" s="16">
        <v>-0.42422095865909171</v>
      </c>
      <c r="S223" s="16">
        <v>3.5283983454937271</v>
      </c>
      <c r="T223" s="16">
        <v>3.1146664823424146</v>
      </c>
      <c r="U223" s="16">
        <v>-0.71590791262596554</v>
      </c>
      <c r="V223" s="16">
        <v>20.381943424068055</v>
      </c>
      <c r="W223" s="16">
        <v>0.27653321218809879</v>
      </c>
      <c r="X223" s="16">
        <v>13.455915427270227</v>
      </c>
      <c r="Y223" s="16">
        <v>-3.3129053322856805</v>
      </c>
      <c r="Z223" s="16">
        <v>-12.086462009054998</v>
      </c>
      <c r="AA223" s="16">
        <v>1.294065764632407</v>
      </c>
      <c r="AB223" s="16">
        <v>-5.4837196015664631</v>
      </c>
      <c r="AC223" s="16">
        <v>-7.6913855964291997</v>
      </c>
      <c r="AD223" s="16">
        <v>7.136587592716765</v>
      </c>
      <c r="AE223" s="16">
        <v>-7.8707550934364718</v>
      </c>
      <c r="AF223" s="16">
        <v>-5.229663522944719</v>
      </c>
      <c r="AG223" s="16">
        <v>-0.58702286576665585</v>
      </c>
      <c r="AH223" s="16">
        <v>0.56055514934077166</v>
      </c>
      <c r="AI223" s="16">
        <v>-4.5089243223217608</v>
      </c>
      <c r="AJ223" s="16">
        <v>-1.0526772732388565</v>
      </c>
      <c r="AK223" s="16">
        <v>-1.3549057908927296</v>
      </c>
      <c r="AL223" s="16">
        <v>-0.89862226486108909</v>
      </c>
      <c r="AM223" s="16">
        <v>0.25714722460681116</v>
      </c>
      <c r="AN223" s="16">
        <v>0.15203229999207224</v>
      </c>
      <c r="AO223" s="16">
        <v>-0.25023262955889436</v>
      </c>
      <c r="AP223" s="16">
        <v>-0.6500669352834052</v>
      </c>
      <c r="AQ223" s="16">
        <v>0.93524425263385069</v>
      </c>
      <c r="AR223" s="16">
        <v>1.0413785975249112</v>
      </c>
      <c r="AS223" s="16">
        <v>-0.88382329590378106</v>
      </c>
      <c r="AT223" s="16">
        <v>1.2717893089433403</v>
      </c>
      <c r="AU223" s="16">
        <v>0.88863796362683445</v>
      </c>
      <c r="AV223" s="16">
        <v>5.530037119609517</v>
      </c>
      <c r="AW223" s="16">
        <v>0.95433327010003666</v>
      </c>
      <c r="AX223" s="16">
        <v>3.9881647653001693</v>
      </c>
      <c r="AY223" s="16">
        <v>6.2089157413443843</v>
      </c>
      <c r="AZ223" s="19">
        <v>1.1273980547934457</v>
      </c>
      <c r="BA223" s="19">
        <v>3.6897312713957291</v>
      </c>
      <c r="BB223" s="19">
        <v>0.91076793436101866</v>
      </c>
      <c r="BC223" s="19">
        <v>-0.78508245185575731</v>
      </c>
      <c r="BD223" s="19">
        <v>-0.14203234355430538</v>
      </c>
      <c r="BE223" s="19">
        <v>0.83987811119934008</v>
      </c>
      <c r="BF223" s="19">
        <v>3.0401692348415139</v>
      </c>
      <c r="BG223" s="19">
        <v>2.9196013422430269</v>
      </c>
      <c r="BH223" s="19">
        <v>-0.29143919030804</v>
      </c>
      <c r="BI223" s="19">
        <v>3.3737787714399161</v>
      </c>
      <c r="BJ223" s="19">
        <v>2.4094146780018662</v>
      </c>
      <c r="BK223" s="19">
        <v>2.744391173120178</v>
      </c>
      <c r="BL223" s="19">
        <v>0.4669840363334572</v>
      </c>
      <c r="BM223" s="19">
        <v>0.72764130634932656</v>
      </c>
      <c r="BN223" s="19">
        <v>-0.14045003644015708</v>
      </c>
      <c r="BO223" s="16">
        <v>-1.8151773730593703</v>
      </c>
      <c r="BP223" s="16">
        <v>-2.3957923812016872</v>
      </c>
    </row>
    <row r="224" spans="1:68" x14ac:dyDescent="0.3">
      <c r="A224" s="16" t="s">
        <v>227</v>
      </c>
      <c r="B224" s="16" t="s">
        <v>519</v>
      </c>
      <c r="C224" s="16" t="s">
        <v>604</v>
      </c>
      <c r="D224" s="16" t="s">
        <v>605</v>
      </c>
      <c r="F224" s="16">
        <v>1.1907831434046159</v>
      </c>
      <c r="G224" s="16">
        <v>0.17995393613767874</v>
      </c>
      <c r="H224" s="16">
        <v>1.7048948997074405</v>
      </c>
      <c r="I224" s="16">
        <v>2.7395774241356037</v>
      </c>
      <c r="J224" s="16">
        <v>8.2392133772766698</v>
      </c>
      <c r="K224" s="16">
        <v>15.22609245571762</v>
      </c>
      <c r="L224" s="16">
        <v>8.3555037536094972</v>
      </c>
      <c r="M224" s="16">
        <v>4.0136158527196812</v>
      </c>
      <c r="N224" s="16">
        <v>1.0462110119525647</v>
      </c>
      <c r="O224" s="16">
        <v>-0.62495433191627114</v>
      </c>
      <c r="P224" s="16">
        <v>0.69097508827098864</v>
      </c>
      <c r="Q224" s="16">
        <v>-1.975995713823238</v>
      </c>
      <c r="R224" s="16">
        <v>-1.5031683112892011</v>
      </c>
      <c r="S224" s="16">
        <v>0.86113064280981177</v>
      </c>
      <c r="T224" s="16">
        <v>3.4244491092724161</v>
      </c>
      <c r="U224" s="16">
        <v>9.6123011780781837</v>
      </c>
      <c r="V224" s="16">
        <v>11.177149892719228</v>
      </c>
      <c r="W224" s="16">
        <v>7.6956308807459664</v>
      </c>
      <c r="X224" s="16">
        <v>0.59139235278749425</v>
      </c>
      <c r="Y224" s="16">
        <v>-8.2529633816355528</v>
      </c>
      <c r="Z224" s="16">
        <v>6.8871443807015282</v>
      </c>
      <c r="AA224" s="16">
        <v>-4.5628480100715194</v>
      </c>
      <c r="AB224" s="16">
        <v>-4.4372252634795757</v>
      </c>
      <c r="AC224" s="16">
        <v>-2.7225060573171049</v>
      </c>
      <c r="AD224" s="16">
        <v>0.80025105212968128</v>
      </c>
      <c r="AE224" s="16">
        <v>-0.53613203739365645</v>
      </c>
      <c r="AF224" s="16">
        <v>-7.2623987379833181</v>
      </c>
      <c r="AG224" s="16">
        <v>6.3867533356860093</v>
      </c>
      <c r="AH224" s="16">
        <v>2.6126060342975848</v>
      </c>
      <c r="AI224" s="16">
        <v>-5.5171093823523449</v>
      </c>
      <c r="AJ224" s="16">
        <v>1.9037909007056868</v>
      </c>
      <c r="AK224" s="16">
        <v>-0.44719476843617656</v>
      </c>
      <c r="AL224" s="16">
        <v>-7.3304289405544267</v>
      </c>
      <c r="AM224" s="16">
        <v>2.3884170932056321</v>
      </c>
      <c r="AN224" s="16">
        <v>-1.8278901700844727</v>
      </c>
      <c r="AO224" s="16">
        <v>-1.1263433371469773</v>
      </c>
      <c r="AP224" s="16">
        <v>3.5871040055632193</v>
      </c>
      <c r="AQ224" s="16">
        <v>0.33663494179920406</v>
      </c>
      <c r="AR224" s="16">
        <v>-3.2252588266090925</v>
      </c>
      <c r="AS224" s="16">
        <v>0.27966978402544385</v>
      </c>
      <c r="AT224" s="16">
        <v>2.4050189406913347</v>
      </c>
      <c r="AU224" s="16">
        <v>1.0844067084974824</v>
      </c>
      <c r="AV224" s="16">
        <v>4.5879064651781505</v>
      </c>
      <c r="AW224" s="16">
        <v>7.0566542879272305</v>
      </c>
      <c r="AX224" s="16">
        <v>3.3566582225867734</v>
      </c>
      <c r="AY224" s="16">
        <v>4.617503576009625</v>
      </c>
      <c r="AZ224" s="19">
        <v>3.9322472074725994</v>
      </c>
      <c r="BA224" s="19">
        <v>2.9746806793797873</v>
      </c>
      <c r="BB224" s="19">
        <v>1.8597270071402505</v>
      </c>
      <c r="BC224" s="19">
        <v>3.9953823386544371</v>
      </c>
      <c r="BD224" s="19">
        <v>4.6864827385843171</v>
      </c>
      <c r="BE224" s="19">
        <v>1.5928119159720069</v>
      </c>
      <c r="BF224" s="19">
        <v>1.868235940189237</v>
      </c>
      <c r="BG224" s="19">
        <v>-0.75377110706082817</v>
      </c>
      <c r="BH224" s="19">
        <v>-4.3853320829106224</v>
      </c>
      <c r="BI224" s="19">
        <v>-5.8892770893785809</v>
      </c>
      <c r="BJ224" s="19">
        <v>0.51054854348693368</v>
      </c>
      <c r="BK224" s="19">
        <v>3.8601032654534464</v>
      </c>
      <c r="BL224" s="19">
        <v>5.7663674863306369E-2</v>
      </c>
      <c r="BM224" s="19">
        <v>-16.911407446687733</v>
      </c>
      <c r="BN224" s="19">
        <v>-3.3776315939366839</v>
      </c>
      <c r="BO224" s="16">
        <v>1.5959098565864167</v>
      </c>
      <c r="BP224" s="16">
        <v>1.224442666488315</v>
      </c>
    </row>
    <row r="225" spans="1:68" x14ac:dyDescent="0.3">
      <c r="A225" s="16" t="s">
        <v>521</v>
      </c>
      <c r="B225" s="16" t="s">
        <v>520</v>
      </c>
      <c r="C225" s="16" t="s">
        <v>604</v>
      </c>
      <c r="D225" s="16" t="s">
        <v>605</v>
      </c>
      <c r="AJ225" s="16">
        <v>-14.639958571269588</v>
      </c>
      <c r="AK225" s="16">
        <v>-6.7517665393024515</v>
      </c>
      <c r="AL225" s="16">
        <v>1.5130919481147771</v>
      </c>
      <c r="AM225" s="16">
        <v>5.7878470939262172</v>
      </c>
      <c r="AN225" s="16">
        <v>5.5342148272930416</v>
      </c>
      <c r="AO225" s="16">
        <v>6.3944497870627401</v>
      </c>
      <c r="AP225" s="16">
        <v>5.7304466501125546</v>
      </c>
      <c r="AQ225" s="16">
        <v>3.9366025206437882</v>
      </c>
      <c r="AR225" s="16">
        <v>-0.20780803220826272</v>
      </c>
      <c r="AS225" s="16">
        <v>1.3035749534136869</v>
      </c>
      <c r="AT225" s="16">
        <v>3.4429240980634006</v>
      </c>
      <c r="AU225" s="16">
        <v>4.5474428931575801</v>
      </c>
      <c r="AV225" s="16">
        <v>5.5685470219777926</v>
      </c>
      <c r="AW225" s="16">
        <v>5.3003194915633145</v>
      </c>
      <c r="AX225" s="16">
        <v>6.6130029330744691</v>
      </c>
      <c r="AY225" s="16">
        <v>8.4881892997151596</v>
      </c>
      <c r="AZ225" s="19">
        <v>10.79969451649221</v>
      </c>
      <c r="BA225" s="19">
        <v>5.4843890937507069</v>
      </c>
      <c r="BB225" s="19">
        <v>-5.5814363847824495</v>
      </c>
      <c r="BC225" s="19">
        <v>6.6172284863092585</v>
      </c>
      <c r="BD225" s="19">
        <v>2.539157146637109</v>
      </c>
      <c r="BE225" s="19">
        <v>1.1465206410503441</v>
      </c>
      <c r="BF225" s="19">
        <v>0.52466014861730059</v>
      </c>
      <c r="BG225" s="19">
        <v>2.5975752297797499</v>
      </c>
      <c r="BH225" s="19">
        <v>5.0672846299001861</v>
      </c>
      <c r="BI225" s="19">
        <v>1.8126070282800839</v>
      </c>
      <c r="BJ225" s="19">
        <v>2.7784542927246036</v>
      </c>
      <c r="BK225" s="19">
        <v>3.8863988785719812</v>
      </c>
      <c r="BL225" s="19">
        <v>2.3726235159320197</v>
      </c>
      <c r="BM225" s="19">
        <v>-3.4126012520307967</v>
      </c>
      <c r="BN225" s="19">
        <v>4.9939487478824418</v>
      </c>
      <c r="BO225" s="16">
        <v>2.1606378703069424</v>
      </c>
      <c r="BP225" s="16">
        <v>1.6902868909255915</v>
      </c>
    </row>
    <row r="226" spans="1:68" x14ac:dyDescent="0.3">
      <c r="A226" s="16" t="s">
        <v>219</v>
      </c>
      <c r="B226" s="16" t="s">
        <v>522</v>
      </c>
      <c r="C226" s="16" t="s">
        <v>604</v>
      </c>
      <c r="D226" s="16" t="s">
        <v>605</v>
      </c>
      <c r="AJ226" s="16">
        <v>-8.9578817561313713</v>
      </c>
      <c r="AK226" s="16">
        <v>-5.3249118126254302</v>
      </c>
      <c r="AL226" s="16">
        <v>3.0887879141764358</v>
      </c>
      <c r="AM226" s="16">
        <v>5.4494139404424686</v>
      </c>
      <c r="AN226" s="16">
        <v>4.0847137105276943</v>
      </c>
      <c r="AO226" s="16">
        <v>3.2675651626276476</v>
      </c>
      <c r="AP226" s="16">
        <v>5.191132463207154</v>
      </c>
      <c r="AQ226" s="16">
        <v>3.5048818314312911</v>
      </c>
      <c r="AR226" s="16">
        <v>5.2574534244538285</v>
      </c>
      <c r="AS226" s="16">
        <v>3.365877566896728</v>
      </c>
      <c r="AT226" s="16">
        <v>3.0541235019792907</v>
      </c>
      <c r="AU226" s="16">
        <v>3.3774180710590969</v>
      </c>
      <c r="AV226" s="16">
        <v>2.8981972778051102</v>
      </c>
      <c r="AW226" s="16">
        <v>4.2923552193448415</v>
      </c>
      <c r="AX226" s="16">
        <v>3.6183409240603481</v>
      </c>
      <c r="AY226" s="16">
        <v>5.409482633347551</v>
      </c>
      <c r="AZ226" s="19">
        <v>6.3835889272679367</v>
      </c>
      <c r="BA226" s="19">
        <v>3.3462795436053057</v>
      </c>
      <c r="BB226" s="19">
        <v>-8.380319592367087</v>
      </c>
      <c r="BC226" s="19">
        <v>0.90277138028973525</v>
      </c>
      <c r="BD226" s="19">
        <v>0.65202324321795402</v>
      </c>
      <c r="BE226" s="19">
        <v>-2.8437050202525143</v>
      </c>
      <c r="BF226" s="19">
        <v>-1.1635208754996853</v>
      </c>
      <c r="BG226" s="19">
        <v>2.6671340593384514</v>
      </c>
      <c r="BH226" s="19">
        <v>2.1332580276153408</v>
      </c>
      <c r="BI226" s="19">
        <v>3.1163466011635137</v>
      </c>
      <c r="BJ226" s="19">
        <v>4.7471061832116135</v>
      </c>
      <c r="BK226" s="19">
        <v>4.0763163053002103</v>
      </c>
      <c r="BL226" s="19">
        <v>2.8043504141933084</v>
      </c>
      <c r="BM226" s="19">
        <v>-4.8800919090111563</v>
      </c>
      <c r="BN226" s="19">
        <v>7.9379162267506018</v>
      </c>
      <c r="BO226" s="16">
        <v>2.2712393108094773</v>
      </c>
      <c r="BP226" s="16">
        <v>1.1581717326008487</v>
      </c>
    </row>
    <row r="227" spans="1:68" x14ac:dyDescent="0.3">
      <c r="A227" s="16" t="s">
        <v>229</v>
      </c>
      <c r="B227" s="16" t="s">
        <v>523</v>
      </c>
      <c r="C227" s="16" t="s">
        <v>604</v>
      </c>
      <c r="D227" s="16" t="s">
        <v>605</v>
      </c>
      <c r="F227" s="16">
        <v>5.1846187157809567</v>
      </c>
      <c r="G227" s="16">
        <v>3.685604999256185</v>
      </c>
      <c r="H227" s="16">
        <v>4.73593988216561</v>
      </c>
      <c r="I227" s="16">
        <v>6.0260591641799692</v>
      </c>
      <c r="J227" s="16">
        <v>2.8482597812801203</v>
      </c>
      <c r="K227" s="16">
        <v>1.1239895693795177</v>
      </c>
      <c r="L227" s="16">
        <v>2.5753747098380018</v>
      </c>
      <c r="M227" s="16">
        <v>3.0576942320126363</v>
      </c>
      <c r="N227" s="16">
        <v>4.2737151991505016</v>
      </c>
      <c r="O227" s="16">
        <v>5.4843828592354527</v>
      </c>
      <c r="P227" s="16">
        <v>0.25243485508129027</v>
      </c>
      <c r="Q227" s="16">
        <v>1.9869213388985258</v>
      </c>
      <c r="R227" s="16">
        <v>3.7889320528209822</v>
      </c>
      <c r="S227" s="16">
        <v>2.8991848131043838</v>
      </c>
      <c r="T227" s="16">
        <v>2.1462532193603465</v>
      </c>
      <c r="U227" s="16">
        <v>0.69123812295867992</v>
      </c>
      <c r="V227" s="16">
        <v>-1.9451271474668346</v>
      </c>
      <c r="W227" s="16">
        <v>1.4557337534881754</v>
      </c>
      <c r="X227" s="16">
        <v>3.6136475193454771</v>
      </c>
      <c r="Y227" s="16">
        <v>1.4937331594717165</v>
      </c>
      <c r="Z227" s="16">
        <v>0.33443678551566336</v>
      </c>
      <c r="AA227" s="16">
        <v>1.1907753796491818</v>
      </c>
      <c r="AB227" s="16">
        <v>1.8545150795930709</v>
      </c>
      <c r="AC227" s="16">
        <v>4.1348652874373784</v>
      </c>
      <c r="AD227" s="16">
        <v>1.9917741012096144</v>
      </c>
      <c r="AE227" s="16">
        <v>2.4527726132183858</v>
      </c>
      <c r="AF227" s="16">
        <v>3.0095477664165315</v>
      </c>
      <c r="AG227" s="16">
        <v>2.0887605188408429</v>
      </c>
      <c r="AH227" s="16">
        <v>1.9721912677897819</v>
      </c>
      <c r="AI227" s="16">
        <v>-2.0759175519131645E-2</v>
      </c>
      <c r="AJ227" s="16">
        <v>-1.8175151730461465</v>
      </c>
      <c r="AK227" s="16">
        <v>-1.7366303566737855</v>
      </c>
      <c r="AL227" s="16">
        <v>-2.6328084517702592</v>
      </c>
      <c r="AM227" s="16">
        <v>3.1939553996992061</v>
      </c>
      <c r="AN227" s="16">
        <v>3.3912691148738787</v>
      </c>
      <c r="AO227" s="16">
        <v>1.4179242381152193</v>
      </c>
      <c r="AP227" s="16">
        <v>3.0115230333383778</v>
      </c>
      <c r="AQ227" s="16">
        <v>4.2539467085561</v>
      </c>
      <c r="AR227" s="16">
        <v>4.165978927774745</v>
      </c>
      <c r="AS227" s="16">
        <v>4.5982547941730445</v>
      </c>
      <c r="AT227" s="16">
        <v>1.1775018923171388</v>
      </c>
      <c r="AU227" s="16">
        <v>1.8648739738901696</v>
      </c>
      <c r="AV227" s="16">
        <v>1.9298303835092412</v>
      </c>
      <c r="AW227" s="16">
        <v>3.9273062567083343</v>
      </c>
      <c r="AX227" s="16">
        <v>2.4482484397892392</v>
      </c>
      <c r="AY227" s="16">
        <v>4.075714897490144</v>
      </c>
      <c r="AZ227" s="19">
        <v>2.6750026708392056</v>
      </c>
      <c r="BA227" s="19">
        <v>-1.2230695777002722</v>
      </c>
      <c r="BB227" s="19">
        <v>-5.1512627288531547</v>
      </c>
      <c r="BC227" s="19">
        <v>5.0526785726024031</v>
      </c>
      <c r="BD227" s="19">
        <v>2.41898851140094</v>
      </c>
      <c r="BE227" s="19">
        <v>-1.3210023244455726</v>
      </c>
      <c r="BF227" s="19">
        <v>0.33398486328788124</v>
      </c>
      <c r="BG227" s="19">
        <v>1.6442440059553718</v>
      </c>
      <c r="BH227" s="19">
        <v>3.3901762960005755</v>
      </c>
      <c r="BI227" s="19">
        <v>0.79614630049835</v>
      </c>
      <c r="BJ227" s="19">
        <v>1.1951475713216695</v>
      </c>
      <c r="BK227" s="19">
        <v>0.772577449000039</v>
      </c>
      <c r="BL227" s="19">
        <v>0.95756165641978441</v>
      </c>
      <c r="BM227" s="19">
        <v>-2.8746841901851923</v>
      </c>
      <c r="BN227" s="19">
        <v>5.5114251934981411</v>
      </c>
      <c r="BO227" s="16">
        <v>1.9668636507740587</v>
      </c>
      <c r="BP227" s="16">
        <v>-0.66684815853199098</v>
      </c>
    </row>
    <row r="228" spans="1:68" x14ac:dyDescent="0.3">
      <c r="A228" s="16" t="s">
        <v>94</v>
      </c>
      <c r="B228" s="16" t="s">
        <v>524</v>
      </c>
      <c r="C228" s="16" t="s">
        <v>604</v>
      </c>
      <c r="D228" s="16" t="s">
        <v>605</v>
      </c>
      <c r="P228" s="16">
        <v>10.731226305088953</v>
      </c>
      <c r="Q228" s="16">
        <v>2.5832106662509062</v>
      </c>
      <c r="R228" s="16">
        <v>6.0348061382800751</v>
      </c>
      <c r="S228" s="16">
        <v>2.7598951194008663</v>
      </c>
      <c r="T228" s="16">
        <v>10.575034605642529</v>
      </c>
      <c r="U228" s="16">
        <v>-5.08534042161142</v>
      </c>
      <c r="V228" s="16">
        <v>-2.1326620410679169</v>
      </c>
      <c r="W228" s="16">
        <v>-1.9118031168526812</v>
      </c>
      <c r="X228" s="16">
        <v>-0.25018094267113611</v>
      </c>
      <c r="Y228" s="16">
        <v>8.7907626772494751</v>
      </c>
      <c r="Z228" s="16">
        <v>11.358529616469056</v>
      </c>
      <c r="AA228" s="16">
        <v>-1.7343699659336522</v>
      </c>
      <c r="AB228" s="16">
        <v>-2.0499907103637867</v>
      </c>
      <c r="AC228" s="16">
        <v>2.7450952797253763</v>
      </c>
      <c r="AD228" s="16">
        <v>8.3876032463621186E-2</v>
      </c>
      <c r="AE228" s="16">
        <v>7.9977667263088676</v>
      </c>
      <c r="AF228" s="16">
        <v>10.298432994344836</v>
      </c>
      <c r="AG228" s="16">
        <v>1.7721043680032977</v>
      </c>
      <c r="AH228" s="16">
        <v>8.6024612241179028</v>
      </c>
      <c r="AI228" s="16">
        <v>17.041887726066165</v>
      </c>
      <c r="AJ228" s="16">
        <v>-2.3229081248179142</v>
      </c>
      <c r="AK228" s="16">
        <v>-0.72949692586406911</v>
      </c>
      <c r="AL228" s="16">
        <v>4.7268400628425411E-2</v>
      </c>
      <c r="AM228" s="16">
        <v>2.3699838339637154</v>
      </c>
      <c r="AN228" s="16">
        <v>4.8436799618998094</v>
      </c>
      <c r="AO228" s="16">
        <v>1.7073755231740364</v>
      </c>
      <c r="AP228" s="16">
        <v>1.3183669407492005</v>
      </c>
      <c r="AQ228" s="16">
        <v>1.1316732018615596</v>
      </c>
      <c r="AR228" s="16">
        <v>1.6152241580430058</v>
      </c>
      <c r="AS228" s="16">
        <v>0.56274663094035304</v>
      </c>
      <c r="AT228" s="16">
        <v>-2.9469897671674516E-3</v>
      </c>
      <c r="AU228" s="16">
        <v>3.4450767644202074</v>
      </c>
      <c r="AV228" s="16">
        <v>3.0964985337707418</v>
      </c>
      <c r="AW228" s="16">
        <v>2.9465149045289252</v>
      </c>
      <c r="AX228" s="16">
        <v>5.3933721411656848</v>
      </c>
      <c r="AY228" s="16">
        <v>5.4169343513384263</v>
      </c>
      <c r="AZ228" s="19">
        <v>3.8310229235740962</v>
      </c>
      <c r="BA228" s="19">
        <v>0.27938217940726418</v>
      </c>
      <c r="BB228" s="19">
        <v>1.0997490083931183</v>
      </c>
      <c r="BC228" s="19">
        <v>3.3187224545438312</v>
      </c>
      <c r="BD228" s="19">
        <v>1.7430102280536488</v>
      </c>
      <c r="BE228" s="19">
        <v>4.8207368700589512</v>
      </c>
      <c r="BF228" s="19">
        <v>3.2227145457899979</v>
      </c>
      <c r="BG228" s="19">
        <v>0.24680246943636064</v>
      </c>
      <c r="BH228" s="19">
        <v>1.4998576026545862</v>
      </c>
      <c r="BI228" s="19">
        <v>0.30295376928235385</v>
      </c>
      <c r="BJ228" s="19">
        <v>1.2409471862877979</v>
      </c>
      <c r="BK228" s="19">
        <v>1.5827075461722018</v>
      </c>
      <c r="BL228" s="19">
        <v>1.8857241193216794</v>
      </c>
      <c r="BM228" s="19">
        <v>-2.4802997053430715</v>
      </c>
      <c r="BN228" s="19">
        <v>9.6053301609834421</v>
      </c>
      <c r="BO228" s="16">
        <v>-0.31011343674548186</v>
      </c>
      <c r="BP228" s="16">
        <v>4.0498700047155722</v>
      </c>
    </row>
    <row r="229" spans="1:68" x14ac:dyDescent="0.3">
      <c r="A229" s="16" t="s">
        <v>217</v>
      </c>
      <c r="B229" s="16" t="s">
        <v>746</v>
      </c>
      <c r="C229" s="16" t="s">
        <v>604</v>
      </c>
      <c r="D229" s="16" t="s">
        <v>605</v>
      </c>
      <c r="AZ229" s="19"/>
      <c r="BA229" s="19"/>
      <c r="BB229" s="19"/>
      <c r="BC229" s="19">
        <v>3.7515078046548922</v>
      </c>
      <c r="BD229" s="19">
        <v>6.5427760213078159</v>
      </c>
      <c r="BE229" s="19">
        <v>-2.1364648492466358</v>
      </c>
      <c r="BF229" s="19">
        <v>-4.1367726653800503</v>
      </c>
      <c r="BG229" s="19">
        <v>-1.3253800780463507</v>
      </c>
      <c r="BH229" s="19">
        <v>-2.8335462058561234</v>
      </c>
      <c r="BI229" s="19">
        <v>0.53532053872966401</v>
      </c>
      <c r="BJ229" s="19">
        <v>-6.6324760906941833</v>
      </c>
      <c r="BK229" s="19">
        <v>-7.6201365964676313</v>
      </c>
      <c r="BL229" s="19">
        <v>8.9666905370410461</v>
      </c>
      <c r="BM229" s="19">
        <v>-14.824883252938491</v>
      </c>
      <c r="BN229" s="19">
        <v>3.6579058181710025</v>
      </c>
      <c r="BO229" s="16">
        <v>9.316631902886499</v>
      </c>
      <c r="BP229" s="16">
        <v>2.7092097271821984</v>
      </c>
    </row>
    <row r="230" spans="1:68" x14ac:dyDescent="0.3">
      <c r="A230" s="16" t="s">
        <v>214</v>
      </c>
      <c r="B230" s="16" t="s">
        <v>747</v>
      </c>
      <c r="C230" s="16" t="s">
        <v>604</v>
      </c>
      <c r="D230" s="16" t="s">
        <v>605</v>
      </c>
      <c r="F230" s="16">
        <v>-7.5191989616707389</v>
      </c>
      <c r="G230" s="16">
        <v>5.5704927606092411</v>
      </c>
      <c r="H230" s="16">
        <v>7.3709984391188357</v>
      </c>
      <c r="I230" s="16">
        <v>3.2988186585768204</v>
      </c>
      <c r="J230" s="16">
        <v>-3.5142689334096957</v>
      </c>
      <c r="K230" s="16">
        <v>11.09230394034148</v>
      </c>
      <c r="L230" s="16">
        <v>-1.9358396528946713</v>
      </c>
      <c r="M230" s="16">
        <v>4.9808257513642218</v>
      </c>
      <c r="N230" s="16">
        <v>-2.3508068366275126</v>
      </c>
      <c r="O230" s="16">
        <v>6.3633482364594585</v>
      </c>
      <c r="P230" s="16">
        <v>13.532410271479534</v>
      </c>
      <c r="Q230" s="16">
        <v>3.7772029524428632</v>
      </c>
      <c r="R230" s="16">
        <v>7.3999332919977547</v>
      </c>
      <c r="S230" s="16">
        <v>-0.52433291771465917</v>
      </c>
      <c r="T230" s="16">
        <v>0.81949196593910756</v>
      </c>
      <c r="U230" s="16">
        <v>13.948404879294387</v>
      </c>
      <c r="V230" s="16">
        <v>-8.1366892681568714</v>
      </c>
      <c r="W230" s="16">
        <v>20.442131525171646</v>
      </c>
      <c r="X230" s="16">
        <v>14.804234909608141</v>
      </c>
      <c r="Y230" s="16">
        <v>-5.9632481069759962</v>
      </c>
      <c r="Z230" s="16">
        <v>-5.0386378753500622</v>
      </c>
      <c r="AA230" s="16">
        <v>-2.6457586259871277</v>
      </c>
      <c r="AB230" s="16">
        <v>-0.49574198957647297</v>
      </c>
      <c r="AC230" s="16">
        <v>3.6899461945948389</v>
      </c>
      <c r="AD230" s="16">
        <v>9.4028581598837491</v>
      </c>
      <c r="AE230" s="16">
        <v>0.13575284876831972</v>
      </c>
      <c r="AF230" s="16">
        <v>0.51568801092408023</v>
      </c>
      <c r="AG230" s="16">
        <v>4.9342416556036568</v>
      </c>
      <c r="AH230" s="16">
        <v>9.6287273226335373</v>
      </c>
      <c r="AI230" s="16">
        <v>6.9291412664888412</v>
      </c>
      <c r="AJ230" s="16">
        <v>1.4007715645664831</v>
      </c>
      <c r="AK230" s="16">
        <v>6.6823345967148811</v>
      </c>
      <c r="AL230" s="16">
        <v>5.0905626845505907</v>
      </c>
      <c r="AM230" s="16">
        <v>-5.0030241395167678</v>
      </c>
      <c r="AN230" s="16">
        <v>-0.98145983921034485</v>
      </c>
      <c r="AO230" s="16">
        <v>8.395845453031697</v>
      </c>
      <c r="AP230" s="16">
        <v>10.884795738661609</v>
      </c>
      <c r="AQ230" s="16">
        <v>0.48296762895630252</v>
      </c>
      <c r="AR230" s="16">
        <v>-0.1094376965627788</v>
      </c>
      <c r="AS230" s="16">
        <v>3.3267145637140345</v>
      </c>
      <c r="AT230" s="16">
        <v>-2.3566133354587322</v>
      </c>
      <c r="AU230" s="16">
        <v>-1.8348069544047831</v>
      </c>
      <c r="AV230" s="16">
        <v>-4.8161783304270642</v>
      </c>
      <c r="AW230" s="16">
        <v>-2.4900082529000827</v>
      </c>
      <c r="AX230" s="16">
        <v>8.5018972132325956</v>
      </c>
      <c r="AY230" s="16">
        <v>7.1533451537010251</v>
      </c>
      <c r="AZ230" s="19">
        <v>8.3216542066369925</v>
      </c>
      <c r="BA230" s="19">
        <v>-4.8771262300274429</v>
      </c>
      <c r="BB230" s="19">
        <v>-2.8614242579447335</v>
      </c>
      <c r="BC230" s="19">
        <v>1.6273701359067303</v>
      </c>
      <c r="BD230" s="19">
        <v>12.42658765900093</v>
      </c>
      <c r="BE230" s="19">
        <v>2.1041282650332818</v>
      </c>
      <c r="BF230" s="19">
        <v>-0.59913330456802782</v>
      </c>
      <c r="BG230" s="19">
        <v>2.4576124391604566</v>
      </c>
      <c r="BH230" s="19">
        <v>6.5123255099648816</v>
      </c>
      <c r="BI230" s="19">
        <v>10.627790041268881</v>
      </c>
      <c r="BJ230" s="19">
        <v>5.6529867957790856</v>
      </c>
      <c r="BK230" s="19">
        <v>3.9428069298557205</v>
      </c>
      <c r="BL230" s="19">
        <v>4.5815511358634495</v>
      </c>
      <c r="BM230" s="19">
        <v>-12.49013744744579</v>
      </c>
      <c r="BN230" s="19">
        <v>-0.25409786644972598</v>
      </c>
      <c r="BO230" s="16">
        <v>-4.8001108665391001</v>
      </c>
      <c r="BP230" s="16">
        <v>3.2521519327219295</v>
      </c>
    </row>
    <row r="231" spans="1:68" x14ac:dyDescent="0.3">
      <c r="A231" s="16" t="s">
        <v>231</v>
      </c>
      <c r="B231" s="16" t="s">
        <v>525</v>
      </c>
      <c r="C231" s="16" t="s">
        <v>604</v>
      </c>
      <c r="D231" s="16" t="s">
        <v>605</v>
      </c>
      <c r="F231" s="16">
        <v>7.5482860315211582</v>
      </c>
      <c r="G231" s="16">
        <v>20.871865494416156</v>
      </c>
      <c r="H231" s="16">
        <v>-11.373115021514892</v>
      </c>
      <c r="I231" s="16">
        <v>5.9613914896646634</v>
      </c>
      <c r="J231" s="16">
        <v>-0.85633860307032705</v>
      </c>
      <c r="K231" s="16">
        <v>-10.550791455239207</v>
      </c>
      <c r="L231" s="16">
        <v>4.828293647588211</v>
      </c>
      <c r="M231" s="16">
        <v>0.4062037834817005</v>
      </c>
      <c r="N231" s="16">
        <v>14.907381362283132</v>
      </c>
      <c r="O231" s="16">
        <v>-5.0267006902765701</v>
      </c>
      <c r="P231" s="16">
        <v>5.3010226508357903</v>
      </c>
      <c r="Q231" s="16">
        <v>21.390339415534328</v>
      </c>
      <c r="R231" s="16">
        <v>-13.468676057677413</v>
      </c>
      <c r="S231" s="16">
        <v>21.597539844760334</v>
      </c>
      <c r="T231" s="16">
        <v>12.437172553354131</v>
      </c>
      <c r="U231" s="16">
        <v>8.4703183437462997</v>
      </c>
      <c r="V231" s="16">
        <v>-5.1095119557049316</v>
      </c>
      <c r="W231" s="16">
        <v>6.2262836380430002</v>
      </c>
      <c r="X231" s="16">
        <v>-2.5199695079205782</v>
      </c>
      <c r="Y231" s="16">
        <v>10.670910689191587</v>
      </c>
      <c r="Z231" s="16">
        <v>4.1881656873044051</v>
      </c>
      <c r="AA231" s="16">
        <v>-0.53015402417850055</v>
      </c>
      <c r="AB231" s="16">
        <v>-1.0576543042352711</v>
      </c>
      <c r="AC231" s="16">
        <v>-10.765027109942764</v>
      </c>
      <c r="AD231" s="16">
        <v>5.6391403820708064</v>
      </c>
      <c r="AE231" s="16">
        <v>-11.047372997032284</v>
      </c>
      <c r="AF231" s="16">
        <v>-1.6841525503436827</v>
      </c>
      <c r="AG231" s="16">
        <v>14.198176003319233</v>
      </c>
      <c r="AH231" s="16">
        <v>-16.347666471012175</v>
      </c>
      <c r="AI231" s="16">
        <v>0.60538970805150427</v>
      </c>
      <c r="AJ231" s="16">
        <v>4.5222502202974653</v>
      </c>
      <c r="AK231" s="16">
        <v>9.7602147585305943</v>
      </c>
      <c r="AL231" s="16">
        <v>3.1659961190477333</v>
      </c>
      <c r="AM231" s="16">
        <v>4.2439270532405686</v>
      </c>
      <c r="AN231" s="16">
        <v>4.1042640497667122</v>
      </c>
      <c r="AO231" s="16">
        <v>6.8730524192796167</v>
      </c>
      <c r="AP231" s="16">
        <v>2.2764063648752426</v>
      </c>
      <c r="AQ231" s="16">
        <v>4.0534461565533206</v>
      </c>
      <c r="AR231" s="16">
        <v>-5.9835919923108776</v>
      </c>
      <c r="AS231" s="16">
        <v>-1.8336034957341525</v>
      </c>
      <c r="AT231" s="16">
        <v>-1.4915520004742433</v>
      </c>
      <c r="AU231" s="16">
        <v>1.3137319526732654</v>
      </c>
      <c r="AV231" s="16">
        <v>4.4814024847624552</v>
      </c>
      <c r="AW231" s="16">
        <v>4.1088999833633437</v>
      </c>
      <c r="AX231" s="16">
        <v>3.3598794396997533</v>
      </c>
      <c r="AY231" s="16">
        <v>0.45960573327145937</v>
      </c>
      <c r="AZ231" s="19">
        <v>-0.81296804598021311</v>
      </c>
      <c r="BA231" s="19">
        <v>0.72530200454568217</v>
      </c>
      <c r="BB231" s="19">
        <v>4.1984025338775837</v>
      </c>
      <c r="BC231" s="19">
        <v>2.7886019171118761</v>
      </c>
      <c r="BD231" s="19">
        <v>1.0710221297588731</v>
      </c>
      <c r="BE231" s="19">
        <v>-25.931192318846101</v>
      </c>
      <c r="BF231" s="19">
        <v>-22.495212289817928</v>
      </c>
      <c r="BG231" s="19">
        <v>-3.9492529348086265</v>
      </c>
      <c r="BH231" s="19">
        <v>0.14619250222793312</v>
      </c>
      <c r="BI231" s="19">
        <v>-5.216546919150673</v>
      </c>
      <c r="BJ231" s="19">
        <v>-0.82327823906528863</v>
      </c>
      <c r="BK231" s="19">
        <v>-0.44284972903170683</v>
      </c>
      <c r="BL231" s="19">
        <v>-2.6309921585509528</v>
      </c>
      <c r="BM231" s="19">
        <v>-3.4227270830265155</v>
      </c>
      <c r="BN231" s="19">
        <v>-1.3214116536430964</v>
      </c>
    </row>
    <row r="232" spans="1:68" x14ac:dyDescent="0.3">
      <c r="A232" s="16" t="s">
        <v>242</v>
      </c>
      <c r="B232" s="16" t="s">
        <v>748</v>
      </c>
      <c r="C232" s="16" t="s">
        <v>604</v>
      </c>
      <c r="D232" s="16" t="s">
        <v>605</v>
      </c>
      <c r="AZ232" s="19"/>
      <c r="BA232" s="19"/>
      <c r="BB232" s="19"/>
      <c r="BC232" s="19"/>
      <c r="BD232" s="19"/>
      <c r="BE232" s="19">
        <v>-4.8771041094079095</v>
      </c>
      <c r="BF232" s="19">
        <v>-3.4811333729389133</v>
      </c>
      <c r="BG232" s="19">
        <v>4.3889466159729267</v>
      </c>
      <c r="BH232" s="19">
        <v>6.5835423987397235</v>
      </c>
      <c r="BI232" s="19">
        <v>2.4615289161234273</v>
      </c>
      <c r="BJ232" s="19">
        <v>-6.4103754643108175</v>
      </c>
      <c r="BK232" s="19">
        <v>1.4281218392049482</v>
      </c>
      <c r="BL232" s="19">
        <v>1.4167677757474024</v>
      </c>
      <c r="BM232" s="19">
        <v>-28.760699885491604</v>
      </c>
      <c r="BN232" s="19">
        <v>7.0003308517653693</v>
      </c>
      <c r="BO232" s="16">
        <v>4.8313409795757991</v>
      </c>
      <c r="BP232" s="16">
        <v>0.41125985099826323</v>
      </c>
    </row>
    <row r="233" spans="1:68" x14ac:dyDescent="0.3">
      <c r="A233" s="16" t="s">
        <v>65</v>
      </c>
      <c r="B233" s="16" t="s">
        <v>526</v>
      </c>
      <c r="C233" s="16" t="s">
        <v>604</v>
      </c>
      <c r="D233" s="16" t="s">
        <v>605</v>
      </c>
      <c r="F233" s="16">
        <v>-0.53878086757909216</v>
      </c>
      <c r="G233" s="16">
        <v>3.3325583054227224</v>
      </c>
      <c r="H233" s="16">
        <v>-3.5015052530192321</v>
      </c>
      <c r="I233" s="16">
        <v>-4.3908706356428269</v>
      </c>
      <c r="J233" s="16">
        <v>-1.2910749588061208</v>
      </c>
      <c r="K233" s="16">
        <v>-3.6077914783382852</v>
      </c>
      <c r="L233" s="16">
        <v>-1.066695173552489</v>
      </c>
      <c r="M233" s="16">
        <v>-2.294830139310406</v>
      </c>
      <c r="N233" s="16">
        <v>4.8483620325269641</v>
      </c>
      <c r="O233" s="16">
        <v>-0.14682150099190494</v>
      </c>
      <c r="P233" s="16">
        <v>-4.210230681288067</v>
      </c>
      <c r="Q233" s="16">
        <v>-1.0155903393294494</v>
      </c>
      <c r="R233" s="16">
        <v>-10.453215857513626</v>
      </c>
      <c r="S233" s="16">
        <v>2.6620924174542751</v>
      </c>
      <c r="T233" s="16">
        <v>6.7801812295559643</v>
      </c>
      <c r="U233" s="16">
        <v>1.0280136479056807</v>
      </c>
      <c r="V233" s="16">
        <v>0.41355104912683771</v>
      </c>
      <c r="W233" s="16">
        <v>-2.1985428600248724</v>
      </c>
      <c r="X233" s="16">
        <v>-23.03731947486051</v>
      </c>
      <c r="Y233" s="16">
        <v>-6.1603735593630233</v>
      </c>
      <c r="Z233" s="16">
        <v>1.0201164303057055</v>
      </c>
      <c r="AA233" s="16">
        <v>0.47894969599630599</v>
      </c>
      <c r="AB233" s="16">
        <v>10.052228136686665</v>
      </c>
      <c r="AC233" s="16">
        <v>0.77585831096484981</v>
      </c>
      <c r="AD233" s="16">
        <v>20.639618517553046</v>
      </c>
      <c r="AE233" s="16">
        <v>-6.9034674066719219</v>
      </c>
      <c r="AF233" s="16">
        <v>-5.7529438849950907</v>
      </c>
      <c r="AG233" s="16">
        <v>11.645203633642168</v>
      </c>
      <c r="AH233" s="16">
        <v>1.4152049691573865</v>
      </c>
      <c r="AI233" s="16">
        <v>-6.7511685253843723</v>
      </c>
      <c r="AJ233" s="16">
        <v>4.6668215481417974</v>
      </c>
      <c r="AK233" s="16">
        <v>3.5377767906862942</v>
      </c>
      <c r="AL233" s="16">
        <v>-17.609865013306347</v>
      </c>
      <c r="AM233" s="16">
        <v>7.7193546531396464</v>
      </c>
      <c r="AN233" s="16">
        <v>-3.1112905868562279</v>
      </c>
      <c r="AO233" s="16">
        <v>-2.2066211140973451</v>
      </c>
      <c r="AP233" s="16">
        <v>2.1001254212497571</v>
      </c>
      <c r="AQ233" s="16">
        <v>3.3689011043054933</v>
      </c>
      <c r="AR233" s="16">
        <v>-4.07692600748058</v>
      </c>
      <c r="AS233" s="16">
        <v>-4.2070153698269905</v>
      </c>
      <c r="AT233" s="16">
        <v>8.001053926786696</v>
      </c>
      <c r="AU233" s="16">
        <v>4.8140416367715062</v>
      </c>
      <c r="AV233" s="16">
        <v>10.255771176146823</v>
      </c>
      <c r="AW233" s="16">
        <v>27.831094649408655</v>
      </c>
      <c r="AX233" s="16">
        <v>12.741160636271928</v>
      </c>
      <c r="AY233" s="16">
        <v>-2.8531190501440875</v>
      </c>
      <c r="AZ233" s="19">
        <v>-0.16792346689481974</v>
      </c>
      <c r="BA233" s="19">
        <v>-0.43790044249706739</v>
      </c>
      <c r="BB233" s="19">
        <v>0.61450131599021063</v>
      </c>
      <c r="BC233" s="19">
        <v>9.7449730367317215</v>
      </c>
      <c r="BD233" s="19">
        <v>-3.3540746851110157</v>
      </c>
      <c r="BE233" s="19">
        <v>5.1506121452953124</v>
      </c>
      <c r="BF233" s="19">
        <v>2.0063139184830732</v>
      </c>
      <c r="BG233" s="19">
        <v>3.1509885904178532</v>
      </c>
      <c r="BH233" s="19">
        <v>-0.45300376906031659</v>
      </c>
      <c r="BI233" s="19">
        <v>-9.1612258556468191</v>
      </c>
      <c r="BJ233" s="19">
        <v>-6.1609051354326425</v>
      </c>
      <c r="BK233" s="19">
        <v>-1.0265268880567646</v>
      </c>
      <c r="BL233" s="19">
        <v>-9.895856095990041E-2</v>
      </c>
      <c r="BM233" s="19">
        <v>-4.6613390200032399</v>
      </c>
      <c r="BN233" s="19">
        <v>-4.2471345954163695</v>
      </c>
      <c r="BO233" s="16">
        <v>-0.34867377074682793</v>
      </c>
      <c r="BP233" s="16">
        <v>0.95936777740182322</v>
      </c>
    </row>
    <row r="234" spans="1:68" hidden="1" x14ac:dyDescent="0.3">
      <c r="A234" s="16" t="s">
        <v>749</v>
      </c>
      <c r="B234" s="16" t="s">
        <v>750</v>
      </c>
      <c r="C234" s="16" t="s">
        <v>604</v>
      </c>
      <c r="D234" s="16" t="s">
        <v>605</v>
      </c>
      <c r="F234" s="16">
        <v>-13.25665326957494</v>
      </c>
      <c r="G234" s="16">
        <v>-1.9274210369731009</v>
      </c>
      <c r="H234" s="16">
        <v>3.779068689469625</v>
      </c>
      <c r="I234" s="16">
        <v>8.129217243934832</v>
      </c>
      <c r="J234" s="16">
        <v>8.1181731988418733</v>
      </c>
      <c r="K234" s="16">
        <v>5.1136581720163861</v>
      </c>
      <c r="L234" s="16">
        <v>-3.9167379399224842</v>
      </c>
      <c r="M234" s="16">
        <v>-0.83526403928702564</v>
      </c>
      <c r="N234" s="16">
        <v>8.4254928326633234</v>
      </c>
      <c r="O234" s="16">
        <v>10.419965435002339</v>
      </c>
      <c r="P234" s="16">
        <v>3.941752058730998</v>
      </c>
      <c r="Q234" s="16">
        <v>2.3459769724558015</v>
      </c>
      <c r="R234" s="16">
        <v>5.7719623289610666</v>
      </c>
      <c r="S234" s="16">
        <v>1.6490663782710442</v>
      </c>
      <c r="T234" s="16">
        <v>4.8132186990077201</v>
      </c>
      <c r="U234" s="16">
        <v>1.0661416084386559</v>
      </c>
      <c r="V234" s="16">
        <v>5.6972163425601536</v>
      </c>
      <c r="W234" s="16">
        <v>7.4624832900339584</v>
      </c>
      <c r="X234" s="16">
        <v>5.3046380863608533</v>
      </c>
      <c r="Y234" s="16">
        <v>5.8546911228706762</v>
      </c>
      <c r="Z234" s="16">
        <v>3.9324870315898863</v>
      </c>
      <c r="AA234" s="16">
        <v>4.6123382007705231</v>
      </c>
      <c r="AB234" s="16">
        <v>5.9280339023009674</v>
      </c>
      <c r="AC234" s="16">
        <v>8.217003817782583</v>
      </c>
      <c r="AD234" s="16">
        <v>6.1808696869536988</v>
      </c>
      <c r="AE234" s="16">
        <v>5.3492368708870828</v>
      </c>
      <c r="AF234" s="16">
        <v>7.2940955081010088</v>
      </c>
      <c r="AG234" s="16">
        <v>7.8531066646013272</v>
      </c>
      <c r="AH234" s="16">
        <v>4.001896495468543</v>
      </c>
      <c r="AI234" s="16">
        <v>3.4689689729484314</v>
      </c>
      <c r="AJ234" s="16">
        <v>6.3620560608190999</v>
      </c>
      <c r="AK234" s="16">
        <v>9.6051873266377754</v>
      </c>
      <c r="AL234" s="16">
        <v>9.7550775363687308</v>
      </c>
      <c r="AM234" s="16">
        <v>9.465671575907237</v>
      </c>
      <c r="AN234" s="16">
        <v>8.4708116405099076</v>
      </c>
      <c r="AO234" s="16">
        <v>7.7079174086757121</v>
      </c>
      <c r="AP234" s="16">
        <v>6.0345594836410044</v>
      </c>
      <c r="AQ234" s="16">
        <v>1.7003498033067075</v>
      </c>
      <c r="AR234" s="16">
        <v>5.2369328845308587</v>
      </c>
      <c r="AS234" s="16">
        <v>6.5756029093722503</v>
      </c>
      <c r="AT234" s="16">
        <v>5.9777766695586081</v>
      </c>
      <c r="AU234" s="16">
        <v>7.098844483625939</v>
      </c>
      <c r="AV234" s="16">
        <v>8.0200785245381923</v>
      </c>
      <c r="AW234" s="16">
        <v>8.2307582541148321</v>
      </c>
      <c r="AX234" s="16">
        <v>9.0912294064539765</v>
      </c>
      <c r="AY234" s="16">
        <v>10.206979234964436</v>
      </c>
      <c r="AZ234" s="19">
        <v>11.630720807652907</v>
      </c>
      <c r="BA234" s="19">
        <v>7.8021126673190224</v>
      </c>
      <c r="BB234" s="19">
        <v>7.1922203333048031</v>
      </c>
      <c r="BC234" s="19">
        <v>9.1274222591184611</v>
      </c>
      <c r="BD234" s="19">
        <v>7.8121441212502418</v>
      </c>
      <c r="BE234" s="19">
        <v>6.6607289916493784</v>
      </c>
      <c r="BF234" s="19">
        <v>6.3999211115496735</v>
      </c>
      <c r="BG234" s="19">
        <v>6.1285199082758766</v>
      </c>
      <c r="BH234" s="19">
        <v>5.8975416385255812</v>
      </c>
      <c r="BI234" s="19">
        <v>5.7661047230110256</v>
      </c>
      <c r="BJ234" s="19">
        <v>5.8964968347525684</v>
      </c>
      <c r="BK234" s="19">
        <v>5.830571981751234</v>
      </c>
      <c r="BL234" s="19">
        <v>5.1844422257790512</v>
      </c>
      <c r="BM234" s="19">
        <v>0.76852661080562257</v>
      </c>
      <c r="BN234" s="19">
        <v>7.2368800049803212</v>
      </c>
      <c r="BO234" s="16">
        <v>3.1487022141867271</v>
      </c>
      <c r="BP234" s="16">
        <v>4.8457536483689267</v>
      </c>
    </row>
    <row r="235" spans="1:68" hidden="1" x14ac:dyDescent="0.3">
      <c r="A235" s="16" t="s">
        <v>751</v>
      </c>
      <c r="B235" s="16" t="s">
        <v>752</v>
      </c>
      <c r="C235" s="16" t="s">
        <v>604</v>
      </c>
      <c r="D235" s="16" t="s">
        <v>605</v>
      </c>
      <c r="AI235" s="16">
        <v>-2.0602267271782893</v>
      </c>
      <c r="AJ235" s="16">
        <v>-6.4189509676293142</v>
      </c>
      <c r="AK235" s="16">
        <v>-9.8975672969275621</v>
      </c>
      <c r="AL235" s="16">
        <v>-4.947839739170746</v>
      </c>
      <c r="AM235" s="16">
        <v>-8.6224880848138241</v>
      </c>
      <c r="AN235" s="16">
        <v>-0.26298712892463527</v>
      </c>
      <c r="AO235" s="16">
        <v>0.86476161490409709</v>
      </c>
      <c r="AP235" s="16">
        <v>2.8065290298582966</v>
      </c>
      <c r="AQ235" s="16">
        <v>-0.70384074042696909</v>
      </c>
      <c r="AR235" s="16">
        <v>2.4904089764709454</v>
      </c>
      <c r="AS235" s="16">
        <v>7.4530061867301498</v>
      </c>
      <c r="AT235" s="16">
        <v>2.6829271146924611</v>
      </c>
      <c r="AU235" s="16">
        <v>5.09468692649655</v>
      </c>
      <c r="AV235" s="16">
        <v>6.1639189872783078</v>
      </c>
      <c r="AW235" s="16">
        <v>7.7946484084965562</v>
      </c>
      <c r="AX235" s="16">
        <v>6.5509935629387286</v>
      </c>
      <c r="AY235" s="16">
        <v>7.7250817335940525</v>
      </c>
      <c r="AZ235" s="19">
        <v>7.5446090944647892</v>
      </c>
      <c r="BA235" s="19">
        <v>4.1817883105522213</v>
      </c>
      <c r="BB235" s="19">
        <v>-5.0346083034221039</v>
      </c>
      <c r="BC235" s="19">
        <v>4.1738166369534184</v>
      </c>
      <c r="BD235" s="19">
        <v>5.4051835542856992</v>
      </c>
      <c r="BE235" s="19">
        <v>2.9816459144162053</v>
      </c>
      <c r="BF235" s="19">
        <v>2.8719936012389127</v>
      </c>
      <c r="BG235" s="19">
        <v>1.8199178284022537</v>
      </c>
      <c r="BH235" s="19">
        <v>0.96492433479065198</v>
      </c>
      <c r="BI235" s="19">
        <v>1.3389338181718955</v>
      </c>
      <c r="BJ235" s="19">
        <v>3.8140590931740093</v>
      </c>
      <c r="BK235" s="19">
        <v>3.2545033312468661</v>
      </c>
      <c r="BL235" s="19">
        <v>2.208466898895594</v>
      </c>
      <c r="BM235" s="19">
        <v>-1.7350732762458563</v>
      </c>
      <c r="BN235" s="19">
        <v>7.2168329183895281</v>
      </c>
      <c r="BO235" s="16">
        <v>3.0349029322220673</v>
      </c>
      <c r="BP235" s="16">
        <v>3.4486352942414271</v>
      </c>
    </row>
    <row r="236" spans="1:68" x14ac:dyDescent="0.3">
      <c r="A236" s="16" t="s">
        <v>235</v>
      </c>
      <c r="B236" s="16" t="s">
        <v>527</v>
      </c>
      <c r="C236" s="16" t="s">
        <v>604</v>
      </c>
      <c r="D236" s="16" t="s">
        <v>605</v>
      </c>
      <c r="F236" s="16">
        <v>10.337165335990321</v>
      </c>
      <c r="G236" s="16">
        <v>2.0680679046385393</v>
      </c>
      <c r="H236" s="16">
        <v>3.1946178112518169</v>
      </c>
      <c r="I236" s="16">
        <v>11.967928788341098</v>
      </c>
      <c r="J236" s="16">
        <v>12.431520750560082</v>
      </c>
      <c r="K236" s="16">
        <v>5.8016670841959552</v>
      </c>
      <c r="L236" s="16">
        <v>1.4733657688892805</v>
      </c>
      <c r="M236" s="16">
        <v>0.82014790364807766</v>
      </c>
      <c r="N236" s="16">
        <v>6.559578935942497</v>
      </c>
      <c r="O236" s="16">
        <v>-1.0635158190075771</v>
      </c>
      <c r="P236" s="16">
        <v>-3.0799074281132164</v>
      </c>
      <c r="Q236" s="16">
        <v>4.6932347766769311</v>
      </c>
      <c r="R236" s="16">
        <v>1.2227731437713771</v>
      </c>
      <c r="S236" s="16">
        <v>2.2904225149300999</v>
      </c>
      <c r="T236" s="16">
        <v>1.6871841908823626E-2</v>
      </c>
      <c r="U236" s="16">
        <v>-4.3369493241374357</v>
      </c>
      <c r="V236" s="16">
        <v>4.4807053033875093</v>
      </c>
      <c r="W236" s="16">
        <v>8.4573428366823293</v>
      </c>
      <c r="X236" s="16">
        <v>-7.4976452758336478</v>
      </c>
      <c r="Y236" s="16">
        <v>11.473647705060671</v>
      </c>
      <c r="Z236" s="16">
        <v>-6.2150382053202406</v>
      </c>
      <c r="AA236" s="16">
        <v>-6.6910787912866709</v>
      </c>
      <c r="AB236" s="16">
        <v>-8.5387653300512767</v>
      </c>
      <c r="AC236" s="16">
        <v>2.1066766110917143</v>
      </c>
      <c r="AD236" s="16">
        <v>2.25700047692699</v>
      </c>
      <c r="AE236" s="16">
        <v>-1.4516657592345439</v>
      </c>
      <c r="AF236" s="16">
        <v>-2.4827206598972396</v>
      </c>
      <c r="AG236" s="16">
        <v>3.4754876096256169</v>
      </c>
      <c r="AH236" s="16">
        <v>1.0121178468468486</v>
      </c>
      <c r="AI236" s="16">
        <v>-3.1336956145323001</v>
      </c>
      <c r="AJ236" s="16">
        <v>-3.5436278264721324</v>
      </c>
      <c r="AK236" s="16">
        <v>-6.6933098878819806</v>
      </c>
      <c r="AL236" s="16">
        <v>-14.516523581649267</v>
      </c>
      <c r="AM236" s="16">
        <v>14.582901781722882</v>
      </c>
      <c r="AN236" s="16">
        <v>3.1345579199274454</v>
      </c>
      <c r="AO236" s="16">
        <v>4.7647342197335121</v>
      </c>
      <c r="AP236" s="16">
        <v>10.724638496181683</v>
      </c>
      <c r="AQ236" s="16">
        <v>-5.1047973787732133</v>
      </c>
      <c r="AR236" s="16">
        <v>-0.45808733736278384</v>
      </c>
      <c r="AS236" s="16">
        <v>-3.5589472714568302</v>
      </c>
      <c r="AT236" s="16">
        <v>-1.8687062889930104</v>
      </c>
      <c r="AU236" s="16">
        <v>1.150877512076832</v>
      </c>
      <c r="AV236" s="16">
        <v>3.9746424575739354</v>
      </c>
      <c r="AW236" s="16">
        <v>-3.5447031476266346</v>
      </c>
      <c r="AX236" s="16">
        <v>-7.1095480504712754</v>
      </c>
      <c r="AY236" s="16">
        <v>-0.19199308348200361</v>
      </c>
      <c r="AZ236" s="19">
        <v>-4.0070262001451056</v>
      </c>
      <c r="BA236" s="19">
        <v>1.1106844673834075</v>
      </c>
      <c r="BB236" s="19">
        <v>2.5508799447851089</v>
      </c>
      <c r="BC236" s="19">
        <v>3.0640818528268028</v>
      </c>
      <c r="BD236" s="19">
        <v>3.0506549055493508</v>
      </c>
      <c r="BE236" s="19">
        <v>3.5715068145839837</v>
      </c>
      <c r="BF236" s="19">
        <v>3.1497948595595915</v>
      </c>
      <c r="BG236" s="19">
        <v>2.993214680204332</v>
      </c>
      <c r="BH236" s="19">
        <v>2.8593404965128855</v>
      </c>
      <c r="BI236" s="19">
        <v>1.6558926918835937</v>
      </c>
      <c r="BJ236" s="19">
        <v>1.4725493020598037</v>
      </c>
      <c r="BK236" s="19">
        <v>2.270032806763723</v>
      </c>
      <c r="BL236" s="19">
        <v>2.4228408160517034</v>
      </c>
      <c r="BM236" s="19">
        <v>-0.41777263801536435</v>
      </c>
      <c r="BN236" s="19">
        <v>3.5111800103228745</v>
      </c>
      <c r="BO236" s="16">
        <v>3.3228907619395471</v>
      </c>
      <c r="BP236" s="16">
        <v>3.9974130613106951</v>
      </c>
    </row>
    <row r="237" spans="1:68" x14ac:dyDescent="0.3">
      <c r="A237" s="16" t="s">
        <v>233</v>
      </c>
      <c r="B237" s="16" t="s">
        <v>528</v>
      </c>
      <c r="C237" s="16" t="s">
        <v>604</v>
      </c>
      <c r="D237" s="16" t="s">
        <v>605</v>
      </c>
      <c r="F237" s="16">
        <v>2.2728817018158338</v>
      </c>
      <c r="G237" s="16">
        <v>4.3468747258417437</v>
      </c>
      <c r="H237" s="16">
        <v>4.7653026777198448</v>
      </c>
      <c r="I237" s="16">
        <v>3.6294768627301153</v>
      </c>
      <c r="J237" s="16">
        <v>4.9414952042230738</v>
      </c>
      <c r="K237" s="16">
        <v>7.8342508007093841</v>
      </c>
      <c r="L237" s="16">
        <v>5.4553823471277525</v>
      </c>
      <c r="M237" s="16">
        <v>5.0263734788830163</v>
      </c>
      <c r="N237" s="16">
        <v>3.5483320973302312</v>
      </c>
      <c r="O237" s="16">
        <v>8.2823739328971442</v>
      </c>
      <c r="P237" s="16">
        <v>1.9992119126980299</v>
      </c>
      <c r="Q237" s="16">
        <v>1.4495970398157283</v>
      </c>
      <c r="R237" s="16">
        <v>7.2909500171903545</v>
      </c>
      <c r="S237" s="16">
        <v>1.7750659148194217</v>
      </c>
      <c r="T237" s="16">
        <v>2.3851525798472437</v>
      </c>
      <c r="U237" s="16">
        <v>6.7852302218658735</v>
      </c>
      <c r="V237" s="16">
        <v>7.3779116798409916</v>
      </c>
      <c r="W237" s="16">
        <v>7.8713417791105798</v>
      </c>
      <c r="X237" s="16">
        <v>3.1273806986113328</v>
      </c>
      <c r="Y237" s="16">
        <v>2.9254162575111451</v>
      </c>
      <c r="Z237" s="16">
        <v>3.6640890456357056</v>
      </c>
      <c r="AA237" s="16">
        <v>3.2032468313280873</v>
      </c>
      <c r="AB237" s="16">
        <v>3.4794306663430632</v>
      </c>
      <c r="AC237" s="16">
        <v>3.6940014506821086</v>
      </c>
      <c r="AD237" s="16">
        <v>2.6653295159927808</v>
      </c>
      <c r="AE237" s="16">
        <v>3.594504403609065</v>
      </c>
      <c r="AF237" s="16">
        <v>7.5633366048988364</v>
      </c>
      <c r="AG237" s="16">
        <v>11.311739893124368</v>
      </c>
      <c r="AH237" s="16">
        <v>10.304888214483725</v>
      </c>
      <c r="AI237" s="16">
        <v>9.3467190461338845</v>
      </c>
      <c r="AJ237" s="16">
        <v>6.8719168915700664</v>
      </c>
      <c r="AK237" s="16">
        <v>6.4904783548847149</v>
      </c>
      <c r="AL237" s="16">
        <v>6.6835581778723849</v>
      </c>
      <c r="AM237" s="16">
        <v>6.4603973438738507</v>
      </c>
      <c r="AN237" s="16">
        <v>6.6377865463972228</v>
      </c>
      <c r="AO237" s="16">
        <v>4.2722966147224639</v>
      </c>
      <c r="AP237" s="16">
        <v>-3.9941062572841162</v>
      </c>
      <c r="AQ237" s="16">
        <v>-8.7651145923371985</v>
      </c>
      <c r="AR237" s="16">
        <v>3.4043194976759281</v>
      </c>
      <c r="AS237" s="16">
        <v>3.4218148113462945</v>
      </c>
      <c r="AT237" s="16">
        <v>2.4962836531893515</v>
      </c>
      <c r="AU237" s="16">
        <v>5.2024798851166167</v>
      </c>
      <c r="AV237" s="16">
        <v>6.2718932515552979</v>
      </c>
      <c r="AW237" s="16">
        <v>5.419952834050676</v>
      </c>
      <c r="AX237" s="16">
        <v>3.3800600378687022</v>
      </c>
      <c r="AY237" s="16">
        <v>4.1793358617179734</v>
      </c>
      <c r="AZ237" s="19">
        <v>4.6348769000128982</v>
      </c>
      <c r="BA237" s="19">
        <v>0.9680091653326599</v>
      </c>
      <c r="BB237" s="19">
        <v>-1.4014819110335992</v>
      </c>
      <c r="BC237" s="19">
        <v>6.7939599194274649</v>
      </c>
      <c r="BD237" s="19">
        <v>0.19094723764811761</v>
      </c>
      <c r="BE237" s="19">
        <v>6.5540045017773849</v>
      </c>
      <c r="BF237" s="19">
        <v>2.0653087062169675</v>
      </c>
      <c r="BG237" s="19">
        <v>0.43258232301369048</v>
      </c>
      <c r="BH237" s="19">
        <v>2.6448125154944364</v>
      </c>
      <c r="BI237" s="19">
        <v>2.9771584992430036</v>
      </c>
      <c r="BJ237" s="19">
        <v>3.7498437436775873</v>
      </c>
      <c r="BK237" s="19">
        <v>3.8864396605449372</v>
      </c>
      <c r="BL237" s="19">
        <v>1.8568489976548364</v>
      </c>
      <c r="BM237" s="19">
        <v>-6.270733060329988</v>
      </c>
      <c r="BN237" s="19">
        <v>1.3902430096211589</v>
      </c>
      <c r="BO237" s="16">
        <v>2.3256793372701452</v>
      </c>
      <c r="BP237" s="16">
        <v>1.7348927720589415</v>
      </c>
    </row>
    <row r="238" spans="1:68" x14ac:dyDescent="0.3">
      <c r="A238" s="16" t="s">
        <v>232</v>
      </c>
      <c r="B238" s="16" t="s">
        <v>529</v>
      </c>
      <c r="C238" s="16" t="s">
        <v>604</v>
      </c>
      <c r="D238" s="16" t="s">
        <v>605</v>
      </c>
      <c r="AE238" s="16">
        <v>0.53014661053624934</v>
      </c>
      <c r="AF238" s="16">
        <v>-4.1564738307937574</v>
      </c>
      <c r="AG238" s="16">
        <v>10.466778191653219</v>
      </c>
      <c r="AH238" s="16">
        <v>-9.4183522970460558</v>
      </c>
      <c r="AI238" s="16">
        <v>-3.4167359915600741</v>
      </c>
      <c r="AJ238" s="16">
        <v>-9.4147804500822758</v>
      </c>
      <c r="AK238" s="16">
        <v>-30.254028823619478</v>
      </c>
      <c r="AL238" s="16">
        <v>-17.300623757193165</v>
      </c>
      <c r="AM238" s="16">
        <v>-22.468661909010208</v>
      </c>
      <c r="AN238" s="16">
        <v>-14.077047327670442</v>
      </c>
      <c r="AO238" s="16">
        <v>-18.348263609780986</v>
      </c>
      <c r="AP238" s="16">
        <v>0.32645974968099267</v>
      </c>
      <c r="AQ238" s="16">
        <v>4.6331787445632813</v>
      </c>
      <c r="AR238" s="16">
        <v>3.1506919064711099</v>
      </c>
      <c r="AS238" s="16">
        <v>6.883574256085609</v>
      </c>
      <c r="AT238" s="16">
        <v>7.2586589687658147</v>
      </c>
      <c r="AU238" s="16">
        <v>8.54826756608648</v>
      </c>
      <c r="AV238" s="16">
        <v>8.8251284480934657</v>
      </c>
      <c r="AW238" s="16">
        <v>8.2125842033129288</v>
      </c>
      <c r="AX238" s="16">
        <v>4.7298702380714701</v>
      </c>
      <c r="AY238" s="16">
        <v>5.0552259063206861</v>
      </c>
      <c r="AZ238" s="19">
        <v>5.8358613823132259</v>
      </c>
      <c r="BA238" s="19">
        <v>5.8930886822251978</v>
      </c>
      <c r="BB238" s="19">
        <v>1.897164301109953</v>
      </c>
      <c r="BC238" s="19">
        <v>4.3595553180695106</v>
      </c>
      <c r="BD238" s="19">
        <v>5.1506874045199993</v>
      </c>
      <c r="BE238" s="19">
        <v>5.1819832583739327</v>
      </c>
      <c r="BF238" s="19">
        <v>5.0210621852424282</v>
      </c>
      <c r="BG238" s="19">
        <v>4.2685571892483267</v>
      </c>
      <c r="BH238" s="19">
        <v>3.5601935533352389</v>
      </c>
      <c r="BI238" s="19">
        <v>4.4342836215253101</v>
      </c>
      <c r="BJ238" s="19">
        <v>4.6976577235282093</v>
      </c>
      <c r="BK238" s="19">
        <v>5.2117213126062154</v>
      </c>
      <c r="BL238" s="19">
        <v>4.9974363603448637</v>
      </c>
      <c r="BM238" s="19">
        <v>2.1441873382557048</v>
      </c>
      <c r="BN238" s="19">
        <v>7.0789731748568556</v>
      </c>
      <c r="BO238" s="16">
        <v>5.8002060427940592</v>
      </c>
      <c r="BP238" s="16">
        <v>6.2633464758994108</v>
      </c>
    </row>
    <row r="239" spans="1:68" x14ac:dyDescent="0.3">
      <c r="A239" s="16" t="s">
        <v>241</v>
      </c>
      <c r="B239" s="16" t="s">
        <v>753</v>
      </c>
      <c r="C239" s="16" t="s">
        <v>604</v>
      </c>
      <c r="D239" s="16" t="s">
        <v>605</v>
      </c>
      <c r="AG239" s="16">
        <v>8.0439041321917415</v>
      </c>
      <c r="AH239" s="16">
        <v>-6.79859413778901</v>
      </c>
      <c r="AI239" s="16">
        <v>31.782760974258082</v>
      </c>
      <c r="AJ239" s="16">
        <v>-7.1388842738033986</v>
      </c>
      <c r="AK239" s="16">
        <v>-17.231044301732084</v>
      </c>
      <c r="AL239" s="16">
        <v>-1.151709730523848</v>
      </c>
      <c r="AM239" s="16">
        <v>-19.327606519317854</v>
      </c>
      <c r="AN239" s="16">
        <v>-9.2548201208427372</v>
      </c>
      <c r="AO239" s="16">
        <v>4.8525667698914106</v>
      </c>
      <c r="AP239" s="16">
        <v>-12.670604293629822</v>
      </c>
      <c r="AQ239" s="16">
        <v>5.460336201015096</v>
      </c>
      <c r="AR239" s="16">
        <v>14.699548324291385</v>
      </c>
      <c r="AS239" s="16">
        <v>3.8981998586553175</v>
      </c>
      <c r="AT239" s="16">
        <v>2.8589289572974224</v>
      </c>
      <c r="AU239" s="16">
        <v>-1.1056357210100032</v>
      </c>
      <c r="AV239" s="16">
        <v>1.966409833104791</v>
      </c>
      <c r="AW239" s="16">
        <v>3.675776670646826</v>
      </c>
      <c r="AX239" s="16">
        <v>11.507496148359905</v>
      </c>
      <c r="AY239" s="16">
        <v>9.4443765838955613</v>
      </c>
      <c r="AZ239" s="19">
        <v>9.4930540417955029</v>
      </c>
      <c r="BA239" s="19">
        <v>13.009012167056895</v>
      </c>
      <c r="BB239" s="19">
        <v>4.4437942422176775</v>
      </c>
      <c r="BC239" s="19">
        <v>7.3963033840573473</v>
      </c>
      <c r="BD239" s="19">
        <v>12.713572371798534</v>
      </c>
      <c r="BE239" s="19">
        <v>9.1080414455175998</v>
      </c>
      <c r="BF239" s="19">
        <v>8.1900141910353739</v>
      </c>
      <c r="BG239" s="19">
        <v>8.2927808288091995</v>
      </c>
      <c r="BH239" s="19">
        <v>4.592543895449225</v>
      </c>
      <c r="BI239" s="19">
        <v>4.3518116291917863</v>
      </c>
      <c r="BJ239" s="19">
        <v>4.7187733720881084</v>
      </c>
      <c r="BK239" s="19">
        <v>4.5070695438567157</v>
      </c>
      <c r="BL239" s="19">
        <v>4.6886240393400982</v>
      </c>
      <c r="BM239" s="19"/>
      <c r="BN239" s="19"/>
    </row>
    <row r="240" spans="1:68" hidden="1" x14ac:dyDescent="0.3">
      <c r="A240" s="16" t="s">
        <v>754</v>
      </c>
      <c r="B240" s="16" t="s">
        <v>755</v>
      </c>
      <c r="C240" s="16" t="s">
        <v>604</v>
      </c>
      <c r="D240" s="16" t="s">
        <v>605</v>
      </c>
      <c r="F240" s="16">
        <v>3.1579919227428661</v>
      </c>
      <c r="G240" s="16">
        <v>1.3172316318495376</v>
      </c>
      <c r="H240" s="16">
        <v>-0.90635360673122989</v>
      </c>
      <c r="I240" s="16">
        <v>4.3314365777597459</v>
      </c>
      <c r="J240" s="16">
        <v>2.7178884091331668</v>
      </c>
      <c r="K240" s="16">
        <v>2.0830937834683994</v>
      </c>
      <c r="L240" s="16">
        <v>1.5547617875293582</v>
      </c>
      <c r="M240" s="16">
        <v>4.4158176534980527</v>
      </c>
      <c r="N240" s="16">
        <v>4.0709749953212508</v>
      </c>
      <c r="O240" s="16">
        <v>3.8921342113498127</v>
      </c>
      <c r="P240" s="16">
        <v>4.2655084510480208</v>
      </c>
      <c r="Q240" s="16">
        <v>4.6553542288591814</v>
      </c>
      <c r="R240" s="16">
        <v>5.52328319461148</v>
      </c>
      <c r="S240" s="16">
        <v>3.9682648613377296</v>
      </c>
      <c r="T240" s="16">
        <v>1.1863297987021042</v>
      </c>
      <c r="U240" s="16">
        <v>2.9485973601969988</v>
      </c>
      <c r="V240" s="16">
        <v>2.3008606168739334</v>
      </c>
      <c r="W240" s="16">
        <v>1.9465370981283741</v>
      </c>
      <c r="X240" s="16">
        <v>4.9566605138743967</v>
      </c>
      <c r="Y240" s="16">
        <v>4.4897674738625</v>
      </c>
      <c r="Z240" s="16">
        <v>-1.2734002308191918</v>
      </c>
      <c r="AA240" s="16">
        <v>-2.4681675799666749</v>
      </c>
      <c r="AB240" s="16">
        <v>-4.5396351908459707</v>
      </c>
      <c r="AC240" s="16">
        <v>1.5466041760464577</v>
      </c>
      <c r="AD240" s="16">
        <v>1.060797085917315</v>
      </c>
      <c r="AE240" s="16">
        <v>1.4646331738876341</v>
      </c>
      <c r="AF240" s="16">
        <v>1.3486248629221791</v>
      </c>
      <c r="AG240" s="16">
        <v>-1.5511722068862213</v>
      </c>
      <c r="AH240" s="16">
        <v>-0.28824994048483177</v>
      </c>
      <c r="AI240" s="16">
        <v>-2.1296564120910233</v>
      </c>
      <c r="AJ240" s="16">
        <v>1.3656330279208362</v>
      </c>
      <c r="AK240" s="16">
        <v>0.94014755102109859</v>
      </c>
      <c r="AL240" s="16">
        <v>2.8567832424379844</v>
      </c>
      <c r="AM240" s="16">
        <v>3.479038794744028</v>
      </c>
      <c r="AN240" s="16">
        <v>-1.0318033819299046</v>
      </c>
      <c r="AO240" s="16">
        <v>2.240740473926067</v>
      </c>
      <c r="AP240" s="16">
        <v>3.7450494527136158</v>
      </c>
      <c r="AQ240" s="16">
        <v>1.3142539832188334</v>
      </c>
      <c r="AR240" s="16">
        <v>-1.0922410671437746</v>
      </c>
      <c r="AS240" s="16">
        <v>2.0436108809436888</v>
      </c>
      <c r="AT240" s="16">
        <v>-1.2126487154604888</v>
      </c>
      <c r="AU240" s="16">
        <v>-0.96112955090394792</v>
      </c>
      <c r="AV240" s="16">
        <v>1.1728820615359012</v>
      </c>
      <c r="AW240" s="16">
        <v>3.9882528808939242</v>
      </c>
      <c r="AX240" s="16">
        <v>2.7170021245017892</v>
      </c>
      <c r="AY240" s="16">
        <v>3.9561791551725207</v>
      </c>
      <c r="AZ240" s="19">
        <v>4.1052945893911073</v>
      </c>
      <c r="BA240" s="19">
        <v>2.6213113769251208</v>
      </c>
      <c r="BB240" s="19">
        <v>-3.4247118465981998</v>
      </c>
      <c r="BC240" s="19">
        <v>5.5363774109738983</v>
      </c>
      <c r="BD240" s="19">
        <v>3.3671964637212142</v>
      </c>
      <c r="BE240" s="19">
        <v>1.475839088583399</v>
      </c>
      <c r="BF240" s="19">
        <v>1.7215638824527275</v>
      </c>
      <c r="BG240" s="19">
        <v>0.30815445882981862</v>
      </c>
      <c r="BH240" s="19">
        <v>-0.69220849361778392</v>
      </c>
      <c r="BI240" s="19">
        <v>-1.3676890917454756</v>
      </c>
      <c r="BJ240" s="19">
        <v>0.96691623617171274</v>
      </c>
      <c r="BK240" s="19">
        <v>0.70257131500520131</v>
      </c>
      <c r="BL240" s="19">
        <v>-0.18994930545829902</v>
      </c>
      <c r="BM240" s="19">
        <v>-7.3270518775225213</v>
      </c>
      <c r="BN240" s="19">
        <v>6.4449733490239254</v>
      </c>
      <c r="BO240" s="16">
        <v>3.2945076731232632</v>
      </c>
      <c r="BP240" s="16">
        <v>1.4118955931360802</v>
      </c>
    </row>
    <row r="241" spans="1:68" x14ac:dyDescent="0.3">
      <c r="A241" s="16" t="s">
        <v>234</v>
      </c>
      <c r="B241" s="16" t="s">
        <v>530</v>
      </c>
      <c r="C241" s="16" t="s">
        <v>604</v>
      </c>
      <c r="D241" s="16" t="s">
        <v>605</v>
      </c>
      <c r="AJ241" s="16">
        <v>8.6295492396931905</v>
      </c>
      <c r="AK241" s="16">
        <v>8.9020783591119681</v>
      </c>
      <c r="AL241" s="16">
        <v>8.6145672320344175</v>
      </c>
      <c r="AM241" s="16">
        <v>5.5386515659091771</v>
      </c>
      <c r="AN241" s="16">
        <v>5.1041440417734805</v>
      </c>
      <c r="AO241" s="16">
        <v>6.417792221246259</v>
      </c>
      <c r="AP241" s="16">
        <v>2.5112925850870198</v>
      </c>
      <c r="AQ241" s="16">
        <v>-3.3825713781360776</v>
      </c>
      <c r="AR241" s="16">
        <v>-36.289585510442443</v>
      </c>
      <c r="AS241" s="16">
        <v>55.970483658333592</v>
      </c>
      <c r="AT241" s="16">
        <v>14.443767638775157</v>
      </c>
      <c r="AU241" s="16">
        <v>-8.4101141030636626</v>
      </c>
      <c r="AV241" s="16">
        <v>-3.9853122602172277</v>
      </c>
      <c r="AW241" s="16">
        <v>-1.6449534937328991</v>
      </c>
      <c r="AX241" s="16">
        <v>0.50652318419624009</v>
      </c>
      <c r="AY241" s="16">
        <v>-6.5504906200715851</v>
      </c>
      <c r="AZ241" s="19">
        <v>7.582964444998936</v>
      </c>
      <c r="BA241" s="19">
        <v>8.8622794865379291</v>
      </c>
      <c r="BB241" s="19">
        <v>7.824806789864553</v>
      </c>
      <c r="BC241" s="19">
        <v>7.0267316689924399</v>
      </c>
      <c r="BD241" s="19">
        <v>3.6270207597216739</v>
      </c>
      <c r="BE241" s="19">
        <v>2.5840006156980166</v>
      </c>
      <c r="BF241" s="19">
        <v>0.98476924475315286</v>
      </c>
      <c r="BG241" s="19">
        <v>2.4202231166681685</v>
      </c>
      <c r="BH241" s="19">
        <v>1.0084356425862637</v>
      </c>
      <c r="BI241" s="19">
        <v>1.7855273916496941</v>
      </c>
      <c r="BJ241" s="19">
        <v>-4.5993082221395554</v>
      </c>
      <c r="BK241" s="19">
        <v>-2.1574077025708505</v>
      </c>
      <c r="BL241" s="19">
        <v>21.619974017002448</v>
      </c>
      <c r="BM241" s="19">
        <v>29.976696427440572</v>
      </c>
      <c r="BN241" s="19">
        <v>3.6454833617339659</v>
      </c>
      <c r="BO241" s="16">
        <v>-21.747358312658761</v>
      </c>
      <c r="BP241" s="16">
        <v>-15.573180279323353</v>
      </c>
    </row>
    <row r="242" spans="1:68" hidden="1" x14ac:dyDescent="0.3">
      <c r="A242" s="16" t="s">
        <v>756</v>
      </c>
      <c r="B242" s="16" t="s">
        <v>757</v>
      </c>
      <c r="C242" s="16" t="s">
        <v>604</v>
      </c>
      <c r="D242" s="16" t="s">
        <v>605</v>
      </c>
      <c r="F242" s="16">
        <v>0.82884360889966047</v>
      </c>
      <c r="G242" s="16">
        <v>-0.23778937650227761</v>
      </c>
      <c r="H242" s="16">
        <v>8.8210973249408511</v>
      </c>
      <c r="I242" s="16">
        <v>7.766033336279591</v>
      </c>
      <c r="J242" s="16">
        <v>9.6001589180909122</v>
      </c>
      <c r="K242" s="16">
        <v>4.5452424693047817</v>
      </c>
      <c r="L242" s="16">
        <v>5.0098851339614612</v>
      </c>
      <c r="M242" s="16">
        <v>10.152012232729504</v>
      </c>
      <c r="N242" s="16">
        <v>8.8108728146555393</v>
      </c>
      <c r="O242" s="16">
        <v>5.5051666010062235</v>
      </c>
      <c r="P242" s="16">
        <v>3.4348708885115542</v>
      </c>
      <c r="Q242" s="16">
        <v>10.311416738563082</v>
      </c>
      <c r="R242" s="16">
        <v>2.5311687511200915</v>
      </c>
      <c r="S242" s="16">
        <v>4.9650167515445105</v>
      </c>
      <c r="T242" s="16">
        <v>0.11377342058152351</v>
      </c>
      <c r="U242" s="16">
        <v>12.596608833565995</v>
      </c>
      <c r="V242" s="16">
        <v>-1.6522300436256643</v>
      </c>
      <c r="W242" s="16">
        <v>-5.383804039618667</v>
      </c>
      <c r="X242" s="16">
        <v>-3.6696836538966551</v>
      </c>
      <c r="Y242" s="16">
        <v>-7.7142682062942356</v>
      </c>
      <c r="Z242" s="16">
        <v>-5.9379881343878793</v>
      </c>
      <c r="AA242" s="16">
        <v>7.8955150392857405</v>
      </c>
      <c r="AB242" s="16">
        <v>1.2745011487224502</v>
      </c>
      <c r="AC242" s="16">
        <v>-3.6149452410650298</v>
      </c>
      <c r="AD242" s="16">
        <v>0.73790002277934263</v>
      </c>
      <c r="AE242" s="16">
        <v>-5.8246557265876788</v>
      </c>
      <c r="AF242" s="16">
        <v>-2.8055715957698624</v>
      </c>
      <c r="AG242" s="16">
        <v>-2.0089204854057527</v>
      </c>
      <c r="AH242" s="16">
        <v>-0.32099204136761728</v>
      </c>
      <c r="AI242" s="16">
        <v>7.8468643902015884</v>
      </c>
      <c r="AJ242" s="16">
        <v>-2.197582857617121</v>
      </c>
      <c r="AK242" s="16">
        <v>1.9248582964527259</v>
      </c>
      <c r="AL242" s="16">
        <v>-0.65341998104757693</v>
      </c>
      <c r="AM242" s="16">
        <v>-2.8708056970131679E-2</v>
      </c>
      <c r="AN242" s="16">
        <v>0.41073459099105492</v>
      </c>
      <c r="AO242" s="16">
        <v>4.1048233898603996</v>
      </c>
      <c r="AP242" s="16">
        <v>1.8174238435043577</v>
      </c>
      <c r="AQ242" s="16">
        <v>3.8104085684702795</v>
      </c>
      <c r="AR242" s="16">
        <v>2.2579604922073031</v>
      </c>
      <c r="AS242" s="16">
        <v>4.1011869731411963</v>
      </c>
      <c r="AT242" s="16">
        <v>0.87002821707575606</v>
      </c>
      <c r="AU242" s="16">
        <v>1.4141993739809777</v>
      </c>
      <c r="AV242" s="16">
        <v>0.41998283337653675</v>
      </c>
      <c r="AW242" s="16">
        <v>5.587271167789936</v>
      </c>
      <c r="AX242" s="16">
        <v>2.4179992148535945</v>
      </c>
      <c r="AY242" s="16">
        <v>3.3357084965772685</v>
      </c>
      <c r="AZ242" s="19">
        <v>4.0444464555414044</v>
      </c>
      <c r="BA242" s="19">
        <v>1.7480392290493967</v>
      </c>
      <c r="BB242" s="19">
        <v>0.57091744146613621</v>
      </c>
      <c r="BC242" s="19">
        <v>3.3258277045504485</v>
      </c>
      <c r="BD242" s="19">
        <v>-2.8462338542227457</v>
      </c>
      <c r="BE242" s="19">
        <v>1.6612516061350107</v>
      </c>
      <c r="BF242" s="19">
        <v>-1.5320939795012976</v>
      </c>
      <c r="BG242" s="19">
        <v>-0.19724021627844479</v>
      </c>
      <c r="BH242" s="19">
        <v>-1.2677293996955967</v>
      </c>
      <c r="BI242" s="19">
        <v>3.4801248126556459</v>
      </c>
      <c r="BJ242" s="19">
        <v>1.4166015714238682</v>
      </c>
      <c r="BK242" s="19">
        <v>0.10320758311570444</v>
      </c>
      <c r="BL242" s="19">
        <v>-0.59805806492914826</v>
      </c>
      <c r="BM242" s="19">
        <v>-5.8471903507109175</v>
      </c>
      <c r="BN242" s="19">
        <v>4.641257979228314</v>
      </c>
      <c r="BO242" s="16">
        <v>2.8802202881343533</v>
      </c>
      <c r="BP242" s="16">
        <v>1.2556515966988684</v>
      </c>
    </row>
    <row r="243" spans="1:68" x14ac:dyDescent="0.3">
      <c r="A243" s="16" t="s">
        <v>237</v>
      </c>
      <c r="B243" s="16" t="s">
        <v>758</v>
      </c>
      <c r="C243" s="16" t="s">
        <v>604</v>
      </c>
      <c r="D243" s="16" t="s">
        <v>605</v>
      </c>
      <c r="AA243" s="16">
        <v>4.6494164910047004</v>
      </c>
      <c r="AB243" s="16">
        <v>1.9298241658234332</v>
      </c>
      <c r="AC243" s="16">
        <v>1.6953988855830175</v>
      </c>
      <c r="AD243" s="16">
        <v>6.5222321552596014</v>
      </c>
      <c r="AE243" s="16">
        <v>2.094466616533623</v>
      </c>
      <c r="AF243" s="16">
        <v>2.6536034284987409</v>
      </c>
      <c r="AG243" s="16">
        <v>-2.4298724981370299</v>
      </c>
      <c r="AH243" s="16">
        <v>-5.9086968765569736E-2</v>
      </c>
      <c r="AI243" s="16">
        <v>-2.3893734368991772</v>
      </c>
      <c r="AJ243" s="16">
        <v>6.1107820339860552</v>
      </c>
      <c r="AK243" s="16">
        <v>-5.2276339083334733E-4</v>
      </c>
      <c r="AL243" s="16">
        <v>3.4961542365866052</v>
      </c>
      <c r="AM243" s="16">
        <v>4.7010082248789615</v>
      </c>
      <c r="AN243" s="16">
        <v>7.11432385922393</v>
      </c>
      <c r="AO243" s="16">
        <v>1.5840270919476751</v>
      </c>
      <c r="AP243" s="16">
        <v>0.75784869968779844</v>
      </c>
      <c r="AQ243" s="16">
        <v>1.7662174377153406</v>
      </c>
      <c r="AR243" s="16">
        <v>3.0610481246482237</v>
      </c>
      <c r="AS243" s="16">
        <v>0.26544271225721161</v>
      </c>
      <c r="AT243" s="16">
        <v>3.1387561561570863</v>
      </c>
      <c r="AU243" s="16">
        <v>4.2480386360175544</v>
      </c>
      <c r="AV243" s="16">
        <v>1.7142453254332253</v>
      </c>
      <c r="AW243" s="16">
        <v>-2.9923193058246369</v>
      </c>
      <c r="AX243" s="16">
        <v>-0.48458837615001471</v>
      </c>
      <c r="AY243" s="16">
        <v>-0.67238718394901298</v>
      </c>
      <c r="AZ243" s="19">
        <v>-0.15015652055015494</v>
      </c>
      <c r="BA243" s="19">
        <v>4.4621684038180831</v>
      </c>
      <c r="BB243" s="19">
        <v>-5.38668639920526</v>
      </c>
      <c r="BC243" s="19">
        <v>0.5791340539595069</v>
      </c>
      <c r="BD243" s="19">
        <v>6.5919557222025702</v>
      </c>
      <c r="BE243" s="19">
        <v>0.92533075275727583</v>
      </c>
      <c r="BF243" s="19">
        <v>0.69917288297583013</v>
      </c>
      <c r="BG243" s="19">
        <v>2.4616942734691634</v>
      </c>
      <c r="BH243" s="19">
        <v>1.652378933427272</v>
      </c>
      <c r="BI243" s="19">
        <v>6.9893925205996226</v>
      </c>
      <c r="BJ243" s="19">
        <v>3.6086361236034321</v>
      </c>
      <c r="BK243" s="19">
        <v>0.49385682769754169</v>
      </c>
      <c r="BL243" s="19">
        <v>0.89743530857660403</v>
      </c>
      <c r="BM243" s="19">
        <v>0.19936359023988359</v>
      </c>
      <c r="BN243" s="19">
        <v>-3.3680041405415295</v>
      </c>
      <c r="BO243" s="16">
        <v>-2.7827151503203709</v>
      </c>
    </row>
    <row r="244" spans="1:68" hidden="1" x14ac:dyDescent="0.3">
      <c r="A244" s="16" t="s">
        <v>759</v>
      </c>
      <c r="B244" s="16" t="s">
        <v>760</v>
      </c>
      <c r="C244" s="16" t="s">
        <v>604</v>
      </c>
      <c r="D244" s="16" t="s">
        <v>605</v>
      </c>
      <c r="F244" s="16">
        <v>1.7898133047037135</v>
      </c>
      <c r="G244" s="16">
        <v>0.99204484112216562</v>
      </c>
      <c r="H244" s="16">
        <v>2.8244951493035586</v>
      </c>
      <c r="I244" s="16">
        <v>5.2331089714292318</v>
      </c>
      <c r="J244" s="16">
        <v>-2.828985119894341</v>
      </c>
      <c r="K244" s="16">
        <v>-1.026240667743096</v>
      </c>
      <c r="L244" s="16">
        <v>3.7386538099824662</v>
      </c>
      <c r="M244" s="16">
        <v>2.2286936305330158</v>
      </c>
      <c r="N244" s="16">
        <v>3.358654271956425</v>
      </c>
      <c r="O244" s="16">
        <v>3.5128919723321275</v>
      </c>
      <c r="P244" s="16">
        <v>-1.5314673180109679</v>
      </c>
      <c r="Q244" s="16">
        <v>-3.8815365552464556</v>
      </c>
      <c r="R244" s="16">
        <v>1.4960181661170822</v>
      </c>
      <c r="S244" s="16">
        <v>0.12255367609337497</v>
      </c>
      <c r="T244" s="16">
        <v>4.4427116285633161</v>
      </c>
      <c r="U244" s="16">
        <v>0.30055333771754533</v>
      </c>
      <c r="V244" s="16">
        <v>3.8266518594798526</v>
      </c>
      <c r="W244" s="16">
        <v>3.7285282033295886</v>
      </c>
      <c r="X244" s="16">
        <v>-4.7499157330821333</v>
      </c>
      <c r="Y244" s="16">
        <v>4.0554822542850957</v>
      </c>
      <c r="Z244" s="16">
        <v>4.0056749591135059</v>
      </c>
      <c r="AA244" s="16">
        <v>1.4652379169824314</v>
      </c>
      <c r="AB244" s="16">
        <v>4.1539271877984163</v>
      </c>
      <c r="AC244" s="16">
        <v>1.7980036534742254</v>
      </c>
      <c r="AD244" s="16">
        <v>3.0111631223310695</v>
      </c>
      <c r="AE244" s="16">
        <v>2.4175608320978483</v>
      </c>
      <c r="AF244" s="16">
        <v>1.9027229875242995</v>
      </c>
      <c r="AG244" s="16">
        <v>5.9212048554846461</v>
      </c>
      <c r="AH244" s="16">
        <v>3.0089335430745479</v>
      </c>
      <c r="AI244" s="16">
        <v>3.0730000972551466</v>
      </c>
      <c r="AJ244" s="16">
        <v>-9.5271213691290768E-2</v>
      </c>
      <c r="AK244" s="16">
        <v>3.5075560930041547</v>
      </c>
      <c r="AL244" s="16">
        <v>1.9947557687986546</v>
      </c>
      <c r="AM244" s="16">
        <v>3.6252552480154066</v>
      </c>
      <c r="AN244" s="16">
        <v>4.5813589477009771</v>
      </c>
      <c r="AO244" s="16">
        <v>4.5295303645596334</v>
      </c>
      <c r="AP244" s="16">
        <v>1.6143878273585841</v>
      </c>
      <c r="AQ244" s="16">
        <v>3.3530670055936866</v>
      </c>
      <c r="AR244" s="16">
        <v>5.4069782046970687</v>
      </c>
      <c r="AS244" s="16">
        <v>2.1092518557313014</v>
      </c>
      <c r="AT244" s="16">
        <v>2.3677781710309347</v>
      </c>
      <c r="AU244" s="16">
        <v>1.752066282692482</v>
      </c>
      <c r="AV244" s="16">
        <v>5.2123971525622323</v>
      </c>
      <c r="AW244" s="16">
        <v>5.6793840664799404</v>
      </c>
      <c r="AX244" s="16">
        <v>5.8280428620375346</v>
      </c>
      <c r="AY244" s="16">
        <v>5.9258624713013148</v>
      </c>
      <c r="AZ244" s="19">
        <v>5.550958397207765</v>
      </c>
      <c r="BA244" s="19">
        <v>1.8085972423651668</v>
      </c>
      <c r="BB244" s="19">
        <v>5.4007880738494549</v>
      </c>
      <c r="BC244" s="19">
        <v>5.8055259945337951</v>
      </c>
      <c r="BD244" s="19">
        <v>3.552625759974589</v>
      </c>
      <c r="BE244" s="19">
        <v>3.9129311787175425</v>
      </c>
      <c r="BF244" s="19">
        <v>4.6020066407336913</v>
      </c>
      <c r="BG244" s="19">
        <v>5.486592969003226</v>
      </c>
      <c r="BH244" s="19">
        <v>5.9519585078574408</v>
      </c>
      <c r="BI244" s="19">
        <v>6.4851639063116124</v>
      </c>
      <c r="BJ244" s="19">
        <v>5.2227536161595083</v>
      </c>
      <c r="BK244" s="19">
        <v>5.086630236734706</v>
      </c>
      <c r="BL244" s="19">
        <v>2.7483949097325109</v>
      </c>
      <c r="BM244" s="19">
        <v>-5.6437008584737924</v>
      </c>
      <c r="BN244" s="19">
        <v>7.6555455403238142</v>
      </c>
      <c r="BO244" s="16">
        <v>5.3464140235964379</v>
      </c>
      <c r="BP244" s="16">
        <v>5.2994191636849735</v>
      </c>
    </row>
    <row r="245" spans="1:68" hidden="1" x14ac:dyDescent="0.3">
      <c r="A245" s="16" t="s">
        <v>761</v>
      </c>
      <c r="B245" s="16" t="s">
        <v>762</v>
      </c>
      <c r="C245" s="16" t="s">
        <v>604</v>
      </c>
      <c r="D245" s="16" t="s">
        <v>605</v>
      </c>
      <c r="F245" s="16">
        <v>-1.3008645513870931</v>
      </c>
      <c r="G245" s="16">
        <v>3.4462809326690547</v>
      </c>
      <c r="H245" s="16">
        <v>3.6755772776445781</v>
      </c>
      <c r="I245" s="16">
        <v>2.3764940648899398</v>
      </c>
      <c r="J245" s="16">
        <v>2.0402479861134424</v>
      </c>
      <c r="K245" s="16">
        <v>-0.5354678267278814</v>
      </c>
      <c r="L245" s="16">
        <v>-3.2721464198470045</v>
      </c>
      <c r="M245" s="16">
        <v>0.4858303127703465</v>
      </c>
      <c r="N245" s="16">
        <v>6.18897351310072</v>
      </c>
      <c r="O245" s="16">
        <v>5.0243246168623017</v>
      </c>
      <c r="P245" s="16">
        <v>4.9279747331178498</v>
      </c>
      <c r="Q245" s="16">
        <v>0.26823979821979549</v>
      </c>
      <c r="R245" s="16">
        <v>1.53793136778053</v>
      </c>
      <c r="S245" s="16">
        <v>4.6176988284762075</v>
      </c>
      <c r="T245" s="16">
        <v>-3.031701042693669</v>
      </c>
      <c r="U245" s="16">
        <v>2.2621257335171805</v>
      </c>
      <c r="V245" s="16">
        <v>-4.332642268144582E-2</v>
      </c>
      <c r="W245" s="16">
        <v>-3.003993162311076</v>
      </c>
      <c r="X245" s="16">
        <v>0.90156534294736446</v>
      </c>
      <c r="Y245" s="16">
        <v>0.81760308919297131</v>
      </c>
      <c r="Z245" s="16">
        <v>-3.6575414704994103</v>
      </c>
      <c r="AA245" s="16">
        <v>-4.1108291447410181</v>
      </c>
      <c r="AB245" s="16">
        <v>-5.3197099077965362</v>
      </c>
      <c r="AC245" s="16">
        <v>-0.5458466744064765</v>
      </c>
      <c r="AD245" s="16">
        <v>-0.83209345733139628</v>
      </c>
      <c r="AE245" s="16">
        <v>-0.96655558588807367</v>
      </c>
      <c r="AF245" s="16">
        <v>2.8512506627720313E-2</v>
      </c>
      <c r="AG245" s="16">
        <v>1.5607759459707893</v>
      </c>
      <c r="AH245" s="16">
        <v>-0.48606339170927981</v>
      </c>
      <c r="AI245" s="16">
        <v>-0.44187154650981597</v>
      </c>
      <c r="AJ245" s="16">
        <v>-2.3139868973147628</v>
      </c>
      <c r="AK245" s="16">
        <v>-2.9923651193577143</v>
      </c>
      <c r="AL245" s="16">
        <v>-3.4642771498506875</v>
      </c>
      <c r="AM245" s="16">
        <v>-1.6015852193883262</v>
      </c>
      <c r="AN245" s="16">
        <v>0.64812678546262248</v>
      </c>
      <c r="AO245" s="16">
        <v>2.3760827149541797</v>
      </c>
      <c r="AP245" s="16">
        <v>1.4212443130106038</v>
      </c>
      <c r="AQ245" s="16">
        <v>-9.2920874458471303E-2</v>
      </c>
      <c r="AR245" s="16">
        <v>-0.40327928072719033</v>
      </c>
      <c r="AS245" s="16">
        <v>0.80654695250484565</v>
      </c>
      <c r="AT245" s="16">
        <v>1.4845712825759563</v>
      </c>
      <c r="AU245" s="16">
        <v>3.5468072840413498</v>
      </c>
      <c r="AV245" s="16">
        <v>1.316788469068257</v>
      </c>
      <c r="AW245" s="16">
        <v>3.7801677242793801</v>
      </c>
      <c r="AX245" s="16">
        <v>3.1945981030996791</v>
      </c>
      <c r="AY245" s="16">
        <v>3.2122231701360562</v>
      </c>
      <c r="AZ245" s="19">
        <v>3.2907838061715182</v>
      </c>
      <c r="BA245" s="19">
        <v>2.3313718420465648</v>
      </c>
      <c r="BB245" s="19">
        <v>0.37844771093840279</v>
      </c>
      <c r="BC245" s="19">
        <v>3.1147543226604171</v>
      </c>
      <c r="BD245" s="19">
        <v>1.5872353125426315</v>
      </c>
      <c r="BE245" s="19">
        <v>0.47531733402654197</v>
      </c>
      <c r="BF245" s="19">
        <v>2.2551510789054134</v>
      </c>
      <c r="BG245" s="19">
        <v>2.0489484285327109</v>
      </c>
      <c r="BH245" s="19">
        <v>0.14587819862006768</v>
      </c>
      <c r="BI245" s="19">
        <v>-1.4407845997614857</v>
      </c>
      <c r="BJ245" s="19">
        <v>-0.18688433550580896</v>
      </c>
      <c r="BK245" s="19">
        <v>7.2408179710706122E-2</v>
      </c>
      <c r="BL245" s="19">
        <v>-8.0170723799142252E-3</v>
      </c>
      <c r="BM245" s="19">
        <v>-4.5003586010395651</v>
      </c>
      <c r="BN245" s="19">
        <v>1.6290194481904763</v>
      </c>
      <c r="BO245" s="16">
        <v>1.0906810973911263</v>
      </c>
      <c r="BP245" s="16">
        <v>0.40937398915525591</v>
      </c>
    </row>
    <row r="246" spans="1:68" x14ac:dyDescent="0.3">
      <c r="A246" s="16" t="s">
        <v>238</v>
      </c>
      <c r="B246" s="16" t="s">
        <v>531</v>
      </c>
      <c r="C246" s="16" t="s">
        <v>604</v>
      </c>
      <c r="D246" s="16" t="s">
        <v>605</v>
      </c>
      <c r="F246" s="16">
        <v>11.668735992012458</v>
      </c>
      <c r="G246" s="16">
        <v>0.82041046265955231</v>
      </c>
      <c r="H246" s="16">
        <v>3.70593139044027</v>
      </c>
      <c r="I246" s="16">
        <v>5.7756568207606733</v>
      </c>
      <c r="J246" s="16">
        <v>-0.93976689084438192</v>
      </c>
      <c r="K246" s="16">
        <v>2.4961883684037218</v>
      </c>
      <c r="L246" s="16">
        <v>0.64569155969165593</v>
      </c>
      <c r="M246" s="16">
        <v>3.9084588840843963</v>
      </c>
      <c r="N246" s="16">
        <v>1.5819684485709189</v>
      </c>
      <c r="O246" s="16">
        <v>2.4607026940934702</v>
      </c>
      <c r="P246" s="16">
        <v>-9.5209925937083995E-2</v>
      </c>
      <c r="Q246" s="16">
        <v>4.4332288589646822</v>
      </c>
      <c r="R246" s="16">
        <v>0.3164010250005731</v>
      </c>
      <c r="S246" s="16">
        <v>2.4377269377981747</v>
      </c>
      <c r="T246" s="16">
        <v>0.15646244226417139</v>
      </c>
      <c r="U246" s="16">
        <v>5.0419146616494004</v>
      </c>
      <c r="V246" s="16">
        <v>7.7097652566309165</v>
      </c>
      <c r="W246" s="16">
        <v>8.524002446919738</v>
      </c>
      <c r="X246" s="16">
        <v>2.1332675520364859</v>
      </c>
      <c r="Y246" s="16">
        <v>8.8696052529953135</v>
      </c>
      <c r="Z246" s="16">
        <v>3.2188062668011526</v>
      </c>
      <c r="AA246" s="16">
        <v>2.5035533847673292</v>
      </c>
      <c r="AB246" s="16">
        <v>-11.382676884309788</v>
      </c>
      <c r="AC246" s="16">
        <v>-6.8227909608743005</v>
      </c>
      <c r="AD246" s="16">
        <v>-5.3211783434398967</v>
      </c>
      <c r="AE246" s="16">
        <v>-4.5979353630358304</v>
      </c>
      <c r="AF246" s="16">
        <v>-5.7298764865951028</v>
      </c>
      <c r="AG246" s="16">
        <v>-4.9380121081480866</v>
      </c>
      <c r="AH246" s="16">
        <v>-1.7438474583967434</v>
      </c>
      <c r="AI246" s="16">
        <v>0.68299995420075277</v>
      </c>
      <c r="AJ246" s="16">
        <v>2.3282124339625483</v>
      </c>
      <c r="AK246" s="16">
        <v>9.2983929126203861</v>
      </c>
      <c r="AL246" s="16">
        <v>-1.3194611101251041</v>
      </c>
      <c r="AM246" s="16">
        <v>2.9767633276302377</v>
      </c>
      <c r="AN246" s="16">
        <v>3.2996036889967115</v>
      </c>
      <c r="AO246" s="16">
        <v>6.6767165970890403</v>
      </c>
      <c r="AP246" s="16">
        <v>7.1364588078535434</v>
      </c>
      <c r="AQ246" s="16">
        <v>7.7647679278638719</v>
      </c>
      <c r="AR246" s="16">
        <v>7.6592438493122756</v>
      </c>
      <c r="AS246" s="16">
        <v>6.4889051912886657</v>
      </c>
      <c r="AT246" s="16">
        <v>3.6732716062760602</v>
      </c>
      <c r="AU246" s="16">
        <v>7.3435230628781767</v>
      </c>
      <c r="AV246" s="16">
        <v>13.799770709154629</v>
      </c>
      <c r="AW246" s="16">
        <v>7.3454172743816031</v>
      </c>
      <c r="AX246" s="16">
        <v>5.5958456559148431</v>
      </c>
      <c r="AY246" s="16">
        <v>12.563137580989064</v>
      </c>
      <c r="AZ246" s="19">
        <v>4.1534577601586022</v>
      </c>
      <c r="BA246" s="19">
        <v>2.802179778244664</v>
      </c>
      <c r="BB246" s="19">
        <v>-4.9640724719556317</v>
      </c>
      <c r="BC246" s="19">
        <v>2.6561605187940245</v>
      </c>
      <c r="BD246" s="19">
        <v>-0.97711781922564001</v>
      </c>
      <c r="BE246" s="19">
        <v>6.6688254948565913</v>
      </c>
      <c r="BF246" s="19">
        <v>2.7878854577464267</v>
      </c>
      <c r="BG246" s="19">
        <v>3.1425980264374402</v>
      </c>
      <c r="BH246" s="19">
        <v>-1.4240950458498958</v>
      </c>
      <c r="BI246" s="19">
        <v>-8.1031850844645845</v>
      </c>
      <c r="BJ246" s="19">
        <v>-5.3981221753104762</v>
      </c>
      <c r="BK246" s="19">
        <v>-2.3267015303929384</v>
      </c>
      <c r="BL246" s="19">
        <v>-0.64540737034705842</v>
      </c>
      <c r="BM246" s="19">
        <v>-8.9695954170683478</v>
      </c>
      <c r="BN246" s="19">
        <v>-1.5249537340644537</v>
      </c>
      <c r="BO246" s="16">
        <v>1.1255658579254231</v>
      </c>
      <c r="BP246" s="16">
        <v>1.8442850269840818</v>
      </c>
    </row>
    <row r="247" spans="1:68" x14ac:dyDescent="0.3">
      <c r="A247" s="16" t="s">
        <v>239</v>
      </c>
      <c r="B247" s="16" t="s">
        <v>532</v>
      </c>
      <c r="C247" s="16" t="s">
        <v>604</v>
      </c>
      <c r="D247" s="16" t="s">
        <v>605</v>
      </c>
      <c r="G247" s="16">
        <v>-5.6007948502159906</v>
      </c>
      <c r="H247" s="16">
        <v>-11.788435219303665</v>
      </c>
      <c r="I247" s="16">
        <v>-5.9027530754101889</v>
      </c>
      <c r="J247" s="16">
        <v>-4.0206341021780929</v>
      </c>
      <c r="K247" s="16">
        <v>1.3696106450352659</v>
      </c>
      <c r="L247" s="16">
        <v>-2.2511419616117507</v>
      </c>
      <c r="M247" s="16">
        <v>7.5547216953885794</v>
      </c>
      <c r="N247" s="16">
        <v>1.9739758221247712</v>
      </c>
      <c r="O247" s="16">
        <v>1.9272871050192606</v>
      </c>
      <c r="P247" s="16">
        <v>7.687702720319777</v>
      </c>
      <c r="Q247" s="16">
        <v>14.686184620691847</v>
      </c>
      <c r="R247" s="16">
        <v>-3.2639353397994171</v>
      </c>
      <c r="S247" s="16">
        <v>5.1969680478484861</v>
      </c>
      <c r="T247" s="16">
        <v>4.2593003482881926</v>
      </c>
      <c r="U247" s="16">
        <v>4.9493685901180271</v>
      </c>
      <c r="V247" s="16">
        <v>0.64842300202694503</v>
      </c>
      <c r="W247" s="16">
        <v>3.6818663530282549</v>
      </c>
      <c r="X247" s="16">
        <v>3.8882150774513207</v>
      </c>
      <c r="Y247" s="16">
        <v>4.7739138780918751</v>
      </c>
      <c r="Z247" s="16">
        <v>2.9185773036650886</v>
      </c>
      <c r="AA247" s="16">
        <v>-2.9531743103189996</v>
      </c>
      <c r="AB247" s="16">
        <v>2.0792587911926006</v>
      </c>
      <c r="AC247" s="16">
        <v>3.019291899086511</v>
      </c>
      <c r="AD247" s="16">
        <v>2.8655815652343932</v>
      </c>
      <c r="AE247" s="16">
        <v>-4.0073640172895324</v>
      </c>
      <c r="AF247" s="16">
        <v>4.0074748395812634</v>
      </c>
      <c r="AG247" s="16">
        <v>-2.3399298175313703</v>
      </c>
      <c r="AH247" s="16">
        <v>-0.56526540568283679</v>
      </c>
      <c r="AI247" s="16">
        <v>5.601188219216624</v>
      </c>
      <c r="AJ247" s="16">
        <v>1.7014614725515713</v>
      </c>
      <c r="AK247" s="16">
        <v>5.6050813363140151</v>
      </c>
      <c r="AL247" s="16">
        <v>0.20192951011866</v>
      </c>
      <c r="AM247" s="16">
        <v>1.3054975640865791</v>
      </c>
      <c r="AN247" s="16">
        <v>0.68920580298251366</v>
      </c>
      <c r="AO247" s="16">
        <v>5.5958141799983707</v>
      </c>
      <c r="AP247" s="16">
        <v>4.0355199394325609</v>
      </c>
      <c r="AQ247" s="16">
        <v>3.4930697568672286</v>
      </c>
      <c r="AR247" s="16">
        <v>4.8528165917752375</v>
      </c>
      <c r="AS247" s="16">
        <v>3.5960268982116332</v>
      </c>
      <c r="AT247" s="16">
        <v>2.7390373459395931</v>
      </c>
      <c r="AU247" s="16">
        <v>0.32446397338945587</v>
      </c>
      <c r="AV247" s="16">
        <v>3.683117806606532</v>
      </c>
      <c r="AW247" s="16">
        <v>5.2198325427835783</v>
      </c>
      <c r="AX247" s="16">
        <v>2.5290278413724963</v>
      </c>
      <c r="AY247" s="16">
        <v>4.2882495647023546</v>
      </c>
      <c r="AZ247" s="19">
        <v>5.7328627417747526</v>
      </c>
      <c r="BA247" s="19">
        <v>3.261953407039897</v>
      </c>
      <c r="BB247" s="19">
        <v>2.0485693020586524</v>
      </c>
      <c r="BC247" s="19">
        <v>1.9262204389345072</v>
      </c>
      <c r="BD247" s="19">
        <v>-3.2671301833853335</v>
      </c>
      <c r="BE247" s="19">
        <v>2.8936817667810146</v>
      </c>
      <c r="BF247" s="19">
        <v>1.2887179880154633</v>
      </c>
      <c r="BG247" s="19">
        <v>1.9297650492554794</v>
      </c>
      <c r="BH247" s="19">
        <v>-0.15775275653859921</v>
      </c>
      <c r="BI247" s="19">
        <v>1.0796317093024754E-2</v>
      </c>
      <c r="BJ247" s="19">
        <v>1.1491430479933626</v>
      </c>
      <c r="BK247" s="19">
        <v>1.5791793858699066</v>
      </c>
      <c r="BL247" s="19">
        <v>0.6075482165898336</v>
      </c>
      <c r="BM247" s="19">
        <v>-9.4366983587000277</v>
      </c>
      <c r="BN247" s="19">
        <v>3.7417359201736815</v>
      </c>
      <c r="BO247" s="16">
        <v>1.8302779171987424</v>
      </c>
      <c r="BP247" s="16">
        <v>-0.39941095187356268</v>
      </c>
    </row>
    <row r="248" spans="1:68" x14ac:dyDescent="0.3">
      <c r="A248" s="16" t="s">
        <v>534</v>
      </c>
      <c r="B248" s="16" t="s">
        <v>533</v>
      </c>
      <c r="C248" s="16" t="s">
        <v>604</v>
      </c>
      <c r="D248" s="16" t="s">
        <v>605</v>
      </c>
      <c r="F248" s="16">
        <v>-1.5076126435854178</v>
      </c>
      <c r="G248" s="16">
        <v>2.7401389057927474</v>
      </c>
      <c r="H248" s="16">
        <v>6.1621856293284196</v>
      </c>
      <c r="I248" s="16">
        <v>2.7549788605931269</v>
      </c>
      <c r="J248" s="16">
        <v>0.32716673487982462</v>
      </c>
      <c r="K248" s="16">
        <v>8.453479205731611</v>
      </c>
      <c r="L248" s="16">
        <v>2.0252692486696589</v>
      </c>
      <c r="M248" s="16">
        <v>4.0755109135159699</v>
      </c>
      <c r="N248" s="16">
        <v>1.5694476124299825</v>
      </c>
      <c r="O248" s="16">
        <v>0.85461508593532187</v>
      </c>
      <c r="P248" s="16">
        <v>3.1889238366934478</v>
      </c>
      <c r="Q248" s="16">
        <v>5.0337035611443355</v>
      </c>
      <c r="R248" s="16">
        <v>0.9808425048208278</v>
      </c>
      <c r="S248" s="16">
        <v>3.3252244110678362</v>
      </c>
      <c r="T248" s="16">
        <v>4.9855219704065519</v>
      </c>
      <c r="U248" s="16">
        <v>8.2045350299394784</v>
      </c>
      <c r="V248" s="16">
        <v>1.1962507863038923</v>
      </c>
      <c r="W248" s="16">
        <v>-0.67282211305006001</v>
      </c>
      <c r="X248" s="16">
        <v>-2.6841610211085793</v>
      </c>
      <c r="Y248" s="16">
        <v>-4.4422391359158553</v>
      </c>
      <c r="Z248" s="16">
        <v>2.7754360400719378</v>
      </c>
      <c r="AA248" s="16">
        <v>1.3812685005882628</v>
      </c>
      <c r="AB248" s="16">
        <v>2.5682946763628109</v>
      </c>
      <c r="AC248" s="16">
        <v>4.315571994865735</v>
      </c>
      <c r="AD248" s="16">
        <v>1.9754897173161083</v>
      </c>
      <c r="AE248" s="16">
        <v>4.7786058158969098</v>
      </c>
      <c r="AF248" s="16">
        <v>7.2931278718375552</v>
      </c>
      <c r="AG248" s="16">
        <v>0.31303749093221711</v>
      </c>
      <c r="AH248" s="16">
        <v>-1.6463980439017547</v>
      </c>
      <c r="AI248" s="16">
        <v>7.2167419892663389</v>
      </c>
      <c r="AJ248" s="16">
        <v>-1.0949597992952107</v>
      </c>
      <c r="AK248" s="16">
        <v>3.2057583740328965</v>
      </c>
      <c r="AL248" s="16">
        <v>5.7837313300600073</v>
      </c>
      <c r="AM248" s="16">
        <v>-6.3263309682537709</v>
      </c>
      <c r="AN248" s="16">
        <v>6.0678896966540208</v>
      </c>
      <c r="AO248" s="16">
        <v>5.6195677884905564</v>
      </c>
      <c r="AP248" s="16">
        <v>5.8508010786207763</v>
      </c>
      <c r="AQ248" s="16">
        <v>0.8168467083555413</v>
      </c>
      <c r="AR248" s="16">
        <v>-4.7075254962827273</v>
      </c>
      <c r="AS248" s="16">
        <v>5.385567182470524</v>
      </c>
      <c r="AT248" s="16">
        <v>-7.1382512755541683</v>
      </c>
      <c r="AU248" s="16">
        <v>4.9690624143938606</v>
      </c>
      <c r="AV248" s="16">
        <v>4.3734343220409357</v>
      </c>
      <c r="AW248" s="16">
        <v>8.3093996990934045</v>
      </c>
      <c r="AX248" s="16">
        <v>7.5333994839743639</v>
      </c>
      <c r="AY248" s="16">
        <v>5.5702631622412042</v>
      </c>
      <c r="AZ248" s="19">
        <v>4.2098763295314683</v>
      </c>
      <c r="BA248" s="19">
        <v>-0.45285369226851913</v>
      </c>
      <c r="BB248" s="19">
        <v>-6.1278574005138182</v>
      </c>
      <c r="BC248" s="19">
        <v>6.7920823258673266</v>
      </c>
      <c r="BD248" s="19">
        <v>9.5798639582012299</v>
      </c>
      <c r="BE248" s="19">
        <v>3.4612124247919809</v>
      </c>
      <c r="BF248" s="19">
        <v>7.1013195432705771</v>
      </c>
      <c r="BG248" s="19">
        <v>3.5334920403702768</v>
      </c>
      <c r="BH248" s="19">
        <v>4.6785959933808954</v>
      </c>
      <c r="BI248" s="19">
        <v>1.9422584598537185</v>
      </c>
      <c r="BJ248" s="19">
        <v>6.1169588882557804</v>
      </c>
      <c r="BK248" s="19">
        <v>1.6281852403163555</v>
      </c>
      <c r="BL248" s="19">
        <v>-0.6126184935597081</v>
      </c>
      <c r="BM248" s="19">
        <v>0.87618637010116629</v>
      </c>
      <c r="BN248" s="19">
        <v>10.429395222422457</v>
      </c>
      <c r="BO248" s="16">
        <v>4.4994997578578335</v>
      </c>
      <c r="BP248" s="16">
        <v>4.0929402864446018</v>
      </c>
    </row>
    <row r="249" spans="1:68" x14ac:dyDescent="0.3">
      <c r="A249" s="16" t="s">
        <v>243</v>
      </c>
      <c r="B249" s="16" t="s">
        <v>763</v>
      </c>
      <c r="C249" s="16" t="s">
        <v>604</v>
      </c>
      <c r="D249" s="16" t="s">
        <v>605</v>
      </c>
      <c r="P249" s="16">
        <v>-2.2561721557910914</v>
      </c>
      <c r="Q249" s="16">
        <v>-2.5658292310302357</v>
      </c>
      <c r="R249" s="16">
        <v>-2.64114855072485</v>
      </c>
      <c r="S249" s="16">
        <v>-4.353745147541062</v>
      </c>
      <c r="T249" s="16">
        <v>-5.8438567622631012</v>
      </c>
      <c r="U249" s="16">
        <v>-5.2407642803653118</v>
      </c>
      <c r="V249" s="16">
        <v>-7.9727943155783976</v>
      </c>
      <c r="W249" s="16">
        <v>-6.0433301356720932</v>
      </c>
      <c r="X249" s="16">
        <v>-3.7599906779662149</v>
      </c>
      <c r="Y249" s="16">
        <v>-2.9400470831716774</v>
      </c>
      <c r="Z249" s="16">
        <v>0.73697222504472393</v>
      </c>
      <c r="AA249" s="16">
        <v>-17.259558788940282</v>
      </c>
      <c r="AB249" s="16">
        <v>7.5473496481041025</v>
      </c>
      <c r="AC249" s="16">
        <v>6.1762399658411766</v>
      </c>
      <c r="AD249" s="16">
        <v>-3.390841001320581</v>
      </c>
      <c r="AE249" s="16">
        <v>20.175921551318396</v>
      </c>
      <c r="AF249" s="16">
        <v>10.06746940565489</v>
      </c>
      <c r="AG249" s="16">
        <v>16.892260854816826</v>
      </c>
      <c r="AH249" s="16">
        <v>-3.8290277475878156</v>
      </c>
      <c r="AI249" s="16">
        <v>13.302700065345263</v>
      </c>
      <c r="AJ249" s="16">
        <v>1.7040326385846782</v>
      </c>
      <c r="AK249" s="16">
        <v>1.5726105222540099</v>
      </c>
      <c r="AL249" s="16">
        <v>3.5529113992063515</v>
      </c>
      <c r="AM249" s="16">
        <v>9.7988175697039708</v>
      </c>
      <c r="AN249" s="16">
        <v>-5.2621342689160997</v>
      </c>
      <c r="AO249" s="16">
        <v>-6.2157669336409924</v>
      </c>
      <c r="AP249" s="16">
        <v>9.7862661519744591</v>
      </c>
      <c r="AQ249" s="16">
        <v>15.45321048306522</v>
      </c>
      <c r="AR249" s="16">
        <v>-1.6251381243084495</v>
      </c>
      <c r="AS249" s="16">
        <v>-0.9499394006797246</v>
      </c>
      <c r="AT249" s="16">
        <v>0.17669680906348617</v>
      </c>
      <c r="AU249" s="16">
        <v>9.6605860577137577</v>
      </c>
      <c r="AV249" s="16">
        <v>-4.9315536687593209</v>
      </c>
      <c r="AW249" s="16">
        <v>-3.5004317508658147</v>
      </c>
      <c r="AX249" s="16">
        <v>-5.8151266024738675</v>
      </c>
      <c r="AY249" s="16">
        <v>1.2338593974174898</v>
      </c>
      <c r="AZ249" s="19">
        <v>5.8865757358219639</v>
      </c>
      <c r="BA249" s="19">
        <v>5.3894080996884668</v>
      </c>
      <c r="BB249" s="19">
        <v>-7.4750192159877002</v>
      </c>
      <c r="BC249" s="19">
        <v>-3.5382833070036952</v>
      </c>
      <c r="BD249" s="19">
        <v>5.3207306711979641</v>
      </c>
      <c r="BE249" s="19">
        <v>-3.5163034316204431</v>
      </c>
      <c r="BF249" s="19">
        <v>3.7361517079891939</v>
      </c>
      <c r="BG249" s="19">
        <v>0.17432791999266328</v>
      </c>
      <c r="BH249" s="19">
        <v>10.639997241886576</v>
      </c>
      <c r="BI249" s="19">
        <v>5.9037895805659701</v>
      </c>
      <c r="BJ249" s="19">
        <v>2.6754672410153546</v>
      </c>
      <c r="BK249" s="19">
        <v>1.0420165150423912</v>
      </c>
      <c r="BL249" s="19">
        <v>12.876697659562694</v>
      </c>
      <c r="BM249" s="19">
        <v>-5.252159702603393</v>
      </c>
      <c r="BN249" s="19">
        <v>0.57747058219041492</v>
      </c>
      <c r="BO249" s="16">
        <v>-0.28389550163058175</v>
      </c>
      <c r="BP249" s="16">
        <v>3.0873093730929213</v>
      </c>
    </row>
    <row r="250" spans="1:68" x14ac:dyDescent="0.3">
      <c r="A250" s="16" t="s">
        <v>325</v>
      </c>
      <c r="B250" s="16" t="s">
        <v>535</v>
      </c>
      <c r="C250" s="16" t="s">
        <v>604</v>
      </c>
      <c r="D250" s="16" t="s">
        <v>605</v>
      </c>
      <c r="F250" s="16">
        <v>-1.7520019001474338</v>
      </c>
      <c r="G250" s="16">
        <v>5.953053416280369</v>
      </c>
      <c r="H250" s="16">
        <v>3.2008238499907691</v>
      </c>
      <c r="I250" s="16">
        <v>2.4326665358059358</v>
      </c>
      <c r="J250" s="16">
        <v>1.3044051103856731</v>
      </c>
      <c r="K250" s="16">
        <v>8.3701018899485575</v>
      </c>
      <c r="L250" s="16">
        <v>2.4091434808852057</v>
      </c>
      <c r="M250" s="16">
        <v>3.0012235421430944</v>
      </c>
      <c r="N250" s="16">
        <v>-9.3302187469873843E-2</v>
      </c>
      <c r="O250" s="16">
        <v>-48.204715773949992</v>
      </c>
      <c r="P250" s="16">
        <v>0.40648152082533784</v>
      </c>
      <c r="Q250" s="16">
        <v>3.4203609137521056</v>
      </c>
      <c r="R250" s="16">
        <v>2.4858916056977165</v>
      </c>
      <c r="S250" s="16">
        <v>-1.456113583865843</v>
      </c>
      <c r="T250" s="16">
        <v>0.32433616408951593</v>
      </c>
      <c r="U250" s="16">
        <v>-0.34485627357145177</v>
      </c>
      <c r="V250" s="16">
        <v>-3.4796331153766005</v>
      </c>
      <c r="W250" s="16">
        <v>-1.4470278680026638</v>
      </c>
      <c r="X250" s="16">
        <v>-0.88673165681699118</v>
      </c>
      <c r="Y250" s="16">
        <v>-0.44687568261448973</v>
      </c>
      <c r="Z250" s="16">
        <v>-3.9281377624461555</v>
      </c>
      <c r="AA250" s="16">
        <v>-3.3232926040369648</v>
      </c>
      <c r="AB250" s="16">
        <v>-3.5435799507013144</v>
      </c>
      <c r="AC250" s="16">
        <v>1.3899151275712995</v>
      </c>
      <c r="AD250" s="16">
        <v>-1.9468383402603422</v>
      </c>
      <c r="AE250" s="16">
        <v>2.0868557275541804</v>
      </c>
      <c r="AF250" s="16">
        <v>1.4301862739693831</v>
      </c>
      <c r="AG250" s="16">
        <v>4.0448291790744548</v>
      </c>
      <c r="AH250" s="16">
        <v>1.0115572917241309</v>
      </c>
      <c r="AI250" s="16">
        <v>4.2615539696068083</v>
      </c>
      <c r="AJ250" s="16">
        <v>-0.52118435643622263</v>
      </c>
      <c r="AK250" s="16">
        <v>-1.9249165682431766</v>
      </c>
      <c r="AL250" s="16">
        <v>-1.9455612760963135</v>
      </c>
      <c r="AM250" s="16">
        <v>-2.3011281111163697</v>
      </c>
      <c r="AN250" s="16">
        <v>0.31714855534292496</v>
      </c>
      <c r="AO250" s="16">
        <v>2.6018121178708498</v>
      </c>
      <c r="AP250" s="16">
        <v>1.4309281197603951</v>
      </c>
      <c r="AQ250" s="16">
        <v>1.0431211008982757</v>
      </c>
      <c r="AR250" s="16">
        <v>2.1371002737707414</v>
      </c>
      <c r="AS250" s="16">
        <v>1.6042080286472924</v>
      </c>
      <c r="AT250" s="16">
        <v>3.2300921054772402</v>
      </c>
      <c r="AU250" s="16">
        <v>4.3338644687595007</v>
      </c>
      <c r="AV250" s="16">
        <v>3.8769866335614438</v>
      </c>
      <c r="AW250" s="16">
        <v>4.6312900252142128</v>
      </c>
      <c r="AX250" s="16">
        <v>4.5424413044961653</v>
      </c>
      <c r="AY250" s="16">
        <v>3.589391561273942</v>
      </c>
      <c r="AZ250" s="19">
        <v>3.8193219335235398</v>
      </c>
      <c r="BA250" s="19">
        <v>2.8460115093008653</v>
      </c>
      <c r="BB250" s="19">
        <v>2.6712901769097073</v>
      </c>
      <c r="BC250" s="19">
        <v>3.6250503426905425</v>
      </c>
      <c r="BD250" s="19">
        <v>4.6492861993537673</v>
      </c>
      <c r="BE250" s="19">
        <v>1.5093487466651538</v>
      </c>
      <c r="BF250" s="19">
        <v>3.6166435488498081</v>
      </c>
      <c r="BG250" s="19">
        <v>3.4705531509923446</v>
      </c>
      <c r="BH250" s="19">
        <v>2.6853672852993355</v>
      </c>
      <c r="BI250" s="19">
        <v>3.2321435508361418</v>
      </c>
      <c r="BJ250" s="19">
        <v>3.2400623606933436</v>
      </c>
      <c r="BK250" s="19">
        <v>2.1743589821608964</v>
      </c>
      <c r="BL250" s="19">
        <v>2.6678170821939915</v>
      </c>
      <c r="BM250" s="19">
        <v>-1.0195828087810384</v>
      </c>
      <c r="BN250" s="19">
        <v>1.2478024381184412</v>
      </c>
      <c r="BO250" s="16">
        <v>1.5347535863096056</v>
      </c>
      <c r="BP250" s="16">
        <v>2.1788502509320722</v>
      </c>
    </row>
    <row r="251" spans="1:68" x14ac:dyDescent="0.3">
      <c r="A251" s="16" t="s">
        <v>244</v>
      </c>
      <c r="B251" s="16" t="s">
        <v>536</v>
      </c>
      <c r="C251" s="16" t="s">
        <v>604</v>
      </c>
      <c r="D251" s="16" t="s">
        <v>605</v>
      </c>
      <c r="AB251" s="16">
        <v>3.1518008361093308</v>
      </c>
      <c r="AC251" s="16">
        <v>-2.9966991968200603</v>
      </c>
      <c r="AD251" s="16">
        <v>-6.0130386920702392</v>
      </c>
      <c r="AE251" s="16">
        <v>-2.5132821517482569</v>
      </c>
      <c r="AF251" s="16">
        <v>0.78979299222878296</v>
      </c>
      <c r="AG251" s="16">
        <v>4.884937878173929</v>
      </c>
      <c r="AH251" s="16">
        <v>2.9939205062104151</v>
      </c>
      <c r="AI251" s="16">
        <v>3.0953328736560621</v>
      </c>
      <c r="AJ251" s="16">
        <v>2.1542737444650015</v>
      </c>
      <c r="AK251" s="16">
        <v>-4.7066392046460237E-2</v>
      </c>
      <c r="AL251" s="16">
        <v>4.6473649511877113</v>
      </c>
      <c r="AM251" s="16">
        <v>2.9032214901226325</v>
      </c>
      <c r="AN251" s="16">
        <v>8.5259883272423593</v>
      </c>
      <c r="AO251" s="16">
        <v>6.1528189096170536</v>
      </c>
      <c r="AP251" s="16">
        <v>2.0860580709963159</v>
      </c>
      <c r="AQ251" s="16">
        <v>1.829820745460438</v>
      </c>
      <c r="AR251" s="16">
        <v>4.6117571619019202</v>
      </c>
      <c r="AS251" s="16">
        <v>-4.1787422872545221E-2</v>
      </c>
      <c r="AT251" s="16">
        <v>2.0293055650627707</v>
      </c>
      <c r="AU251" s="16">
        <v>5.4051027303776493</v>
      </c>
      <c r="AV251" s="16">
        <v>3.2022849844131969</v>
      </c>
      <c r="AW251" s="16">
        <v>3.6936464818082726</v>
      </c>
      <c r="AX251" s="16">
        <v>3.2867677650199028</v>
      </c>
      <c r="AY251" s="16">
        <v>7.6019595589239088</v>
      </c>
      <c r="AZ251" s="19">
        <v>5.2782982272286887</v>
      </c>
      <c r="BA251" s="19">
        <v>5.5730442808100946</v>
      </c>
      <c r="BB251" s="19">
        <v>3.7325103397152617</v>
      </c>
      <c r="BC251" s="19">
        <v>2.6025445614756393</v>
      </c>
      <c r="BD251" s="19">
        <v>6.2572983790051211</v>
      </c>
      <c r="BE251" s="19">
        <v>0.87576103919242598</v>
      </c>
      <c r="BF251" s="19">
        <v>0.64942622818182372</v>
      </c>
      <c r="BG251" s="19">
        <v>2.0315855861764476</v>
      </c>
      <c r="BH251" s="19">
        <v>1.9859237703513628</v>
      </c>
      <c r="BI251" s="19">
        <v>1.3441867473926123</v>
      </c>
      <c r="BJ251" s="19">
        <v>-0.41223933230860155</v>
      </c>
      <c r="BK251" s="19">
        <v>2.7490304610883385</v>
      </c>
      <c r="BL251" s="19">
        <v>2.8857089218093108</v>
      </c>
      <c r="BM251" s="19">
        <v>-0.42331649677632299</v>
      </c>
      <c r="BN251" s="19">
        <v>0.26440077193706202</v>
      </c>
      <c r="BO251" s="16">
        <v>1.4983716505057885</v>
      </c>
      <c r="BP251" s="16">
        <v>2.3450701290475706</v>
      </c>
    </row>
    <row r="252" spans="1:68" x14ac:dyDescent="0.3">
      <c r="A252" s="16" t="s">
        <v>245</v>
      </c>
      <c r="B252" s="16" t="s">
        <v>537</v>
      </c>
      <c r="C252" s="16" t="s">
        <v>604</v>
      </c>
      <c r="D252" s="16" t="s">
        <v>605</v>
      </c>
      <c r="AG252" s="16">
        <v>2.1125659006226556</v>
      </c>
      <c r="AH252" s="16">
        <v>3.3675102046697418</v>
      </c>
      <c r="AI252" s="16">
        <v>-6.5589279080445664</v>
      </c>
      <c r="AJ252" s="16">
        <v>-8.8915469985709592</v>
      </c>
      <c r="AK252" s="16">
        <v>-10.158987505723942</v>
      </c>
      <c r="AL252" s="16">
        <v>-14.247354808285991</v>
      </c>
      <c r="AM252" s="16">
        <v>-22.517186087371854</v>
      </c>
      <c r="AN252" s="16">
        <v>-11.503569697823295</v>
      </c>
      <c r="AO252" s="16">
        <v>-9.1979633761284987</v>
      </c>
      <c r="AP252" s="16">
        <v>-2.1119489820334252</v>
      </c>
      <c r="AQ252" s="16">
        <v>-1.0194486133663645</v>
      </c>
      <c r="AR252" s="16">
        <v>0.7452712475604244</v>
      </c>
      <c r="AS252" s="16">
        <v>6.9713597111734202</v>
      </c>
      <c r="AT252" s="16">
        <v>9.9494270078918703</v>
      </c>
      <c r="AU252" s="16">
        <v>6.3447622270449813</v>
      </c>
      <c r="AV252" s="16">
        <v>10.408813213087598</v>
      </c>
      <c r="AW252" s="16">
        <v>12.646627172091286</v>
      </c>
      <c r="AX252" s="16">
        <v>3.8293053286348311</v>
      </c>
      <c r="AY252" s="16">
        <v>8.3011336771619142</v>
      </c>
      <c r="AZ252" s="19">
        <v>8.8636884632396118</v>
      </c>
      <c r="BA252" s="19">
        <v>2.7986423495768094</v>
      </c>
      <c r="BB252" s="19">
        <v>-14.758974657902186</v>
      </c>
      <c r="BC252" s="19">
        <v>4.5063448241537003</v>
      </c>
      <c r="BD252" s="19">
        <v>5.8251466563641827</v>
      </c>
      <c r="BE252" s="19">
        <v>0.39997015557435134</v>
      </c>
      <c r="BF252" s="19">
        <v>0.27349600633002069</v>
      </c>
      <c r="BG252" s="19">
        <v>-4.8752499625729513</v>
      </c>
      <c r="BH252" s="19">
        <v>-9.4438321905316798</v>
      </c>
      <c r="BI252" s="19">
        <v>2.8548026075670236</v>
      </c>
      <c r="BJ252" s="19">
        <v>2.8106454708364055</v>
      </c>
      <c r="BK252" s="19">
        <v>4.0163817763545211</v>
      </c>
      <c r="BL252" s="19">
        <v>3.7937239117647152</v>
      </c>
      <c r="BM252" s="19">
        <v>-3.1016585892110697</v>
      </c>
      <c r="BN252" s="19">
        <v>4.3644846138612792</v>
      </c>
      <c r="BO252" s="16">
        <v>-16.728358112320834</v>
      </c>
      <c r="BP252" s="16">
        <v>8.0469556953356829</v>
      </c>
    </row>
    <row r="253" spans="1:68" hidden="1" x14ac:dyDescent="0.3">
      <c r="A253" s="16" t="s">
        <v>764</v>
      </c>
      <c r="B253" s="16" t="s">
        <v>765</v>
      </c>
      <c r="C253" s="16" t="s">
        <v>604</v>
      </c>
      <c r="D253" s="16" t="s">
        <v>605</v>
      </c>
      <c r="F253" s="16">
        <v>-0.10361851475232697</v>
      </c>
      <c r="G253" s="16">
        <v>1.4966033524144677</v>
      </c>
      <c r="H253" s="16">
        <v>1.8926869625880869</v>
      </c>
      <c r="I253" s="16">
        <v>6.1220130553135732</v>
      </c>
      <c r="J253" s="16">
        <v>5.0992477829620242</v>
      </c>
      <c r="K253" s="16">
        <v>3.4950837765904481</v>
      </c>
      <c r="L253" s="16">
        <v>1.2238033026854396</v>
      </c>
      <c r="M253" s="16">
        <v>4.2948263274116982</v>
      </c>
      <c r="N253" s="16">
        <v>5.5746828967813542</v>
      </c>
      <c r="O253" s="16">
        <v>5.6256149771596284</v>
      </c>
      <c r="P253" s="16">
        <v>3.967784119305918</v>
      </c>
      <c r="Q253" s="16">
        <v>5.169744574793782</v>
      </c>
      <c r="R253" s="16">
        <v>5.3128686228489812</v>
      </c>
      <c r="S253" s="16">
        <v>4.0843358784682664</v>
      </c>
      <c r="T253" s="16">
        <v>2.4878717897968983</v>
      </c>
      <c r="U253" s="16">
        <v>4.6061948309407512</v>
      </c>
      <c r="V253" s="16">
        <v>2.5080394351051751</v>
      </c>
      <c r="W253" s="16">
        <v>2.0067966964848694</v>
      </c>
      <c r="X253" s="16">
        <v>3.7673464455030086</v>
      </c>
      <c r="Y253" s="16">
        <v>2.9036079981710401</v>
      </c>
      <c r="Z253" s="16">
        <v>0.13157107812666879</v>
      </c>
      <c r="AA253" s="16">
        <v>1.219466983528946</v>
      </c>
      <c r="AB253" s="16">
        <v>-0.32924836508193778</v>
      </c>
      <c r="AC253" s="16">
        <v>3.6175236884029545</v>
      </c>
      <c r="AD253" s="16">
        <v>2.9360816703095622</v>
      </c>
      <c r="AE253" s="16">
        <v>1.8873719921663081</v>
      </c>
      <c r="AF253" s="16">
        <v>3.089012564980294</v>
      </c>
      <c r="AG253" s="16">
        <v>1.5707162410301407</v>
      </c>
      <c r="AH253" s="16">
        <v>1.2605724100118465</v>
      </c>
      <c r="AI253" s="16">
        <v>1.0309248007375373</v>
      </c>
      <c r="AJ253" s="16">
        <v>1.4732173557299859</v>
      </c>
      <c r="AK253" s="16">
        <v>3.0425762962086793</v>
      </c>
      <c r="AL253" s="16">
        <v>4.4936660086578826</v>
      </c>
      <c r="AM253" s="16">
        <v>4.1845658964988246</v>
      </c>
      <c r="AN253" s="16">
        <v>3.1370671069376215</v>
      </c>
      <c r="AO253" s="16">
        <v>4.9213961312876648</v>
      </c>
      <c r="AP253" s="16">
        <v>4.8268543508058315</v>
      </c>
      <c r="AQ253" s="16">
        <v>1.7982369074861282</v>
      </c>
      <c r="AR253" s="16">
        <v>2.1155504818271851</v>
      </c>
      <c r="AS253" s="16">
        <v>4.8918189007443118</v>
      </c>
      <c r="AT253" s="16">
        <v>2.4226498636352716</v>
      </c>
      <c r="AU253" s="16">
        <v>3.8404990572387305</v>
      </c>
      <c r="AV253" s="16">
        <v>4.9545491871469665</v>
      </c>
      <c r="AW253" s="16">
        <v>6.9306689216968493</v>
      </c>
      <c r="AX253" s="16">
        <v>6.5851817803834081</v>
      </c>
      <c r="AY253" s="16">
        <v>7.7259440715696286</v>
      </c>
      <c r="AZ253" s="19">
        <v>8.5849237282029804</v>
      </c>
      <c r="BA253" s="19">
        <v>5.4198270813860177</v>
      </c>
      <c r="BB253" s="19">
        <v>2.6333071059401192</v>
      </c>
      <c r="BC253" s="19">
        <v>7.6724470468891468</v>
      </c>
      <c r="BD253" s="19">
        <v>6.0617523638185133</v>
      </c>
      <c r="BE253" s="19">
        <v>4.8078706899558341</v>
      </c>
      <c r="BF253" s="19">
        <v>4.6706826237397934</v>
      </c>
      <c r="BG253" s="19">
        <v>4.0053001590717514</v>
      </c>
      <c r="BH253" s="19">
        <v>3.6413645994975496</v>
      </c>
      <c r="BI253" s="19">
        <v>3.7247447748730167</v>
      </c>
      <c r="BJ253" s="19">
        <v>4.5097944571697042</v>
      </c>
      <c r="BK253" s="19">
        <v>4.1220745958730163</v>
      </c>
      <c r="BL253" s="19">
        <v>3.3927907709209109</v>
      </c>
      <c r="BM253" s="19">
        <v>-1.1363418287347713</v>
      </c>
      <c r="BN253" s="19">
        <v>7.2789953131171927</v>
      </c>
      <c r="BO253" s="16">
        <v>3.2165545409491614</v>
      </c>
      <c r="BP253" s="16">
        <v>4.073804765456515</v>
      </c>
    </row>
    <row r="254" spans="1:68" x14ac:dyDescent="0.3">
      <c r="A254" s="16" t="s">
        <v>251</v>
      </c>
      <c r="B254" s="16" t="s">
        <v>538</v>
      </c>
      <c r="C254" s="16" t="s">
        <v>604</v>
      </c>
      <c r="D254" s="16" t="s">
        <v>605</v>
      </c>
      <c r="F254" s="16">
        <v>1.207169289988542</v>
      </c>
      <c r="G254" s="16">
        <v>-2.762439149390886</v>
      </c>
      <c r="H254" s="16">
        <v>-0.99415139125775909</v>
      </c>
      <c r="I254" s="16">
        <v>1.3034840497044371</v>
      </c>
      <c r="J254" s="16">
        <v>-1.185068678930179E-2</v>
      </c>
      <c r="K254" s="16">
        <v>2.0500185609741521</v>
      </c>
      <c r="L254" s="16">
        <v>-4.5320472370589187</v>
      </c>
      <c r="M254" s="16">
        <v>1.0540226418506791</v>
      </c>
      <c r="N254" s="16">
        <v>5.1190199777542205</v>
      </c>
      <c r="O254" s="16">
        <v>1.7351160517054609</v>
      </c>
      <c r="P254" s="16">
        <v>-0.79310219923279135</v>
      </c>
      <c r="Q254" s="16">
        <v>-1.8650415798278175</v>
      </c>
      <c r="R254" s="16">
        <v>-0.28113761409326798</v>
      </c>
      <c r="S254" s="16">
        <v>2.2909004173730381</v>
      </c>
      <c r="T254" s="16">
        <v>5.4186868770818535</v>
      </c>
      <c r="U254" s="16">
        <v>3.2471312810038455</v>
      </c>
      <c r="V254" s="16">
        <v>0.81963116566645056</v>
      </c>
      <c r="W254" s="16">
        <v>4.7792704555271541</v>
      </c>
      <c r="X254" s="16">
        <v>5.6614273876347312</v>
      </c>
      <c r="Y254" s="16">
        <v>5.3768120147584142</v>
      </c>
      <c r="Z254" s="16">
        <v>1.1375129450547519</v>
      </c>
      <c r="AA254" s="16">
        <v>-10.154864104044677</v>
      </c>
      <c r="AB254" s="16">
        <v>-10.697145491543196</v>
      </c>
      <c r="AC254" s="16">
        <v>-1.6345621209242296</v>
      </c>
      <c r="AD254" s="16">
        <v>0.93095614851073094</v>
      </c>
      <c r="AE254" s="16">
        <v>8.2020386068556377</v>
      </c>
      <c r="AF254" s="16">
        <v>7.3723893928702608</v>
      </c>
      <c r="AG254" s="16">
        <v>0.85535332705637757</v>
      </c>
      <c r="AH254" s="16">
        <v>0.44696321109563542</v>
      </c>
      <c r="AI254" s="16">
        <v>-0.31798008108873432</v>
      </c>
      <c r="AJ254" s="16">
        <v>2.932443968173942</v>
      </c>
      <c r="AK254" s="16">
        <v>7.3033143246838677</v>
      </c>
      <c r="AL254" s="16">
        <v>2.0744681713501762</v>
      </c>
      <c r="AM254" s="16">
        <v>6.6693239812599643</v>
      </c>
      <c r="AN254" s="16">
        <v>-2.0114269528997681</v>
      </c>
      <c r="AO254" s="16">
        <v>4.9780876516752244</v>
      </c>
      <c r="AP254" s="16">
        <v>7.930998290103048</v>
      </c>
      <c r="AQ254" s="16">
        <v>3.9546318681598081</v>
      </c>
      <c r="AR254" s="16">
        <v>-2.0098928828545866</v>
      </c>
      <c r="AS254" s="16">
        <v>-2.3249545432953482</v>
      </c>
      <c r="AT254" s="16">
        <v>-4.0979966341298564</v>
      </c>
      <c r="AU254" s="16">
        <v>-7.8855434485589626</v>
      </c>
      <c r="AV254" s="16">
        <v>0.6907505210110827</v>
      </c>
      <c r="AW254" s="16">
        <v>4.8901191162581341</v>
      </c>
      <c r="AX254" s="16">
        <v>7.3349760489216607</v>
      </c>
      <c r="AY254" s="16">
        <v>3.9539107874240216</v>
      </c>
      <c r="AZ254" s="19">
        <v>6.3376556248487077</v>
      </c>
      <c r="BA254" s="19">
        <v>6.93600335053371</v>
      </c>
      <c r="BB254" s="19">
        <v>3.9931843231999693</v>
      </c>
      <c r="BC254" s="19">
        <v>7.5302556704836832</v>
      </c>
      <c r="BD254" s="19">
        <v>4.8810238723512072</v>
      </c>
      <c r="BE254" s="19">
        <v>3.2465264644487348</v>
      </c>
      <c r="BF254" s="19">
        <v>4.3266136411188114</v>
      </c>
      <c r="BG254" s="19">
        <v>2.9197296574484</v>
      </c>
      <c r="BH254" s="19">
        <v>4.1679876946119521E-2</v>
      </c>
      <c r="BI254" s="19">
        <v>1.3636774146064852</v>
      </c>
      <c r="BJ254" s="19">
        <v>1.4896376885397302</v>
      </c>
      <c r="BK254" s="19">
        <v>2.2997795680240074E-2</v>
      </c>
      <c r="BL254" s="19">
        <v>0.88832257658890512</v>
      </c>
      <c r="BM254" s="19">
        <v>-7.3983846678426204</v>
      </c>
      <c r="BN254" s="19">
        <v>5.6489608819707797</v>
      </c>
      <c r="BO254" s="16">
        <v>4.8132865941621361</v>
      </c>
      <c r="BP254" s="16">
        <v>0.35826851687197347</v>
      </c>
    </row>
    <row r="255" spans="1:68" x14ac:dyDescent="0.3">
      <c r="A255" s="16" t="s">
        <v>328</v>
      </c>
      <c r="B255" s="16" t="s">
        <v>539</v>
      </c>
      <c r="C255" s="16" t="s">
        <v>604</v>
      </c>
      <c r="D255" s="16" t="s">
        <v>605</v>
      </c>
      <c r="F255" s="16">
        <v>0.61812119265458421</v>
      </c>
      <c r="G255" s="16">
        <v>4.4806693542336404</v>
      </c>
      <c r="H255" s="16">
        <v>2.9082719480875312</v>
      </c>
      <c r="I255" s="16">
        <v>4.3405489632029486</v>
      </c>
      <c r="J255" s="16">
        <v>5.0780976104330904</v>
      </c>
      <c r="K255" s="16">
        <v>5.2771138583641317</v>
      </c>
      <c r="L255" s="16">
        <v>1.3899512862836474</v>
      </c>
      <c r="M255" s="16">
        <v>3.7588193676318014</v>
      </c>
      <c r="N255" s="16">
        <v>2.0973697064787586</v>
      </c>
      <c r="O255" s="16">
        <v>-0.94414511814234459</v>
      </c>
      <c r="P255" s="16">
        <v>1.9949789554152062</v>
      </c>
      <c r="Q255" s="16">
        <v>4.134727629603745</v>
      </c>
      <c r="R255" s="16">
        <v>4.6421133606447285</v>
      </c>
      <c r="S255" s="16">
        <v>-1.4451328921554847</v>
      </c>
      <c r="T255" s="16">
        <v>-1.1847429392429802</v>
      </c>
      <c r="U255" s="16">
        <v>4.3913584723444643</v>
      </c>
      <c r="V255" s="16">
        <v>3.5771798239333918</v>
      </c>
      <c r="W255" s="16">
        <v>4.4228871647855357</v>
      </c>
      <c r="X255" s="16">
        <v>2.033731709627844</v>
      </c>
      <c r="Y255" s="16">
        <v>-1.2093240729281689</v>
      </c>
      <c r="Z255" s="16">
        <v>1.5363024171900292</v>
      </c>
      <c r="AA255" s="16">
        <v>-2.7346949107748628</v>
      </c>
      <c r="AB255" s="16">
        <v>3.6318580403165583</v>
      </c>
      <c r="AC255" s="16">
        <v>6.3119892161068947</v>
      </c>
      <c r="AD255" s="16">
        <v>3.2505762603152561</v>
      </c>
      <c r="AE255" s="16">
        <v>2.5108949660186681</v>
      </c>
      <c r="AF255" s="16">
        <v>2.5340423430043018</v>
      </c>
      <c r="AG255" s="16">
        <v>3.2353379284818118</v>
      </c>
      <c r="AH255" s="16">
        <v>2.6977602153793896</v>
      </c>
      <c r="AI255" s="16">
        <v>0.74148672121106074</v>
      </c>
      <c r="AJ255" s="16">
        <v>-1.4342475849234688</v>
      </c>
      <c r="AK255" s="16">
        <v>2.0966686423715686</v>
      </c>
      <c r="AL255" s="16">
        <v>1.405723181851684</v>
      </c>
      <c r="AM255" s="16">
        <v>2.7611089695097633</v>
      </c>
      <c r="AN255" s="16">
        <v>1.468929170583948</v>
      </c>
      <c r="AO255" s="16">
        <v>2.5724639941786478</v>
      </c>
      <c r="AP255" s="16">
        <v>3.1971656138321833</v>
      </c>
      <c r="AQ255" s="16">
        <v>3.2722298341108456</v>
      </c>
      <c r="AR255" s="16">
        <v>3.5919803778361228</v>
      </c>
      <c r="AS255" s="16">
        <v>2.9258625449025715</v>
      </c>
      <c r="AT255" s="16">
        <v>-3.873192561718497E-2</v>
      </c>
      <c r="AU255" s="16">
        <v>0.76123685329467605</v>
      </c>
      <c r="AV255" s="16">
        <v>1.9158824777433665</v>
      </c>
      <c r="AW255" s="16">
        <v>2.891110912334625</v>
      </c>
      <c r="AX255" s="16">
        <v>2.534110707186656</v>
      </c>
      <c r="AY255" s="16">
        <v>1.7981987474099839</v>
      </c>
      <c r="AZ255" s="19">
        <v>1.038343821710356</v>
      </c>
      <c r="BA255" s="19">
        <v>-0.82888812107232468</v>
      </c>
      <c r="BB255" s="19">
        <v>-3.426831942540133</v>
      </c>
      <c r="BC255" s="19">
        <v>1.8467404584986014</v>
      </c>
      <c r="BD255" s="19">
        <v>0.82892617390047008</v>
      </c>
      <c r="BE255" s="19">
        <v>1.5414662344997083</v>
      </c>
      <c r="BF255" s="19">
        <v>1.4127416785577225</v>
      </c>
      <c r="BG255" s="19">
        <v>1.7746998074879059</v>
      </c>
      <c r="BH255" s="19">
        <v>2.1904305658238599</v>
      </c>
      <c r="BI255" s="19">
        <v>1.0842573831341724</v>
      </c>
      <c r="BJ255" s="19">
        <v>1.811476365402882</v>
      </c>
      <c r="BK255" s="19">
        <v>2.4258772194730227</v>
      </c>
      <c r="BL255" s="19">
        <v>2.0014826792295253</v>
      </c>
      <c r="BM255" s="19">
        <v>-3.1564442519670308</v>
      </c>
      <c r="BN255" s="19">
        <v>5.6338681282407777</v>
      </c>
      <c r="BO255" s="16">
        <v>1.5615981890108657</v>
      </c>
      <c r="BP255" s="16">
        <v>2.0395059357577026</v>
      </c>
    </row>
    <row r="256" spans="1:68" x14ac:dyDescent="0.3">
      <c r="A256" s="16" t="s">
        <v>252</v>
      </c>
      <c r="B256" s="16" t="s">
        <v>540</v>
      </c>
      <c r="C256" s="16" t="s">
        <v>604</v>
      </c>
      <c r="D256" s="16" t="s">
        <v>605</v>
      </c>
      <c r="AG256" s="16">
        <v>6.2271588398840123</v>
      </c>
      <c r="AH256" s="16">
        <v>0.51246573399939166</v>
      </c>
      <c r="AI256" s="16">
        <v>-0.41663367541001151</v>
      </c>
      <c r="AJ256" s="16">
        <v>-2.5912046633206813</v>
      </c>
      <c r="AK256" s="16">
        <v>-13.257606412595692</v>
      </c>
      <c r="AL256" s="16">
        <v>-4.4951554140076269</v>
      </c>
      <c r="AM256" s="16">
        <v>-7.0428743731455086</v>
      </c>
      <c r="AN256" s="16">
        <v>-2.6745358842313181</v>
      </c>
      <c r="AO256" s="16">
        <v>-0.22671689688834817</v>
      </c>
      <c r="AP256" s="16">
        <v>3.2353065416064197</v>
      </c>
      <c r="AQ256" s="16">
        <v>2.6347386813502709</v>
      </c>
      <c r="AR256" s="16">
        <v>3.1817791076766326</v>
      </c>
      <c r="AS256" s="16">
        <v>2.408081724978544</v>
      </c>
      <c r="AT256" s="16">
        <v>2.8534687684898472</v>
      </c>
      <c r="AU256" s="16">
        <v>2.7087825902612224</v>
      </c>
      <c r="AV256" s="16">
        <v>3.0267280838193358</v>
      </c>
      <c r="AW256" s="16">
        <v>6.2164114054164372</v>
      </c>
      <c r="AX256" s="16">
        <v>5.7130132843608266</v>
      </c>
      <c r="AY256" s="16">
        <v>6.1482456284272615</v>
      </c>
      <c r="AZ256" s="19">
        <v>7.9257232686453847</v>
      </c>
      <c r="BA256" s="19">
        <v>7.2928600080407051</v>
      </c>
      <c r="BB256" s="19">
        <v>6.2430412083842555</v>
      </c>
      <c r="BC256" s="19">
        <v>4.6023303938155209</v>
      </c>
      <c r="BD256" s="19">
        <v>4.6775345001925075</v>
      </c>
      <c r="BE256" s="19">
        <v>5.5373380420604263</v>
      </c>
      <c r="BF256" s="19">
        <v>5.6337007643187036</v>
      </c>
      <c r="BG256" s="19">
        <v>5.0861043216945916</v>
      </c>
      <c r="BH256" s="19">
        <v>5.3648169676077799</v>
      </c>
      <c r="BI256" s="19">
        <v>4.1060727630424196</v>
      </c>
      <c r="BJ256" s="19">
        <v>2.6524847333358395</v>
      </c>
      <c r="BK256" s="19">
        <v>4.0565066806236274</v>
      </c>
      <c r="BL256" s="19">
        <v>4.0113921836985753</v>
      </c>
      <c r="BM256" s="19">
        <v>5.3822237020611396E-2</v>
      </c>
      <c r="BN256" s="19">
        <v>5.3022179000554246</v>
      </c>
      <c r="BO256" s="16">
        <v>3.4960436700443438</v>
      </c>
      <c r="BP256" s="16">
        <v>3.764398849052796</v>
      </c>
    </row>
    <row r="257" spans="1:68" x14ac:dyDescent="0.3">
      <c r="A257" s="16" t="s">
        <v>766</v>
      </c>
      <c r="B257" s="16" t="s">
        <v>767</v>
      </c>
      <c r="C257" s="16" t="s">
        <v>604</v>
      </c>
      <c r="D257" s="16" t="s">
        <v>605</v>
      </c>
      <c r="F257" s="16">
        <v>2.6665204669536564</v>
      </c>
      <c r="G257" s="16">
        <v>1.8899628533112178</v>
      </c>
      <c r="H257" s="16">
        <v>-7.8040006402954845</v>
      </c>
      <c r="I257" s="16">
        <v>2.0407663775335436</v>
      </c>
      <c r="J257" s="16">
        <v>-0.7050542915149407</v>
      </c>
      <c r="K257" s="16">
        <v>-1.5727702055789194</v>
      </c>
      <c r="L257" s="16">
        <v>-10.889842641457392</v>
      </c>
      <c r="M257" s="16">
        <v>4.9792086428596178</v>
      </c>
      <c r="N257" s="16">
        <v>1.4120708421857557</v>
      </c>
      <c r="O257" s="16">
        <v>9.246541897997119</v>
      </c>
      <c r="P257" s="16">
        <v>1.6873919747149415</v>
      </c>
      <c r="Q257" s="16">
        <v>24.404010353200277</v>
      </c>
      <c r="R257" s="16">
        <v>-12.044189105787822</v>
      </c>
      <c r="S257" s="16">
        <v>-9.7301626135217845</v>
      </c>
      <c r="T257" s="16">
        <v>-8.4340843195225119</v>
      </c>
      <c r="U257" s="16">
        <v>9.5018930330412985</v>
      </c>
      <c r="V257" s="16">
        <v>12.381524055896207</v>
      </c>
      <c r="W257" s="16">
        <v>9.0159053268133817</v>
      </c>
      <c r="X257" s="16">
        <v>2.7573697963466941</v>
      </c>
      <c r="Y257" s="16">
        <v>1.8727467664263457</v>
      </c>
      <c r="Z257" s="16">
        <v>3.9264117274631474</v>
      </c>
      <c r="AA257" s="16">
        <v>3.726162099154152</v>
      </c>
      <c r="AB257" s="16">
        <v>1.5072443885208742</v>
      </c>
      <c r="AC257" s="16">
        <v>5.9632191339556755</v>
      </c>
      <c r="AD257" s="16">
        <v>5.6269371875482079</v>
      </c>
      <c r="AE257" s="16">
        <v>5.1427875831068377</v>
      </c>
      <c r="AF257" s="16">
        <v>9.4734672613540738E-2</v>
      </c>
      <c r="AG257" s="16">
        <v>13.763237518169873</v>
      </c>
      <c r="AH257" s="16">
        <v>1.185320821548558</v>
      </c>
      <c r="AI257" s="16">
        <v>3.9945652791833197</v>
      </c>
      <c r="AJ257" s="16">
        <v>0.87282715206009698</v>
      </c>
      <c r="AK257" s="16">
        <v>5.9626587052199511</v>
      </c>
      <c r="AL257" s="16">
        <v>3.8846361120791641</v>
      </c>
      <c r="AM257" s="16">
        <v>-1.527559277317053</v>
      </c>
      <c r="AN257" s="16">
        <v>7.5495576529269925</v>
      </c>
      <c r="AO257" s="16">
        <v>1.1851086275842988</v>
      </c>
      <c r="AP257" s="16">
        <v>3.5178313315271623</v>
      </c>
      <c r="AQ257" s="16">
        <v>4.191399432339594</v>
      </c>
      <c r="AR257" s="16">
        <v>2.8634819293588833</v>
      </c>
      <c r="AS257" s="16">
        <v>1.8015643370280543</v>
      </c>
      <c r="AT257" s="16">
        <v>1.902230859567851</v>
      </c>
      <c r="AU257" s="16">
        <v>5.5194769753914557</v>
      </c>
      <c r="AV257" s="16">
        <v>7.0139348529082923</v>
      </c>
      <c r="AW257" s="16">
        <v>4.57698700246371</v>
      </c>
      <c r="AX257" s="16">
        <v>3.0053770862351996</v>
      </c>
      <c r="AY257" s="16">
        <v>7.5884355658807152</v>
      </c>
      <c r="AZ257" s="19">
        <v>3.8851550386376914</v>
      </c>
      <c r="BA257" s="19">
        <v>0.86699946496059965</v>
      </c>
      <c r="BB257" s="19">
        <v>-0.95080850142012707</v>
      </c>
      <c r="BC257" s="19">
        <v>-4.0055274818766122</v>
      </c>
      <c r="BD257" s="19">
        <v>-5.3088582838881848E-2</v>
      </c>
      <c r="BE257" s="19">
        <v>1.7494518260206036</v>
      </c>
      <c r="BF257" s="19">
        <v>3.0661021570866751</v>
      </c>
      <c r="BG257" s="19">
        <v>1.7597634688178942</v>
      </c>
      <c r="BH257" s="19">
        <v>3.1982243910760673</v>
      </c>
      <c r="BI257" s="19">
        <v>4.6560317973785033</v>
      </c>
      <c r="BJ257" s="19">
        <v>1.8467483390249555</v>
      </c>
      <c r="BK257" s="19">
        <v>3.438252031551599</v>
      </c>
      <c r="BL257" s="19">
        <v>1.0042252201408814</v>
      </c>
      <c r="BM257" s="19">
        <v>-3.4705076272171596</v>
      </c>
      <c r="BN257" s="19">
        <v>1.0435081860232316</v>
      </c>
      <c r="BO257" s="16">
        <v>7.5556978734353066</v>
      </c>
      <c r="BP257" s="16">
        <v>6.2716977512675669</v>
      </c>
    </row>
    <row r="258" spans="1:68" hidden="1" x14ac:dyDescent="0.3">
      <c r="A258" s="16" t="s">
        <v>54</v>
      </c>
      <c r="B258" s="16" t="s">
        <v>768</v>
      </c>
      <c r="C258" s="16" t="s">
        <v>604</v>
      </c>
      <c r="D258" s="16" t="s">
        <v>605</v>
      </c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</row>
    <row r="259" spans="1:68" x14ac:dyDescent="0.3">
      <c r="A259" s="16" t="s">
        <v>769</v>
      </c>
      <c r="B259" s="16" t="s">
        <v>770</v>
      </c>
      <c r="C259" s="16" t="s">
        <v>604</v>
      </c>
      <c r="D259" s="16" t="s">
        <v>605</v>
      </c>
      <c r="AV259" s="16">
        <v>-0.39240901921164095</v>
      </c>
      <c r="AW259" s="16">
        <v>3.3230311220047213</v>
      </c>
      <c r="AX259" s="16">
        <v>3.4977135520659601</v>
      </c>
      <c r="AY259" s="16">
        <v>3.5852229118555385</v>
      </c>
      <c r="AZ259" s="19">
        <v>4.0413161114312857</v>
      </c>
      <c r="BA259" s="19">
        <v>1.1625983348136941</v>
      </c>
      <c r="BB259" s="19">
        <v>-6.6008203382024391</v>
      </c>
      <c r="BC259" s="19">
        <v>0.64001704595794706</v>
      </c>
      <c r="BD259" s="19">
        <v>-8.147450692179433</v>
      </c>
      <c r="BE259" s="19">
        <v>-14.732184946574492</v>
      </c>
      <c r="BF259" s="19">
        <v>-6.1576473840695058</v>
      </c>
      <c r="BG259" s="19">
        <v>-1.6297623797500194</v>
      </c>
      <c r="BH259" s="19">
        <v>-0.26792231561096003</v>
      </c>
      <c r="BI259" s="19">
        <v>1.7860705689114695</v>
      </c>
      <c r="BJ259" s="19">
        <v>-0.51785388235514063</v>
      </c>
      <c r="BK259" s="19">
        <v>2.1714260792400353</v>
      </c>
      <c r="BL259" s="19">
        <v>3.2539146558972618</v>
      </c>
      <c r="BM259" s="19">
        <v>-1.5670347737642771</v>
      </c>
      <c r="BN259" s="19">
        <v>3.2622401129793275</v>
      </c>
    </row>
    <row r="260" spans="1:68" x14ac:dyDescent="0.3">
      <c r="A260" s="16" t="s">
        <v>255</v>
      </c>
      <c r="B260" s="16" t="s">
        <v>543</v>
      </c>
      <c r="C260" s="16" t="s">
        <v>604</v>
      </c>
      <c r="D260" s="16" t="s">
        <v>605</v>
      </c>
      <c r="AD260" s="16">
        <v>1.3683546891044358</v>
      </c>
      <c r="AE260" s="16">
        <v>0.42226925802393112</v>
      </c>
      <c r="AF260" s="16">
        <v>1.2520356439000011</v>
      </c>
      <c r="AG260" s="16">
        <v>2.8254863585916041</v>
      </c>
      <c r="AH260" s="16">
        <v>5.0212107795334617</v>
      </c>
      <c r="AI260" s="16">
        <v>2.8292625237143341</v>
      </c>
      <c r="AJ260" s="16">
        <v>3.7191242211022342</v>
      </c>
      <c r="AK260" s="16">
        <v>6.419959108663619</v>
      </c>
      <c r="AL260" s="16">
        <v>5.9657404367100924</v>
      </c>
      <c r="AM260" s="16">
        <v>6.8503619546991672</v>
      </c>
      <c r="AN260" s="16">
        <v>7.6721761309635781</v>
      </c>
      <c r="AO260" s="16">
        <v>7.6077998805168505</v>
      </c>
      <c r="AP260" s="16">
        <v>6.5706472460652492</v>
      </c>
      <c r="AQ260" s="16">
        <v>4.2974342277284734</v>
      </c>
      <c r="AR260" s="16">
        <v>3.4387809133900333</v>
      </c>
      <c r="AS260" s="16">
        <v>5.6012792680341477</v>
      </c>
      <c r="AT260" s="16">
        <v>5.106408112049138</v>
      </c>
      <c r="AU260" s="16">
        <v>5.2337388503949143</v>
      </c>
      <c r="AV260" s="16">
        <v>5.8054607353370784</v>
      </c>
      <c r="AW260" s="16">
        <v>6.4449904494704668</v>
      </c>
      <c r="AX260" s="16">
        <v>6.4724905120997249</v>
      </c>
      <c r="AY260" s="16">
        <v>5.946165320646827</v>
      </c>
      <c r="AZ260" s="19">
        <v>6.1051673205248846</v>
      </c>
      <c r="BA260" s="19">
        <v>4.6310765346559606</v>
      </c>
      <c r="BB260" s="19">
        <v>4.318505014415706</v>
      </c>
      <c r="BC260" s="19">
        <v>5.2932928792235145</v>
      </c>
      <c r="BD260" s="19">
        <v>5.2832569158295115</v>
      </c>
      <c r="BE260" s="19">
        <v>4.3795627860658186</v>
      </c>
      <c r="BF260" s="19">
        <v>4.423447221953964</v>
      </c>
      <c r="BG260" s="19">
        <v>5.2933873841233208</v>
      </c>
      <c r="BH260" s="19">
        <v>5.8778493046868618</v>
      </c>
      <c r="BI260" s="19">
        <v>5.6186801032402229</v>
      </c>
      <c r="BJ260" s="19">
        <v>5.9092409733633389</v>
      </c>
      <c r="BK260" s="19">
        <v>6.4671914976901093</v>
      </c>
      <c r="BL260" s="19">
        <v>6.3925859450448854</v>
      </c>
      <c r="BM260" s="19">
        <v>1.9373565936545987</v>
      </c>
      <c r="BN260" s="19">
        <v>1.691632688411147</v>
      </c>
      <c r="BO260" s="16">
        <v>7.3319410870749522</v>
      </c>
      <c r="BP260" s="16">
        <v>4.332271058998856</v>
      </c>
    </row>
    <row r="261" spans="1:68" x14ac:dyDescent="0.3">
      <c r="A261" s="16" t="s">
        <v>253</v>
      </c>
      <c r="B261" s="16" t="s">
        <v>544</v>
      </c>
      <c r="C261" s="16" t="s">
        <v>604</v>
      </c>
      <c r="D261" s="16" t="s">
        <v>605</v>
      </c>
      <c r="Y261" s="16">
        <v>-13.508406724169603</v>
      </c>
      <c r="Z261" s="16">
        <v>2.0199181807482063</v>
      </c>
      <c r="AA261" s="16">
        <v>-0.37784747904289873</v>
      </c>
      <c r="AB261" s="16">
        <v>0.57546058520966881</v>
      </c>
      <c r="AC261" s="16">
        <v>6.934182976786829</v>
      </c>
      <c r="AD261" s="16">
        <v>-1.4612202201766138</v>
      </c>
      <c r="AE261" s="16">
        <v>-2.6150982639776146</v>
      </c>
      <c r="AF261" s="16">
        <v>-5.3001469217533383</v>
      </c>
      <c r="AG261" s="16">
        <v>-4.1394648467974235</v>
      </c>
      <c r="AH261" s="16">
        <v>-0.98810571160903748</v>
      </c>
      <c r="AI261" s="16">
        <v>8.9559045615568351</v>
      </c>
      <c r="AJ261" s="16">
        <v>0.616260807490292</v>
      </c>
      <c r="AK261" s="16">
        <v>6.3102622370394101E-2</v>
      </c>
      <c r="AL261" s="16">
        <v>-1.7254894752603178</v>
      </c>
      <c r="AM261" s="16">
        <v>6.4539754470907269</v>
      </c>
      <c r="AN261" s="16">
        <v>-1.3948779329078178</v>
      </c>
      <c r="AO261" s="16">
        <v>-7.5143662957543711E-2</v>
      </c>
      <c r="AP261" s="16">
        <v>2.4687560877365797</v>
      </c>
      <c r="AQ261" s="16">
        <v>-1.1535157059403502</v>
      </c>
      <c r="AR261" s="16">
        <v>-1.9881645534904209</v>
      </c>
      <c r="AS261" s="16">
        <v>3.364842774573205</v>
      </c>
      <c r="AT261" s="16">
        <v>-5.829386091058737</v>
      </c>
      <c r="AU261" s="16">
        <v>-7.5861251128351626</v>
      </c>
      <c r="AV261" s="16">
        <v>1.7055058695656982</v>
      </c>
      <c r="AW261" s="16">
        <v>1.4594489148584984</v>
      </c>
      <c r="AX261" s="16">
        <v>2.7843702211117716</v>
      </c>
      <c r="AY261" s="16">
        <v>5.8864204780938394</v>
      </c>
      <c r="AZ261" s="19">
        <v>0.43312766411762027</v>
      </c>
      <c r="BA261" s="19">
        <v>3.0701104392099978</v>
      </c>
      <c r="BB261" s="19">
        <v>0.5710868584837101</v>
      </c>
      <c r="BC261" s="19">
        <v>-1.1190059967074717</v>
      </c>
      <c r="BD261" s="19">
        <v>0.74245322718076068</v>
      </c>
      <c r="BE261" s="19">
        <v>-1.3527535591401119</v>
      </c>
      <c r="BF261" s="19">
        <v>-1.9081546294229383</v>
      </c>
      <c r="BG261" s="19">
        <v>0.69415503287541469</v>
      </c>
      <c r="BH261" s="19">
        <v>-1.9974308733112451</v>
      </c>
      <c r="BI261" s="19">
        <v>2.1825958526285945</v>
      </c>
      <c r="BJ261" s="19">
        <v>3.7454463265367792</v>
      </c>
      <c r="BK261" s="19">
        <v>0.45698233448874248</v>
      </c>
      <c r="BL261" s="19">
        <v>0.83112773674598373</v>
      </c>
      <c r="BM261" s="19">
        <v>-7.2118785341656775</v>
      </c>
      <c r="BN261" s="19">
        <v>-3.8510954016399381</v>
      </c>
      <c r="BO261" s="16">
        <v>-0.45545483659607555</v>
      </c>
      <c r="BP261" s="16">
        <v>-0.16006710121936862</v>
      </c>
    </row>
    <row r="262" spans="1:68" hidden="1" x14ac:dyDescent="0.3">
      <c r="A262" s="16" t="s">
        <v>771</v>
      </c>
      <c r="B262" s="16" t="s">
        <v>772</v>
      </c>
      <c r="C262" s="16" t="s">
        <v>604</v>
      </c>
      <c r="D262" s="16" t="s">
        <v>605</v>
      </c>
      <c r="F262" s="16">
        <v>2.5839262757906454</v>
      </c>
      <c r="G262" s="16">
        <v>3.4859058563881433</v>
      </c>
      <c r="H262" s="16">
        <v>2.8293863155726626</v>
      </c>
      <c r="I262" s="16">
        <v>4.3927006639826516</v>
      </c>
      <c r="J262" s="16">
        <v>3.4458323816522096</v>
      </c>
      <c r="K262" s="16">
        <v>3.2583463669758999</v>
      </c>
      <c r="L262" s="16">
        <v>1.6453468005459797</v>
      </c>
      <c r="M262" s="16">
        <v>3.7776395353035639</v>
      </c>
      <c r="N262" s="16">
        <v>3.797332610311571</v>
      </c>
      <c r="O262" s="16">
        <v>1.6094967855730289</v>
      </c>
      <c r="P262" s="16">
        <v>2.1556175066408656</v>
      </c>
      <c r="Q262" s="16">
        <v>3.5574668015721898</v>
      </c>
      <c r="R262" s="16">
        <v>4.3339171133992949</v>
      </c>
      <c r="S262" s="16">
        <v>-2.0871500779890084E-2</v>
      </c>
      <c r="T262" s="16">
        <v>-1.304514274127385</v>
      </c>
      <c r="U262" s="16">
        <v>3.3585263966458712</v>
      </c>
      <c r="V262" s="16">
        <v>2.2236842242464121</v>
      </c>
      <c r="W262" s="16">
        <v>2.2942711225030621</v>
      </c>
      <c r="X262" s="16">
        <v>2.3699360192517958</v>
      </c>
      <c r="Y262" s="16">
        <v>0.12451271457243251</v>
      </c>
      <c r="Z262" s="16">
        <v>0.15489808805391192</v>
      </c>
      <c r="AA262" s="16">
        <v>-1.4857460950245951</v>
      </c>
      <c r="AB262" s="16">
        <v>0.78666208140327853</v>
      </c>
      <c r="AC262" s="16">
        <v>2.8786397325193889</v>
      </c>
      <c r="AD262" s="16">
        <v>1.918721321696836</v>
      </c>
      <c r="AE262" s="16">
        <v>1.5520835439601655</v>
      </c>
      <c r="AF262" s="16">
        <v>1.902059096632172</v>
      </c>
      <c r="AG262" s="16">
        <v>2.7693846754176263</v>
      </c>
      <c r="AH262" s="16">
        <v>1.9391399294979266</v>
      </c>
      <c r="AI262" s="16">
        <v>1.0015778530926696</v>
      </c>
      <c r="AJ262" s="16">
        <v>-0.42108156143414988</v>
      </c>
      <c r="AK262" s="16">
        <v>0.38496509071241292</v>
      </c>
      <c r="AL262" s="16">
        <v>0.22880367581885253</v>
      </c>
      <c r="AM262" s="16">
        <v>1.7595737594853489</v>
      </c>
      <c r="AN262" s="16">
        <v>1.5601404287065606</v>
      </c>
      <c r="AO262" s="16">
        <v>2.0625801379028417</v>
      </c>
      <c r="AP262" s="16">
        <v>2.4406174505776477</v>
      </c>
      <c r="AQ262" s="16">
        <v>1.414687507046537</v>
      </c>
      <c r="AR262" s="16">
        <v>2.1394678719547358</v>
      </c>
      <c r="AS262" s="16">
        <v>3.1355879743987174</v>
      </c>
      <c r="AT262" s="16">
        <v>0.68108013801089839</v>
      </c>
      <c r="AU262" s="16">
        <v>0.97631017348231808</v>
      </c>
      <c r="AV262" s="16">
        <v>1.7922623876470283</v>
      </c>
      <c r="AW262" s="16">
        <v>3.1544654911487697</v>
      </c>
      <c r="AX262" s="16">
        <v>2.7082753591129176</v>
      </c>
      <c r="AY262" s="16">
        <v>3.1461377430734672</v>
      </c>
      <c r="AZ262" s="19">
        <v>3.0926737969559639</v>
      </c>
      <c r="BA262" s="19">
        <v>0.80441700944011529</v>
      </c>
      <c r="BB262" s="19">
        <v>-2.5618556367754053</v>
      </c>
      <c r="BC262" s="19">
        <v>3.2654829179595453</v>
      </c>
      <c r="BD262" s="19">
        <v>2.0953196445613571</v>
      </c>
      <c r="BE262" s="19">
        <v>1.4515087443961932</v>
      </c>
      <c r="BF262" s="19">
        <v>1.6156754215343625</v>
      </c>
      <c r="BG262" s="19">
        <v>1.8858414464197466</v>
      </c>
      <c r="BH262" s="19">
        <v>1.9151472566454828</v>
      </c>
      <c r="BI262" s="19">
        <v>1.6304463869432482</v>
      </c>
      <c r="BJ262" s="19">
        <v>2.2838666961317813</v>
      </c>
      <c r="BK262" s="19">
        <v>2.1532273530778099</v>
      </c>
      <c r="BL262" s="19">
        <v>1.561181075862649</v>
      </c>
      <c r="BM262" s="19">
        <v>-3.906872232767455</v>
      </c>
      <c r="BN262" s="19">
        <v>5.3480789199560093</v>
      </c>
      <c r="BO262" s="16">
        <v>2.2776108845976069</v>
      </c>
      <c r="BP262" s="16">
        <v>1.7797986999013062</v>
      </c>
    </row>
    <row r="263" spans="1:68" x14ac:dyDescent="0.3">
      <c r="A263" s="16" t="s">
        <v>208</v>
      </c>
      <c r="B263" s="16" t="s">
        <v>773</v>
      </c>
      <c r="C263" s="16" t="s">
        <v>604</v>
      </c>
      <c r="D263" s="16" t="s">
        <v>605</v>
      </c>
      <c r="P263" s="16">
        <v>11.719226297236432</v>
      </c>
      <c r="Q263" s="16">
        <v>2.3486555772706197E-2</v>
      </c>
      <c r="R263" s="16">
        <v>5.6742619629537785</v>
      </c>
      <c r="S263" s="16">
        <v>-12.236147265242863</v>
      </c>
      <c r="T263" s="16">
        <v>-5.6772954062843155</v>
      </c>
      <c r="U263" s="16">
        <v>7.3358814287753944</v>
      </c>
      <c r="V263" s="16">
        <v>-2.1525426229376308</v>
      </c>
      <c r="W263" s="16">
        <v>5.1834858071075445</v>
      </c>
      <c r="X263" s="16">
        <v>9.8908305183488636</v>
      </c>
      <c r="Y263" s="16">
        <v>-6.9985765818412489</v>
      </c>
      <c r="Z263" s="16">
        <v>-9.7325195534920397</v>
      </c>
      <c r="AA263" s="16">
        <v>-1.3729683822590459</v>
      </c>
      <c r="AB263" s="16">
        <v>0.39554245016788059</v>
      </c>
      <c r="AC263" s="16">
        <v>1.3877652313545923</v>
      </c>
      <c r="AD263" s="16">
        <v>4.0830046390018424</v>
      </c>
      <c r="AE263" s="16">
        <v>5.6009729910814912</v>
      </c>
      <c r="AF263" s="16">
        <v>0.23727025130727952</v>
      </c>
      <c r="AG263" s="16">
        <v>-1.8419406850623545</v>
      </c>
      <c r="AH263" s="16">
        <v>3.4392212197725343</v>
      </c>
      <c r="AI263" s="16">
        <v>-4.5919381723014965</v>
      </c>
      <c r="AJ263" s="16">
        <v>-2.5982648487209161</v>
      </c>
      <c r="AK263" s="16">
        <v>-0.84534085218705002</v>
      </c>
      <c r="AL263" s="16">
        <v>3.1504906194522277</v>
      </c>
      <c r="AM263" s="16">
        <v>-3.5245219581507996</v>
      </c>
      <c r="AN263" s="16">
        <v>5.5788632729219785</v>
      </c>
      <c r="AO263" s="16">
        <v>6.080571345494846</v>
      </c>
      <c r="AP263" s="16">
        <v>-0.38813303916170128</v>
      </c>
      <c r="AQ263" s="16">
        <v>1.1513274102432831</v>
      </c>
      <c r="AR263" s="16">
        <v>1.1613984860918265</v>
      </c>
      <c r="AS263" s="16">
        <v>4.0667186560092006</v>
      </c>
      <c r="AT263" s="16">
        <v>6.5091514493116591</v>
      </c>
      <c r="AU263" s="16">
        <v>5.0292449776164716</v>
      </c>
      <c r="AV263" s="16">
        <v>4.7579648768838894</v>
      </c>
      <c r="AW263" s="16">
        <v>2.7402979641130116</v>
      </c>
      <c r="AX263" s="16">
        <v>6.3265665449573731</v>
      </c>
      <c r="AY263" s="16">
        <v>1.7260341177601504</v>
      </c>
      <c r="AZ263" s="19">
        <v>-9.3790939952555163E-2</v>
      </c>
      <c r="BA263" s="19">
        <v>2.8493052505365313</v>
      </c>
      <c r="BB263" s="19">
        <v>-1.2568161791477763</v>
      </c>
      <c r="BC263" s="19">
        <v>5.3091810623540709</v>
      </c>
      <c r="BD263" s="19">
        <v>2.9610631064842323</v>
      </c>
      <c r="BE263" s="19">
        <v>-4.5936257023290921</v>
      </c>
      <c r="BF263" s="19">
        <v>-0.80145757900614001</v>
      </c>
      <c r="BG263" s="19">
        <v>-0.24710667581955192</v>
      </c>
      <c r="BH263" s="19">
        <v>2.9249620478443887</v>
      </c>
      <c r="BI263" s="19">
        <v>6.9473346341089268</v>
      </c>
      <c r="BJ263" s="19">
        <v>0.38748210550791384</v>
      </c>
      <c r="BK263" s="19">
        <v>-1.59122287483045</v>
      </c>
      <c r="BL263" s="19">
        <v>3.3654669155050811</v>
      </c>
      <c r="BM263" s="19">
        <v>-4.4716851986081707</v>
      </c>
      <c r="BN263" s="19">
        <v>-8.7077675290714893</v>
      </c>
      <c r="BO263" s="16">
        <v>-6.8468914857108842</v>
      </c>
      <c r="BP263" s="16">
        <v>6.4133581662178187</v>
      </c>
    </row>
    <row r="264" spans="1:68" x14ac:dyDescent="0.3">
      <c r="A264" s="16" t="s">
        <v>313</v>
      </c>
      <c r="B264" s="16" t="s">
        <v>774</v>
      </c>
      <c r="C264" s="16" t="s">
        <v>604</v>
      </c>
      <c r="D264" s="16" t="s">
        <v>605</v>
      </c>
      <c r="AZ264" s="19"/>
      <c r="BA264" s="19"/>
      <c r="BB264" s="19">
        <v>5.3798541433131248</v>
      </c>
      <c r="BC264" s="19">
        <v>5.226981641132511</v>
      </c>
      <c r="BD264" s="19">
        <v>5.9194870466076281</v>
      </c>
      <c r="BE264" s="19">
        <v>1.2749773684029151</v>
      </c>
      <c r="BF264" s="19">
        <v>4.7028272288002455</v>
      </c>
      <c r="BG264" s="19">
        <v>3.653588295513714</v>
      </c>
      <c r="BH264" s="19">
        <v>7.371827528936862</v>
      </c>
      <c r="BI264" s="19">
        <v>6.2036412067297135</v>
      </c>
      <c r="BJ264" s="19">
        <v>4.0386744106766628</v>
      </c>
      <c r="BK264" s="19">
        <v>3.0566659988119085</v>
      </c>
      <c r="BL264" s="19">
        <v>5.2374029712921839</v>
      </c>
      <c r="BM264" s="19">
        <v>-5.4066381196267344</v>
      </c>
      <c r="BN264" s="19">
        <v>10.999571990609525</v>
      </c>
      <c r="BO264" s="16">
        <v>5.3372748375265502</v>
      </c>
      <c r="BP264" s="16">
        <v>4.0269810913633677</v>
      </c>
    </row>
    <row r="265" spans="1:68" x14ac:dyDescent="0.3">
      <c r="A265" s="16" t="s">
        <v>546</v>
      </c>
      <c r="B265" s="16" t="s">
        <v>545</v>
      </c>
      <c r="C265" s="16" t="s">
        <v>604</v>
      </c>
      <c r="D265" s="16" t="s">
        <v>605</v>
      </c>
      <c r="AJ265" s="16">
        <v>2.3102753396903211</v>
      </c>
      <c r="AK265" s="16">
        <v>4.1749007090927392</v>
      </c>
      <c r="AL265" s="16">
        <v>0.15584861035576125</v>
      </c>
      <c r="AM265" s="16">
        <v>2.8442103142114945</v>
      </c>
      <c r="AN265" s="16">
        <v>2.0591941607876834</v>
      </c>
      <c r="AO265" s="16">
        <v>1.4168344809516498</v>
      </c>
      <c r="AP265" s="16">
        <v>2.1904611338415521</v>
      </c>
      <c r="AQ265" s="16">
        <v>2.9998309164238179</v>
      </c>
      <c r="AR265" s="16">
        <v>0.87433258748814069</v>
      </c>
      <c r="AS265" s="16">
        <v>3.2513182061571797</v>
      </c>
      <c r="AT265" s="16">
        <v>1.0124230881347387</v>
      </c>
      <c r="AU265" s="16">
        <v>1.2010961744928181</v>
      </c>
      <c r="AV265" s="16">
        <v>1.0333301830373216</v>
      </c>
      <c r="AW265" s="16">
        <v>1.2416324231294738</v>
      </c>
      <c r="AX265" s="16">
        <v>2.6832871771160995</v>
      </c>
      <c r="AY265" s="16">
        <v>0.13805489133069671</v>
      </c>
      <c r="AZ265" s="19">
        <v>0.25655957356546821</v>
      </c>
      <c r="BA265" s="19">
        <v>0.5932521922283911</v>
      </c>
      <c r="BB265" s="19">
        <v>0.83799951138668405</v>
      </c>
      <c r="BC265" s="19">
        <v>4.5929445737491932</v>
      </c>
      <c r="BD265" s="19">
        <v>-15.221740408792357</v>
      </c>
      <c r="BE265" s="19">
        <v>-0.52682792598027106</v>
      </c>
      <c r="BF265" s="19">
        <v>1.8688082841427587</v>
      </c>
      <c r="BG265" s="19">
        <v>-2.9553892974269189</v>
      </c>
      <c r="BH265" s="19">
        <v>-29.921761297543256</v>
      </c>
      <c r="BI265" s="19">
        <v>-11.720018336599324</v>
      </c>
      <c r="BJ265" s="19">
        <v>-7.4751131336467012</v>
      </c>
      <c r="BK265" s="19">
        <v>-1.7217347581229632</v>
      </c>
      <c r="BL265" s="19"/>
      <c r="BM265" s="19"/>
      <c r="BN265" s="19"/>
    </row>
    <row r="266" spans="1:68" x14ac:dyDescent="0.3">
      <c r="A266" s="16" t="s">
        <v>222</v>
      </c>
      <c r="B266" s="16" t="s">
        <v>547</v>
      </c>
      <c r="C266" s="16" t="s">
        <v>604</v>
      </c>
      <c r="D266" s="16" t="s">
        <v>605</v>
      </c>
      <c r="F266" s="16">
        <v>0.97792393858429705</v>
      </c>
      <c r="G266" s="16">
        <v>3.0618994769580326</v>
      </c>
      <c r="H266" s="16">
        <v>4.1654981766146904</v>
      </c>
      <c r="I266" s="16">
        <v>4.6852374196329976</v>
      </c>
      <c r="J266" s="16">
        <v>2.8922054413777971</v>
      </c>
      <c r="K266" s="16">
        <v>1.2583508392058178</v>
      </c>
      <c r="L266" s="16">
        <v>3.9355354776012632</v>
      </c>
      <c r="M266" s="16">
        <v>0.98747369023224962</v>
      </c>
      <c r="N266" s="16">
        <v>1.5621345210925455</v>
      </c>
      <c r="O266" s="16">
        <v>2.1239369184210943</v>
      </c>
      <c r="P266" s="16">
        <v>1.2764730647794238</v>
      </c>
      <c r="Q266" s="16">
        <v>-1.2065522606822157</v>
      </c>
      <c r="R266" s="16">
        <v>1.6383735579481424</v>
      </c>
      <c r="S266" s="16">
        <v>3.1723955568950544</v>
      </c>
      <c r="T266" s="16">
        <v>-1.0698432191649374</v>
      </c>
      <c r="U266" s="16">
        <v>-0.46210886693225461</v>
      </c>
      <c r="V266" s="16">
        <v>-2.7368690647620753</v>
      </c>
      <c r="W266" s="16">
        <v>0.27314676649893954</v>
      </c>
      <c r="X266" s="16">
        <v>1.0650329883325327</v>
      </c>
      <c r="Y266" s="16">
        <v>3.8467014038166241</v>
      </c>
      <c r="Z266" s="16">
        <v>2.6807762023362187</v>
      </c>
      <c r="AA266" s="16">
        <v>-2.9197383808787691</v>
      </c>
      <c r="AB266" s="16">
        <v>-4.4424855651028139</v>
      </c>
      <c r="AC266" s="16">
        <v>2.2028139696843425</v>
      </c>
      <c r="AD266" s="16">
        <v>-4.0937359582279242</v>
      </c>
      <c r="AE266" s="16">
        <v>-3.2078980374548536</v>
      </c>
      <c r="AF266" s="16">
        <v>-1.408692179967332</v>
      </c>
      <c r="AG266" s="16">
        <v>0.64858678848680995</v>
      </c>
      <c r="AH266" s="16">
        <v>-0.98096132493702726</v>
      </c>
      <c r="AI266" s="16">
        <v>-3.3396211835775205</v>
      </c>
      <c r="AJ266" s="16">
        <v>-3.518471296906128</v>
      </c>
      <c r="AK266" s="16">
        <v>-4.1284613533366752</v>
      </c>
      <c r="AL266" s="16">
        <v>-0.58680613641718082</v>
      </c>
      <c r="AM266" s="16">
        <v>1.4289367164471543</v>
      </c>
      <c r="AN266" s="16">
        <v>1.4168241079051853</v>
      </c>
      <c r="AO266" s="16">
        <v>2.7224338786009383</v>
      </c>
      <c r="AP266" s="16">
        <v>1.1874927871416077</v>
      </c>
      <c r="AQ266" s="16">
        <v>-0.74302435319061999</v>
      </c>
      <c r="AR266" s="16">
        <v>1.2680708033705912</v>
      </c>
      <c r="AS266" s="16">
        <v>3.201510448586248</v>
      </c>
      <c r="AT266" s="16">
        <v>1.7944427571368067</v>
      </c>
      <c r="AU266" s="16">
        <v>2.7608779863138579</v>
      </c>
      <c r="AV266" s="16">
        <v>2.0019937133630776</v>
      </c>
      <c r="AW266" s="16">
        <v>3.5812302110621346</v>
      </c>
      <c r="AX266" s="16">
        <v>4.2867715305723095</v>
      </c>
      <c r="AY266" s="16">
        <v>4.5911021010921047</v>
      </c>
      <c r="AZ266" s="19">
        <v>4.2976452104840064</v>
      </c>
      <c r="BA266" s="19">
        <v>2.0284046877170852</v>
      </c>
      <c r="BB266" s="19">
        <v>-2.702155971723414</v>
      </c>
      <c r="BC266" s="19">
        <v>1.8177356973662313</v>
      </c>
      <c r="BD266" s="19">
        <v>1.8733182263089247</v>
      </c>
      <c r="BE266" s="19">
        <v>1.0442291704685829</v>
      </c>
      <c r="BF266" s="19">
        <v>1.0994617350306441</v>
      </c>
      <c r="BG266" s="19">
        <v>-0.17222060932843419</v>
      </c>
      <c r="BH266" s="19">
        <v>-0.75792811406113003</v>
      </c>
      <c r="BI266" s="19">
        <v>-0.30917116725491667</v>
      </c>
      <c r="BJ266" s="19">
        <v>0.76694161300305552</v>
      </c>
      <c r="BK266" s="19">
        <v>0.31977042159456914</v>
      </c>
      <c r="BL266" s="19">
        <v>-1.0301329426736459</v>
      </c>
      <c r="BM266" s="19">
        <v>-7.1065887830784646</v>
      </c>
      <c r="BN266" s="19">
        <v>3.6623683039852466</v>
      </c>
      <c r="BO266" s="16">
        <v>1.0568746777150722</v>
      </c>
      <c r="BP266" s="16">
        <v>-0.26525268826790693</v>
      </c>
    </row>
    <row r="267" spans="1:68" x14ac:dyDescent="0.3">
      <c r="A267" s="16" t="s">
        <v>259</v>
      </c>
      <c r="B267" s="16" t="s">
        <v>548</v>
      </c>
      <c r="C267" s="16" t="s">
        <v>604</v>
      </c>
      <c r="D267" s="16" t="s">
        <v>605</v>
      </c>
      <c r="F267" s="16">
        <v>-1.7876849731005251</v>
      </c>
      <c r="G267" s="16">
        <v>-5.5414894436301125</v>
      </c>
      <c r="H267" s="16">
        <v>2.3360534516882581E-2</v>
      </c>
      <c r="I267" s="16">
        <v>8.6860858645454471</v>
      </c>
      <c r="J267" s="16">
        <v>12.972032900291211</v>
      </c>
      <c r="K267" s="16">
        <v>-8.5613199019798714</v>
      </c>
      <c r="L267" s="16">
        <v>4.500380161487044</v>
      </c>
      <c r="M267" s="16">
        <v>-1.9652681134053438</v>
      </c>
      <c r="N267" s="16">
        <v>-3.5450311667327838</v>
      </c>
      <c r="O267" s="16">
        <v>1.7948193927448415</v>
      </c>
      <c r="P267" s="16">
        <v>-2.7712312544394706</v>
      </c>
      <c r="Q267" s="16">
        <v>6.223401483934893</v>
      </c>
      <c r="R267" s="16">
        <v>-3.7226799099827446</v>
      </c>
      <c r="S267" s="16">
        <v>3.4113697711210165</v>
      </c>
      <c r="T267" s="16">
        <v>-5.0877581830572183</v>
      </c>
      <c r="U267" s="16">
        <v>3.1173032559528053</v>
      </c>
      <c r="V267" s="16">
        <v>-7.3656930850239348</v>
      </c>
      <c r="W267" s="16">
        <v>-2.3942574925979727</v>
      </c>
      <c r="X267" s="16">
        <v>-5.8546877037805416</v>
      </c>
      <c r="Y267" s="16">
        <v>2.8077110659523896E-2</v>
      </c>
      <c r="Z267" s="16">
        <v>2.980784156923562</v>
      </c>
      <c r="AA267" s="16">
        <v>-5.8977352647580261</v>
      </c>
      <c r="AB267" s="16">
        <v>-5.0872024273071759</v>
      </c>
      <c r="AC267" s="16">
        <v>-3.3629793149124367</v>
      </c>
      <c r="AD267" s="16">
        <v>-1.399464803023136</v>
      </c>
      <c r="AE267" s="16">
        <v>-2.2655049693760674</v>
      </c>
      <c r="AF267" s="16">
        <v>-0.27961264290064491</v>
      </c>
      <c r="AG267" s="16">
        <v>3.3792127657127793</v>
      </c>
      <c r="AH267" s="16">
        <v>-3.6256517995734328</v>
      </c>
      <c r="AI267" s="16">
        <v>-3.0074468993902457</v>
      </c>
      <c r="AJ267" s="16">
        <v>-2.4978517359260906</v>
      </c>
      <c r="AK267" s="16">
        <v>-4.0904378077252659</v>
      </c>
      <c r="AL267" s="16">
        <v>4.258957181356692</v>
      </c>
      <c r="AM267" s="16">
        <v>-10.817545183636696</v>
      </c>
      <c r="AN267" s="16">
        <v>0.41035429542452562</v>
      </c>
      <c r="AO267" s="16">
        <v>3.6187630259783248</v>
      </c>
      <c r="AP267" s="16">
        <v>1.1867384293085905</v>
      </c>
      <c r="AQ267" s="16">
        <v>-2.928854067291212</v>
      </c>
      <c r="AR267" s="16">
        <v>1.9439055436118622</v>
      </c>
      <c r="AS267" s="16">
        <v>1.0622916924299233</v>
      </c>
      <c r="AT267" s="16">
        <v>2.2083150209361975</v>
      </c>
      <c r="AU267" s="16">
        <v>1.3600814107950185</v>
      </c>
      <c r="AV267" s="16">
        <v>3.691827653329355</v>
      </c>
      <c r="AW267" s="16">
        <v>3.6834162537273016</v>
      </c>
      <c r="AX267" s="16">
        <v>3.7414316900494811</v>
      </c>
      <c r="AY267" s="16">
        <v>4.2379998185570429</v>
      </c>
      <c r="AZ267" s="19">
        <v>4.5912606798838738</v>
      </c>
      <c r="BA267" s="19">
        <v>3.993095710148026</v>
      </c>
      <c r="BB267" s="19">
        <v>5.40593589520428</v>
      </c>
      <c r="BC267" s="19">
        <v>6.5075532574315531</v>
      </c>
      <c r="BD267" s="19">
        <v>2.0635909521381564</v>
      </c>
      <c r="BE267" s="19">
        <v>4.1030741633413754</v>
      </c>
      <c r="BF267" s="19">
        <v>1.6763959804818001</v>
      </c>
      <c r="BG267" s="19">
        <v>1.3483692836344403</v>
      </c>
      <c r="BH267" s="19">
        <v>-0.31286121640113151</v>
      </c>
      <c r="BI267" s="19">
        <v>0.54036037603893305</v>
      </c>
      <c r="BJ267" s="19">
        <v>0.35215084030355115</v>
      </c>
      <c r="BK267" s="19">
        <v>0.89734746038769231</v>
      </c>
      <c r="BL267" s="19">
        <v>-1.5642368769501473</v>
      </c>
      <c r="BM267" s="19">
        <v>-5.5957330599212867</v>
      </c>
      <c r="BN267" s="19">
        <v>3.2594577171275034</v>
      </c>
      <c r="BO267" s="16">
        <v>2.3864685432958481</v>
      </c>
      <c r="BP267" s="16">
        <v>2.9920835488815811</v>
      </c>
    </row>
    <row r="268" spans="1:68" x14ac:dyDescent="0.3">
      <c r="A268" s="16" t="s">
        <v>260</v>
      </c>
      <c r="B268" s="16" t="s">
        <v>549</v>
      </c>
      <c r="C268" s="16" t="s">
        <v>604</v>
      </c>
      <c r="D268" s="16" t="s">
        <v>605</v>
      </c>
      <c r="F268" s="16">
        <v>3.0762099409484875</v>
      </c>
      <c r="G268" s="16">
        <v>-1.6669891902902094</v>
      </c>
      <c r="H268" s="16">
        <v>2.9854272395916723</v>
      </c>
      <c r="I268" s="16">
        <v>-4.1439057833357111</v>
      </c>
      <c r="J268" s="16">
        <v>1.682986007532989</v>
      </c>
      <c r="K268" s="16">
        <v>-1.6049618133863817</v>
      </c>
      <c r="L268" s="16">
        <v>5.021605010412955</v>
      </c>
      <c r="M268" s="16">
        <v>-1.1946171202162503</v>
      </c>
      <c r="N268" s="16">
        <v>8.910709842833171</v>
      </c>
      <c r="O268" s="16">
        <v>18.825358952336984</v>
      </c>
      <c r="P268" s="16">
        <v>5.6581351234195978</v>
      </c>
      <c r="Q268" s="16">
        <v>5.0126508867746793</v>
      </c>
      <c r="R268" s="16">
        <v>-0.62588926684117041</v>
      </c>
      <c r="S268" s="16">
        <v>3.1787412909213231</v>
      </c>
      <c r="T268" s="16">
        <v>-5.0444342526011496</v>
      </c>
      <c r="U268" s="16">
        <v>-2.5914815060612426</v>
      </c>
      <c r="V268" s="16">
        <v>-9.2372617902375111</v>
      </c>
      <c r="W268" s="16">
        <v>-4.1375699932249859</v>
      </c>
      <c r="X268" s="16">
        <v>1.6444276010595615</v>
      </c>
      <c r="Y268" s="16">
        <v>8.0245330010426272</v>
      </c>
      <c r="Z268" s="16">
        <v>5.6808326949478953</v>
      </c>
      <c r="AA268" s="16">
        <v>-1.2760975154487539</v>
      </c>
      <c r="AB268" s="16">
        <v>-2.2055046737145005</v>
      </c>
      <c r="AC268" s="16">
        <v>-5.3202933393703091</v>
      </c>
      <c r="AD268" s="16">
        <v>3.3517122909572805</v>
      </c>
      <c r="AE268" s="16">
        <v>-1.2257822518874235</v>
      </c>
      <c r="AF268" s="16">
        <v>-2.0595313161905864</v>
      </c>
      <c r="AG268" s="16">
        <v>4.278720935900111</v>
      </c>
      <c r="AH268" s="16">
        <v>2.23377362179518</v>
      </c>
      <c r="AI268" s="16">
        <v>4.1583404345939528</v>
      </c>
      <c r="AJ268" s="16">
        <v>2.8479651091747371</v>
      </c>
      <c r="AK268" s="16">
        <v>-11.270075373556651</v>
      </c>
      <c r="AL268" s="16">
        <v>-0.38468117628245579</v>
      </c>
      <c r="AM268" s="16">
        <v>8.5946314994198616</v>
      </c>
      <c r="AN268" s="16">
        <v>-1.0759249689296695</v>
      </c>
      <c r="AO268" s="16">
        <v>8.5428040988869043</v>
      </c>
      <c r="AP268" s="16">
        <v>1.0157307519154841</v>
      </c>
      <c r="AQ268" s="16">
        <v>1.2284539522928526</v>
      </c>
      <c r="AR268" s="16">
        <v>-2.2407372551849818</v>
      </c>
      <c r="AS268" s="16">
        <v>-4.0275759111287215</v>
      </c>
      <c r="AT268" s="16">
        <v>0.78979087808896509</v>
      </c>
      <c r="AU268" s="16">
        <v>-9.4540246506480798</v>
      </c>
      <c r="AV268" s="16">
        <v>-17.621840950734722</v>
      </c>
      <c r="AW268" s="16">
        <v>-6.4663185394267231</v>
      </c>
      <c r="AX268" s="16">
        <v>-6.2037252888322882</v>
      </c>
      <c r="AY268" s="16">
        <v>-4.2893367320935312</v>
      </c>
      <c r="AZ268" s="19">
        <v>-4.5825306933850243</v>
      </c>
      <c r="BA268" s="19">
        <v>-18.323502750268815</v>
      </c>
      <c r="BB268" s="19">
        <v>10.875821362589932</v>
      </c>
      <c r="BC268" s="19">
        <v>19.93898150948084</v>
      </c>
      <c r="BD268" s="19">
        <v>12.983379744813007</v>
      </c>
      <c r="BE268" s="19">
        <v>13.654750394084104</v>
      </c>
      <c r="BF268" s="19">
        <v>0.98828301561908916</v>
      </c>
      <c r="BG268" s="19">
        <v>-0.71519016591365414</v>
      </c>
      <c r="BH268" s="19">
        <v>-0.13275972178192319</v>
      </c>
      <c r="BI268" s="19">
        <v>-1.1778926023422969</v>
      </c>
      <c r="BJ268" s="19">
        <v>1.9748455682542527</v>
      </c>
      <c r="BK268" s="19">
        <v>2.9093951360836598</v>
      </c>
      <c r="BL268" s="19">
        <v>-8.177320351571808</v>
      </c>
      <c r="BM268" s="19">
        <v>-9.6704047767942427</v>
      </c>
      <c r="BN268" s="19">
        <v>6.271613214678311</v>
      </c>
      <c r="BO268" s="16">
        <v>4.3879969380316481</v>
      </c>
      <c r="BP268" s="16">
        <v>2.7838391878559889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EA08-510C-4E75-8C82-7315753E048D}">
  <sheetPr filterMode="1"/>
  <dimension ref="A1:X5911"/>
  <sheetViews>
    <sheetView zoomScale="60" zoomScaleNormal="60" workbookViewId="0">
      <selection activeCell="J1330" sqref="J1330:W1368"/>
    </sheetView>
  </sheetViews>
  <sheetFormatPr defaultRowHeight="14.4" x14ac:dyDescent="0.3"/>
  <cols>
    <col min="1" max="1" width="8.88671875" style="14"/>
    <col min="2" max="2" width="33.77734375" style="14" customWidth="1"/>
    <col min="3" max="9" width="33.77734375" style="14" hidden="1" customWidth="1"/>
    <col min="10" max="10" width="33.77734375" style="14" customWidth="1"/>
    <col min="11" max="23" width="8.88671875" style="14"/>
    <col min="24" max="24" width="0" style="14" hidden="1" customWidth="1"/>
    <col min="25" max="16384" width="8.88671875" style="14"/>
  </cols>
  <sheetData>
    <row r="1" spans="1:24" x14ac:dyDescent="0.3">
      <c r="A1" s="14" t="s">
        <v>331</v>
      </c>
      <c r="B1" s="14" t="s">
        <v>332</v>
      </c>
      <c r="C1" s="14" t="s">
        <v>333</v>
      </c>
      <c r="D1" s="14" t="s">
        <v>2</v>
      </c>
      <c r="E1" s="14" t="s">
        <v>334</v>
      </c>
      <c r="F1" s="14" t="s">
        <v>335</v>
      </c>
      <c r="G1" s="14" t="s">
        <v>336</v>
      </c>
      <c r="H1" s="14" t="s">
        <v>337</v>
      </c>
      <c r="I1" s="14" t="s">
        <v>338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18</v>
      </c>
      <c r="W1" s="14" t="s">
        <v>19</v>
      </c>
      <c r="X1" s="14" t="s">
        <v>20</v>
      </c>
    </row>
    <row r="2" spans="1:24" hidden="1" x14ac:dyDescent="0.3">
      <c r="A2" s="14" t="s">
        <v>339</v>
      </c>
      <c r="B2" s="14" t="s">
        <v>24</v>
      </c>
      <c r="C2" s="14" t="s">
        <v>340</v>
      </c>
      <c r="D2" s="14" t="s">
        <v>341</v>
      </c>
      <c r="E2" s="14" t="s">
        <v>342</v>
      </c>
      <c r="F2" s="14" t="s">
        <v>343</v>
      </c>
      <c r="G2" s="14" t="s">
        <v>343</v>
      </c>
      <c r="H2" s="14" t="s">
        <v>343</v>
      </c>
      <c r="W2" s="14">
        <v>0.51</v>
      </c>
      <c r="X2" s="14">
        <v>0.48</v>
      </c>
    </row>
    <row r="3" spans="1:24" hidden="1" x14ac:dyDescent="0.3">
      <c r="A3" s="14" t="s">
        <v>339</v>
      </c>
      <c r="B3" s="14" t="s">
        <v>24</v>
      </c>
      <c r="C3" s="14" t="s">
        <v>340</v>
      </c>
      <c r="D3" s="14" t="s">
        <v>341</v>
      </c>
      <c r="E3" s="14" t="s">
        <v>344</v>
      </c>
      <c r="F3" s="14" t="s">
        <v>343</v>
      </c>
      <c r="G3" s="14" t="s">
        <v>343</v>
      </c>
      <c r="H3" s="14" t="s">
        <v>343</v>
      </c>
      <c r="W3" s="14">
        <v>156</v>
      </c>
      <c r="X3" s="14">
        <v>146</v>
      </c>
    </row>
    <row r="4" spans="1:24" hidden="1" x14ac:dyDescent="0.3">
      <c r="A4" s="14" t="s">
        <v>339</v>
      </c>
      <c r="B4" s="14" t="s">
        <v>24</v>
      </c>
      <c r="C4" s="14" t="s">
        <v>345</v>
      </c>
      <c r="D4" s="14" t="s">
        <v>346</v>
      </c>
      <c r="E4" s="14" t="s">
        <v>342</v>
      </c>
      <c r="F4" s="14" t="s">
        <v>343</v>
      </c>
      <c r="G4" s="14" t="s">
        <v>343</v>
      </c>
      <c r="H4" s="14" t="s">
        <v>343</v>
      </c>
      <c r="W4" s="14">
        <v>0.13</v>
      </c>
      <c r="X4" s="14">
        <v>0.18</v>
      </c>
    </row>
    <row r="5" spans="1:24" hidden="1" x14ac:dyDescent="0.3">
      <c r="A5" s="14" t="s">
        <v>339</v>
      </c>
      <c r="B5" s="14" t="s">
        <v>24</v>
      </c>
      <c r="C5" s="14" t="s">
        <v>345</v>
      </c>
      <c r="D5" s="14" t="s">
        <v>346</v>
      </c>
      <c r="E5" s="14" t="s">
        <v>344</v>
      </c>
      <c r="F5" s="14" t="s">
        <v>343</v>
      </c>
      <c r="G5" s="14" t="s">
        <v>343</v>
      </c>
      <c r="H5" s="14" t="s">
        <v>343</v>
      </c>
      <c r="W5" s="14">
        <v>152</v>
      </c>
      <c r="X5" s="14">
        <v>145</v>
      </c>
    </row>
    <row r="6" spans="1:24" hidden="1" x14ac:dyDescent="0.3">
      <c r="A6" s="14" t="s">
        <v>339</v>
      </c>
      <c r="B6" s="14" t="s">
        <v>24</v>
      </c>
      <c r="C6" s="14" t="s">
        <v>347</v>
      </c>
      <c r="D6" s="14" t="s">
        <v>348</v>
      </c>
      <c r="E6" s="14" t="s">
        <v>342</v>
      </c>
      <c r="F6" s="14" t="s">
        <v>343</v>
      </c>
      <c r="G6" s="14" t="s">
        <v>343</v>
      </c>
      <c r="H6" s="14" t="s">
        <v>343</v>
      </c>
      <c r="W6" s="14">
        <v>0.3</v>
      </c>
      <c r="X6" s="14">
        <v>0.22</v>
      </c>
    </row>
    <row r="7" spans="1:24" hidden="1" x14ac:dyDescent="0.3">
      <c r="A7" s="14" t="s">
        <v>339</v>
      </c>
      <c r="B7" s="14" t="s">
        <v>24</v>
      </c>
      <c r="C7" s="14" t="s">
        <v>347</v>
      </c>
      <c r="D7" s="14" t="s">
        <v>348</v>
      </c>
      <c r="E7" s="14" t="s">
        <v>344</v>
      </c>
      <c r="F7" s="14" t="s">
        <v>343</v>
      </c>
      <c r="G7" s="14" t="s">
        <v>343</v>
      </c>
      <c r="H7" s="14" t="s">
        <v>343</v>
      </c>
      <c r="W7" s="14">
        <v>146</v>
      </c>
      <c r="X7" s="14">
        <v>144</v>
      </c>
    </row>
    <row r="8" spans="1:24" hidden="1" x14ac:dyDescent="0.3">
      <c r="A8" s="14" t="s">
        <v>339</v>
      </c>
      <c r="B8" s="14" t="s">
        <v>24</v>
      </c>
      <c r="C8" s="14" t="s">
        <v>349</v>
      </c>
      <c r="D8" s="14" t="s">
        <v>350</v>
      </c>
      <c r="E8" s="14" t="s">
        <v>342</v>
      </c>
      <c r="F8" s="14" t="s">
        <v>343</v>
      </c>
      <c r="G8" s="14" t="s">
        <v>343</v>
      </c>
      <c r="H8" s="14" t="s">
        <v>343</v>
      </c>
      <c r="W8" s="14">
        <v>0.04</v>
      </c>
      <c r="X8" s="14">
        <v>0.05</v>
      </c>
    </row>
    <row r="9" spans="1:24" hidden="1" x14ac:dyDescent="0.3">
      <c r="A9" s="14" t="s">
        <v>339</v>
      </c>
      <c r="B9" s="14" t="s">
        <v>24</v>
      </c>
      <c r="C9" s="14" t="s">
        <v>349</v>
      </c>
      <c r="D9" s="14" t="s">
        <v>350</v>
      </c>
      <c r="E9" s="14" t="s">
        <v>344</v>
      </c>
      <c r="F9" s="14" t="s">
        <v>343</v>
      </c>
      <c r="G9" s="14" t="s">
        <v>343</v>
      </c>
      <c r="H9" s="14" t="s">
        <v>343</v>
      </c>
      <c r="W9" s="14">
        <v>152</v>
      </c>
      <c r="X9" s="14">
        <v>137</v>
      </c>
    </row>
    <row r="10" spans="1:24" hidden="1" x14ac:dyDescent="0.3">
      <c r="A10" s="14" t="s">
        <v>339</v>
      </c>
      <c r="B10" s="14" t="s">
        <v>24</v>
      </c>
      <c r="C10" s="14" t="s">
        <v>351</v>
      </c>
      <c r="D10" s="14" t="s">
        <v>352</v>
      </c>
      <c r="E10" s="14" t="s">
        <v>342</v>
      </c>
      <c r="F10" s="14" t="s">
        <v>343</v>
      </c>
      <c r="G10" s="14" t="s">
        <v>343</v>
      </c>
      <c r="H10" s="14" t="s">
        <v>343</v>
      </c>
      <c r="W10" s="14">
        <v>0.24</v>
      </c>
      <c r="X10" s="14">
        <v>0.24</v>
      </c>
    </row>
    <row r="11" spans="1:24" hidden="1" x14ac:dyDescent="0.3">
      <c r="A11" s="14" t="s">
        <v>339</v>
      </c>
      <c r="B11" s="14" t="s">
        <v>24</v>
      </c>
      <c r="C11" s="14" t="s">
        <v>351</v>
      </c>
      <c r="D11" s="14" t="s">
        <v>352</v>
      </c>
      <c r="E11" s="14" t="s">
        <v>344</v>
      </c>
      <c r="F11" s="14" t="s">
        <v>343</v>
      </c>
      <c r="G11" s="14" t="s">
        <v>343</v>
      </c>
      <c r="H11" s="14" t="s">
        <v>343</v>
      </c>
      <c r="W11" s="14">
        <v>150</v>
      </c>
      <c r="X11" s="14">
        <v>136</v>
      </c>
    </row>
    <row r="12" spans="1:24" hidden="1" x14ac:dyDescent="0.3">
      <c r="A12" s="14" t="s">
        <v>339</v>
      </c>
      <c r="B12" s="14" t="s">
        <v>24</v>
      </c>
      <c r="C12" s="14" t="s">
        <v>353</v>
      </c>
      <c r="D12" s="14" t="s">
        <v>354</v>
      </c>
      <c r="E12" s="14" t="s">
        <v>342</v>
      </c>
      <c r="F12" s="14" t="s">
        <v>343</v>
      </c>
      <c r="G12" s="14" t="s">
        <v>343</v>
      </c>
      <c r="H12" s="14" t="s">
        <v>343</v>
      </c>
      <c r="W12" s="14">
        <v>0.54</v>
      </c>
      <c r="X12" s="14">
        <v>0.43</v>
      </c>
    </row>
    <row r="13" spans="1:24" hidden="1" x14ac:dyDescent="0.3">
      <c r="A13" s="14" t="s">
        <v>339</v>
      </c>
      <c r="B13" s="14" t="s">
        <v>24</v>
      </c>
      <c r="C13" s="14" t="s">
        <v>353</v>
      </c>
      <c r="D13" s="14" t="s">
        <v>354</v>
      </c>
      <c r="E13" s="14" t="s">
        <v>344</v>
      </c>
      <c r="F13" s="14" t="s">
        <v>343</v>
      </c>
      <c r="G13" s="14" t="s">
        <v>343</v>
      </c>
      <c r="H13" s="14" t="s">
        <v>343</v>
      </c>
      <c r="W13" s="14">
        <v>151</v>
      </c>
      <c r="X13" s="14">
        <v>143</v>
      </c>
    </row>
    <row r="14" spans="1:24" hidden="1" x14ac:dyDescent="0.3">
      <c r="A14" s="14" t="s">
        <v>339</v>
      </c>
      <c r="B14" s="14" t="s">
        <v>24</v>
      </c>
      <c r="C14" s="14" t="s">
        <v>355</v>
      </c>
      <c r="D14" s="14" t="s">
        <v>356</v>
      </c>
      <c r="E14" s="14" t="s">
        <v>342</v>
      </c>
      <c r="F14" s="14" t="s">
        <v>343</v>
      </c>
      <c r="G14" s="14" t="s">
        <v>343</v>
      </c>
      <c r="H14" s="14" t="s">
        <v>343</v>
      </c>
      <c r="W14" s="14">
        <v>0.57999999999999996</v>
      </c>
      <c r="X14" s="14">
        <v>0.56999999999999995</v>
      </c>
    </row>
    <row r="15" spans="1:24" hidden="1" x14ac:dyDescent="0.3">
      <c r="A15" s="14" t="s">
        <v>339</v>
      </c>
      <c r="B15" s="14" t="s">
        <v>24</v>
      </c>
      <c r="C15" s="14" t="s">
        <v>355</v>
      </c>
      <c r="D15" s="14" t="s">
        <v>356</v>
      </c>
      <c r="E15" s="14" t="s">
        <v>344</v>
      </c>
      <c r="F15" s="14" t="s">
        <v>343</v>
      </c>
      <c r="G15" s="14" t="s">
        <v>343</v>
      </c>
      <c r="H15" s="14" t="s">
        <v>343</v>
      </c>
      <c r="W15" s="14">
        <v>153</v>
      </c>
      <c r="X15" s="14">
        <v>136</v>
      </c>
    </row>
    <row r="16" spans="1:24" hidden="1" x14ac:dyDescent="0.3">
      <c r="A16" s="14" t="s">
        <v>339</v>
      </c>
      <c r="B16" s="14" t="s">
        <v>24</v>
      </c>
      <c r="C16" s="14" t="s">
        <v>357</v>
      </c>
      <c r="D16" s="14" t="s">
        <v>358</v>
      </c>
      <c r="E16" s="14" t="s">
        <v>342</v>
      </c>
      <c r="F16" s="14" t="s">
        <v>343</v>
      </c>
      <c r="G16" s="14" t="s">
        <v>343</v>
      </c>
      <c r="H16" s="14" t="s">
        <v>343</v>
      </c>
      <c r="W16" s="14">
        <v>0.34</v>
      </c>
      <c r="X16" s="14">
        <v>0.39</v>
      </c>
    </row>
    <row r="17" spans="1:24" hidden="1" x14ac:dyDescent="0.3">
      <c r="A17" s="14" t="s">
        <v>339</v>
      </c>
      <c r="B17" s="14" t="s">
        <v>24</v>
      </c>
      <c r="C17" s="14" t="s">
        <v>357</v>
      </c>
      <c r="D17" s="14" t="s">
        <v>358</v>
      </c>
      <c r="E17" s="14" t="s">
        <v>344</v>
      </c>
      <c r="F17" s="14" t="s">
        <v>343</v>
      </c>
      <c r="G17" s="14" t="s">
        <v>343</v>
      </c>
      <c r="H17" s="14" t="s">
        <v>343</v>
      </c>
      <c r="W17" s="14">
        <v>150</v>
      </c>
      <c r="X17" s="14">
        <v>136</v>
      </c>
    </row>
    <row r="18" spans="1:24" hidden="1" x14ac:dyDescent="0.3">
      <c r="A18" s="14" t="s">
        <v>339</v>
      </c>
      <c r="B18" s="14" t="s">
        <v>24</v>
      </c>
      <c r="C18" s="14" t="s">
        <v>359</v>
      </c>
      <c r="D18" s="14" t="s">
        <v>360</v>
      </c>
      <c r="E18" s="14" t="s">
        <v>342</v>
      </c>
      <c r="F18" s="14" t="s">
        <v>343</v>
      </c>
      <c r="G18" s="14" t="s">
        <v>343</v>
      </c>
      <c r="H18" s="14" t="s">
        <v>343</v>
      </c>
      <c r="W18" s="14">
        <v>0.18</v>
      </c>
      <c r="X18" s="14">
        <v>0.18</v>
      </c>
    </row>
    <row r="19" spans="1:24" hidden="1" x14ac:dyDescent="0.3">
      <c r="A19" s="14" t="s">
        <v>339</v>
      </c>
      <c r="B19" s="14" t="s">
        <v>24</v>
      </c>
      <c r="C19" s="14" t="s">
        <v>359</v>
      </c>
      <c r="D19" s="14" t="s">
        <v>360</v>
      </c>
      <c r="E19" s="14" t="s">
        <v>344</v>
      </c>
      <c r="F19" s="14" t="s">
        <v>343</v>
      </c>
      <c r="G19" s="14" t="s">
        <v>343</v>
      </c>
      <c r="H19" s="14" t="s">
        <v>343</v>
      </c>
      <c r="W19" s="14">
        <v>156</v>
      </c>
      <c r="X19" s="14">
        <v>146</v>
      </c>
    </row>
    <row r="20" spans="1:24" hidden="1" x14ac:dyDescent="0.3">
      <c r="A20" s="14" t="s">
        <v>339</v>
      </c>
      <c r="B20" s="14" t="s">
        <v>24</v>
      </c>
      <c r="C20" s="14" t="s">
        <v>361</v>
      </c>
      <c r="D20" s="14" t="s">
        <v>362</v>
      </c>
      <c r="E20" s="14" t="s">
        <v>342</v>
      </c>
      <c r="F20" s="14" t="s">
        <v>343</v>
      </c>
      <c r="G20" s="14" t="s">
        <v>343</v>
      </c>
      <c r="H20" s="14" t="s">
        <v>343</v>
      </c>
      <c r="W20" s="14">
        <v>0.95</v>
      </c>
      <c r="X20" s="14">
        <v>0.95</v>
      </c>
    </row>
    <row r="21" spans="1:24" hidden="1" x14ac:dyDescent="0.3">
      <c r="A21" s="14" t="s">
        <v>339</v>
      </c>
      <c r="B21" s="14" t="s">
        <v>24</v>
      </c>
      <c r="C21" s="14" t="s">
        <v>361</v>
      </c>
      <c r="D21" s="14" t="s">
        <v>362</v>
      </c>
      <c r="E21" s="14" t="s">
        <v>344</v>
      </c>
      <c r="F21" s="14" t="s">
        <v>343</v>
      </c>
      <c r="G21" s="14" t="s">
        <v>343</v>
      </c>
      <c r="H21" s="14" t="s">
        <v>343</v>
      </c>
      <c r="W21" s="14">
        <v>149</v>
      </c>
      <c r="X21" s="14">
        <v>140</v>
      </c>
    </row>
    <row r="22" spans="1:24" hidden="1" x14ac:dyDescent="0.3">
      <c r="A22" s="14" t="s">
        <v>339</v>
      </c>
      <c r="B22" s="14" t="s">
        <v>24</v>
      </c>
      <c r="C22" s="14" t="s">
        <v>363</v>
      </c>
      <c r="D22" s="14" t="s">
        <v>364</v>
      </c>
      <c r="E22" s="14" t="s">
        <v>342</v>
      </c>
      <c r="F22" s="14" t="s">
        <v>343</v>
      </c>
      <c r="G22" s="14" t="s">
        <v>343</v>
      </c>
      <c r="H22" s="14" t="s">
        <v>343</v>
      </c>
      <c r="W22" s="14">
        <v>0.97</v>
      </c>
      <c r="X22" s="14">
        <v>0.97</v>
      </c>
    </row>
    <row r="23" spans="1:24" hidden="1" x14ac:dyDescent="0.3">
      <c r="A23" s="14" t="s">
        <v>339</v>
      </c>
      <c r="B23" s="14" t="s">
        <v>24</v>
      </c>
      <c r="C23" s="14" t="s">
        <v>363</v>
      </c>
      <c r="D23" s="14" t="s">
        <v>364</v>
      </c>
      <c r="E23" s="14" t="s">
        <v>344</v>
      </c>
      <c r="F23" s="14" t="s">
        <v>343</v>
      </c>
      <c r="G23" s="14" t="s">
        <v>343</v>
      </c>
      <c r="H23" s="14" t="s">
        <v>343</v>
      </c>
      <c r="W23" s="14">
        <v>155</v>
      </c>
      <c r="X23" s="14">
        <v>145</v>
      </c>
    </row>
    <row r="24" spans="1:24" hidden="1" x14ac:dyDescent="0.3">
      <c r="A24" s="14" t="s">
        <v>339</v>
      </c>
      <c r="B24" s="14" t="s">
        <v>24</v>
      </c>
      <c r="C24" s="14" t="s">
        <v>365</v>
      </c>
      <c r="D24" s="14" t="s">
        <v>366</v>
      </c>
      <c r="E24" s="14" t="s">
        <v>342</v>
      </c>
      <c r="F24" s="14" t="s">
        <v>343</v>
      </c>
      <c r="G24" s="14" t="s">
        <v>343</v>
      </c>
      <c r="H24" s="14" t="s">
        <v>343</v>
      </c>
      <c r="W24" s="14">
        <v>0.94</v>
      </c>
      <c r="X24" s="14">
        <v>0.94</v>
      </c>
    </row>
    <row r="25" spans="1:24" hidden="1" x14ac:dyDescent="0.3">
      <c r="A25" s="14" t="s">
        <v>339</v>
      </c>
      <c r="B25" s="14" t="s">
        <v>24</v>
      </c>
      <c r="C25" s="14" t="s">
        <v>365</v>
      </c>
      <c r="D25" s="14" t="s">
        <v>366</v>
      </c>
      <c r="E25" s="14" t="s">
        <v>344</v>
      </c>
      <c r="F25" s="14" t="s">
        <v>343</v>
      </c>
      <c r="G25" s="14" t="s">
        <v>343</v>
      </c>
      <c r="H25" s="14" t="s">
        <v>343</v>
      </c>
      <c r="W25" s="14">
        <v>116</v>
      </c>
      <c r="X25" s="14">
        <v>111</v>
      </c>
    </row>
    <row r="26" spans="1:24" hidden="1" x14ac:dyDescent="0.3">
      <c r="A26" s="14" t="s">
        <v>339</v>
      </c>
      <c r="B26" s="14" t="s">
        <v>24</v>
      </c>
      <c r="C26" s="14" t="s">
        <v>367</v>
      </c>
      <c r="D26" s="14" t="s">
        <v>368</v>
      </c>
      <c r="E26" s="14" t="s">
        <v>342</v>
      </c>
      <c r="F26" s="14" t="s">
        <v>343</v>
      </c>
      <c r="G26" s="14" t="s">
        <v>343</v>
      </c>
      <c r="H26" s="14" t="s">
        <v>343</v>
      </c>
      <c r="W26" s="14">
        <v>0.44</v>
      </c>
      <c r="X26" s="14">
        <v>0.44</v>
      </c>
    </row>
    <row r="27" spans="1:24" hidden="1" x14ac:dyDescent="0.3">
      <c r="A27" s="14" t="s">
        <v>339</v>
      </c>
      <c r="B27" s="14" t="s">
        <v>24</v>
      </c>
      <c r="C27" s="14" t="s">
        <v>367</v>
      </c>
      <c r="D27" s="14" t="s">
        <v>368</v>
      </c>
      <c r="E27" s="14" t="s">
        <v>344</v>
      </c>
      <c r="F27" s="14" t="s">
        <v>343</v>
      </c>
      <c r="G27" s="14" t="s">
        <v>343</v>
      </c>
      <c r="H27" s="14" t="s">
        <v>343</v>
      </c>
      <c r="W27" s="14">
        <v>156</v>
      </c>
      <c r="X27" s="14">
        <v>146</v>
      </c>
    </row>
    <row r="28" spans="1:24" hidden="1" x14ac:dyDescent="0.3">
      <c r="A28" s="14" t="s">
        <v>339</v>
      </c>
      <c r="B28" s="14" t="s">
        <v>24</v>
      </c>
      <c r="C28" s="14" t="s">
        <v>369</v>
      </c>
      <c r="D28" s="14" t="s">
        <v>370</v>
      </c>
      <c r="E28" s="14" t="s">
        <v>342</v>
      </c>
      <c r="F28" s="14" t="s">
        <v>343</v>
      </c>
      <c r="G28" s="14" t="s">
        <v>343</v>
      </c>
      <c r="H28" s="14" t="s">
        <v>343</v>
      </c>
      <c r="W28" s="14">
        <v>0.13</v>
      </c>
      <c r="X28" s="14">
        <v>0.13</v>
      </c>
    </row>
    <row r="29" spans="1:24" hidden="1" x14ac:dyDescent="0.3">
      <c r="A29" s="14" t="s">
        <v>339</v>
      </c>
      <c r="B29" s="14" t="s">
        <v>24</v>
      </c>
      <c r="C29" s="14" t="s">
        <v>369</v>
      </c>
      <c r="D29" s="14" t="s">
        <v>370</v>
      </c>
      <c r="E29" s="14" t="s">
        <v>344</v>
      </c>
      <c r="F29" s="14" t="s">
        <v>343</v>
      </c>
      <c r="G29" s="14" t="s">
        <v>343</v>
      </c>
      <c r="H29" s="14" t="s">
        <v>343</v>
      </c>
      <c r="W29" s="14">
        <v>111</v>
      </c>
      <c r="X29" s="14">
        <v>107</v>
      </c>
    </row>
    <row r="30" spans="1:24" hidden="1" x14ac:dyDescent="0.3">
      <c r="A30" s="14" t="s">
        <v>339</v>
      </c>
      <c r="B30" s="14" t="s">
        <v>24</v>
      </c>
      <c r="C30" s="14" t="s">
        <v>371</v>
      </c>
      <c r="D30" s="14" t="s">
        <v>372</v>
      </c>
      <c r="E30" s="14" t="s">
        <v>342</v>
      </c>
      <c r="F30" s="14" t="s">
        <v>343</v>
      </c>
      <c r="G30" s="14" t="s">
        <v>343</v>
      </c>
      <c r="H30" s="14" t="s">
        <v>343</v>
      </c>
      <c r="W30" s="14">
        <v>0</v>
      </c>
      <c r="X30" s="14">
        <v>0</v>
      </c>
    </row>
    <row r="31" spans="1:24" hidden="1" x14ac:dyDescent="0.3">
      <c r="A31" s="14" t="s">
        <v>339</v>
      </c>
      <c r="B31" s="14" t="s">
        <v>24</v>
      </c>
      <c r="C31" s="14" t="s">
        <v>371</v>
      </c>
      <c r="D31" s="14" t="s">
        <v>372</v>
      </c>
      <c r="E31" s="14" t="s">
        <v>344</v>
      </c>
      <c r="F31" s="14" t="s">
        <v>343</v>
      </c>
      <c r="G31" s="14" t="s">
        <v>343</v>
      </c>
      <c r="H31" s="14" t="s">
        <v>343</v>
      </c>
      <c r="W31" s="14">
        <v>76</v>
      </c>
      <c r="X31" s="14">
        <v>78</v>
      </c>
    </row>
    <row r="32" spans="1:24" hidden="1" x14ac:dyDescent="0.3">
      <c r="A32" s="14" t="s">
        <v>339</v>
      </c>
      <c r="B32" s="14" t="s">
        <v>24</v>
      </c>
      <c r="C32" s="14" t="s">
        <v>373</v>
      </c>
      <c r="D32" s="14" t="s">
        <v>374</v>
      </c>
      <c r="E32" s="14" t="s">
        <v>342</v>
      </c>
      <c r="F32" s="14" t="s">
        <v>343</v>
      </c>
      <c r="G32" s="14" t="s">
        <v>343</v>
      </c>
      <c r="H32" s="14" t="s">
        <v>343</v>
      </c>
      <c r="W32" s="14">
        <v>7.0000000000000007E-2</v>
      </c>
      <c r="X32" s="14">
        <v>7.0000000000000007E-2</v>
      </c>
    </row>
    <row r="33" spans="1:24" hidden="1" x14ac:dyDescent="0.3">
      <c r="A33" s="14" t="s">
        <v>339</v>
      </c>
      <c r="B33" s="14" t="s">
        <v>24</v>
      </c>
      <c r="C33" s="14" t="s">
        <v>373</v>
      </c>
      <c r="D33" s="14" t="s">
        <v>374</v>
      </c>
      <c r="E33" s="14" t="s">
        <v>344</v>
      </c>
      <c r="F33" s="14" t="s">
        <v>343</v>
      </c>
      <c r="G33" s="14" t="s">
        <v>343</v>
      </c>
      <c r="H33" s="14" t="s">
        <v>343</v>
      </c>
      <c r="W33" s="14">
        <v>139</v>
      </c>
      <c r="X33" s="14">
        <v>131</v>
      </c>
    </row>
    <row r="34" spans="1:24" hidden="1" x14ac:dyDescent="0.3">
      <c r="A34" s="14" t="s">
        <v>339</v>
      </c>
      <c r="B34" s="14" t="s">
        <v>24</v>
      </c>
      <c r="C34" s="14" t="s">
        <v>375</v>
      </c>
      <c r="D34" s="14" t="s">
        <v>376</v>
      </c>
      <c r="E34" s="14" t="s">
        <v>342</v>
      </c>
      <c r="F34" s="14" t="s">
        <v>343</v>
      </c>
      <c r="G34" s="14" t="s">
        <v>343</v>
      </c>
      <c r="H34" s="14" t="s">
        <v>343</v>
      </c>
      <c r="W34" s="14">
        <v>0.37</v>
      </c>
      <c r="X34" s="14">
        <v>0.37</v>
      </c>
    </row>
    <row r="35" spans="1:24" hidden="1" x14ac:dyDescent="0.3">
      <c r="A35" s="14" t="s">
        <v>339</v>
      </c>
      <c r="B35" s="14" t="s">
        <v>24</v>
      </c>
      <c r="C35" s="14" t="s">
        <v>375</v>
      </c>
      <c r="D35" s="14" t="s">
        <v>376</v>
      </c>
      <c r="E35" s="14" t="s">
        <v>344</v>
      </c>
      <c r="F35" s="14" t="s">
        <v>343</v>
      </c>
      <c r="G35" s="14" t="s">
        <v>343</v>
      </c>
      <c r="H35" s="14" t="s">
        <v>343</v>
      </c>
      <c r="W35" s="14">
        <v>64</v>
      </c>
      <c r="X35" s="14">
        <v>69</v>
      </c>
    </row>
    <row r="36" spans="1:24" hidden="1" x14ac:dyDescent="0.3">
      <c r="A36" s="14" t="s">
        <v>377</v>
      </c>
      <c r="B36" s="14" t="s">
        <v>31</v>
      </c>
      <c r="C36" s="14" t="s">
        <v>340</v>
      </c>
      <c r="D36" s="14" t="s">
        <v>341</v>
      </c>
      <c r="E36" s="14" t="s">
        <v>342</v>
      </c>
      <c r="F36" s="14" t="s">
        <v>343</v>
      </c>
      <c r="G36" s="14" t="s">
        <v>343</v>
      </c>
      <c r="H36" s="14" t="s">
        <v>343</v>
      </c>
      <c r="I36" s="14">
        <v>0.78</v>
      </c>
      <c r="J36" s="14">
        <v>0.78</v>
      </c>
      <c r="K36" s="14">
        <v>0.78</v>
      </c>
      <c r="L36" s="14">
        <v>0.78</v>
      </c>
      <c r="M36" s="14">
        <v>0.79</v>
      </c>
      <c r="N36" s="14">
        <v>0.79</v>
      </c>
      <c r="P36" s="14">
        <v>0.81</v>
      </c>
      <c r="Q36" s="14">
        <v>0.72</v>
      </c>
      <c r="R36" s="14">
        <v>0.73</v>
      </c>
      <c r="S36" s="14">
        <v>0.78</v>
      </c>
      <c r="T36" s="14">
        <v>0.76</v>
      </c>
      <c r="U36" s="14">
        <v>0.74</v>
      </c>
      <c r="V36" s="14">
        <v>0.76</v>
      </c>
      <c r="W36" s="14">
        <v>0.76</v>
      </c>
      <c r="X36" s="14">
        <v>0.69</v>
      </c>
    </row>
    <row r="37" spans="1:24" hidden="1" x14ac:dyDescent="0.3">
      <c r="A37" s="14" t="s">
        <v>377</v>
      </c>
      <c r="B37" s="14" t="s">
        <v>31</v>
      </c>
      <c r="C37" s="14" t="s">
        <v>340</v>
      </c>
      <c r="D37" s="14" t="s">
        <v>341</v>
      </c>
      <c r="E37" s="14" t="s">
        <v>344</v>
      </c>
      <c r="F37" s="14" t="s">
        <v>343</v>
      </c>
      <c r="G37" s="14" t="s">
        <v>343</v>
      </c>
      <c r="H37" s="14" t="s">
        <v>343</v>
      </c>
      <c r="I37" s="14">
        <v>107</v>
      </c>
      <c r="J37" s="14">
        <v>119</v>
      </c>
      <c r="K37" s="14">
        <v>122</v>
      </c>
      <c r="L37" s="14">
        <v>127</v>
      </c>
      <c r="M37" s="14">
        <v>125</v>
      </c>
      <c r="N37" s="14">
        <v>126</v>
      </c>
      <c r="P37" s="14">
        <v>127</v>
      </c>
      <c r="Q37" s="14">
        <v>138</v>
      </c>
      <c r="R37" s="14">
        <v>141</v>
      </c>
      <c r="S37" s="14">
        <v>138</v>
      </c>
      <c r="T37" s="14">
        <v>139</v>
      </c>
      <c r="U37" s="14">
        <v>143</v>
      </c>
      <c r="V37" s="14">
        <v>147</v>
      </c>
      <c r="W37" s="14">
        <v>148</v>
      </c>
      <c r="X37" s="14">
        <v>142</v>
      </c>
    </row>
    <row r="38" spans="1:24" hidden="1" x14ac:dyDescent="0.3">
      <c r="A38" s="14" t="s">
        <v>377</v>
      </c>
      <c r="B38" s="14" t="s">
        <v>31</v>
      </c>
      <c r="C38" s="14" t="s">
        <v>345</v>
      </c>
      <c r="D38" s="14" t="s">
        <v>346</v>
      </c>
      <c r="E38" s="14" t="s">
        <v>342</v>
      </c>
      <c r="F38" s="14" t="s">
        <v>343</v>
      </c>
      <c r="G38" s="14" t="s">
        <v>343</v>
      </c>
      <c r="H38" s="14" t="s">
        <v>343</v>
      </c>
      <c r="U38" s="14">
        <v>0.57999999999999996</v>
      </c>
      <c r="V38" s="14">
        <v>0.73</v>
      </c>
      <c r="W38" s="14">
        <v>0.73</v>
      </c>
      <c r="X38" s="14">
        <v>0.72</v>
      </c>
    </row>
    <row r="39" spans="1:24" hidden="1" x14ac:dyDescent="0.3">
      <c r="A39" s="14" t="s">
        <v>377</v>
      </c>
      <c r="B39" s="14" t="s">
        <v>31</v>
      </c>
      <c r="C39" s="14" t="s">
        <v>345</v>
      </c>
      <c r="D39" s="14" t="s">
        <v>346</v>
      </c>
      <c r="E39" s="14" t="s">
        <v>344</v>
      </c>
      <c r="F39" s="14" t="s">
        <v>343</v>
      </c>
      <c r="G39" s="14" t="s">
        <v>343</v>
      </c>
      <c r="H39" s="14" t="s">
        <v>343</v>
      </c>
      <c r="U39" s="14">
        <v>89</v>
      </c>
      <c r="V39" s="14">
        <v>28</v>
      </c>
      <c r="W39" s="14">
        <v>29</v>
      </c>
      <c r="X39" s="14">
        <v>36</v>
      </c>
    </row>
    <row r="40" spans="1:24" hidden="1" x14ac:dyDescent="0.3">
      <c r="A40" s="14" t="s">
        <v>377</v>
      </c>
      <c r="B40" s="14" t="s">
        <v>31</v>
      </c>
      <c r="C40" s="14" t="s">
        <v>347</v>
      </c>
      <c r="D40" s="14" t="s">
        <v>348</v>
      </c>
      <c r="E40" s="14" t="s">
        <v>342</v>
      </c>
      <c r="F40" s="14" t="s">
        <v>343</v>
      </c>
      <c r="G40" s="14" t="s">
        <v>343</v>
      </c>
      <c r="H40" s="14" t="s">
        <v>343</v>
      </c>
      <c r="U40" s="14">
        <v>0.95</v>
      </c>
      <c r="V40" s="14">
        <v>0.95</v>
      </c>
      <c r="W40" s="14">
        <v>0.97</v>
      </c>
      <c r="X40" s="14">
        <v>0.94</v>
      </c>
    </row>
    <row r="41" spans="1:24" hidden="1" x14ac:dyDescent="0.3">
      <c r="A41" s="14" t="s">
        <v>377</v>
      </c>
      <c r="B41" s="14" t="s">
        <v>31</v>
      </c>
      <c r="C41" s="14" t="s">
        <v>347</v>
      </c>
      <c r="D41" s="14" t="s">
        <v>348</v>
      </c>
      <c r="E41" s="14" t="s">
        <v>344</v>
      </c>
      <c r="F41" s="14" t="s">
        <v>343</v>
      </c>
      <c r="G41" s="14" t="s">
        <v>343</v>
      </c>
      <c r="H41" s="14" t="s">
        <v>343</v>
      </c>
      <c r="U41" s="14">
        <v>16</v>
      </c>
      <c r="V41" s="14">
        <v>15</v>
      </c>
      <c r="W41" s="14">
        <v>9</v>
      </c>
      <c r="X41" s="14">
        <v>10</v>
      </c>
    </row>
    <row r="42" spans="1:24" hidden="1" x14ac:dyDescent="0.3">
      <c r="A42" s="14" t="s">
        <v>377</v>
      </c>
      <c r="B42" s="14" t="s">
        <v>31</v>
      </c>
      <c r="C42" s="14" t="s">
        <v>349</v>
      </c>
      <c r="D42" s="14" t="s">
        <v>350</v>
      </c>
      <c r="E42" s="14" t="s">
        <v>342</v>
      </c>
      <c r="F42" s="14" t="s">
        <v>343</v>
      </c>
      <c r="G42" s="14" t="s">
        <v>343</v>
      </c>
      <c r="H42" s="14" t="s">
        <v>343</v>
      </c>
      <c r="U42" s="14">
        <v>0.24</v>
      </c>
      <c r="V42" s="14">
        <v>0.24</v>
      </c>
      <c r="W42" s="14">
        <v>0.25</v>
      </c>
      <c r="X42" s="14">
        <v>0.25</v>
      </c>
    </row>
    <row r="43" spans="1:24" hidden="1" x14ac:dyDescent="0.3">
      <c r="A43" s="14" t="s">
        <v>377</v>
      </c>
      <c r="B43" s="14" t="s">
        <v>31</v>
      </c>
      <c r="C43" s="14" t="s">
        <v>349</v>
      </c>
      <c r="D43" s="14" t="s">
        <v>350</v>
      </c>
      <c r="E43" s="14" t="s">
        <v>344</v>
      </c>
      <c r="F43" s="14" t="s">
        <v>343</v>
      </c>
      <c r="G43" s="14" t="s">
        <v>343</v>
      </c>
      <c r="H43" s="14" t="s">
        <v>343</v>
      </c>
      <c r="U43" s="14">
        <v>116</v>
      </c>
      <c r="V43" s="14">
        <v>120</v>
      </c>
      <c r="W43" s="14">
        <v>126</v>
      </c>
      <c r="X43" s="14">
        <v>116</v>
      </c>
    </row>
    <row r="44" spans="1:24" hidden="1" x14ac:dyDescent="0.3">
      <c r="A44" s="14" t="s">
        <v>377</v>
      </c>
      <c r="B44" s="14" t="s">
        <v>31</v>
      </c>
      <c r="C44" s="14" t="s">
        <v>351</v>
      </c>
      <c r="D44" s="14" t="s">
        <v>352</v>
      </c>
      <c r="E44" s="14" t="s">
        <v>342</v>
      </c>
      <c r="F44" s="14" t="s">
        <v>343</v>
      </c>
      <c r="G44" s="14" t="s">
        <v>343</v>
      </c>
      <c r="H44" s="14" t="s">
        <v>343</v>
      </c>
      <c r="U44" s="14">
        <v>0.54</v>
      </c>
      <c r="V44" s="14">
        <v>0.54</v>
      </c>
      <c r="W44" s="14">
        <v>0.53</v>
      </c>
      <c r="X44" s="14">
        <v>0.53</v>
      </c>
    </row>
    <row r="45" spans="1:24" hidden="1" x14ac:dyDescent="0.3">
      <c r="A45" s="14" t="s">
        <v>377</v>
      </c>
      <c r="B45" s="14" t="s">
        <v>31</v>
      </c>
      <c r="C45" s="14" t="s">
        <v>351</v>
      </c>
      <c r="D45" s="14" t="s">
        <v>352</v>
      </c>
      <c r="E45" s="14" t="s">
        <v>344</v>
      </c>
      <c r="F45" s="14" t="s">
        <v>343</v>
      </c>
      <c r="G45" s="14" t="s">
        <v>343</v>
      </c>
      <c r="H45" s="14" t="s">
        <v>343</v>
      </c>
      <c r="U45" s="14">
        <v>121</v>
      </c>
      <c r="V45" s="14">
        <v>125</v>
      </c>
      <c r="W45" s="14">
        <v>124</v>
      </c>
      <c r="X45" s="14">
        <v>115</v>
      </c>
    </row>
    <row r="46" spans="1:24" hidden="1" x14ac:dyDescent="0.3">
      <c r="A46" s="14" t="s">
        <v>377</v>
      </c>
      <c r="B46" s="14" t="s">
        <v>31</v>
      </c>
      <c r="C46" s="14" t="s">
        <v>378</v>
      </c>
      <c r="D46" s="14" t="s">
        <v>379</v>
      </c>
      <c r="E46" s="14" t="s">
        <v>342</v>
      </c>
      <c r="F46" s="14" t="s">
        <v>343</v>
      </c>
      <c r="G46" s="14" t="s">
        <v>343</v>
      </c>
      <c r="H46" s="14" t="s">
        <v>343</v>
      </c>
      <c r="S46" s="14">
        <v>0.4</v>
      </c>
      <c r="U46" s="14">
        <v>0.59</v>
      </c>
      <c r="V46" s="14">
        <v>0.61</v>
      </c>
      <c r="W46" s="14">
        <v>0.61</v>
      </c>
      <c r="X46" s="14">
        <v>0.62</v>
      </c>
    </row>
    <row r="47" spans="1:24" hidden="1" x14ac:dyDescent="0.3">
      <c r="A47" s="14" t="s">
        <v>377</v>
      </c>
      <c r="B47" s="14" t="s">
        <v>31</v>
      </c>
      <c r="C47" s="14" t="s">
        <v>378</v>
      </c>
      <c r="D47" s="14" t="s">
        <v>379</v>
      </c>
      <c r="E47" s="14" t="s">
        <v>344</v>
      </c>
      <c r="F47" s="14" t="s">
        <v>343</v>
      </c>
      <c r="G47" s="14" t="s">
        <v>343</v>
      </c>
      <c r="H47" s="14" t="s">
        <v>343</v>
      </c>
      <c r="S47" s="14">
        <v>135</v>
      </c>
      <c r="U47" s="14">
        <v>94</v>
      </c>
      <c r="V47" s="14">
        <v>96</v>
      </c>
      <c r="W47" s="14">
        <v>96</v>
      </c>
      <c r="X47" s="14">
        <v>90</v>
      </c>
    </row>
    <row r="48" spans="1:24" hidden="1" x14ac:dyDescent="0.3">
      <c r="A48" s="14" t="s">
        <v>377</v>
      </c>
      <c r="B48" s="14" t="s">
        <v>31</v>
      </c>
      <c r="C48" s="14" t="s">
        <v>353</v>
      </c>
      <c r="D48" s="14" t="s">
        <v>354</v>
      </c>
      <c r="E48" s="14" t="s">
        <v>342</v>
      </c>
      <c r="F48" s="14" t="s">
        <v>343</v>
      </c>
      <c r="G48" s="14" t="s">
        <v>343</v>
      </c>
      <c r="H48" s="14" t="s">
        <v>343</v>
      </c>
      <c r="U48" s="14">
        <v>0.67</v>
      </c>
      <c r="V48" s="14">
        <v>0.67</v>
      </c>
      <c r="W48" s="14">
        <v>0.67</v>
      </c>
      <c r="X48" s="14">
        <v>0.67</v>
      </c>
    </row>
    <row r="49" spans="1:24" hidden="1" x14ac:dyDescent="0.3">
      <c r="A49" s="14" t="s">
        <v>377</v>
      </c>
      <c r="B49" s="14" t="s">
        <v>31</v>
      </c>
      <c r="C49" s="14" t="s">
        <v>353</v>
      </c>
      <c r="D49" s="14" t="s">
        <v>354</v>
      </c>
      <c r="E49" s="14" t="s">
        <v>344</v>
      </c>
      <c r="F49" s="14" t="s">
        <v>343</v>
      </c>
      <c r="G49" s="14" t="s">
        <v>343</v>
      </c>
      <c r="H49" s="14" t="s">
        <v>343</v>
      </c>
      <c r="U49" s="14">
        <v>129</v>
      </c>
      <c r="V49" s="14">
        <v>141</v>
      </c>
      <c r="W49" s="14">
        <v>142</v>
      </c>
      <c r="X49" s="14">
        <v>134</v>
      </c>
    </row>
    <row r="50" spans="1:24" hidden="1" x14ac:dyDescent="0.3">
      <c r="A50" s="14" t="s">
        <v>377</v>
      </c>
      <c r="B50" s="14" t="s">
        <v>31</v>
      </c>
      <c r="C50" s="14" t="s">
        <v>380</v>
      </c>
      <c r="D50" s="14" t="s">
        <v>381</v>
      </c>
      <c r="E50" s="14" t="s">
        <v>342</v>
      </c>
      <c r="F50" s="14" t="s">
        <v>343</v>
      </c>
      <c r="G50" s="14" t="s">
        <v>343</v>
      </c>
      <c r="H50" s="14" t="s">
        <v>343</v>
      </c>
      <c r="U50" s="14">
        <v>0.75</v>
      </c>
      <c r="V50" s="14">
        <v>0.76</v>
      </c>
      <c r="W50" s="14">
        <v>0.76</v>
      </c>
    </row>
    <row r="51" spans="1:24" hidden="1" x14ac:dyDescent="0.3">
      <c r="A51" s="14" t="s">
        <v>377</v>
      </c>
      <c r="B51" s="14" t="s">
        <v>31</v>
      </c>
      <c r="C51" s="14" t="s">
        <v>380</v>
      </c>
      <c r="D51" s="14" t="s">
        <v>381</v>
      </c>
      <c r="E51" s="14" t="s">
        <v>344</v>
      </c>
      <c r="F51" s="14" t="s">
        <v>343</v>
      </c>
      <c r="G51" s="14" t="s">
        <v>343</v>
      </c>
      <c r="H51" s="14" t="s">
        <v>343</v>
      </c>
      <c r="U51" s="14">
        <v>137</v>
      </c>
      <c r="V51" s="14">
        <v>147</v>
      </c>
      <c r="W51" s="14">
        <v>149</v>
      </c>
    </row>
    <row r="52" spans="1:24" hidden="1" x14ac:dyDescent="0.3">
      <c r="A52" s="14" t="s">
        <v>377</v>
      </c>
      <c r="B52" s="14" t="s">
        <v>31</v>
      </c>
      <c r="C52" s="14" t="s">
        <v>355</v>
      </c>
      <c r="D52" s="14" t="s">
        <v>356</v>
      </c>
      <c r="E52" s="14" t="s">
        <v>342</v>
      </c>
      <c r="F52" s="14" t="s">
        <v>343</v>
      </c>
      <c r="G52" s="14" t="s">
        <v>343</v>
      </c>
      <c r="H52" s="14" t="s">
        <v>343</v>
      </c>
      <c r="U52" s="14">
        <v>0.79</v>
      </c>
      <c r="V52" s="14">
        <v>0.8</v>
      </c>
      <c r="W52" s="14">
        <v>0.8</v>
      </c>
      <c r="X52" s="14">
        <v>0.64</v>
      </c>
    </row>
    <row r="53" spans="1:24" hidden="1" x14ac:dyDescent="0.3">
      <c r="A53" s="14" t="s">
        <v>377</v>
      </c>
      <c r="B53" s="14" t="s">
        <v>31</v>
      </c>
      <c r="C53" s="14" t="s">
        <v>355</v>
      </c>
      <c r="D53" s="14" t="s">
        <v>356</v>
      </c>
      <c r="E53" s="14" t="s">
        <v>344</v>
      </c>
      <c r="F53" s="14" t="s">
        <v>343</v>
      </c>
      <c r="G53" s="14" t="s">
        <v>343</v>
      </c>
      <c r="H53" s="14" t="s">
        <v>343</v>
      </c>
      <c r="U53" s="14">
        <v>140</v>
      </c>
      <c r="V53" s="14">
        <v>144</v>
      </c>
      <c r="W53" s="14">
        <v>144</v>
      </c>
      <c r="X53" s="14">
        <v>134</v>
      </c>
    </row>
    <row r="54" spans="1:24" hidden="1" x14ac:dyDescent="0.3">
      <c r="A54" s="14" t="s">
        <v>377</v>
      </c>
      <c r="B54" s="14" t="s">
        <v>31</v>
      </c>
      <c r="C54" s="14" t="s">
        <v>357</v>
      </c>
      <c r="D54" s="14" t="s">
        <v>358</v>
      </c>
      <c r="E54" s="14" t="s">
        <v>342</v>
      </c>
      <c r="F54" s="14" t="s">
        <v>343</v>
      </c>
      <c r="G54" s="14" t="s">
        <v>343</v>
      </c>
      <c r="H54" s="14" t="s">
        <v>343</v>
      </c>
      <c r="U54" s="14">
        <v>0.77</v>
      </c>
      <c r="V54" s="14">
        <v>0.83</v>
      </c>
      <c r="W54" s="14">
        <v>0.83</v>
      </c>
      <c r="X54" s="14">
        <v>0.83</v>
      </c>
    </row>
    <row r="55" spans="1:24" hidden="1" x14ac:dyDescent="0.3">
      <c r="A55" s="14" t="s">
        <v>377</v>
      </c>
      <c r="B55" s="14" t="s">
        <v>31</v>
      </c>
      <c r="C55" s="14" t="s">
        <v>357</v>
      </c>
      <c r="D55" s="14" t="s">
        <v>358</v>
      </c>
      <c r="E55" s="14" t="s">
        <v>344</v>
      </c>
      <c r="F55" s="14" t="s">
        <v>343</v>
      </c>
      <c r="G55" s="14" t="s">
        <v>343</v>
      </c>
      <c r="H55" s="14" t="s">
        <v>343</v>
      </c>
      <c r="U55" s="14">
        <v>115</v>
      </c>
      <c r="V55" s="14">
        <v>116</v>
      </c>
      <c r="W55" s="14">
        <v>117</v>
      </c>
      <c r="X55" s="14">
        <v>112</v>
      </c>
    </row>
    <row r="56" spans="1:24" hidden="1" x14ac:dyDescent="0.3">
      <c r="A56" s="14" t="s">
        <v>377</v>
      </c>
      <c r="B56" s="14" t="s">
        <v>31</v>
      </c>
      <c r="C56" s="14" t="s">
        <v>359</v>
      </c>
      <c r="D56" s="14" t="s">
        <v>360</v>
      </c>
      <c r="E56" s="14" t="s">
        <v>342</v>
      </c>
      <c r="F56" s="14" t="s">
        <v>343</v>
      </c>
      <c r="G56" s="14" t="s">
        <v>343</v>
      </c>
      <c r="H56" s="14" t="s">
        <v>343</v>
      </c>
      <c r="I56" s="14">
        <v>0.59</v>
      </c>
      <c r="J56" s="14">
        <v>0.59</v>
      </c>
      <c r="K56" s="14">
        <v>0.57999999999999996</v>
      </c>
      <c r="L56" s="14">
        <v>0.57999999999999996</v>
      </c>
      <c r="M56" s="14">
        <v>0.63</v>
      </c>
      <c r="N56" s="14">
        <v>0.59</v>
      </c>
      <c r="P56" s="14">
        <v>0.62</v>
      </c>
      <c r="Q56" s="14">
        <v>0.59</v>
      </c>
      <c r="R56" s="14">
        <v>0.59</v>
      </c>
      <c r="S56" s="14">
        <v>0.56000000000000005</v>
      </c>
      <c r="T56" s="14">
        <v>0.56000000000000005</v>
      </c>
      <c r="U56" s="14">
        <v>0.6</v>
      </c>
      <c r="V56" s="14">
        <v>0.64</v>
      </c>
      <c r="W56" s="14">
        <v>0.65</v>
      </c>
      <c r="X56" s="14">
        <v>0.64</v>
      </c>
    </row>
    <row r="57" spans="1:24" hidden="1" x14ac:dyDescent="0.3">
      <c r="A57" s="14" t="s">
        <v>377</v>
      </c>
      <c r="B57" s="14" t="s">
        <v>31</v>
      </c>
      <c r="C57" s="14" t="s">
        <v>359</v>
      </c>
      <c r="D57" s="14" t="s">
        <v>360</v>
      </c>
      <c r="E57" s="14" t="s">
        <v>344</v>
      </c>
      <c r="F57" s="14" t="s">
        <v>343</v>
      </c>
      <c r="G57" s="14" t="s">
        <v>343</v>
      </c>
      <c r="H57" s="14" t="s">
        <v>343</v>
      </c>
      <c r="I57" s="14">
        <v>69</v>
      </c>
      <c r="J57" s="14">
        <v>87</v>
      </c>
      <c r="K57" s="14">
        <v>87</v>
      </c>
      <c r="L57" s="14">
        <v>96</v>
      </c>
      <c r="M57" s="14">
        <v>76</v>
      </c>
      <c r="N57" s="14">
        <v>96</v>
      </c>
      <c r="P57" s="14">
        <v>92</v>
      </c>
      <c r="Q57" s="14">
        <v>111</v>
      </c>
      <c r="R57" s="14">
        <v>116</v>
      </c>
      <c r="S57" s="14">
        <v>120</v>
      </c>
      <c r="T57" s="14">
        <v>119</v>
      </c>
      <c r="U57" s="14">
        <v>113</v>
      </c>
      <c r="V57" s="14">
        <v>96</v>
      </c>
      <c r="W57" s="14">
        <v>102</v>
      </c>
      <c r="X57" s="14">
        <v>99</v>
      </c>
    </row>
    <row r="58" spans="1:24" x14ac:dyDescent="0.3">
      <c r="A58" s="14" t="s">
        <v>377</v>
      </c>
      <c r="B58" s="14" t="s">
        <v>31</v>
      </c>
      <c r="C58" s="14" t="s">
        <v>361</v>
      </c>
      <c r="D58" s="14" t="s">
        <v>362</v>
      </c>
      <c r="E58" s="14" t="s">
        <v>342</v>
      </c>
      <c r="F58" s="14" t="s">
        <v>343</v>
      </c>
      <c r="G58" s="14" t="s">
        <v>343</v>
      </c>
      <c r="H58" s="14" t="s">
        <v>343</v>
      </c>
      <c r="I58" s="14">
        <v>0.98</v>
      </c>
      <c r="J58" s="14">
        <v>0.98</v>
      </c>
      <c r="K58" s="14">
        <v>0.98</v>
      </c>
      <c r="L58" s="14">
        <v>0.98</v>
      </c>
      <c r="M58" s="14">
        <v>0.98</v>
      </c>
      <c r="N58" s="14">
        <v>0.98</v>
      </c>
      <c r="P58" s="14">
        <v>0.98</v>
      </c>
      <c r="Q58" s="14">
        <v>0.98</v>
      </c>
      <c r="R58" s="14">
        <v>0.98</v>
      </c>
      <c r="S58" s="14">
        <v>0.98</v>
      </c>
      <c r="T58" s="14">
        <v>0.98</v>
      </c>
      <c r="U58" s="14">
        <v>0.98</v>
      </c>
      <c r="V58" s="14">
        <v>0.98</v>
      </c>
      <c r="W58" s="14">
        <v>0.98</v>
      </c>
      <c r="X58" s="14">
        <v>0.98</v>
      </c>
    </row>
    <row r="59" spans="1:24" hidden="1" x14ac:dyDescent="0.3">
      <c r="A59" s="14" t="s">
        <v>377</v>
      </c>
      <c r="B59" s="14" t="s">
        <v>31</v>
      </c>
      <c r="C59" s="14" t="s">
        <v>361</v>
      </c>
      <c r="D59" s="14" t="s">
        <v>362</v>
      </c>
      <c r="E59" s="14" t="s">
        <v>344</v>
      </c>
      <c r="F59" s="14" t="s">
        <v>343</v>
      </c>
      <c r="G59" s="14" t="s">
        <v>343</v>
      </c>
      <c r="H59" s="14" t="s">
        <v>343</v>
      </c>
      <c r="I59" s="14">
        <v>1</v>
      </c>
      <c r="J59" s="14">
        <v>1</v>
      </c>
      <c r="K59" s="14">
        <v>1</v>
      </c>
      <c r="L59" s="14">
        <v>1</v>
      </c>
      <c r="M59" s="14">
        <v>1</v>
      </c>
      <c r="N59" s="14">
        <v>1</v>
      </c>
      <c r="P59" s="14">
        <v>1</v>
      </c>
      <c r="Q59" s="14">
        <v>61</v>
      </c>
      <c r="R59" s="14">
        <v>1</v>
      </c>
      <c r="S59" s="14">
        <v>1</v>
      </c>
      <c r="T59" s="14">
        <v>64</v>
      </c>
      <c r="U59" s="14">
        <v>1</v>
      </c>
      <c r="V59" s="14">
        <v>1</v>
      </c>
      <c r="W59" s="14">
        <v>53</v>
      </c>
      <c r="X59" s="14">
        <v>50</v>
      </c>
    </row>
    <row r="60" spans="1:24" hidden="1" x14ac:dyDescent="0.3">
      <c r="A60" s="14" t="s">
        <v>377</v>
      </c>
      <c r="B60" s="14" t="s">
        <v>31</v>
      </c>
      <c r="C60" s="14" t="s">
        <v>363</v>
      </c>
      <c r="D60" s="14" t="s">
        <v>364</v>
      </c>
      <c r="E60" s="14" t="s">
        <v>342</v>
      </c>
      <c r="F60" s="14" t="s">
        <v>343</v>
      </c>
      <c r="G60" s="14" t="s">
        <v>343</v>
      </c>
      <c r="H60" s="14" t="s">
        <v>343</v>
      </c>
      <c r="U60" s="14">
        <v>1.06</v>
      </c>
      <c r="V60" s="14">
        <v>1.06</v>
      </c>
      <c r="W60" s="14">
        <v>1.05</v>
      </c>
      <c r="X60" s="14">
        <v>1.05</v>
      </c>
    </row>
    <row r="61" spans="1:24" hidden="1" x14ac:dyDescent="0.3">
      <c r="A61" s="14" t="s">
        <v>377</v>
      </c>
      <c r="B61" s="14" t="s">
        <v>31</v>
      </c>
      <c r="C61" s="14" t="s">
        <v>363</v>
      </c>
      <c r="D61" s="14" t="s">
        <v>364</v>
      </c>
      <c r="E61" s="14" t="s">
        <v>344</v>
      </c>
      <c r="F61" s="14" t="s">
        <v>343</v>
      </c>
      <c r="G61" s="14" t="s">
        <v>343</v>
      </c>
      <c r="H61" s="14" t="s">
        <v>343</v>
      </c>
      <c r="U61" s="14">
        <v>1</v>
      </c>
      <c r="V61" s="14">
        <v>1</v>
      </c>
      <c r="W61" s="14">
        <v>61</v>
      </c>
      <c r="X61" s="14">
        <v>56</v>
      </c>
    </row>
    <row r="62" spans="1:24" hidden="1" x14ac:dyDescent="0.3">
      <c r="A62" s="14" t="s">
        <v>377</v>
      </c>
      <c r="B62" s="14" t="s">
        <v>31</v>
      </c>
      <c r="C62" s="14" t="s">
        <v>365</v>
      </c>
      <c r="D62" s="14" t="s">
        <v>366</v>
      </c>
      <c r="E62" s="14" t="s">
        <v>342</v>
      </c>
      <c r="F62" s="14" t="s">
        <v>343</v>
      </c>
      <c r="G62" s="14" t="s">
        <v>343</v>
      </c>
      <c r="H62" s="14" t="s">
        <v>343</v>
      </c>
      <c r="U62" s="14">
        <v>0.94</v>
      </c>
      <c r="V62" s="14">
        <v>0.94</v>
      </c>
      <c r="W62" s="14">
        <v>0.94</v>
      </c>
      <c r="X62" s="14">
        <v>0.94</v>
      </c>
    </row>
    <row r="63" spans="1:24" hidden="1" x14ac:dyDescent="0.3">
      <c r="A63" s="14" t="s">
        <v>377</v>
      </c>
      <c r="B63" s="14" t="s">
        <v>31</v>
      </c>
      <c r="C63" s="14" t="s">
        <v>365</v>
      </c>
      <c r="D63" s="14" t="s">
        <v>366</v>
      </c>
      <c r="E63" s="14" t="s">
        <v>344</v>
      </c>
      <c r="F63" s="14" t="s">
        <v>343</v>
      </c>
      <c r="G63" s="14" t="s">
        <v>343</v>
      </c>
      <c r="H63" s="14" t="s">
        <v>343</v>
      </c>
      <c r="U63" s="14">
        <v>1</v>
      </c>
      <c r="V63" s="14">
        <v>1</v>
      </c>
      <c r="W63" s="14">
        <v>1</v>
      </c>
      <c r="X63" s="14">
        <v>1</v>
      </c>
    </row>
    <row r="64" spans="1:24" hidden="1" x14ac:dyDescent="0.3">
      <c r="A64" s="14" t="s">
        <v>377</v>
      </c>
      <c r="B64" s="14" t="s">
        <v>31</v>
      </c>
      <c r="C64" s="14" t="s">
        <v>367</v>
      </c>
      <c r="D64" s="14" t="s">
        <v>368</v>
      </c>
      <c r="E64" s="14" t="s">
        <v>342</v>
      </c>
      <c r="F64" s="14" t="s">
        <v>343</v>
      </c>
      <c r="G64" s="14" t="s">
        <v>343</v>
      </c>
      <c r="H64" s="14" t="s">
        <v>343</v>
      </c>
      <c r="I64" s="14">
        <v>0.6</v>
      </c>
      <c r="J64" s="14">
        <v>0.6</v>
      </c>
      <c r="K64" s="14">
        <v>0.6</v>
      </c>
      <c r="L64" s="14">
        <v>0.64</v>
      </c>
      <c r="M64" s="14">
        <v>0.67</v>
      </c>
      <c r="N64" s="14">
        <v>0.66</v>
      </c>
      <c r="P64" s="14">
        <v>0.67</v>
      </c>
      <c r="Q64" s="14">
        <v>0.63</v>
      </c>
      <c r="R64" s="14">
        <v>0.64</v>
      </c>
      <c r="S64" s="14">
        <v>0.64</v>
      </c>
      <c r="T64" s="14">
        <v>0.64</v>
      </c>
      <c r="U64" s="14">
        <v>0.63</v>
      </c>
      <c r="V64" s="14">
        <v>0.66</v>
      </c>
      <c r="W64" s="14">
        <v>0.66</v>
      </c>
      <c r="X64" s="14">
        <v>0.64</v>
      </c>
    </row>
    <row r="65" spans="1:24" hidden="1" x14ac:dyDescent="0.3">
      <c r="A65" s="14" t="s">
        <v>377</v>
      </c>
      <c r="B65" s="14" t="s">
        <v>31</v>
      </c>
      <c r="C65" s="14" t="s">
        <v>367</v>
      </c>
      <c r="D65" s="14" t="s">
        <v>368</v>
      </c>
      <c r="E65" s="14" t="s">
        <v>344</v>
      </c>
      <c r="F65" s="14" t="s">
        <v>343</v>
      </c>
      <c r="G65" s="14" t="s">
        <v>343</v>
      </c>
      <c r="H65" s="14" t="s">
        <v>343</v>
      </c>
      <c r="I65" s="14">
        <v>96</v>
      </c>
      <c r="J65" s="14">
        <v>110</v>
      </c>
      <c r="K65" s="14">
        <v>114</v>
      </c>
      <c r="L65" s="14">
        <v>106</v>
      </c>
      <c r="M65" s="14">
        <v>81</v>
      </c>
      <c r="N65" s="14">
        <v>87</v>
      </c>
      <c r="P65" s="14">
        <v>92</v>
      </c>
      <c r="Q65" s="14">
        <v>121</v>
      </c>
      <c r="R65" s="14">
        <v>126</v>
      </c>
      <c r="S65" s="14">
        <v>117</v>
      </c>
      <c r="T65" s="14">
        <v>123</v>
      </c>
      <c r="U65" s="14">
        <v>125</v>
      </c>
      <c r="V65" s="14">
        <v>118</v>
      </c>
      <c r="W65" s="14">
        <v>119</v>
      </c>
      <c r="X65" s="14">
        <v>125</v>
      </c>
    </row>
    <row r="66" spans="1:24" hidden="1" x14ac:dyDescent="0.3">
      <c r="A66" s="14" t="s">
        <v>377</v>
      </c>
      <c r="B66" s="14" t="s">
        <v>31</v>
      </c>
      <c r="C66" s="14" t="s">
        <v>369</v>
      </c>
      <c r="D66" s="14" t="s">
        <v>370</v>
      </c>
      <c r="E66" s="14" t="s">
        <v>342</v>
      </c>
      <c r="F66" s="14" t="s">
        <v>343</v>
      </c>
      <c r="G66" s="14" t="s">
        <v>343</v>
      </c>
      <c r="H66" s="14" t="s">
        <v>343</v>
      </c>
      <c r="I66" s="14">
        <v>7.0000000000000007E-2</v>
      </c>
      <c r="J66" s="14">
        <v>7.0000000000000007E-2</v>
      </c>
      <c r="K66" s="14">
        <v>7.0000000000000007E-2</v>
      </c>
      <c r="L66" s="14">
        <v>0.2</v>
      </c>
      <c r="M66" s="14">
        <v>0.28999999999999998</v>
      </c>
      <c r="N66" s="14">
        <v>0.28999999999999998</v>
      </c>
      <c r="P66" s="14">
        <v>0.26</v>
      </c>
      <c r="Q66" s="14">
        <v>0.24</v>
      </c>
      <c r="R66" s="14">
        <v>0.25</v>
      </c>
      <c r="S66" s="14">
        <v>0.25</v>
      </c>
      <c r="T66" s="14">
        <v>0.26</v>
      </c>
      <c r="U66" s="14">
        <v>0.21</v>
      </c>
      <c r="V66" s="14">
        <v>0.26</v>
      </c>
      <c r="W66" s="14">
        <v>0.24</v>
      </c>
      <c r="X66" s="14">
        <v>0.25</v>
      </c>
    </row>
    <row r="67" spans="1:24" hidden="1" x14ac:dyDescent="0.3">
      <c r="A67" s="14" t="s">
        <v>377</v>
      </c>
      <c r="B67" s="14" t="s">
        <v>31</v>
      </c>
      <c r="C67" s="14" t="s">
        <v>369</v>
      </c>
      <c r="D67" s="14" t="s">
        <v>370</v>
      </c>
      <c r="E67" s="14" t="s">
        <v>344</v>
      </c>
      <c r="F67" s="14" t="s">
        <v>343</v>
      </c>
      <c r="G67" s="14" t="s">
        <v>343</v>
      </c>
      <c r="H67" s="14" t="s">
        <v>343</v>
      </c>
      <c r="I67" s="14">
        <v>81</v>
      </c>
      <c r="J67" s="14">
        <v>92</v>
      </c>
      <c r="K67" s="14">
        <v>103</v>
      </c>
      <c r="L67" s="14">
        <v>36</v>
      </c>
      <c r="M67" s="14">
        <v>24</v>
      </c>
      <c r="N67" s="14">
        <v>24</v>
      </c>
      <c r="P67" s="14">
        <v>34</v>
      </c>
      <c r="Q67" s="14">
        <v>38</v>
      </c>
      <c r="R67" s="14">
        <v>38</v>
      </c>
      <c r="S67" s="14">
        <v>40</v>
      </c>
      <c r="T67" s="14">
        <v>39</v>
      </c>
      <c r="U67" s="14">
        <v>58</v>
      </c>
      <c r="V67" s="14">
        <v>46</v>
      </c>
      <c r="W67" s="14">
        <v>59</v>
      </c>
      <c r="X67" s="14">
        <v>59</v>
      </c>
    </row>
    <row r="68" spans="1:24" hidden="1" x14ac:dyDescent="0.3">
      <c r="A68" s="14" t="s">
        <v>377</v>
      </c>
      <c r="B68" s="14" t="s">
        <v>31</v>
      </c>
      <c r="C68" s="14" t="s">
        <v>371</v>
      </c>
      <c r="D68" s="14" t="s">
        <v>372</v>
      </c>
      <c r="E68" s="14" t="s">
        <v>342</v>
      </c>
      <c r="F68" s="14" t="s">
        <v>343</v>
      </c>
      <c r="G68" s="14" t="s">
        <v>343</v>
      </c>
      <c r="H68" s="14" t="s">
        <v>343</v>
      </c>
      <c r="U68" s="14">
        <v>0</v>
      </c>
      <c r="V68" s="14">
        <v>0</v>
      </c>
      <c r="W68" s="14">
        <v>0</v>
      </c>
      <c r="X68" s="14">
        <v>0</v>
      </c>
    </row>
    <row r="69" spans="1:24" hidden="1" x14ac:dyDescent="0.3">
      <c r="A69" s="14" t="s">
        <v>377</v>
      </c>
      <c r="B69" s="14" t="s">
        <v>31</v>
      </c>
      <c r="C69" s="14" t="s">
        <v>371</v>
      </c>
      <c r="D69" s="14" t="s">
        <v>372</v>
      </c>
      <c r="E69" s="14" t="s">
        <v>344</v>
      </c>
      <c r="F69" s="14" t="s">
        <v>343</v>
      </c>
      <c r="G69" s="14" t="s">
        <v>343</v>
      </c>
      <c r="H69" s="14" t="s">
        <v>343</v>
      </c>
      <c r="U69" s="14">
        <v>71</v>
      </c>
      <c r="V69" s="14">
        <v>73</v>
      </c>
      <c r="W69" s="14">
        <v>76</v>
      </c>
      <c r="X69" s="14">
        <v>78</v>
      </c>
    </row>
    <row r="70" spans="1:24" hidden="1" x14ac:dyDescent="0.3">
      <c r="A70" s="14" t="s">
        <v>377</v>
      </c>
      <c r="B70" s="14" t="s">
        <v>31</v>
      </c>
      <c r="C70" s="14" t="s">
        <v>373</v>
      </c>
      <c r="D70" s="14" t="s">
        <v>374</v>
      </c>
      <c r="E70" s="14" t="s">
        <v>342</v>
      </c>
      <c r="F70" s="14" t="s">
        <v>343</v>
      </c>
      <c r="G70" s="14" t="s">
        <v>343</v>
      </c>
      <c r="H70" s="14" t="s">
        <v>343</v>
      </c>
      <c r="U70" s="14">
        <v>0.28999999999999998</v>
      </c>
      <c r="V70" s="14">
        <v>0.52</v>
      </c>
      <c r="W70" s="14">
        <v>0.47</v>
      </c>
      <c r="X70" s="14">
        <v>0.47</v>
      </c>
    </row>
    <row r="71" spans="1:24" hidden="1" x14ac:dyDescent="0.3">
      <c r="A71" s="14" t="s">
        <v>377</v>
      </c>
      <c r="B71" s="14" t="s">
        <v>31</v>
      </c>
      <c r="C71" s="14" t="s">
        <v>373</v>
      </c>
      <c r="D71" s="14" t="s">
        <v>374</v>
      </c>
      <c r="E71" s="14" t="s">
        <v>344</v>
      </c>
      <c r="F71" s="14" t="s">
        <v>343</v>
      </c>
      <c r="G71" s="14" t="s">
        <v>343</v>
      </c>
      <c r="H71" s="14" t="s">
        <v>343</v>
      </c>
      <c r="U71" s="14">
        <v>56</v>
      </c>
      <c r="V71" s="14">
        <v>27</v>
      </c>
      <c r="W71" s="14">
        <v>41</v>
      </c>
      <c r="X71" s="14">
        <v>40</v>
      </c>
    </row>
    <row r="72" spans="1:24" hidden="1" x14ac:dyDescent="0.3">
      <c r="A72" s="14" t="s">
        <v>377</v>
      </c>
      <c r="B72" s="14" t="s">
        <v>31</v>
      </c>
      <c r="C72" s="14" t="s">
        <v>375</v>
      </c>
      <c r="D72" s="14" t="s">
        <v>376</v>
      </c>
      <c r="E72" s="14" t="s">
        <v>342</v>
      </c>
      <c r="F72" s="14" t="s">
        <v>343</v>
      </c>
      <c r="G72" s="14" t="s">
        <v>343</v>
      </c>
      <c r="H72" s="14" t="s">
        <v>343</v>
      </c>
      <c r="U72" s="14">
        <v>0.44</v>
      </c>
      <c r="V72" s="14">
        <v>0.43</v>
      </c>
      <c r="W72" s="14">
        <v>0.42</v>
      </c>
      <c r="X72" s="14">
        <v>0.42</v>
      </c>
    </row>
    <row r="73" spans="1:24" hidden="1" x14ac:dyDescent="0.3">
      <c r="A73" s="14" t="s">
        <v>377</v>
      </c>
      <c r="B73" s="14" t="s">
        <v>31</v>
      </c>
      <c r="C73" s="14" t="s">
        <v>375</v>
      </c>
      <c r="D73" s="14" t="s">
        <v>376</v>
      </c>
      <c r="E73" s="14" t="s">
        <v>344</v>
      </c>
      <c r="F73" s="14" t="s">
        <v>343</v>
      </c>
      <c r="G73" s="14" t="s">
        <v>343</v>
      </c>
      <c r="H73" s="14" t="s">
        <v>343</v>
      </c>
      <c r="U73" s="14">
        <v>42</v>
      </c>
      <c r="V73" s="14">
        <v>44</v>
      </c>
      <c r="W73" s="14">
        <v>46</v>
      </c>
      <c r="X73" s="14">
        <v>53</v>
      </c>
    </row>
    <row r="74" spans="1:24" hidden="1" x14ac:dyDescent="0.3">
      <c r="A74" s="14" t="s">
        <v>382</v>
      </c>
      <c r="B74" s="14" t="s">
        <v>27</v>
      </c>
      <c r="C74" s="14" t="s">
        <v>340</v>
      </c>
      <c r="D74" s="14" t="s">
        <v>341</v>
      </c>
      <c r="E74" s="14" t="s">
        <v>342</v>
      </c>
      <c r="F74" s="14" t="s">
        <v>343</v>
      </c>
      <c r="G74" s="14" t="s">
        <v>343</v>
      </c>
      <c r="H74" s="14" t="s">
        <v>343</v>
      </c>
      <c r="I74" s="14">
        <v>0.99</v>
      </c>
      <c r="J74" s="14">
        <v>0.99</v>
      </c>
      <c r="K74" s="14">
        <v>0.99</v>
      </c>
      <c r="L74" s="14">
        <v>0.99</v>
      </c>
      <c r="M74" s="14">
        <v>0.99</v>
      </c>
      <c r="N74" s="14">
        <v>0.98</v>
      </c>
      <c r="O74" s="14">
        <v>0.99</v>
      </c>
      <c r="P74" s="14">
        <v>0.98</v>
      </c>
      <c r="Q74" s="14">
        <v>0.97</v>
      </c>
      <c r="R74" s="14">
        <v>0.97</v>
      </c>
      <c r="S74" s="14">
        <v>0.99</v>
      </c>
      <c r="T74" s="14">
        <v>0.99</v>
      </c>
      <c r="U74" s="14">
        <v>0.99</v>
      </c>
      <c r="V74" s="14">
        <v>1</v>
      </c>
      <c r="W74" s="14">
        <v>1</v>
      </c>
      <c r="X74" s="14">
        <v>1</v>
      </c>
    </row>
    <row r="75" spans="1:24" hidden="1" x14ac:dyDescent="0.3">
      <c r="A75" s="14" t="s">
        <v>382</v>
      </c>
      <c r="B75" s="14" t="s">
        <v>27</v>
      </c>
      <c r="C75" s="14" t="s">
        <v>340</v>
      </c>
      <c r="D75" s="14" t="s">
        <v>341</v>
      </c>
      <c r="E75" s="14" t="s">
        <v>344</v>
      </c>
      <c r="F75" s="14" t="s">
        <v>343</v>
      </c>
      <c r="G75" s="14" t="s">
        <v>343</v>
      </c>
      <c r="H75" s="14" t="s">
        <v>343</v>
      </c>
      <c r="I75" s="14">
        <v>57</v>
      </c>
      <c r="J75" s="14">
        <v>48</v>
      </c>
      <c r="K75" s="14">
        <v>68</v>
      </c>
      <c r="L75" s="14">
        <v>73</v>
      </c>
      <c r="M75" s="14">
        <v>52</v>
      </c>
      <c r="N75" s="14">
        <v>87</v>
      </c>
      <c r="O75" s="14">
        <v>76</v>
      </c>
      <c r="P75" s="14">
        <v>92</v>
      </c>
      <c r="Q75" s="14">
        <v>98</v>
      </c>
      <c r="R75" s="14">
        <v>98</v>
      </c>
      <c r="S75" s="14">
        <v>88</v>
      </c>
      <c r="T75" s="14">
        <v>87</v>
      </c>
      <c r="U75" s="14">
        <v>91</v>
      </c>
      <c r="V75" s="14">
        <v>40</v>
      </c>
      <c r="W75" s="14">
        <v>42</v>
      </c>
      <c r="X75" s="14">
        <v>34</v>
      </c>
    </row>
    <row r="76" spans="1:24" hidden="1" x14ac:dyDescent="0.3">
      <c r="A76" s="14" t="s">
        <v>382</v>
      </c>
      <c r="B76" s="14" t="s">
        <v>27</v>
      </c>
      <c r="C76" s="14" t="s">
        <v>345</v>
      </c>
      <c r="D76" s="14" t="s">
        <v>346</v>
      </c>
      <c r="E76" s="14" t="s">
        <v>342</v>
      </c>
      <c r="F76" s="14" t="s">
        <v>343</v>
      </c>
      <c r="G76" s="14" t="s">
        <v>343</v>
      </c>
      <c r="H76" s="14" t="s">
        <v>343</v>
      </c>
      <c r="U76" s="14">
        <v>0.63</v>
      </c>
      <c r="V76" s="14">
        <v>0.67</v>
      </c>
      <c r="W76" s="14">
        <v>0.59</v>
      </c>
      <c r="X76" s="14">
        <v>0.73</v>
      </c>
    </row>
    <row r="77" spans="1:24" hidden="1" x14ac:dyDescent="0.3">
      <c r="A77" s="14" t="s">
        <v>382</v>
      </c>
      <c r="B77" s="14" t="s">
        <v>27</v>
      </c>
      <c r="C77" s="14" t="s">
        <v>345</v>
      </c>
      <c r="D77" s="14" t="s">
        <v>346</v>
      </c>
      <c r="E77" s="14" t="s">
        <v>344</v>
      </c>
      <c r="F77" s="14" t="s">
        <v>343</v>
      </c>
      <c r="G77" s="14" t="s">
        <v>343</v>
      </c>
      <c r="H77" s="14" t="s">
        <v>343</v>
      </c>
      <c r="U77" s="14">
        <v>68</v>
      </c>
      <c r="V77" s="14">
        <v>49</v>
      </c>
      <c r="W77" s="14">
        <v>88</v>
      </c>
      <c r="X77" s="14">
        <v>33</v>
      </c>
    </row>
    <row r="78" spans="1:24" hidden="1" x14ac:dyDescent="0.3">
      <c r="A78" s="14" t="s">
        <v>382</v>
      </c>
      <c r="B78" s="14" t="s">
        <v>27</v>
      </c>
      <c r="C78" s="14" t="s">
        <v>347</v>
      </c>
      <c r="D78" s="14" t="s">
        <v>348</v>
      </c>
      <c r="E78" s="14" t="s">
        <v>342</v>
      </c>
      <c r="F78" s="14" t="s">
        <v>343</v>
      </c>
      <c r="G78" s="14" t="s">
        <v>343</v>
      </c>
      <c r="H78" s="14" t="s">
        <v>343</v>
      </c>
      <c r="U78" s="14">
        <v>0.75</v>
      </c>
      <c r="V78" s="14">
        <v>0.75</v>
      </c>
      <c r="W78" s="14">
        <v>0.79</v>
      </c>
      <c r="X78" s="14">
        <v>0.77</v>
      </c>
    </row>
    <row r="79" spans="1:24" hidden="1" x14ac:dyDescent="0.3">
      <c r="A79" s="14" t="s">
        <v>382</v>
      </c>
      <c r="B79" s="14" t="s">
        <v>27</v>
      </c>
      <c r="C79" s="14" t="s">
        <v>347</v>
      </c>
      <c r="D79" s="14" t="s">
        <v>348</v>
      </c>
      <c r="E79" s="14" t="s">
        <v>344</v>
      </c>
      <c r="F79" s="14" t="s">
        <v>343</v>
      </c>
      <c r="G79" s="14" t="s">
        <v>343</v>
      </c>
      <c r="H79" s="14" t="s">
        <v>343</v>
      </c>
      <c r="U79" s="14">
        <v>89</v>
      </c>
      <c r="V79" s="14">
        <v>94</v>
      </c>
      <c r="W79" s="14">
        <v>86</v>
      </c>
      <c r="X79" s="14">
        <v>76</v>
      </c>
    </row>
    <row r="80" spans="1:24" hidden="1" x14ac:dyDescent="0.3">
      <c r="A80" s="14" t="s">
        <v>382</v>
      </c>
      <c r="B80" s="14" t="s">
        <v>27</v>
      </c>
      <c r="C80" s="14" t="s">
        <v>349</v>
      </c>
      <c r="D80" s="14" t="s">
        <v>350</v>
      </c>
      <c r="E80" s="14" t="s">
        <v>342</v>
      </c>
      <c r="F80" s="14" t="s">
        <v>343</v>
      </c>
      <c r="G80" s="14" t="s">
        <v>343</v>
      </c>
      <c r="H80" s="14" t="s">
        <v>343</v>
      </c>
      <c r="U80" s="14">
        <v>0.28999999999999998</v>
      </c>
      <c r="V80" s="14">
        <v>0.47</v>
      </c>
      <c r="W80" s="14">
        <v>0.52</v>
      </c>
      <c r="X80" s="14">
        <v>0.52</v>
      </c>
    </row>
    <row r="81" spans="1:24" hidden="1" x14ac:dyDescent="0.3">
      <c r="A81" s="14" t="s">
        <v>382</v>
      </c>
      <c r="B81" s="14" t="s">
        <v>27</v>
      </c>
      <c r="C81" s="14" t="s">
        <v>349</v>
      </c>
      <c r="D81" s="14" t="s">
        <v>350</v>
      </c>
      <c r="E81" s="14" t="s">
        <v>344</v>
      </c>
      <c r="F81" s="14" t="s">
        <v>343</v>
      </c>
      <c r="G81" s="14" t="s">
        <v>343</v>
      </c>
      <c r="H81" s="14" t="s">
        <v>343</v>
      </c>
      <c r="U81" s="14">
        <v>105</v>
      </c>
      <c r="V81" s="14">
        <v>76</v>
      </c>
      <c r="W81" s="14">
        <v>69</v>
      </c>
      <c r="X81" s="14">
        <v>71</v>
      </c>
    </row>
    <row r="82" spans="1:24" hidden="1" x14ac:dyDescent="0.3">
      <c r="A82" s="14" t="s">
        <v>382</v>
      </c>
      <c r="B82" s="14" t="s">
        <v>27</v>
      </c>
      <c r="C82" s="14" t="s">
        <v>351</v>
      </c>
      <c r="D82" s="14" t="s">
        <v>352</v>
      </c>
      <c r="E82" s="14" t="s">
        <v>342</v>
      </c>
      <c r="F82" s="14" t="s">
        <v>343</v>
      </c>
      <c r="G82" s="14" t="s">
        <v>343</v>
      </c>
      <c r="H82" s="14" t="s">
        <v>343</v>
      </c>
      <c r="U82" s="14">
        <v>1</v>
      </c>
      <c r="V82" s="14">
        <v>1</v>
      </c>
      <c r="W82" s="14">
        <v>1</v>
      </c>
      <c r="X82" s="14">
        <v>1</v>
      </c>
    </row>
    <row r="83" spans="1:24" hidden="1" x14ac:dyDescent="0.3">
      <c r="A83" s="14" t="s">
        <v>382</v>
      </c>
      <c r="B83" s="14" t="s">
        <v>27</v>
      </c>
      <c r="C83" s="14" t="s">
        <v>351</v>
      </c>
      <c r="D83" s="14" t="s">
        <v>352</v>
      </c>
      <c r="E83" s="14" t="s">
        <v>344</v>
      </c>
      <c r="F83" s="14" t="s">
        <v>343</v>
      </c>
      <c r="G83" s="14" t="s">
        <v>343</v>
      </c>
      <c r="H83" s="14" t="s">
        <v>343</v>
      </c>
      <c r="U83" s="14">
        <v>1</v>
      </c>
      <c r="V83" s="14">
        <v>1</v>
      </c>
      <c r="W83" s="14">
        <v>1</v>
      </c>
      <c r="X83" s="14">
        <v>1</v>
      </c>
    </row>
    <row r="84" spans="1:24" hidden="1" x14ac:dyDescent="0.3">
      <c r="A84" s="14" t="s">
        <v>382</v>
      </c>
      <c r="B84" s="14" t="s">
        <v>27</v>
      </c>
      <c r="C84" s="14" t="s">
        <v>378</v>
      </c>
      <c r="D84" s="14" t="s">
        <v>379</v>
      </c>
      <c r="E84" s="14" t="s">
        <v>342</v>
      </c>
      <c r="F84" s="14" t="s">
        <v>343</v>
      </c>
      <c r="G84" s="14" t="s">
        <v>343</v>
      </c>
      <c r="H84" s="14" t="s">
        <v>343</v>
      </c>
      <c r="S84" s="14">
        <v>0.83</v>
      </c>
      <c r="U84" s="14">
        <v>0.8</v>
      </c>
      <c r="V84" s="14">
        <v>0.82</v>
      </c>
      <c r="W84" s="14">
        <v>0.85</v>
      </c>
      <c r="X84" s="14">
        <v>0.84</v>
      </c>
    </row>
    <row r="85" spans="1:24" hidden="1" x14ac:dyDescent="0.3">
      <c r="A85" s="14" t="s">
        <v>382</v>
      </c>
      <c r="B85" s="14" t="s">
        <v>27</v>
      </c>
      <c r="C85" s="14" t="s">
        <v>378</v>
      </c>
      <c r="D85" s="14" t="s">
        <v>379</v>
      </c>
      <c r="E85" s="14" t="s">
        <v>344</v>
      </c>
      <c r="F85" s="14" t="s">
        <v>343</v>
      </c>
      <c r="G85" s="14" t="s">
        <v>343</v>
      </c>
      <c r="H85" s="14" t="s">
        <v>343</v>
      </c>
      <c r="S85" s="14">
        <v>3</v>
      </c>
      <c r="U85" s="14">
        <v>5</v>
      </c>
      <c r="V85" s="14">
        <v>3</v>
      </c>
      <c r="W85" s="14">
        <v>2</v>
      </c>
      <c r="X85" s="14">
        <v>1</v>
      </c>
    </row>
    <row r="86" spans="1:24" hidden="1" x14ac:dyDescent="0.3">
      <c r="A86" s="14" t="s">
        <v>382</v>
      </c>
      <c r="B86" s="14" t="s">
        <v>27</v>
      </c>
      <c r="C86" s="14" t="s">
        <v>353</v>
      </c>
      <c r="D86" s="14" t="s">
        <v>354</v>
      </c>
      <c r="E86" s="14" t="s">
        <v>342</v>
      </c>
      <c r="F86" s="14" t="s">
        <v>343</v>
      </c>
      <c r="G86" s="14" t="s">
        <v>343</v>
      </c>
      <c r="H86" s="14" t="s">
        <v>343</v>
      </c>
      <c r="U86" s="14">
        <v>0.98</v>
      </c>
      <c r="V86" s="14">
        <v>0.99</v>
      </c>
      <c r="W86" s="14">
        <v>0.99</v>
      </c>
      <c r="X86" s="14">
        <v>0.99</v>
      </c>
    </row>
    <row r="87" spans="1:24" hidden="1" x14ac:dyDescent="0.3">
      <c r="A87" s="14" t="s">
        <v>382</v>
      </c>
      <c r="B87" s="14" t="s">
        <v>27</v>
      </c>
      <c r="C87" s="14" t="s">
        <v>353</v>
      </c>
      <c r="D87" s="14" t="s">
        <v>354</v>
      </c>
      <c r="E87" s="14" t="s">
        <v>344</v>
      </c>
      <c r="F87" s="14" t="s">
        <v>343</v>
      </c>
      <c r="G87" s="14" t="s">
        <v>343</v>
      </c>
      <c r="H87" s="14" t="s">
        <v>343</v>
      </c>
      <c r="U87" s="14">
        <v>81</v>
      </c>
      <c r="V87" s="14">
        <v>65</v>
      </c>
      <c r="W87" s="14">
        <v>65</v>
      </c>
      <c r="X87" s="14">
        <v>64</v>
      </c>
    </row>
    <row r="88" spans="1:24" hidden="1" x14ac:dyDescent="0.3">
      <c r="A88" s="14" t="s">
        <v>382</v>
      </c>
      <c r="B88" s="14" t="s">
        <v>27</v>
      </c>
      <c r="C88" s="14" t="s">
        <v>380</v>
      </c>
      <c r="D88" s="14" t="s">
        <v>381</v>
      </c>
      <c r="E88" s="14" t="s">
        <v>342</v>
      </c>
      <c r="F88" s="14" t="s">
        <v>343</v>
      </c>
      <c r="G88" s="14" t="s">
        <v>343</v>
      </c>
      <c r="H88" s="14" t="s">
        <v>343</v>
      </c>
      <c r="U88" s="14">
        <v>0.99</v>
      </c>
      <c r="V88" s="14">
        <v>1</v>
      </c>
      <c r="W88" s="14">
        <v>1</v>
      </c>
      <c r="X88" s="14">
        <v>1</v>
      </c>
    </row>
    <row r="89" spans="1:24" hidden="1" x14ac:dyDescent="0.3">
      <c r="A89" s="14" t="s">
        <v>382</v>
      </c>
      <c r="B89" s="14" t="s">
        <v>27</v>
      </c>
      <c r="C89" s="14" t="s">
        <v>380</v>
      </c>
      <c r="D89" s="14" t="s">
        <v>381</v>
      </c>
      <c r="E89" s="14" t="s">
        <v>344</v>
      </c>
      <c r="F89" s="14" t="s">
        <v>343</v>
      </c>
      <c r="G89" s="14" t="s">
        <v>343</v>
      </c>
      <c r="H89" s="14" t="s">
        <v>343</v>
      </c>
      <c r="U89" s="14">
        <v>108</v>
      </c>
      <c r="V89" s="14">
        <v>1</v>
      </c>
      <c r="W89" s="14">
        <v>1</v>
      </c>
      <c r="X89" s="14">
        <v>1</v>
      </c>
    </row>
    <row r="90" spans="1:24" hidden="1" x14ac:dyDescent="0.3">
      <c r="A90" s="14" t="s">
        <v>382</v>
      </c>
      <c r="B90" s="14" t="s">
        <v>27</v>
      </c>
      <c r="C90" s="14" t="s">
        <v>355</v>
      </c>
      <c r="D90" s="14" t="s">
        <v>356</v>
      </c>
      <c r="E90" s="14" t="s">
        <v>342</v>
      </c>
      <c r="F90" s="14" t="s">
        <v>343</v>
      </c>
      <c r="G90" s="14" t="s">
        <v>343</v>
      </c>
      <c r="H90" s="14" t="s">
        <v>343</v>
      </c>
      <c r="U90" s="14">
        <v>0.99</v>
      </c>
      <c r="V90" s="14">
        <v>1</v>
      </c>
      <c r="W90" s="14">
        <v>1</v>
      </c>
      <c r="X90" s="14">
        <v>1</v>
      </c>
    </row>
    <row r="91" spans="1:24" hidden="1" x14ac:dyDescent="0.3">
      <c r="A91" s="14" t="s">
        <v>382</v>
      </c>
      <c r="B91" s="14" t="s">
        <v>27</v>
      </c>
      <c r="C91" s="14" t="s">
        <v>355</v>
      </c>
      <c r="D91" s="14" t="s">
        <v>356</v>
      </c>
      <c r="E91" s="14" t="s">
        <v>344</v>
      </c>
      <c r="F91" s="14" t="s">
        <v>343</v>
      </c>
      <c r="G91" s="14" t="s">
        <v>343</v>
      </c>
      <c r="H91" s="14" t="s">
        <v>343</v>
      </c>
      <c r="U91" s="14">
        <v>113</v>
      </c>
      <c r="V91" s="14">
        <v>1</v>
      </c>
      <c r="W91" s="14">
        <v>1</v>
      </c>
      <c r="X91" s="14">
        <v>1</v>
      </c>
    </row>
    <row r="92" spans="1:24" hidden="1" x14ac:dyDescent="0.3">
      <c r="A92" s="14" t="s">
        <v>382</v>
      </c>
      <c r="B92" s="14" t="s">
        <v>27</v>
      </c>
      <c r="C92" s="14" t="s">
        <v>357</v>
      </c>
      <c r="D92" s="14" t="s">
        <v>358</v>
      </c>
      <c r="E92" s="14" t="s">
        <v>342</v>
      </c>
      <c r="F92" s="14" t="s">
        <v>343</v>
      </c>
      <c r="G92" s="14" t="s">
        <v>343</v>
      </c>
      <c r="H92" s="14" t="s">
        <v>343</v>
      </c>
      <c r="U92" s="14">
        <v>1</v>
      </c>
      <c r="V92" s="14">
        <v>1</v>
      </c>
      <c r="W92" s="14">
        <v>1</v>
      </c>
      <c r="X92" s="14">
        <v>1</v>
      </c>
    </row>
    <row r="93" spans="1:24" hidden="1" x14ac:dyDescent="0.3">
      <c r="A93" s="14" t="s">
        <v>382</v>
      </c>
      <c r="B93" s="14" t="s">
        <v>27</v>
      </c>
      <c r="C93" s="14" t="s">
        <v>357</v>
      </c>
      <c r="D93" s="14" t="s">
        <v>358</v>
      </c>
      <c r="E93" s="14" t="s">
        <v>344</v>
      </c>
      <c r="F93" s="14" t="s">
        <v>343</v>
      </c>
      <c r="G93" s="14" t="s">
        <v>343</v>
      </c>
      <c r="H93" s="14" t="s">
        <v>343</v>
      </c>
      <c r="U93" s="14">
        <v>1</v>
      </c>
      <c r="V93" s="14">
        <v>1</v>
      </c>
      <c r="W93" s="14">
        <v>1</v>
      </c>
      <c r="X93" s="14">
        <v>1</v>
      </c>
    </row>
    <row r="94" spans="1:24" hidden="1" x14ac:dyDescent="0.3">
      <c r="A94" s="14" t="s">
        <v>382</v>
      </c>
      <c r="B94" s="14" t="s">
        <v>27</v>
      </c>
      <c r="C94" s="14" t="s">
        <v>359</v>
      </c>
      <c r="D94" s="14" t="s">
        <v>360</v>
      </c>
      <c r="E94" s="14" t="s">
        <v>342</v>
      </c>
      <c r="F94" s="14" t="s">
        <v>343</v>
      </c>
      <c r="G94" s="14" t="s">
        <v>343</v>
      </c>
      <c r="H94" s="14" t="s">
        <v>343</v>
      </c>
      <c r="I94" s="14">
        <v>0.66</v>
      </c>
      <c r="J94" s="14">
        <v>0.69</v>
      </c>
      <c r="K94" s="14">
        <v>0.65</v>
      </c>
      <c r="L94" s="14">
        <v>0.65</v>
      </c>
      <c r="M94" s="14">
        <v>0.68</v>
      </c>
      <c r="N94" s="14">
        <v>0.71</v>
      </c>
      <c r="O94" s="14">
        <v>0.67</v>
      </c>
      <c r="P94" s="14">
        <v>0.63</v>
      </c>
      <c r="Q94" s="14">
        <v>0.65</v>
      </c>
      <c r="R94" s="14">
        <v>0.67</v>
      </c>
      <c r="S94" s="14">
        <v>0.67</v>
      </c>
      <c r="T94" s="14">
        <v>0.67</v>
      </c>
      <c r="U94" s="14">
        <v>0.7</v>
      </c>
      <c r="V94" s="14">
        <v>0.74</v>
      </c>
      <c r="W94" s="14">
        <v>0.75</v>
      </c>
      <c r="X94" s="14">
        <v>0.77</v>
      </c>
    </row>
    <row r="95" spans="1:24" hidden="1" x14ac:dyDescent="0.3">
      <c r="A95" s="14" t="s">
        <v>382</v>
      </c>
      <c r="B95" s="14" t="s">
        <v>27</v>
      </c>
      <c r="C95" s="14" t="s">
        <v>359</v>
      </c>
      <c r="D95" s="14" t="s">
        <v>360</v>
      </c>
      <c r="E95" s="14" t="s">
        <v>344</v>
      </c>
      <c r="F95" s="14" t="s">
        <v>343</v>
      </c>
      <c r="G95" s="14" t="s">
        <v>343</v>
      </c>
      <c r="H95" s="14" t="s">
        <v>343</v>
      </c>
      <c r="I95" s="14">
        <v>38</v>
      </c>
      <c r="J95" s="14">
        <v>36</v>
      </c>
      <c r="K95" s="14">
        <v>62</v>
      </c>
      <c r="L95" s="14">
        <v>63</v>
      </c>
      <c r="M95" s="14">
        <v>51</v>
      </c>
      <c r="N95" s="14">
        <v>38</v>
      </c>
      <c r="O95" s="14">
        <v>63</v>
      </c>
      <c r="P95" s="14">
        <v>87</v>
      </c>
      <c r="Q95" s="14">
        <v>78</v>
      </c>
      <c r="R95" s="14">
        <v>69</v>
      </c>
      <c r="S95" s="14">
        <v>73</v>
      </c>
      <c r="T95" s="14">
        <v>70</v>
      </c>
      <c r="U95" s="14">
        <v>54</v>
      </c>
      <c r="V95" s="14">
        <v>36</v>
      </c>
      <c r="W95" s="14">
        <v>35</v>
      </c>
      <c r="X95" s="14">
        <v>23</v>
      </c>
    </row>
    <row r="96" spans="1:24" x14ac:dyDescent="0.3">
      <c r="A96" s="14" t="s">
        <v>382</v>
      </c>
      <c r="B96" s="14" t="s">
        <v>27</v>
      </c>
      <c r="C96" s="14" t="s">
        <v>361</v>
      </c>
      <c r="D96" s="14" t="s">
        <v>362</v>
      </c>
      <c r="E96" s="14" t="s">
        <v>342</v>
      </c>
      <c r="F96" s="14" t="s">
        <v>343</v>
      </c>
      <c r="G96" s="14" t="s">
        <v>343</v>
      </c>
      <c r="H96" s="14" t="s">
        <v>343</v>
      </c>
      <c r="I96" s="14">
        <v>0.96</v>
      </c>
      <c r="J96" s="14">
        <v>0.96</v>
      </c>
      <c r="K96" s="14">
        <v>0.96</v>
      </c>
      <c r="L96" s="14">
        <v>0.96</v>
      </c>
      <c r="M96" s="14">
        <v>0.94</v>
      </c>
      <c r="N96" s="14">
        <v>0.93</v>
      </c>
      <c r="O96" s="14">
        <v>0.93</v>
      </c>
      <c r="P96" s="14">
        <v>0.93</v>
      </c>
      <c r="Q96" s="14">
        <v>0.94</v>
      </c>
      <c r="R96" s="14">
        <v>0.95</v>
      </c>
      <c r="S96" s="14">
        <v>0.95</v>
      </c>
      <c r="T96" s="14">
        <v>0.97</v>
      </c>
      <c r="U96" s="14">
        <v>0.96</v>
      </c>
      <c r="V96" s="14">
        <v>0.96</v>
      </c>
      <c r="W96" s="14">
        <v>0.96</v>
      </c>
      <c r="X96" s="14">
        <v>0.96</v>
      </c>
    </row>
    <row r="97" spans="1:24" hidden="1" x14ac:dyDescent="0.3">
      <c r="A97" s="14" t="s">
        <v>382</v>
      </c>
      <c r="B97" s="14" t="s">
        <v>27</v>
      </c>
      <c r="C97" s="14" t="s">
        <v>361</v>
      </c>
      <c r="D97" s="14" t="s">
        <v>362</v>
      </c>
      <c r="E97" s="14" t="s">
        <v>344</v>
      </c>
      <c r="F97" s="14" t="s">
        <v>343</v>
      </c>
      <c r="G97" s="14" t="s">
        <v>343</v>
      </c>
      <c r="H97" s="14" t="s">
        <v>343</v>
      </c>
      <c r="I97" s="14">
        <v>110</v>
      </c>
      <c r="J97" s="14">
        <v>116</v>
      </c>
      <c r="K97" s="14">
        <v>118</v>
      </c>
      <c r="L97" s="14">
        <v>122</v>
      </c>
      <c r="M97" s="14">
        <v>131</v>
      </c>
      <c r="N97" s="14">
        <v>135</v>
      </c>
      <c r="O97" s="14">
        <v>133</v>
      </c>
      <c r="P97" s="14">
        <v>134</v>
      </c>
      <c r="Q97" s="14">
        <v>139</v>
      </c>
      <c r="R97" s="14">
        <v>142</v>
      </c>
      <c r="S97" s="14">
        <v>141</v>
      </c>
      <c r="T97" s="14">
        <v>120</v>
      </c>
      <c r="U97" s="14">
        <v>134</v>
      </c>
      <c r="V97" s="14">
        <v>145</v>
      </c>
      <c r="W97" s="14">
        <v>147</v>
      </c>
      <c r="X97" s="14">
        <v>137</v>
      </c>
    </row>
    <row r="98" spans="1:24" hidden="1" x14ac:dyDescent="0.3">
      <c r="A98" s="14" t="s">
        <v>382</v>
      </c>
      <c r="B98" s="14" t="s">
        <v>27</v>
      </c>
      <c r="C98" s="14" t="s">
        <v>363</v>
      </c>
      <c r="D98" s="14" t="s">
        <v>364</v>
      </c>
      <c r="E98" s="14" t="s">
        <v>342</v>
      </c>
      <c r="F98" s="14" t="s">
        <v>343</v>
      </c>
      <c r="G98" s="14" t="s">
        <v>343</v>
      </c>
      <c r="H98" s="14" t="s">
        <v>343</v>
      </c>
      <c r="U98" s="14">
        <v>1.04</v>
      </c>
      <c r="V98" s="14">
        <v>1.04</v>
      </c>
      <c r="W98" s="14">
        <v>1.03</v>
      </c>
      <c r="X98" s="14">
        <v>1.03</v>
      </c>
    </row>
    <row r="99" spans="1:24" hidden="1" x14ac:dyDescent="0.3">
      <c r="A99" s="14" t="s">
        <v>382</v>
      </c>
      <c r="B99" s="14" t="s">
        <v>27</v>
      </c>
      <c r="C99" s="14" t="s">
        <v>363</v>
      </c>
      <c r="D99" s="14" t="s">
        <v>364</v>
      </c>
      <c r="E99" s="14" t="s">
        <v>344</v>
      </c>
      <c r="F99" s="14" t="s">
        <v>343</v>
      </c>
      <c r="G99" s="14" t="s">
        <v>343</v>
      </c>
      <c r="H99" s="14" t="s">
        <v>343</v>
      </c>
      <c r="U99" s="14">
        <v>86</v>
      </c>
      <c r="V99" s="14">
        <v>89</v>
      </c>
      <c r="W99" s="14">
        <v>85</v>
      </c>
      <c r="X99" s="14">
        <v>79</v>
      </c>
    </row>
    <row r="100" spans="1:24" hidden="1" x14ac:dyDescent="0.3">
      <c r="A100" s="14" t="s">
        <v>382</v>
      </c>
      <c r="B100" s="14" t="s">
        <v>27</v>
      </c>
      <c r="C100" s="14" t="s">
        <v>365</v>
      </c>
      <c r="D100" s="14" t="s">
        <v>366</v>
      </c>
      <c r="E100" s="14" t="s">
        <v>342</v>
      </c>
      <c r="F100" s="14" t="s">
        <v>343</v>
      </c>
      <c r="G100" s="14" t="s">
        <v>343</v>
      </c>
      <c r="H100" s="14" t="s">
        <v>343</v>
      </c>
      <c r="U100" s="14">
        <v>0.93</v>
      </c>
      <c r="V100" s="14">
        <v>0.92</v>
      </c>
      <c r="W100" s="14">
        <v>0.92</v>
      </c>
      <c r="X100" s="14">
        <v>0.92</v>
      </c>
    </row>
    <row r="101" spans="1:24" hidden="1" x14ac:dyDescent="0.3">
      <c r="A101" s="14" t="s">
        <v>382</v>
      </c>
      <c r="B101" s="14" t="s">
        <v>27</v>
      </c>
      <c r="C101" s="14" t="s">
        <v>365</v>
      </c>
      <c r="D101" s="14" t="s">
        <v>366</v>
      </c>
      <c r="E101" s="14" t="s">
        <v>344</v>
      </c>
      <c r="F101" s="14" t="s">
        <v>343</v>
      </c>
      <c r="G101" s="14" t="s">
        <v>343</v>
      </c>
      <c r="H101" s="14" t="s">
        <v>343</v>
      </c>
      <c r="U101" s="14">
        <v>142</v>
      </c>
      <c r="V101" s="14">
        <v>147</v>
      </c>
      <c r="W101" s="14">
        <v>150</v>
      </c>
      <c r="X101" s="14">
        <v>140</v>
      </c>
    </row>
    <row r="102" spans="1:24" hidden="1" x14ac:dyDescent="0.3">
      <c r="A102" s="14" t="s">
        <v>382</v>
      </c>
      <c r="B102" s="14" t="s">
        <v>27</v>
      </c>
      <c r="C102" s="14" t="s">
        <v>367</v>
      </c>
      <c r="D102" s="14" t="s">
        <v>368</v>
      </c>
      <c r="E102" s="14" t="s">
        <v>342</v>
      </c>
      <c r="F102" s="14" t="s">
        <v>343</v>
      </c>
      <c r="G102" s="14" t="s">
        <v>343</v>
      </c>
      <c r="H102" s="14" t="s">
        <v>343</v>
      </c>
      <c r="I102" s="14">
        <v>0.66</v>
      </c>
      <c r="J102" s="14">
        <v>0.67</v>
      </c>
      <c r="K102" s="14">
        <v>0.66</v>
      </c>
      <c r="L102" s="14">
        <v>0.66</v>
      </c>
      <c r="M102" s="14">
        <v>0.67</v>
      </c>
      <c r="N102" s="14">
        <v>0.67</v>
      </c>
      <c r="O102" s="14">
        <v>0.67</v>
      </c>
      <c r="P102" s="14">
        <v>0.64</v>
      </c>
      <c r="Q102" s="14">
        <v>0.69</v>
      </c>
      <c r="R102" s="14">
        <v>0.7</v>
      </c>
      <c r="S102" s="14">
        <v>0.7</v>
      </c>
      <c r="T102" s="14">
        <v>0.73</v>
      </c>
      <c r="U102" s="14">
        <v>0.73</v>
      </c>
      <c r="V102" s="14">
        <v>0.77</v>
      </c>
      <c r="W102" s="14">
        <v>0.77</v>
      </c>
      <c r="X102" s="14">
        <v>0.79</v>
      </c>
    </row>
    <row r="103" spans="1:24" hidden="1" x14ac:dyDescent="0.3">
      <c r="A103" s="14" t="s">
        <v>382</v>
      </c>
      <c r="B103" s="14" t="s">
        <v>27</v>
      </c>
      <c r="C103" s="14" t="s">
        <v>367</v>
      </c>
      <c r="D103" s="14" t="s">
        <v>368</v>
      </c>
      <c r="E103" s="14" t="s">
        <v>344</v>
      </c>
      <c r="F103" s="14" t="s">
        <v>343</v>
      </c>
      <c r="G103" s="14" t="s">
        <v>343</v>
      </c>
      <c r="H103" s="14" t="s">
        <v>343</v>
      </c>
      <c r="I103" s="14">
        <v>61</v>
      </c>
      <c r="J103" s="14">
        <v>66</v>
      </c>
      <c r="K103" s="14">
        <v>87</v>
      </c>
      <c r="L103" s="14">
        <v>91</v>
      </c>
      <c r="M103" s="14">
        <v>78</v>
      </c>
      <c r="N103" s="14">
        <v>78</v>
      </c>
      <c r="O103" s="14">
        <v>91</v>
      </c>
      <c r="P103" s="14">
        <v>108</v>
      </c>
      <c r="Q103" s="14">
        <v>83</v>
      </c>
      <c r="R103" s="14">
        <v>70</v>
      </c>
      <c r="S103" s="14">
        <v>62</v>
      </c>
      <c r="T103" s="14">
        <v>38</v>
      </c>
      <c r="U103" s="14">
        <v>34</v>
      </c>
      <c r="V103" s="14">
        <v>20</v>
      </c>
      <c r="W103" s="14">
        <v>25</v>
      </c>
      <c r="X103" s="14">
        <v>18</v>
      </c>
    </row>
    <row r="104" spans="1:24" hidden="1" x14ac:dyDescent="0.3">
      <c r="A104" s="14" t="s">
        <v>382</v>
      </c>
      <c r="B104" s="14" t="s">
        <v>27</v>
      </c>
      <c r="C104" s="14" t="s">
        <v>369</v>
      </c>
      <c r="D104" s="14" t="s">
        <v>370</v>
      </c>
      <c r="E104" s="14" t="s">
        <v>342</v>
      </c>
      <c r="F104" s="14" t="s">
        <v>343</v>
      </c>
      <c r="G104" s="14" t="s">
        <v>343</v>
      </c>
      <c r="H104" s="14" t="s">
        <v>343</v>
      </c>
      <c r="I104" s="14">
        <v>0.04</v>
      </c>
      <c r="J104" s="14">
        <v>0.04</v>
      </c>
      <c r="K104" s="14">
        <v>0.04</v>
      </c>
      <c r="L104" s="14">
        <v>0.04</v>
      </c>
      <c r="M104" s="14">
        <v>0.08</v>
      </c>
      <c r="N104" s="14">
        <v>0.08</v>
      </c>
      <c r="O104" s="14">
        <v>0.08</v>
      </c>
      <c r="P104" s="14">
        <v>0.03</v>
      </c>
      <c r="Q104" s="14">
        <v>0.18</v>
      </c>
      <c r="R104" s="14">
        <v>0.21</v>
      </c>
      <c r="S104" s="14">
        <v>0.21</v>
      </c>
      <c r="T104" s="14">
        <v>0.28000000000000003</v>
      </c>
      <c r="U104" s="14">
        <v>0.28000000000000003</v>
      </c>
      <c r="V104" s="14">
        <v>0.38</v>
      </c>
      <c r="W104" s="14">
        <v>0.38</v>
      </c>
      <c r="X104" s="14">
        <v>0.42</v>
      </c>
    </row>
    <row r="105" spans="1:24" hidden="1" x14ac:dyDescent="0.3">
      <c r="A105" s="14" t="s">
        <v>382</v>
      </c>
      <c r="B105" s="14" t="s">
        <v>27</v>
      </c>
      <c r="C105" s="14" t="s">
        <v>369</v>
      </c>
      <c r="D105" s="14" t="s">
        <v>370</v>
      </c>
      <c r="E105" s="14" t="s">
        <v>344</v>
      </c>
      <c r="F105" s="14" t="s">
        <v>343</v>
      </c>
      <c r="G105" s="14" t="s">
        <v>343</v>
      </c>
      <c r="H105" s="14" t="s">
        <v>343</v>
      </c>
      <c r="I105" s="14">
        <v>105</v>
      </c>
      <c r="J105" s="14">
        <v>117</v>
      </c>
      <c r="K105" s="14">
        <v>119</v>
      </c>
      <c r="L105" s="14">
        <v>125</v>
      </c>
      <c r="M105" s="14">
        <v>97</v>
      </c>
      <c r="N105" s="14">
        <v>99</v>
      </c>
      <c r="O105" s="14">
        <v>105</v>
      </c>
      <c r="P105" s="14">
        <v>130</v>
      </c>
      <c r="Q105" s="14">
        <v>55</v>
      </c>
      <c r="R105" s="14">
        <v>50</v>
      </c>
      <c r="S105" s="14">
        <v>53</v>
      </c>
      <c r="T105" s="14">
        <v>31</v>
      </c>
      <c r="U105" s="14">
        <v>34</v>
      </c>
      <c r="V105" s="14">
        <v>23</v>
      </c>
      <c r="W105" s="14">
        <v>30</v>
      </c>
      <c r="X105" s="14">
        <v>25</v>
      </c>
    </row>
    <row r="106" spans="1:24" hidden="1" x14ac:dyDescent="0.3">
      <c r="A106" s="14" t="s">
        <v>382</v>
      </c>
      <c r="B106" s="14" t="s">
        <v>27</v>
      </c>
      <c r="C106" s="14" t="s">
        <v>371</v>
      </c>
      <c r="D106" s="14" t="s">
        <v>372</v>
      </c>
      <c r="E106" s="14" t="s">
        <v>342</v>
      </c>
      <c r="F106" s="14" t="s">
        <v>343</v>
      </c>
      <c r="G106" s="14" t="s">
        <v>343</v>
      </c>
      <c r="H106" s="14" t="s">
        <v>343</v>
      </c>
      <c r="U106" s="14">
        <v>0</v>
      </c>
      <c r="V106" s="14">
        <v>0</v>
      </c>
      <c r="W106" s="14">
        <v>0</v>
      </c>
      <c r="X106" s="14">
        <v>0</v>
      </c>
    </row>
    <row r="107" spans="1:24" hidden="1" x14ac:dyDescent="0.3">
      <c r="A107" s="14" t="s">
        <v>382</v>
      </c>
      <c r="B107" s="14" t="s">
        <v>27</v>
      </c>
      <c r="C107" s="14" t="s">
        <v>371</v>
      </c>
      <c r="D107" s="14" t="s">
        <v>372</v>
      </c>
      <c r="E107" s="14" t="s">
        <v>344</v>
      </c>
      <c r="F107" s="14" t="s">
        <v>343</v>
      </c>
      <c r="G107" s="14" t="s">
        <v>343</v>
      </c>
      <c r="H107" s="14" t="s">
        <v>343</v>
      </c>
      <c r="U107" s="14">
        <v>71</v>
      </c>
      <c r="V107" s="14">
        <v>73</v>
      </c>
      <c r="W107" s="14">
        <v>76</v>
      </c>
      <c r="X107" s="14">
        <v>78</v>
      </c>
    </row>
    <row r="108" spans="1:24" hidden="1" x14ac:dyDescent="0.3">
      <c r="A108" s="14" t="s">
        <v>382</v>
      </c>
      <c r="B108" s="14" t="s">
        <v>27</v>
      </c>
      <c r="C108" s="14" t="s">
        <v>373</v>
      </c>
      <c r="D108" s="14" t="s">
        <v>374</v>
      </c>
      <c r="E108" s="14" t="s">
        <v>342</v>
      </c>
      <c r="F108" s="14" t="s">
        <v>343</v>
      </c>
      <c r="G108" s="14" t="s">
        <v>343</v>
      </c>
      <c r="H108" s="14" t="s">
        <v>343</v>
      </c>
      <c r="U108" s="14">
        <v>0.67</v>
      </c>
      <c r="V108" s="14">
        <v>1</v>
      </c>
      <c r="W108" s="14">
        <v>1</v>
      </c>
      <c r="X108" s="14">
        <v>1</v>
      </c>
    </row>
    <row r="109" spans="1:24" hidden="1" x14ac:dyDescent="0.3">
      <c r="A109" s="14" t="s">
        <v>382</v>
      </c>
      <c r="B109" s="14" t="s">
        <v>27</v>
      </c>
      <c r="C109" s="14" t="s">
        <v>373</v>
      </c>
      <c r="D109" s="14" t="s">
        <v>374</v>
      </c>
      <c r="E109" s="14" t="s">
        <v>344</v>
      </c>
      <c r="F109" s="14" t="s">
        <v>343</v>
      </c>
      <c r="G109" s="14" t="s">
        <v>343</v>
      </c>
      <c r="H109" s="14" t="s">
        <v>343</v>
      </c>
      <c r="U109" s="14">
        <v>10</v>
      </c>
      <c r="V109" s="14">
        <v>1</v>
      </c>
      <c r="W109" s="14">
        <v>1</v>
      </c>
      <c r="X109" s="14">
        <v>1</v>
      </c>
    </row>
    <row r="110" spans="1:24" hidden="1" x14ac:dyDescent="0.3">
      <c r="A110" s="14" t="s">
        <v>382</v>
      </c>
      <c r="B110" s="14" t="s">
        <v>27</v>
      </c>
      <c r="C110" s="14" t="s">
        <v>375</v>
      </c>
      <c r="D110" s="14" t="s">
        <v>376</v>
      </c>
      <c r="E110" s="14" t="s">
        <v>342</v>
      </c>
      <c r="F110" s="14" t="s">
        <v>343</v>
      </c>
      <c r="G110" s="14" t="s">
        <v>343</v>
      </c>
      <c r="H110" s="14" t="s">
        <v>343</v>
      </c>
      <c r="U110" s="14">
        <v>0.39</v>
      </c>
      <c r="V110" s="14">
        <v>0.41</v>
      </c>
      <c r="W110" s="14">
        <v>0.42</v>
      </c>
      <c r="X110" s="14">
        <v>0.56000000000000005</v>
      </c>
    </row>
    <row r="111" spans="1:24" hidden="1" x14ac:dyDescent="0.3">
      <c r="A111" s="14" t="s">
        <v>382</v>
      </c>
      <c r="B111" s="14" t="s">
        <v>27</v>
      </c>
      <c r="C111" s="14" t="s">
        <v>375</v>
      </c>
      <c r="D111" s="14" t="s">
        <v>376</v>
      </c>
      <c r="E111" s="14" t="s">
        <v>344</v>
      </c>
      <c r="F111" s="14" t="s">
        <v>343</v>
      </c>
      <c r="G111" s="14" t="s">
        <v>343</v>
      </c>
      <c r="H111" s="14" t="s">
        <v>343</v>
      </c>
      <c r="U111" s="14">
        <v>47</v>
      </c>
      <c r="V111" s="14">
        <v>49</v>
      </c>
      <c r="W111" s="14">
        <v>48</v>
      </c>
      <c r="X111" s="14">
        <v>37</v>
      </c>
    </row>
    <row r="112" spans="1:24" hidden="1" x14ac:dyDescent="0.3">
      <c r="A112" s="14" t="s">
        <v>383</v>
      </c>
      <c r="B112" s="14" t="s">
        <v>246</v>
      </c>
      <c r="C112" s="14" t="s">
        <v>340</v>
      </c>
      <c r="D112" s="14" t="s">
        <v>341</v>
      </c>
      <c r="E112" s="14" t="s">
        <v>342</v>
      </c>
      <c r="F112" s="14" t="s">
        <v>343</v>
      </c>
      <c r="G112" s="14" t="s">
        <v>343</v>
      </c>
      <c r="H112" s="14" t="s">
        <v>343</v>
      </c>
      <c r="I112" s="14">
        <v>0.99</v>
      </c>
      <c r="J112" s="14">
        <v>0.99</v>
      </c>
      <c r="K112" s="14">
        <v>1</v>
      </c>
      <c r="L112" s="14">
        <v>0.99</v>
      </c>
      <c r="M112" s="14">
        <v>1</v>
      </c>
      <c r="N112" s="14">
        <v>0.99</v>
      </c>
      <c r="O112" s="14">
        <v>1</v>
      </c>
      <c r="P112" s="14">
        <v>1</v>
      </c>
      <c r="Q112" s="14">
        <v>0.99</v>
      </c>
      <c r="R112" s="14">
        <v>0.99</v>
      </c>
      <c r="S112" s="14">
        <v>1</v>
      </c>
      <c r="T112" s="14">
        <v>0.99</v>
      </c>
      <c r="U112" s="14">
        <v>0.98</v>
      </c>
      <c r="V112" s="14">
        <v>0.99</v>
      </c>
      <c r="W112" s="14">
        <v>0.99</v>
      </c>
      <c r="X112" s="14">
        <v>1</v>
      </c>
    </row>
    <row r="113" spans="1:24" hidden="1" x14ac:dyDescent="0.3">
      <c r="A113" s="14" t="s">
        <v>383</v>
      </c>
      <c r="B113" s="14" t="s">
        <v>246</v>
      </c>
      <c r="C113" s="14" t="s">
        <v>340</v>
      </c>
      <c r="D113" s="14" t="s">
        <v>341</v>
      </c>
      <c r="E113" s="14" t="s">
        <v>344</v>
      </c>
      <c r="F113" s="14" t="s">
        <v>343</v>
      </c>
      <c r="G113" s="14" t="s">
        <v>343</v>
      </c>
      <c r="H113" s="14" t="s">
        <v>343</v>
      </c>
      <c r="I113" s="14">
        <v>60</v>
      </c>
      <c r="J113" s="14">
        <v>68</v>
      </c>
      <c r="K113" s="14">
        <v>46</v>
      </c>
      <c r="L113" s="14">
        <v>67</v>
      </c>
      <c r="M113" s="14">
        <v>37</v>
      </c>
      <c r="N113" s="14">
        <v>59</v>
      </c>
      <c r="O113" s="14">
        <v>1</v>
      </c>
      <c r="P113" s="14">
        <v>1</v>
      </c>
      <c r="Q113" s="14">
        <v>83</v>
      </c>
      <c r="R113" s="14">
        <v>86</v>
      </c>
      <c r="S113" s="14">
        <v>32</v>
      </c>
      <c r="T113" s="14">
        <v>62</v>
      </c>
      <c r="U113" s="14">
        <v>95</v>
      </c>
      <c r="V113" s="14">
        <v>89</v>
      </c>
      <c r="W113" s="14">
        <v>89</v>
      </c>
      <c r="X113" s="14">
        <v>49</v>
      </c>
    </row>
    <row r="114" spans="1:24" hidden="1" x14ac:dyDescent="0.3">
      <c r="A114" s="14" t="s">
        <v>383</v>
      </c>
      <c r="B114" s="14" t="s">
        <v>246</v>
      </c>
      <c r="C114" s="14" t="s">
        <v>345</v>
      </c>
      <c r="D114" s="14" t="s">
        <v>346</v>
      </c>
      <c r="E114" s="14" t="s">
        <v>342</v>
      </c>
      <c r="F114" s="14" t="s">
        <v>343</v>
      </c>
      <c r="G114" s="14" t="s">
        <v>343</v>
      </c>
      <c r="H114" s="14" t="s">
        <v>343</v>
      </c>
      <c r="U114" s="14">
        <v>0.26</v>
      </c>
      <c r="V114" s="14">
        <v>0.27</v>
      </c>
      <c r="W114" s="14">
        <v>0.36</v>
      </c>
      <c r="X114" s="14">
        <v>0.34</v>
      </c>
    </row>
    <row r="115" spans="1:24" hidden="1" x14ac:dyDescent="0.3">
      <c r="A115" s="14" t="s">
        <v>383</v>
      </c>
      <c r="B115" s="14" t="s">
        <v>246</v>
      </c>
      <c r="C115" s="14" t="s">
        <v>345</v>
      </c>
      <c r="D115" s="14" t="s">
        <v>346</v>
      </c>
      <c r="E115" s="14" t="s">
        <v>344</v>
      </c>
      <c r="F115" s="14" t="s">
        <v>343</v>
      </c>
      <c r="G115" s="14" t="s">
        <v>343</v>
      </c>
      <c r="H115" s="14" t="s">
        <v>343</v>
      </c>
      <c r="U115" s="14">
        <v>135</v>
      </c>
      <c r="V115" s="14">
        <v>137</v>
      </c>
      <c r="W115" s="14">
        <v>136</v>
      </c>
      <c r="X115" s="14">
        <v>133</v>
      </c>
    </row>
    <row r="116" spans="1:24" hidden="1" x14ac:dyDescent="0.3">
      <c r="A116" s="14" t="s">
        <v>383</v>
      </c>
      <c r="B116" s="14" t="s">
        <v>246</v>
      </c>
      <c r="C116" s="14" t="s">
        <v>347</v>
      </c>
      <c r="D116" s="14" t="s">
        <v>348</v>
      </c>
      <c r="E116" s="14" t="s">
        <v>342</v>
      </c>
      <c r="F116" s="14" t="s">
        <v>343</v>
      </c>
      <c r="G116" s="14" t="s">
        <v>343</v>
      </c>
      <c r="H116" s="14" t="s">
        <v>343</v>
      </c>
      <c r="U116" s="14">
        <v>0.45</v>
      </c>
      <c r="V116" s="14">
        <v>0.55000000000000004</v>
      </c>
      <c r="W116" s="14">
        <v>0.56000000000000005</v>
      </c>
      <c r="X116" s="14">
        <v>0.53</v>
      </c>
    </row>
    <row r="117" spans="1:24" hidden="1" x14ac:dyDescent="0.3">
      <c r="A117" s="14" t="s">
        <v>383</v>
      </c>
      <c r="B117" s="14" t="s">
        <v>246</v>
      </c>
      <c r="C117" s="14" t="s">
        <v>347</v>
      </c>
      <c r="D117" s="14" t="s">
        <v>348</v>
      </c>
      <c r="E117" s="14" t="s">
        <v>344</v>
      </c>
      <c r="F117" s="14" t="s">
        <v>343</v>
      </c>
      <c r="G117" s="14" t="s">
        <v>343</v>
      </c>
      <c r="H117" s="14" t="s">
        <v>343</v>
      </c>
      <c r="U117" s="14">
        <v>134</v>
      </c>
      <c r="V117" s="14">
        <v>129</v>
      </c>
      <c r="W117" s="14">
        <v>133</v>
      </c>
      <c r="X117" s="14">
        <v>127</v>
      </c>
    </row>
    <row r="118" spans="1:24" hidden="1" x14ac:dyDescent="0.3">
      <c r="A118" s="14" t="s">
        <v>383</v>
      </c>
      <c r="B118" s="14" t="s">
        <v>246</v>
      </c>
      <c r="C118" s="14" t="s">
        <v>349</v>
      </c>
      <c r="D118" s="14" t="s">
        <v>350</v>
      </c>
      <c r="E118" s="14" t="s">
        <v>342</v>
      </c>
      <c r="F118" s="14" t="s">
        <v>343</v>
      </c>
      <c r="G118" s="14" t="s">
        <v>343</v>
      </c>
      <c r="H118" s="14" t="s">
        <v>343</v>
      </c>
      <c r="U118" s="14">
        <v>0.14000000000000001</v>
      </c>
      <c r="V118" s="14">
        <v>0.19</v>
      </c>
      <c r="W118" s="14">
        <v>0.27</v>
      </c>
      <c r="X118" s="14">
        <v>0.22</v>
      </c>
    </row>
    <row r="119" spans="1:24" hidden="1" x14ac:dyDescent="0.3">
      <c r="A119" s="14" t="s">
        <v>383</v>
      </c>
      <c r="B119" s="14" t="s">
        <v>246</v>
      </c>
      <c r="C119" s="14" t="s">
        <v>349</v>
      </c>
      <c r="D119" s="14" t="s">
        <v>350</v>
      </c>
      <c r="E119" s="14" t="s">
        <v>344</v>
      </c>
      <c r="F119" s="14" t="s">
        <v>343</v>
      </c>
      <c r="G119" s="14" t="s">
        <v>343</v>
      </c>
      <c r="H119" s="14" t="s">
        <v>343</v>
      </c>
      <c r="U119" s="14">
        <v>132</v>
      </c>
      <c r="V119" s="14">
        <v>128</v>
      </c>
      <c r="W119" s="14">
        <v>120</v>
      </c>
      <c r="X119" s="14">
        <v>122</v>
      </c>
    </row>
    <row r="120" spans="1:24" hidden="1" x14ac:dyDescent="0.3">
      <c r="A120" s="14" t="s">
        <v>383</v>
      </c>
      <c r="B120" s="14" t="s">
        <v>246</v>
      </c>
      <c r="C120" s="14" t="s">
        <v>351</v>
      </c>
      <c r="D120" s="14" t="s">
        <v>352</v>
      </c>
      <c r="E120" s="14" t="s">
        <v>342</v>
      </c>
      <c r="F120" s="14" t="s">
        <v>343</v>
      </c>
      <c r="G120" s="14" t="s">
        <v>343</v>
      </c>
      <c r="H120" s="14" t="s">
        <v>343</v>
      </c>
      <c r="U120" s="14">
        <v>0.22</v>
      </c>
      <c r="V120" s="14">
        <v>0.27</v>
      </c>
      <c r="W120" s="14">
        <v>0.28000000000000003</v>
      </c>
      <c r="X120" s="14">
        <v>0.39</v>
      </c>
    </row>
    <row r="121" spans="1:24" hidden="1" x14ac:dyDescent="0.3">
      <c r="A121" s="14" t="s">
        <v>383</v>
      </c>
      <c r="B121" s="14" t="s">
        <v>246</v>
      </c>
      <c r="C121" s="14" t="s">
        <v>351</v>
      </c>
      <c r="D121" s="14" t="s">
        <v>352</v>
      </c>
      <c r="E121" s="14" t="s">
        <v>344</v>
      </c>
      <c r="F121" s="14" t="s">
        <v>343</v>
      </c>
      <c r="G121" s="14" t="s">
        <v>343</v>
      </c>
      <c r="H121" s="14" t="s">
        <v>343</v>
      </c>
      <c r="U121" s="14">
        <v>141</v>
      </c>
      <c r="V121" s="14">
        <v>144</v>
      </c>
      <c r="W121" s="14">
        <v>148</v>
      </c>
      <c r="X121" s="14">
        <v>128</v>
      </c>
    </row>
    <row r="122" spans="1:24" hidden="1" x14ac:dyDescent="0.3">
      <c r="A122" s="14" t="s">
        <v>383</v>
      </c>
      <c r="B122" s="14" t="s">
        <v>246</v>
      </c>
      <c r="C122" s="14" t="s">
        <v>378</v>
      </c>
      <c r="D122" s="14" t="s">
        <v>379</v>
      </c>
      <c r="E122" s="14" t="s">
        <v>342</v>
      </c>
      <c r="F122" s="14" t="s">
        <v>343</v>
      </c>
      <c r="G122" s="14" t="s">
        <v>343</v>
      </c>
      <c r="H122" s="14" t="s">
        <v>343</v>
      </c>
      <c r="S122" s="14">
        <v>0.8</v>
      </c>
      <c r="U122" s="14">
        <v>0.79</v>
      </c>
      <c r="V122" s="14">
        <v>0.78</v>
      </c>
      <c r="W122" s="14">
        <v>0.79</v>
      </c>
      <c r="X122" s="14">
        <v>0.78</v>
      </c>
    </row>
    <row r="123" spans="1:24" hidden="1" x14ac:dyDescent="0.3">
      <c r="A123" s="14" t="s">
        <v>383</v>
      </c>
      <c r="B123" s="14" t="s">
        <v>246</v>
      </c>
      <c r="C123" s="14" t="s">
        <v>378</v>
      </c>
      <c r="D123" s="14" t="s">
        <v>379</v>
      </c>
      <c r="E123" s="14" t="s">
        <v>344</v>
      </c>
      <c r="F123" s="14" t="s">
        <v>343</v>
      </c>
      <c r="G123" s="14" t="s">
        <v>343</v>
      </c>
      <c r="H123" s="14" t="s">
        <v>343</v>
      </c>
      <c r="S123" s="14">
        <v>8</v>
      </c>
      <c r="U123" s="14">
        <v>11</v>
      </c>
      <c r="V123" s="14">
        <v>10</v>
      </c>
      <c r="W123" s="14">
        <v>12</v>
      </c>
      <c r="X123" s="14">
        <v>9</v>
      </c>
    </row>
    <row r="124" spans="1:24" hidden="1" x14ac:dyDescent="0.3">
      <c r="A124" s="14" t="s">
        <v>383</v>
      </c>
      <c r="B124" s="14" t="s">
        <v>246</v>
      </c>
      <c r="C124" s="14" t="s">
        <v>353</v>
      </c>
      <c r="D124" s="14" t="s">
        <v>354</v>
      </c>
      <c r="E124" s="14" t="s">
        <v>342</v>
      </c>
      <c r="F124" s="14" t="s">
        <v>343</v>
      </c>
      <c r="G124" s="14" t="s">
        <v>343</v>
      </c>
      <c r="H124" s="14" t="s">
        <v>343</v>
      </c>
      <c r="U124" s="14">
        <v>1</v>
      </c>
      <c r="V124" s="14">
        <v>1</v>
      </c>
      <c r="W124" s="14">
        <v>1</v>
      </c>
      <c r="X124" s="14">
        <v>0.98</v>
      </c>
    </row>
    <row r="125" spans="1:24" hidden="1" x14ac:dyDescent="0.3">
      <c r="A125" s="14" t="s">
        <v>383</v>
      </c>
      <c r="B125" s="14" t="s">
        <v>246</v>
      </c>
      <c r="C125" s="14" t="s">
        <v>353</v>
      </c>
      <c r="D125" s="14" t="s">
        <v>354</v>
      </c>
      <c r="E125" s="14" t="s">
        <v>344</v>
      </c>
      <c r="F125" s="14" t="s">
        <v>343</v>
      </c>
      <c r="G125" s="14" t="s">
        <v>343</v>
      </c>
      <c r="H125" s="14" t="s">
        <v>343</v>
      </c>
      <c r="U125" s="14">
        <v>1</v>
      </c>
      <c r="V125" s="14">
        <v>1</v>
      </c>
      <c r="W125" s="14">
        <v>1</v>
      </c>
      <c r="X125" s="14">
        <v>79</v>
      </c>
    </row>
    <row r="126" spans="1:24" hidden="1" x14ac:dyDescent="0.3">
      <c r="A126" s="14" t="s">
        <v>383</v>
      </c>
      <c r="B126" s="14" t="s">
        <v>246</v>
      </c>
      <c r="C126" s="14" t="s">
        <v>380</v>
      </c>
      <c r="D126" s="14" t="s">
        <v>381</v>
      </c>
      <c r="E126" s="14" t="s">
        <v>342</v>
      </c>
      <c r="F126" s="14" t="s">
        <v>343</v>
      </c>
      <c r="G126" s="14" t="s">
        <v>343</v>
      </c>
      <c r="H126" s="14" t="s">
        <v>343</v>
      </c>
      <c r="U126" s="14">
        <v>0.98</v>
      </c>
      <c r="V126" s="14">
        <v>1</v>
      </c>
      <c r="W126" s="14">
        <v>1</v>
      </c>
      <c r="X126" s="14">
        <v>1</v>
      </c>
    </row>
    <row r="127" spans="1:24" hidden="1" x14ac:dyDescent="0.3">
      <c r="A127" s="14" t="s">
        <v>383</v>
      </c>
      <c r="B127" s="14" t="s">
        <v>246</v>
      </c>
      <c r="C127" s="14" t="s">
        <v>380</v>
      </c>
      <c r="D127" s="14" t="s">
        <v>381</v>
      </c>
      <c r="E127" s="14" t="s">
        <v>344</v>
      </c>
      <c r="F127" s="14" t="s">
        <v>343</v>
      </c>
      <c r="G127" s="14" t="s">
        <v>343</v>
      </c>
      <c r="H127" s="14" t="s">
        <v>343</v>
      </c>
      <c r="U127" s="14">
        <v>117</v>
      </c>
      <c r="V127" s="14">
        <v>1</v>
      </c>
      <c r="W127" s="14">
        <v>1</v>
      </c>
      <c r="X127" s="14">
        <v>1</v>
      </c>
    </row>
    <row r="128" spans="1:24" hidden="1" x14ac:dyDescent="0.3">
      <c r="A128" s="14" t="s">
        <v>383</v>
      </c>
      <c r="B128" s="14" t="s">
        <v>246</v>
      </c>
      <c r="C128" s="14" t="s">
        <v>355</v>
      </c>
      <c r="D128" s="14" t="s">
        <v>356</v>
      </c>
      <c r="E128" s="14" t="s">
        <v>342</v>
      </c>
      <c r="F128" s="14" t="s">
        <v>343</v>
      </c>
      <c r="G128" s="14" t="s">
        <v>343</v>
      </c>
      <c r="H128" s="14" t="s">
        <v>343</v>
      </c>
      <c r="U128" s="14">
        <v>0.96</v>
      </c>
      <c r="V128" s="14">
        <v>0.95</v>
      </c>
      <c r="W128" s="14">
        <v>0.95</v>
      </c>
      <c r="X128" s="14">
        <v>1</v>
      </c>
    </row>
    <row r="129" spans="1:24" hidden="1" x14ac:dyDescent="0.3">
      <c r="A129" s="14" t="s">
        <v>383</v>
      </c>
      <c r="B129" s="14" t="s">
        <v>246</v>
      </c>
      <c r="C129" s="14" t="s">
        <v>355</v>
      </c>
      <c r="D129" s="14" t="s">
        <v>356</v>
      </c>
      <c r="E129" s="14" t="s">
        <v>344</v>
      </c>
      <c r="F129" s="14" t="s">
        <v>343</v>
      </c>
      <c r="G129" s="14" t="s">
        <v>343</v>
      </c>
      <c r="H129" s="14" t="s">
        <v>343</v>
      </c>
      <c r="U129" s="14">
        <v>127</v>
      </c>
      <c r="V129" s="14">
        <v>130</v>
      </c>
      <c r="W129" s="14">
        <v>131</v>
      </c>
      <c r="X129" s="14">
        <v>1</v>
      </c>
    </row>
    <row r="130" spans="1:24" hidden="1" x14ac:dyDescent="0.3">
      <c r="A130" s="14" t="s">
        <v>383</v>
      </c>
      <c r="B130" s="14" t="s">
        <v>246</v>
      </c>
      <c r="C130" s="14" t="s">
        <v>357</v>
      </c>
      <c r="D130" s="14" t="s">
        <v>358</v>
      </c>
      <c r="E130" s="14" t="s">
        <v>342</v>
      </c>
      <c r="F130" s="14" t="s">
        <v>343</v>
      </c>
      <c r="G130" s="14" t="s">
        <v>343</v>
      </c>
      <c r="H130" s="14" t="s">
        <v>343</v>
      </c>
      <c r="X130" s="14">
        <v>1</v>
      </c>
    </row>
    <row r="131" spans="1:24" hidden="1" x14ac:dyDescent="0.3">
      <c r="A131" s="14" t="s">
        <v>383</v>
      </c>
      <c r="B131" s="14" t="s">
        <v>246</v>
      </c>
      <c r="C131" s="14" t="s">
        <v>357</v>
      </c>
      <c r="D131" s="14" t="s">
        <v>358</v>
      </c>
      <c r="E131" s="14" t="s">
        <v>344</v>
      </c>
      <c r="F131" s="14" t="s">
        <v>343</v>
      </c>
      <c r="G131" s="14" t="s">
        <v>343</v>
      </c>
      <c r="H131" s="14" t="s">
        <v>343</v>
      </c>
      <c r="X131" s="14">
        <v>1</v>
      </c>
    </row>
    <row r="132" spans="1:24" hidden="1" x14ac:dyDescent="0.3">
      <c r="A132" s="14" t="s">
        <v>383</v>
      </c>
      <c r="B132" s="14" t="s">
        <v>246</v>
      </c>
      <c r="C132" s="14" t="s">
        <v>359</v>
      </c>
      <c r="D132" s="14" t="s">
        <v>360</v>
      </c>
      <c r="E132" s="14" t="s">
        <v>342</v>
      </c>
      <c r="F132" s="14" t="s">
        <v>343</v>
      </c>
      <c r="G132" s="14" t="s">
        <v>343</v>
      </c>
      <c r="H132" s="14" t="s">
        <v>343</v>
      </c>
      <c r="I132" s="14">
        <v>0.4</v>
      </c>
      <c r="J132" s="14">
        <v>0.42</v>
      </c>
      <c r="K132" s="14">
        <v>0.42</v>
      </c>
      <c r="L132" s="14">
        <v>0.41</v>
      </c>
      <c r="M132" s="14">
        <v>0.46</v>
      </c>
      <c r="N132" s="14">
        <v>0.49</v>
      </c>
      <c r="O132" s="14">
        <v>0.48</v>
      </c>
      <c r="P132" s="14">
        <v>0.47</v>
      </c>
      <c r="Q132" s="14">
        <v>0.52</v>
      </c>
      <c r="R132" s="14">
        <v>0.52</v>
      </c>
      <c r="S132" s="14">
        <v>0.46</v>
      </c>
      <c r="T132" s="14">
        <v>0.46</v>
      </c>
      <c r="U132" s="14">
        <v>0.44</v>
      </c>
      <c r="V132" s="14">
        <v>0.47</v>
      </c>
      <c r="W132" s="14">
        <v>0.51</v>
      </c>
      <c r="X132" s="14">
        <v>0.5</v>
      </c>
    </row>
    <row r="133" spans="1:24" hidden="1" x14ac:dyDescent="0.3">
      <c r="A133" s="14" t="s">
        <v>383</v>
      </c>
      <c r="B133" s="14" t="s">
        <v>246</v>
      </c>
      <c r="C133" s="14" t="s">
        <v>359</v>
      </c>
      <c r="D133" s="14" t="s">
        <v>360</v>
      </c>
      <c r="E133" s="14" t="s">
        <v>344</v>
      </c>
      <c r="F133" s="14" t="s">
        <v>343</v>
      </c>
      <c r="G133" s="14" t="s">
        <v>343</v>
      </c>
      <c r="H133" s="14" t="s">
        <v>343</v>
      </c>
      <c r="I133" s="14">
        <v>109</v>
      </c>
      <c r="J133" s="14">
        <v>119</v>
      </c>
      <c r="K133" s="14">
        <v>121</v>
      </c>
      <c r="L133" s="14">
        <v>126</v>
      </c>
      <c r="M133" s="14">
        <v>120</v>
      </c>
      <c r="N133" s="14">
        <v>119</v>
      </c>
      <c r="O133" s="14">
        <v>122</v>
      </c>
      <c r="P133" s="14">
        <v>122</v>
      </c>
      <c r="Q133" s="14">
        <v>123</v>
      </c>
      <c r="R133" s="14">
        <v>128</v>
      </c>
      <c r="S133" s="14">
        <v>130</v>
      </c>
      <c r="T133" s="14">
        <v>130</v>
      </c>
      <c r="U133" s="14">
        <v>134</v>
      </c>
      <c r="V133" s="14">
        <v>137</v>
      </c>
      <c r="W133" s="14">
        <v>135</v>
      </c>
      <c r="X133" s="14">
        <v>132</v>
      </c>
    </row>
    <row r="134" spans="1:24" x14ac:dyDescent="0.3">
      <c r="A134" s="14" t="s">
        <v>383</v>
      </c>
      <c r="B134" s="14" t="s">
        <v>246</v>
      </c>
      <c r="C134" s="14" t="s">
        <v>361</v>
      </c>
      <c r="D134" s="14" t="s">
        <v>362</v>
      </c>
      <c r="E134" s="14" t="s">
        <v>342</v>
      </c>
      <c r="F134" s="14" t="s">
        <v>343</v>
      </c>
      <c r="G134" s="14" t="s">
        <v>343</v>
      </c>
      <c r="H134" s="14" t="s">
        <v>343</v>
      </c>
      <c r="I134" s="14">
        <v>0.96</v>
      </c>
      <c r="J134" s="14">
        <v>0.96</v>
      </c>
      <c r="K134" s="14">
        <v>0.96</v>
      </c>
      <c r="L134" s="14">
        <v>0.96</v>
      </c>
      <c r="M134" s="14">
        <v>0.96</v>
      </c>
      <c r="N134" s="14">
        <v>0.96</v>
      </c>
      <c r="O134" s="14">
        <v>0.96</v>
      </c>
      <c r="P134" s="14">
        <v>0.96</v>
      </c>
      <c r="Q134" s="14">
        <v>0.96</v>
      </c>
      <c r="R134" s="14">
        <v>0.96</v>
      </c>
      <c r="S134" s="14">
        <v>0.96</v>
      </c>
      <c r="T134" s="14">
        <v>0.96</v>
      </c>
      <c r="U134" s="14">
        <v>0.97</v>
      </c>
      <c r="V134" s="14">
        <v>0.97</v>
      </c>
      <c r="W134" s="14">
        <v>0.96</v>
      </c>
      <c r="X134" s="14">
        <v>0.96</v>
      </c>
    </row>
    <row r="135" spans="1:24" hidden="1" x14ac:dyDescent="0.3">
      <c r="A135" s="14" t="s">
        <v>383</v>
      </c>
      <c r="B135" s="14" t="s">
        <v>246</v>
      </c>
      <c r="C135" s="14" t="s">
        <v>361</v>
      </c>
      <c r="D135" s="14" t="s">
        <v>362</v>
      </c>
      <c r="E135" s="14" t="s">
        <v>344</v>
      </c>
      <c r="F135" s="14" t="s">
        <v>343</v>
      </c>
      <c r="G135" s="14" t="s">
        <v>343</v>
      </c>
      <c r="H135" s="14" t="s">
        <v>343</v>
      </c>
      <c r="I135" s="14">
        <v>100</v>
      </c>
      <c r="J135" s="14">
        <v>110</v>
      </c>
      <c r="K135" s="14">
        <v>112</v>
      </c>
      <c r="L135" s="14">
        <v>116</v>
      </c>
      <c r="M135" s="14">
        <v>110</v>
      </c>
      <c r="N135" s="14">
        <v>111</v>
      </c>
      <c r="O135" s="14">
        <v>111</v>
      </c>
      <c r="P135" s="14">
        <v>112</v>
      </c>
      <c r="Q135" s="14">
        <v>132</v>
      </c>
      <c r="R135" s="14">
        <v>133</v>
      </c>
      <c r="S135" s="14">
        <v>132</v>
      </c>
      <c r="T135" s="14">
        <v>129</v>
      </c>
      <c r="U135" s="14">
        <v>94</v>
      </c>
      <c r="V135" s="14">
        <v>94</v>
      </c>
      <c r="W135" s="14">
        <v>130</v>
      </c>
      <c r="X135" s="14">
        <v>122</v>
      </c>
    </row>
    <row r="136" spans="1:24" hidden="1" x14ac:dyDescent="0.3">
      <c r="A136" s="14" t="s">
        <v>383</v>
      </c>
      <c r="B136" s="14" t="s">
        <v>246</v>
      </c>
      <c r="C136" s="14" t="s">
        <v>363</v>
      </c>
      <c r="D136" s="14" t="s">
        <v>364</v>
      </c>
      <c r="E136" s="14" t="s">
        <v>342</v>
      </c>
      <c r="F136" s="14" t="s">
        <v>343</v>
      </c>
      <c r="G136" s="14" t="s">
        <v>343</v>
      </c>
      <c r="H136" s="14" t="s">
        <v>343</v>
      </c>
      <c r="U136" s="14">
        <v>1.03</v>
      </c>
      <c r="V136" s="14">
        <v>1.03</v>
      </c>
      <c r="W136" s="14">
        <v>1.01</v>
      </c>
      <c r="X136" s="14">
        <v>1</v>
      </c>
    </row>
    <row r="137" spans="1:24" hidden="1" x14ac:dyDescent="0.3">
      <c r="A137" s="14" t="s">
        <v>383</v>
      </c>
      <c r="B137" s="14" t="s">
        <v>246</v>
      </c>
      <c r="C137" s="14" t="s">
        <v>363</v>
      </c>
      <c r="D137" s="14" t="s">
        <v>364</v>
      </c>
      <c r="E137" s="14" t="s">
        <v>344</v>
      </c>
      <c r="F137" s="14" t="s">
        <v>343</v>
      </c>
      <c r="G137" s="14" t="s">
        <v>343</v>
      </c>
      <c r="H137" s="14" t="s">
        <v>343</v>
      </c>
      <c r="U137" s="14">
        <v>102</v>
      </c>
      <c r="V137" s="14">
        <v>105</v>
      </c>
      <c r="W137" s="14">
        <v>138</v>
      </c>
      <c r="X137" s="14">
        <v>130</v>
      </c>
    </row>
    <row r="138" spans="1:24" hidden="1" x14ac:dyDescent="0.3">
      <c r="A138" s="14" t="s">
        <v>383</v>
      </c>
      <c r="B138" s="14" t="s">
        <v>246</v>
      </c>
      <c r="C138" s="14" t="s">
        <v>365</v>
      </c>
      <c r="D138" s="14" t="s">
        <v>366</v>
      </c>
      <c r="E138" s="14" t="s">
        <v>342</v>
      </c>
      <c r="F138" s="14" t="s">
        <v>343</v>
      </c>
      <c r="G138" s="14" t="s">
        <v>343</v>
      </c>
      <c r="H138" s="14" t="s">
        <v>343</v>
      </c>
      <c r="U138" s="14">
        <v>0.94</v>
      </c>
      <c r="V138" s="14">
        <v>0.94</v>
      </c>
      <c r="W138" s="14">
        <v>0.94</v>
      </c>
      <c r="X138" s="14">
        <v>0.94</v>
      </c>
    </row>
    <row r="139" spans="1:24" hidden="1" x14ac:dyDescent="0.3">
      <c r="A139" s="14" t="s">
        <v>383</v>
      </c>
      <c r="B139" s="14" t="s">
        <v>246</v>
      </c>
      <c r="C139" s="14" t="s">
        <v>365</v>
      </c>
      <c r="D139" s="14" t="s">
        <v>366</v>
      </c>
      <c r="E139" s="14" t="s">
        <v>344</v>
      </c>
      <c r="F139" s="14" t="s">
        <v>343</v>
      </c>
      <c r="G139" s="14" t="s">
        <v>343</v>
      </c>
      <c r="H139" s="14" t="s">
        <v>343</v>
      </c>
      <c r="U139" s="14">
        <v>1</v>
      </c>
      <c r="V139" s="14">
        <v>1</v>
      </c>
      <c r="W139" s="14">
        <v>1</v>
      </c>
      <c r="X139" s="14">
        <v>1</v>
      </c>
    </row>
    <row r="140" spans="1:24" hidden="1" x14ac:dyDescent="0.3">
      <c r="A140" s="14" t="s">
        <v>383</v>
      </c>
      <c r="B140" s="14" t="s">
        <v>246</v>
      </c>
      <c r="C140" s="14" t="s">
        <v>367</v>
      </c>
      <c r="D140" s="14" t="s">
        <v>368</v>
      </c>
      <c r="E140" s="14" t="s">
        <v>342</v>
      </c>
      <c r="F140" s="14" t="s">
        <v>343</v>
      </c>
      <c r="G140" s="14" t="s">
        <v>343</v>
      </c>
      <c r="H140" s="14" t="s">
        <v>343</v>
      </c>
      <c r="I140" s="14">
        <v>0.59</v>
      </c>
      <c r="J140" s="14">
        <v>0.62</v>
      </c>
      <c r="K140" s="14">
        <v>0.62</v>
      </c>
      <c r="L140" s="14">
        <v>0.62</v>
      </c>
      <c r="M140" s="14">
        <v>0.64</v>
      </c>
      <c r="N140" s="14">
        <v>0.65</v>
      </c>
      <c r="O140" s="14">
        <v>0.64</v>
      </c>
      <c r="P140" s="14">
        <v>0.64</v>
      </c>
      <c r="Q140" s="14">
        <v>0.64</v>
      </c>
      <c r="R140" s="14">
        <v>0.65</v>
      </c>
      <c r="S140" s="14">
        <v>0.64</v>
      </c>
      <c r="T140" s="14">
        <v>0.65</v>
      </c>
      <c r="U140" s="14">
        <v>0.64</v>
      </c>
      <c r="V140" s="14">
        <v>0.66</v>
      </c>
      <c r="W140" s="14">
        <v>0.72</v>
      </c>
      <c r="X140" s="14">
        <v>0.72</v>
      </c>
    </row>
    <row r="141" spans="1:24" hidden="1" x14ac:dyDescent="0.3">
      <c r="A141" s="14" t="s">
        <v>383</v>
      </c>
      <c r="B141" s="14" t="s">
        <v>246</v>
      </c>
      <c r="C141" s="14" t="s">
        <v>367</v>
      </c>
      <c r="D141" s="14" t="s">
        <v>368</v>
      </c>
      <c r="E141" s="14" t="s">
        <v>344</v>
      </c>
      <c r="F141" s="14" t="s">
        <v>343</v>
      </c>
      <c r="G141" s="14" t="s">
        <v>343</v>
      </c>
      <c r="H141" s="14" t="s">
        <v>343</v>
      </c>
      <c r="I141" s="14">
        <v>101</v>
      </c>
      <c r="J141" s="14">
        <v>105</v>
      </c>
      <c r="K141" s="14">
        <v>105</v>
      </c>
      <c r="L141" s="14">
        <v>112</v>
      </c>
      <c r="M141" s="14">
        <v>103</v>
      </c>
      <c r="N141" s="14">
        <v>103</v>
      </c>
      <c r="O141" s="14">
        <v>107</v>
      </c>
      <c r="P141" s="14">
        <v>109</v>
      </c>
      <c r="Q141" s="14">
        <v>115</v>
      </c>
      <c r="R141" s="14">
        <v>119</v>
      </c>
      <c r="S141" s="14">
        <v>124</v>
      </c>
      <c r="T141" s="14">
        <v>120</v>
      </c>
      <c r="U141" s="14">
        <v>121</v>
      </c>
      <c r="V141" s="14">
        <v>120</v>
      </c>
      <c r="W141" s="14">
        <v>72</v>
      </c>
      <c r="X141" s="14">
        <v>68</v>
      </c>
    </row>
    <row r="142" spans="1:24" hidden="1" x14ac:dyDescent="0.3">
      <c r="A142" s="14" t="s">
        <v>383</v>
      </c>
      <c r="B142" s="14" t="s">
        <v>246</v>
      </c>
      <c r="C142" s="14" t="s">
        <v>369</v>
      </c>
      <c r="D142" s="14" t="s">
        <v>370</v>
      </c>
      <c r="E142" s="14" t="s">
        <v>342</v>
      </c>
      <c r="F142" s="14" t="s">
        <v>343</v>
      </c>
      <c r="G142" s="14" t="s">
        <v>343</v>
      </c>
      <c r="H142" s="14" t="s">
        <v>343</v>
      </c>
      <c r="I142" s="14">
        <v>0.01</v>
      </c>
      <c r="J142" s="14">
        <v>0.1</v>
      </c>
      <c r="K142" s="14">
        <v>0.11</v>
      </c>
      <c r="L142" s="14">
        <v>0.11</v>
      </c>
      <c r="M142" s="14">
        <v>0.14000000000000001</v>
      </c>
      <c r="N142" s="14">
        <v>0.14000000000000001</v>
      </c>
      <c r="O142" s="14">
        <v>0.12</v>
      </c>
      <c r="P142" s="14">
        <v>0.12</v>
      </c>
      <c r="Q142" s="14">
        <v>0.11</v>
      </c>
      <c r="R142" s="14">
        <v>0.12</v>
      </c>
      <c r="S142" s="14">
        <v>0.14000000000000001</v>
      </c>
      <c r="T142" s="14">
        <v>0.18</v>
      </c>
      <c r="U142" s="14">
        <v>0.18</v>
      </c>
      <c r="V142" s="14">
        <v>0.19</v>
      </c>
      <c r="W142" s="14">
        <v>0.4</v>
      </c>
      <c r="X142" s="14">
        <v>0.4</v>
      </c>
    </row>
    <row r="143" spans="1:24" hidden="1" x14ac:dyDescent="0.3">
      <c r="A143" s="14" t="s">
        <v>383</v>
      </c>
      <c r="B143" s="14" t="s">
        <v>246</v>
      </c>
      <c r="C143" s="14" t="s">
        <v>369</v>
      </c>
      <c r="D143" s="14" t="s">
        <v>370</v>
      </c>
      <c r="E143" s="14" t="s">
        <v>344</v>
      </c>
      <c r="F143" s="14" t="s">
        <v>343</v>
      </c>
      <c r="G143" s="14" t="s">
        <v>343</v>
      </c>
      <c r="H143" s="14" t="s">
        <v>343</v>
      </c>
      <c r="I143" s="14">
        <v>112</v>
      </c>
      <c r="J143" s="14">
        <v>65</v>
      </c>
      <c r="K143" s="14">
        <v>72</v>
      </c>
      <c r="L143" s="14">
        <v>76</v>
      </c>
      <c r="M143" s="14">
        <v>60</v>
      </c>
      <c r="N143" s="14">
        <v>62</v>
      </c>
      <c r="O143" s="14">
        <v>81</v>
      </c>
      <c r="P143" s="14">
        <v>81</v>
      </c>
      <c r="Q143" s="14">
        <v>96</v>
      </c>
      <c r="R143" s="14">
        <v>93</v>
      </c>
      <c r="S143" s="14">
        <v>83</v>
      </c>
      <c r="T143" s="14">
        <v>67</v>
      </c>
      <c r="U143" s="14">
        <v>68</v>
      </c>
      <c r="V143" s="14">
        <v>75</v>
      </c>
      <c r="W143" s="14">
        <v>24</v>
      </c>
      <c r="X143" s="14">
        <v>30</v>
      </c>
    </row>
    <row r="144" spans="1:24" hidden="1" x14ac:dyDescent="0.3">
      <c r="A144" s="14" t="s">
        <v>383</v>
      </c>
      <c r="B144" s="14" t="s">
        <v>246</v>
      </c>
      <c r="C144" s="14" t="s">
        <v>371</v>
      </c>
      <c r="D144" s="14" t="s">
        <v>372</v>
      </c>
      <c r="E144" s="14" t="s">
        <v>342</v>
      </c>
      <c r="F144" s="14" t="s">
        <v>343</v>
      </c>
      <c r="G144" s="14" t="s">
        <v>343</v>
      </c>
      <c r="H144" s="14" t="s">
        <v>343</v>
      </c>
      <c r="U144" s="14">
        <v>0</v>
      </c>
      <c r="V144" s="14">
        <v>0</v>
      </c>
      <c r="W144" s="14">
        <v>0</v>
      </c>
      <c r="X144" s="14">
        <v>0</v>
      </c>
    </row>
    <row r="145" spans="1:24" hidden="1" x14ac:dyDescent="0.3">
      <c r="A145" s="14" t="s">
        <v>383</v>
      </c>
      <c r="B145" s="14" t="s">
        <v>246</v>
      </c>
      <c r="C145" s="14" t="s">
        <v>371</v>
      </c>
      <c r="D145" s="14" t="s">
        <v>372</v>
      </c>
      <c r="E145" s="14" t="s">
        <v>344</v>
      </c>
      <c r="F145" s="14" t="s">
        <v>343</v>
      </c>
      <c r="G145" s="14" t="s">
        <v>343</v>
      </c>
      <c r="H145" s="14" t="s">
        <v>343</v>
      </c>
      <c r="U145" s="14">
        <v>71</v>
      </c>
      <c r="V145" s="14">
        <v>73</v>
      </c>
      <c r="W145" s="14">
        <v>76</v>
      </c>
      <c r="X145" s="14">
        <v>78</v>
      </c>
    </row>
    <row r="146" spans="1:24" hidden="1" x14ac:dyDescent="0.3">
      <c r="A146" s="14" t="s">
        <v>383</v>
      </c>
      <c r="B146" s="14" t="s">
        <v>246</v>
      </c>
      <c r="C146" s="14" t="s">
        <v>373</v>
      </c>
      <c r="D146" s="14" t="s">
        <v>374</v>
      </c>
      <c r="E146" s="14" t="s">
        <v>342</v>
      </c>
      <c r="F146" s="14" t="s">
        <v>343</v>
      </c>
      <c r="G146" s="14" t="s">
        <v>343</v>
      </c>
      <c r="H146" s="14" t="s">
        <v>343</v>
      </c>
      <c r="U146" s="14">
        <v>0.36</v>
      </c>
      <c r="V146" s="14">
        <v>0.41</v>
      </c>
      <c r="W146" s="14">
        <v>0.38</v>
      </c>
      <c r="X146" s="14">
        <v>0.38</v>
      </c>
    </row>
    <row r="147" spans="1:24" hidden="1" x14ac:dyDescent="0.3">
      <c r="A147" s="14" t="s">
        <v>383</v>
      </c>
      <c r="B147" s="14" t="s">
        <v>246</v>
      </c>
      <c r="C147" s="14" t="s">
        <v>373</v>
      </c>
      <c r="D147" s="14" t="s">
        <v>374</v>
      </c>
      <c r="E147" s="14" t="s">
        <v>344</v>
      </c>
      <c r="F147" s="14" t="s">
        <v>343</v>
      </c>
      <c r="G147" s="14" t="s">
        <v>343</v>
      </c>
      <c r="H147" s="14" t="s">
        <v>343</v>
      </c>
      <c r="U147" s="14">
        <v>33</v>
      </c>
      <c r="V147" s="14">
        <v>42</v>
      </c>
      <c r="W147" s="14">
        <v>62</v>
      </c>
      <c r="X147" s="14">
        <v>60</v>
      </c>
    </row>
    <row r="148" spans="1:24" hidden="1" x14ac:dyDescent="0.3">
      <c r="A148" s="14" t="s">
        <v>383</v>
      </c>
      <c r="B148" s="14" t="s">
        <v>246</v>
      </c>
      <c r="C148" s="14" t="s">
        <v>375</v>
      </c>
      <c r="D148" s="14" t="s">
        <v>376</v>
      </c>
      <c r="E148" s="14" t="s">
        <v>342</v>
      </c>
      <c r="F148" s="14" t="s">
        <v>343</v>
      </c>
      <c r="G148" s="14" t="s">
        <v>343</v>
      </c>
      <c r="H148" s="14" t="s">
        <v>343</v>
      </c>
      <c r="U148" s="14">
        <v>0.28999999999999998</v>
      </c>
      <c r="V148" s="14">
        <v>0.28999999999999998</v>
      </c>
      <c r="W148" s="14">
        <v>1</v>
      </c>
      <c r="X148" s="14">
        <v>1</v>
      </c>
    </row>
    <row r="149" spans="1:24" hidden="1" x14ac:dyDescent="0.3">
      <c r="A149" s="14" t="s">
        <v>383</v>
      </c>
      <c r="B149" s="14" t="s">
        <v>246</v>
      </c>
      <c r="C149" s="14" t="s">
        <v>375</v>
      </c>
      <c r="D149" s="14" t="s">
        <v>376</v>
      </c>
      <c r="E149" s="14" t="s">
        <v>344</v>
      </c>
      <c r="F149" s="14" t="s">
        <v>343</v>
      </c>
      <c r="G149" s="14" t="s">
        <v>343</v>
      </c>
      <c r="H149" s="14" t="s">
        <v>343</v>
      </c>
      <c r="U149" s="14">
        <v>67</v>
      </c>
      <c r="V149" s="14">
        <v>74</v>
      </c>
      <c r="W149" s="14">
        <v>1</v>
      </c>
      <c r="X149" s="14">
        <v>1</v>
      </c>
    </row>
    <row r="150" spans="1:24" hidden="1" x14ac:dyDescent="0.3">
      <c r="A150" s="14" t="s">
        <v>384</v>
      </c>
      <c r="B150" s="14" t="s">
        <v>34</v>
      </c>
      <c r="C150" s="14" t="s">
        <v>340</v>
      </c>
      <c r="D150" s="14" t="s">
        <v>341</v>
      </c>
      <c r="E150" s="14" t="s">
        <v>342</v>
      </c>
      <c r="F150" s="14" t="s">
        <v>343</v>
      </c>
      <c r="G150" s="14" t="s">
        <v>343</v>
      </c>
      <c r="H150" s="14" t="s">
        <v>343</v>
      </c>
      <c r="I150" s="14">
        <v>1</v>
      </c>
      <c r="J150" s="14">
        <v>1</v>
      </c>
      <c r="K150" s="14">
        <v>0.99</v>
      </c>
      <c r="L150" s="14">
        <v>0.99</v>
      </c>
      <c r="M150" s="14">
        <v>1</v>
      </c>
      <c r="N150" s="14">
        <v>0.99</v>
      </c>
      <c r="O150" s="14">
        <v>1</v>
      </c>
      <c r="P150" s="14">
        <v>1</v>
      </c>
      <c r="Q150" s="14">
        <v>1</v>
      </c>
      <c r="R150" s="14">
        <v>1</v>
      </c>
      <c r="S150" s="14">
        <v>1</v>
      </c>
      <c r="T150" s="14">
        <v>1</v>
      </c>
      <c r="U150" s="14">
        <v>1</v>
      </c>
      <c r="V150" s="14">
        <v>1</v>
      </c>
      <c r="W150" s="14">
        <v>1</v>
      </c>
      <c r="X150" s="14">
        <v>1</v>
      </c>
    </row>
    <row r="151" spans="1:24" hidden="1" x14ac:dyDescent="0.3">
      <c r="A151" s="14" t="s">
        <v>384</v>
      </c>
      <c r="B151" s="14" t="s">
        <v>34</v>
      </c>
      <c r="C151" s="14" t="s">
        <v>340</v>
      </c>
      <c r="D151" s="14" t="s">
        <v>341</v>
      </c>
      <c r="E151" s="14" t="s">
        <v>344</v>
      </c>
      <c r="F151" s="14" t="s">
        <v>343</v>
      </c>
      <c r="G151" s="14" t="s">
        <v>343</v>
      </c>
      <c r="H151" s="14" t="s">
        <v>343</v>
      </c>
      <c r="I151" s="14">
        <v>28</v>
      </c>
      <c r="J151" s="14">
        <v>33</v>
      </c>
      <c r="K151" s="14">
        <v>57</v>
      </c>
      <c r="L151" s="14">
        <v>57</v>
      </c>
      <c r="M151" s="14">
        <v>47</v>
      </c>
      <c r="N151" s="14">
        <v>51</v>
      </c>
      <c r="O151" s="14">
        <v>41</v>
      </c>
      <c r="P151" s="14">
        <v>42</v>
      </c>
      <c r="Q151" s="14">
        <v>50</v>
      </c>
      <c r="R151" s="14">
        <v>55</v>
      </c>
      <c r="S151" s="14">
        <v>54</v>
      </c>
      <c r="T151" s="14">
        <v>44</v>
      </c>
      <c r="U151" s="14">
        <v>63</v>
      </c>
      <c r="V151" s="14">
        <v>64</v>
      </c>
      <c r="W151" s="14">
        <v>1</v>
      </c>
      <c r="X151" s="14">
        <v>1</v>
      </c>
    </row>
    <row r="152" spans="1:24" hidden="1" x14ac:dyDescent="0.3">
      <c r="A152" s="14" t="s">
        <v>384</v>
      </c>
      <c r="B152" s="14" t="s">
        <v>34</v>
      </c>
      <c r="C152" s="14" t="s">
        <v>345</v>
      </c>
      <c r="D152" s="14" t="s">
        <v>346</v>
      </c>
      <c r="E152" s="14" t="s">
        <v>342</v>
      </c>
      <c r="F152" s="14" t="s">
        <v>343</v>
      </c>
      <c r="G152" s="14" t="s">
        <v>343</v>
      </c>
      <c r="H152" s="14" t="s">
        <v>343</v>
      </c>
      <c r="U152" s="14">
        <v>0.5</v>
      </c>
      <c r="V152" s="14">
        <v>0.51</v>
      </c>
      <c r="W152" s="14">
        <v>0.55000000000000004</v>
      </c>
      <c r="X152" s="14">
        <v>0.56000000000000005</v>
      </c>
    </row>
    <row r="153" spans="1:24" hidden="1" x14ac:dyDescent="0.3">
      <c r="A153" s="14" t="s">
        <v>384</v>
      </c>
      <c r="B153" s="14" t="s">
        <v>34</v>
      </c>
      <c r="C153" s="14" t="s">
        <v>345</v>
      </c>
      <c r="D153" s="14" t="s">
        <v>346</v>
      </c>
      <c r="E153" s="14" t="s">
        <v>344</v>
      </c>
      <c r="F153" s="14" t="s">
        <v>343</v>
      </c>
      <c r="G153" s="14" t="s">
        <v>343</v>
      </c>
      <c r="H153" s="14" t="s">
        <v>343</v>
      </c>
      <c r="U153" s="14">
        <v>109</v>
      </c>
      <c r="V153" s="14">
        <v>115</v>
      </c>
      <c r="W153" s="14">
        <v>105</v>
      </c>
      <c r="X153" s="14">
        <v>103</v>
      </c>
    </row>
    <row r="154" spans="1:24" hidden="1" x14ac:dyDescent="0.3">
      <c r="A154" s="14" t="s">
        <v>384</v>
      </c>
      <c r="B154" s="14" t="s">
        <v>34</v>
      </c>
      <c r="C154" s="14" t="s">
        <v>347</v>
      </c>
      <c r="D154" s="14" t="s">
        <v>348</v>
      </c>
      <c r="E154" s="14" t="s">
        <v>342</v>
      </c>
      <c r="F154" s="14" t="s">
        <v>343</v>
      </c>
      <c r="G154" s="14" t="s">
        <v>343</v>
      </c>
      <c r="H154" s="14" t="s">
        <v>343</v>
      </c>
      <c r="U154" s="14">
        <v>0.69</v>
      </c>
      <c r="V154" s="14">
        <v>0.72</v>
      </c>
      <c r="W154" s="14">
        <v>0.75</v>
      </c>
      <c r="X154" s="14">
        <v>0.7</v>
      </c>
    </row>
    <row r="155" spans="1:24" hidden="1" x14ac:dyDescent="0.3">
      <c r="A155" s="14" t="s">
        <v>384</v>
      </c>
      <c r="B155" s="14" t="s">
        <v>34</v>
      </c>
      <c r="C155" s="14" t="s">
        <v>347</v>
      </c>
      <c r="D155" s="14" t="s">
        <v>348</v>
      </c>
      <c r="E155" s="14" t="s">
        <v>344</v>
      </c>
      <c r="F155" s="14" t="s">
        <v>343</v>
      </c>
      <c r="G155" s="14" t="s">
        <v>343</v>
      </c>
      <c r="H155" s="14" t="s">
        <v>343</v>
      </c>
      <c r="U155" s="14">
        <v>101</v>
      </c>
      <c r="V155" s="14">
        <v>102</v>
      </c>
      <c r="W155" s="14">
        <v>100</v>
      </c>
      <c r="X155" s="14">
        <v>96</v>
      </c>
    </row>
    <row r="156" spans="1:24" hidden="1" x14ac:dyDescent="0.3">
      <c r="A156" s="14" t="s">
        <v>384</v>
      </c>
      <c r="B156" s="14" t="s">
        <v>34</v>
      </c>
      <c r="C156" s="14" t="s">
        <v>349</v>
      </c>
      <c r="D156" s="14" t="s">
        <v>350</v>
      </c>
      <c r="E156" s="14" t="s">
        <v>342</v>
      </c>
      <c r="F156" s="14" t="s">
        <v>343</v>
      </c>
      <c r="G156" s="14" t="s">
        <v>343</v>
      </c>
      <c r="H156" s="14" t="s">
        <v>343</v>
      </c>
      <c r="U156" s="14">
        <v>0.45</v>
      </c>
      <c r="V156" s="14">
        <v>0.48</v>
      </c>
      <c r="W156" s="14">
        <v>0.46</v>
      </c>
      <c r="X156" s="14">
        <v>0.49</v>
      </c>
    </row>
    <row r="157" spans="1:24" hidden="1" x14ac:dyDescent="0.3">
      <c r="A157" s="14" t="s">
        <v>384</v>
      </c>
      <c r="B157" s="14" t="s">
        <v>34</v>
      </c>
      <c r="C157" s="14" t="s">
        <v>349</v>
      </c>
      <c r="D157" s="14" t="s">
        <v>350</v>
      </c>
      <c r="E157" s="14" t="s">
        <v>344</v>
      </c>
      <c r="F157" s="14" t="s">
        <v>343</v>
      </c>
      <c r="G157" s="14" t="s">
        <v>343</v>
      </c>
      <c r="H157" s="14" t="s">
        <v>343</v>
      </c>
      <c r="U157" s="14">
        <v>78</v>
      </c>
      <c r="V157" s="14">
        <v>70</v>
      </c>
      <c r="W157" s="14">
        <v>84</v>
      </c>
      <c r="X157" s="14">
        <v>78</v>
      </c>
    </row>
    <row r="158" spans="1:24" hidden="1" x14ac:dyDescent="0.3">
      <c r="A158" s="14" t="s">
        <v>384</v>
      </c>
      <c r="B158" s="14" t="s">
        <v>34</v>
      </c>
      <c r="C158" s="14" t="s">
        <v>351</v>
      </c>
      <c r="D158" s="14" t="s">
        <v>352</v>
      </c>
      <c r="E158" s="14" t="s">
        <v>342</v>
      </c>
      <c r="F158" s="14" t="s">
        <v>343</v>
      </c>
      <c r="G158" s="14" t="s">
        <v>343</v>
      </c>
      <c r="H158" s="14" t="s">
        <v>343</v>
      </c>
      <c r="U158" s="14">
        <v>1</v>
      </c>
      <c r="V158" s="14">
        <v>1</v>
      </c>
      <c r="W158" s="14">
        <v>1</v>
      </c>
      <c r="X158" s="14">
        <v>1</v>
      </c>
    </row>
    <row r="159" spans="1:24" hidden="1" x14ac:dyDescent="0.3">
      <c r="A159" s="14" t="s">
        <v>384</v>
      </c>
      <c r="B159" s="14" t="s">
        <v>34</v>
      </c>
      <c r="C159" s="14" t="s">
        <v>351</v>
      </c>
      <c r="D159" s="14" t="s">
        <v>352</v>
      </c>
      <c r="E159" s="14" t="s">
        <v>344</v>
      </c>
      <c r="F159" s="14" t="s">
        <v>343</v>
      </c>
      <c r="G159" s="14" t="s">
        <v>343</v>
      </c>
      <c r="H159" s="14" t="s">
        <v>343</v>
      </c>
      <c r="U159" s="14">
        <v>1</v>
      </c>
      <c r="V159" s="14">
        <v>1</v>
      </c>
      <c r="W159" s="14">
        <v>1</v>
      </c>
      <c r="X159" s="14">
        <v>1</v>
      </c>
    </row>
    <row r="160" spans="1:24" hidden="1" x14ac:dyDescent="0.3">
      <c r="A160" s="14" t="s">
        <v>384</v>
      </c>
      <c r="B160" s="14" t="s">
        <v>34</v>
      </c>
      <c r="C160" s="14" t="s">
        <v>378</v>
      </c>
      <c r="D160" s="14" t="s">
        <v>379</v>
      </c>
      <c r="E160" s="14" t="s">
        <v>342</v>
      </c>
      <c r="F160" s="14" t="s">
        <v>343</v>
      </c>
      <c r="G160" s="14" t="s">
        <v>343</v>
      </c>
      <c r="H160" s="14" t="s">
        <v>343</v>
      </c>
      <c r="S160" s="14">
        <v>0.51</v>
      </c>
      <c r="U160" s="14">
        <v>0.53</v>
      </c>
      <c r="V160" s="14">
        <v>0.56999999999999995</v>
      </c>
      <c r="W160" s="14">
        <v>0.56999999999999995</v>
      </c>
      <c r="X160" s="14">
        <v>0.56999999999999995</v>
      </c>
    </row>
    <row r="161" spans="1:24" hidden="1" x14ac:dyDescent="0.3">
      <c r="A161" s="14" t="s">
        <v>384</v>
      </c>
      <c r="B161" s="14" t="s">
        <v>34</v>
      </c>
      <c r="C161" s="14" t="s">
        <v>378</v>
      </c>
      <c r="D161" s="14" t="s">
        <v>379</v>
      </c>
      <c r="E161" s="14" t="s">
        <v>344</v>
      </c>
      <c r="F161" s="14" t="s">
        <v>343</v>
      </c>
      <c r="G161" s="14" t="s">
        <v>343</v>
      </c>
      <c r="H161" s="14" t="s">
        <v>343</v>
      </c>
      <c r="S161" s="14">
        <v>126</v>
      </c>
      <c r="U161" s="14">
        <v>122</v>
      </c>
      <c r="V161" s="14">
        <v>112</v>
      </c>
      <c r="W161" s="14">
        <v>117</v>
      </c>
      <c r="X161" s="14">
        <v>110</v>
      </c>
    </row>
    <row r="162" spans="1:24" hidden="1" x14ac:dyDescent="0.3">
      <c r="A162" s="14" t="s">
        <v>384</v>
      </c>
      <c r="B162" s="14" t="s">
        <v>34</v>
      </c>
      <c r="C162" s="14" t="s">
        <v>353</v>
      </c>
      <c r="D162" s="14" t="s">
        <v>354</v>
      </c>
      <c r="E162" s="14" t="s">
        <v>342</v>
      </c>
      <c r="F162" s="14" t="s">
        <v>343</v>
      </c>
      <c r="G162" s="14" t="s">
        <v>343</v>
      </c>
      <c r="H162" s="14" t="s">
        <v>343</v>
      </c>
      <c r="U162" s="14">
        <v>1</v>
      </c>
      <c r="V162" s="14">
        <v>1</v>
      </c>
      <c r="W162" s="14">
        <v>1</v>
      </c>
      <c r="X162" s="14">
        <v>1</v>
      </c>
    </row>
    <row r="163" spans="1:24" hidden="1" x14ac:dyDescent="0.3">
      <c r="A163" s="14" t="s">
        <v>384</v>
      </c>
      <c r="B163" s="14" t="s">
        <v>34</v>
      </c>
      <c r="C163" s="14" t="s">
        <v>353</v>
      </c>
      <c r="D163" s="14" t="s">
        <v>354</v>
      </c>
      <c r="E163" s="14" t="s">
        <v>344</v>
      </c>
      <c r="F163" s="14" t="s">
        <v>343</v>
      </c>
      <c r="G163" s="14" t="s">
        <v>343</v>
      </c>
      <c r="H163" s="14" t="s">
        <v>343</v>
      </c>
      <c r="U163" s="14">
        <v>1</v>
      </c>
      <c r="V163" s="14">
        <v>1</v>
      </c>
      <c r="W163" s="14">
        <v>1</v>
      </c>
      <c r="X163" s="14">
        <v>1</v>
      </c>
    </row>
    <row r="164" spans="1:24" hidden="1" x14ac:dyDescent="0.3">
      <c r="A164" s="14" t="s">
        <v>384</v>
      </c>
      <c r="B164" s="14" t="s">
        <v>34</v>
      </c>
      <c r="C164" s="14" t="s">
        <v>380</v>
      </c>
      <c r="D164" s="14" t="s">
        <v>381</v>
      </c>
      <c r="E164" s="14" t="s">
        <v>342</v>
      </c>
      <c r="F164" s="14" t="s">
        <v>343</v>
      </c>
      <c r="G164" s="14" t="s">
        <v>343</v>
      </c>
      <c r="H164" s="14" t="s">
        <v>343</v>
      </c>
      <c r="U164" s="14">
        <v>0.99</v>
      </c>
      <c r="V164" s="14">
        <v>0.99</v>
      </c>
      <c r="W164" s="14">
        <v>1</v>
      </c>
    </row>
    <row r="165" spans="1:24" hidden="1" x14ac:dyDescent="0.3">
      <c r="A165" s="14" t="s">
        <v>384</v>
      </c>
      <c r="B165" s="14" t="s">
        <v>34</v>
      </c>
      <c r="C165" s="14" t="s">
        <v>380</v>
      </c>
      <c r="D165" s="14" t="s">
        <v>381</v>
      </c>
      <c r="E165" s="14" t="s">
        <v>344</v>
      </c>
      <c r="F165" s="14" t="s">
        <v>343</v>
      </c>
      <c r="G165" s="14" t="s">
        <v>343</v>
      </c>
      <c r="H165" s="14" t="s">
        <v>343</v>
      </c>
      <c r="U165" s="14">
        <v>104</v>
      </c>
      <c r="V165" s="14">
        <v>113</v>
      </c>
      <c r="W165" s="14">
        <v>1</v>
      </c>
    </row>
    <row r="166" spans="1:24" hidden="1" x14ac:dyDescent="0.3">
      <c r="A166" s="14" t="s">
        <v>384</v>
      </c>
      <c r="B166" s="14" t="s">
        <v>34</v>
      </c>
      <c r="C166" s="14" t="s">
        <v>355</v>
      </c>
      <c r="D166" s="14" t="s">
        <v>356</v>
      </c>
      <c r="E166" s="14" t="s">
        <v>342</v>
      </c>
      <c r="F166" s="14" t="s">
        <v>343</v>
      </c>
      <c r="G166" s="14" t="s">
        <v>343</v>
      </c>
      <c r="H166" s="14" t="s">
        <v>343</v>
      </c>
      <c r="U166" s="14">
        <v>1</v>
      </c>
      <c r="V166" s="14">
        <v>1</v>
      </c>
      <c r="W166" s="14">
        <v>1</v>
      </c>
      <c r="X166" s="14">
        <v>1</v>
      </c>
    </row>
    <row r="167" spans="1:24" hidden="1" x14ac:dyDescent="0.3">
      <c r="A167" s="14" t="s">
        <v>384</v>
      </c>
      <c r="B167" s="14" t="s">
        <v>34</v>
      </c>
      <c r="C167" s="14" t="s">
        <v>355</v>
      </c>
      <c r="D167" s="14" t="s">
        <v>356</v>
      </c>
      <c r="E167" s="14" t="s">
        <v>344</v>
      </c>
      <c r="F167" s="14" t="s">
        <v>343</v>
      </c>
      <c r="G167" s="14" t="s">
        <v>343</v>
      </c>
      <c r="H167" s="14" t="s">
        <v>343</v>
      </c>
      <c r="U167" s="14">
        <v>1</v>
      </c>
      <c r="V167" s="14">
        <v>1</v>
      </c>
      <c r="W167" s="14">
        <v>1</v>
      </c>
      <c r="X167" s="14">
        <v>1</v>
      </c>
    </row>
    <row r="168" spans="1:24" hidden="1" x14ac:dyDescent="0.3">
      <c r="A168" s="14" t="s">
        <v>384</v>
      </c>
      <c r="B168" s="14" t="s">
        <v>34</v>
      </c>
      <c r="C168" s="14" t="s">
        <v>357</v>
      </c>
      <c r="D168" s="14" t="s">
        <v>358</v>
      </c>
      <c r="E168" s="14" t="s">
        <v>342</v>
      </c>
      <c r="F168" s="14" t="s">
        <v>343</v>
      </c>
      <c r="G168" s="14" t="s">
        <v>343</v>
      </c>
      <c r="H168" s="14" t="s">
        <v>343</v>
      </c>
      <c r="U168" s="14">
        <v>1</v>
      </c>
      <c r="V168" s="14">
        <v>1</v>
      </c>
      <c r="W168" s="14">
        <v>1</v>
      </c>
      <c r="X168" s="14">
        <v>1</v>
      </c>
    </row>
    <row r="169" spans="1:24" hidden="1" x14ac:dyDescent="0.3">
      <c r="A169" s="14" t="s">
        <v>384</v>
      </c>
      <c r="B169" s="14" t="s">
        <v>34</v>
      </c>
      <c r="C169" s="14" t="s">
        <v>357</v>
      </c>
      <c r="D169" s="14" t="s">
        <v>358</v>
      </c>
      <c r="E169" s="14" t="s">
        <v>344</v>
      </c>
      <c r="F169" s="14" t="s">
        <v>343</v>
      </c>
      <c r="G169" s="14" t="s">
        <v>343</v>
      </c>
      <c r="H169" s="14" t="s">
        <v>343</v>
      </c>
      <c r="U169" s="14">
        <v>1</v>
      </c>
      <c r="V169" s="14">
        <v>1</v>
      </c>
      <c r="W169" s="14">
        <v>1</v>
      </c>
      <c r="X169" s="14">
        <v>1</v>
      </c>
    </row>
    <row r="170" spans="1:24" hidden="1" x14ac:dyDescent="0.3">
      <c r="A170" s="14" t="s">
        <v>384</v>
      </c>
      <c r="B170" s="14" t="s">
        <v>34</v>
      </c>
      <c r="C170" s="14" t="s">
        <v>359</v>
      </c>
      <c r="D170" s="14" t="s">
        <v>360</v>
      </c>
      <c r="E170" s="14" t="s">
        <v>342</v>
      </c>
      <c r="F170" s="14" t="s">
        <v>343</v>
      </c>
      <c r="G170" s="14" t="s">
        <v>343</v>
      </c>
      <c r="H170" s="14" t="s">
        <v>343</v>
      </c>
      <c r="I170" s="14">
        <v>0.55000000000000004</v>
      </c>
      <c r="J170" s="14">
        <v>0.61</v>
      </c>
      <c r="K170" s="14">
        <v>0.61</v>
      </c>
      <c r="L170" s="14">
        <v>0.6</v>
      </c>
      <c r="M170" s="14">
        <v>0.6</v>
      </c>
      <c r="N170" s="14">
        <v>0.61</v>
      </c>
      <c r="O170" s="14">
        <v>0.61</v>
      </c>
      <c r="P170" s="14">
        <v>0.59</v>
      </c>
      <c r="Q170" s="14">
        <v>0.63</v>
      </c>
      <c r="R170" s="14">
        <v>0.62</v>
      </c>
      <c r="S170" s="14">
        <v>0.62</v>
      </c>
      <c r="T170" s="14">
        <v>0.6</v>
      </c>
      <c r="U170" s="14">
        <v>0.6</v>
      </c>
      <c r="V170" s="14">
        <v>0.62</v>
      </c>
      <c r="W170" s="14">
        <v>0.64</v>
      </c>
      <c r="X170" s="14">
        <v>0.64</v>
      </c>
    </row>
    <row r="171" spans="1:24" hidden="1" x14ac:dyDescent="0.3">
      <c r="A171" s="14" t="s">
        <v>384</v>
      </c>
      <c r="B171" s="14" t="s">
        <v>34</v>
      </c>
      <c r="C171" s="14" t="s">
        <v>359</v>
      </c>
      <c r="D171" s="14" t="s">
        <v>360</v>
      </c>
      <c r="E171" s="14" t="s">
        <v>344</v>
      </c>
      <c r="F171" s="14" t="s">
        <v>343</v>
      </c>
      <c r="G171" s="14" t="s">
        <v>343</v>
      </c>
      <c r="H171" s="14" t="s">
        <v>343</v>
      </c>
      <c r="I171" s="14">
        <v>82</v>
      </c>
      <c r="J171" s="14">
        <v>75</v>
      </c>
      <c r="K171" s="14">
        <v>80</v>
      </c>
      <c r="L171" s="14">
        <v>89</v>
      </c>
      <c r="M171" s="14">
        <v>87</v>
      </c>
      <c r="N171" s="14">
        <v>84</v>
      </c>
      <c r="O171" s="14">
        <v>92</v>
      </c>
      <c r="P171" s="14">
        <v>101</v>
      </c>
      <c r="Q171" s="14">
        <v>96</v>
      </c>
      <c r="R171" s="14">
        <v>105</v>
      </c>
      <c r="S171" s="14">
        <v>101</v>
      </c>
      <c r="T171" s="14">
        <v>111</v>
      </c>
      <c r="U171" s="14">
        <v>114</v>
      </c>
      <c r="V171" s="14">
        <v>103</v>
      </c>
      <c r="W171" s="14">
        <v>103</v>
      </c>
      <c r="X171" s="14">
        <v>102</v>
      </c>
    </row>
    <row r="172" spans="1:24" x14ac:dyDescent="0.3">
      <c r="A172" s="14" t="s">
        <v>384</v>
      </c>
      <c r="B172" s="14" t="s">
        <v>34</v>
      </c>
      <c r="C172" s="14" t="s">
        <v>361</v>
      </c>
      <c r="D172" s="14" t="s">
        <v>362</v>
      </c>
      <c r="E172" s="14" t="s">
        <v>342</v>
      </c>
      <c r="F172" s="14" t="s">
        <v>343</v>
      </c>
      <c r="G172" s="14" t="s">
        <v>343</v>
      </c>
      <c r="H172" s="14" t="s">
        <v>343</v>
      </c>
      <c r="I172" s="14">
        <v>0.98</v>
      </c>
      <c r="J172" s="14">
        <v>0.98</v>
      </c>
      <c r="K172" s="14">
        <v>0.98</v>
      </c>
      <c r="L172" s="14">
        <v>0.98</v>
      </c>
      <c r="M172" s="14">
        <v>0.98</v>
      </c>
      <c r="N172" s="14">
        <v>0.98</v>
      </c>
      <c r="O172" s="14">
        <v>0.98</v>
      </c>
      <c r="P172" s="14">
        <v>0.98</v>
      </c>
      <c r="Q172" s="14">
        <v>0.98</v>
      </c>
      <c r="R172" s="14">
        <v>0.98</v>
      </c>
      <c r="S172" s="14">
        <v>0.98</v>
      </c>
      <c r="T172" s="14">
        <v>0.98</v>
      </c>
      <c r="U172" s="14">
        <v>0.98</v>
      </c>
      <c r="V172" s="14">
        <v>0.98</v>
      </c>
      <c r="W172" s="14">
        <v>0.98</v>
      </c>
      <c r="X172" s="14">
        <v>0.98</v>
      </c>
    </row>
    <row r="173" spans="1:24" hidden="1" x14ac:dyDescent="0.3">
      <c r="A173" s="14" t="s">
        <v>384</v>
      </c>
      <c r="B173" s="14" t="s">
        <v>34</v>
      </c>
      <c r="C173" s="14" t="s">
        <v>361</v>
      </c>
      <c r="D173" s="14" t="s">
        <v>362</v>
      </c>
      <c r="E173" s="14" t="s">
        <v>344</v>
      </c>
      <c r="F173" s="14" t="s">
        <v>343</v>
      </c>
      <c r="G173" s="14" t="s">
        <v>343</v>
      </c>
      <c r="H173" s="14" t="s">
        <v>343</v>
      </c>
      <c r="I173" s="14">
        <v>1</v>
      </c>
      <c r="J173" s="14">
        <v>1</v>
      </c>
      <c r="K173" s="14">
        <v>1</v>
      </c>
      <c r="L173" s="14">
        <v>1</v>
      </c>
      <c r="M173" s="14">
        <v>1</v>
      </c>
      <c r="N173" s="14">
        <v>1</v>
      </c>
      <c r="O173" s="14">
        <v>1</v>
      </c>
      <c r="P173" s="14">
        <v>1</v>
      </c>
      <c r="Q173" s="14">
        <v>1</v>
      </c>
      <c r="R173" s="14">
        <v>1</v>
      </c>
      <c r="S173" s="14">
        <v>1</v>
      </c>
      <c r="T173" s="14">
        <v>1</v>
      </c>
      <c r="U173" s="14">
        <v>1</v>
      </c>
      <c r="V173" s="14">
        <v>1</v>
      </c>
      <c r="W173" s="14">
        <v>48</v>
      </c>
      <c r="X173" s="14">
        <v>46</v>
      </c>
    </row>
    <row r="174" spans="1:24" hidden="1" x14ac:dyDescent="0.3">
      <c r="A174" s="14" t="s">
        <v>384</v>
      </c>
      <c r="B174" s="14" t="s">
        <v>34</v>
      </c>
      <c r="C174" s="14" t="s">
        <v>363</v>
      </c>
      <c r="D174" s="14" t="s">
        <v>364</v>
      </c>
      <c r="E174" s="14" t="s">
        <v>342</v>
      </c>
      <c r="F174" s="14" t="s">
        <v>343</v>
      </c>
      <c r="G174" s="14" t="s">
        <v>343</v>
      </c>
      <c r="H174" s="14" t="s">
        <v>343</v>
      </c>
      <c r="U174" s="14">
        <v>1.06</v>
      </c>
      <c r="V174" s="14">
        <v>1.06</v>
      </c>
      <c r="W174" s="14">
        <v>1.05</v>
      </c>
      <c r="X174" s="14">
        <v>1.05</v>
      </c>
    </row>
    <row r="175" spans="1:24" hidden="1" x14ac:dyDescent="0.3">
      <c r="A175" s="14" t="s">
        <v>384</v>
      </c>
      <c r="B175" s="14" t="s">
        <v>34</v>
      </c>
      <c r="C175" s="14" t="s">
        <v>363</v>
      </c>
      <c r="D175" s="14" t="s">
        <v>364</v>
      </c>
      <c r="E175" s="14" t="s">
        <v>344</v>
      </c>
      <c r="F175" s="14" t="s">
        <v>343</v>
      </c>
      <c r="G175" s="14" t="s">
        <v>343</v>
      </c>
      <c r="H175" s="14" t="s">
        <v>343</v>
      </c>
      <c r="U175" s="14">
        <v>1</v>
      </c>
      <c r="V175" s="14">
        <v>1</v>
      </c>
      <c r="W175" s="14">
        <v>57</v>
      </c>
      <c r="X175" s="14">
        <v>52</v>
      </c>
    </row>
    <row r="176" spans="1:24" hidden="1" x14ac:dyDescent="0.3">
      <c r="A176" s="14" t="s">
        <v>384</v>
      </c>
      <c r="B176" s="14" t="s">
        <v>34</v>
      </c>
      <c r="C176" s="14" t="s">
        <v>365</v>
      </c>
      <c r="D176" s="14" t="s">
        <v>366</v>
      </c>
      <c r="E176" s="14" t="s">
        <v>342</v>
      </c>
      <c r="F176" s="14" t="s">
        <v>343</v>
      </c>
      <c r="G176" s="14" t="s">
        <v>343</v>
      </c>
      <c r="H176" s="14" t="s">
        <v>343</v>
      </c>
      <c r="U176" s="14">
        <v>0.94</v>
      </c>
      <c r="V176" s="14">
        <v>0.94</v>
      </c>
      <c r="W176" s="14">
        <v>0.94</v>
      </c>
      <c r="X176" s="14">
        <v>0.94</v>
      </c>
    </row>
    <row r="177" spans="1:24" hidden="1" x14ac:dyDescent="0.3">
      <c r="A177" s="14" t="s">
        <v>384</v>
      </c>
      <c r="B177" s="14" t="s">
        <v>34</v>
      </c>
      <c r="C177" s="14" t="s">
        <v>365</v>
      </c>
      <c r="D177" s="14" t="s">
        <v>366</v>
      </c>
      <c r="E177" s="14" t="s">
        <v>344</v>
      </c>
      <c r="F177" s="14" t="s">
        <v>343</v>
      </c>
      <c r="G177" s="14" t="s">
        <v>343</v>
      </c>
      <c r="H177" s="14" t="s">
        <v>343</v>
      </c>
      <c r="U177" s="14">
        <v>1</v>
      </c>
      <c r="V177" s="14">
        <v>1</v>
      </c>
      <c r="W177" s="14">
        <v>1</v>
      </c>
      <c r="X177" s="14">
        <v>1</v>
      </c>
    </row>
    <row r="178" spans="1:24" hidden="1" x14ac:dyDescent="0.3">
      <c r="A178" s="14" t="s">
        <v>384</v>
      </c>
      <c r="B178" s="14" t="s">
        <v>34</v>
      </c>
      <c r="C178" s="14" t="s">
        <v>367</v>
      </c>
      <c r="D178" s="14" t="s">
        <v>368</v>
      </c>
      <c r="E178" s="14" t="s">
        <v>342</v>
      </c>
      <c r="F178" s="14" t="s">
        <v>343</v>
      </c>
      <c r="G178" s="14" t="s">
        <v>343</v>
      </c>
      <c r="H178" s="14" t="s">
        <v>343</v>
      </c>
      <c r="I178" s="14">
        <v>0.68</v>
      </c>
      <c r="J178" s="14">
        <v>0.7</v>
      </c>
      <c r="K178" s="14">
        <v>0.72</v>
      </c>
      <c r="L178" s="14">
        <v>0.72</v>
      </c>
      <c r="M178" s="14">
        <v>0.72</v>
      </c>
      <c r="N178" s="14">
        <v>0.72</v>
      </c>
      <c r="O178" s="14">
        <v>0.72</v>
      </c>
      <c r="P178" s="14">
        <v>0.72</v>
      </c>
      <c r="Q178" s="14">
        <v>0.73</v>
      </c>
      <c r="R178" s="14">
        <v>0.73</v>
      </c>
      <c r="S178" s="14">
        <v>0.74</v>
      </c>
      <c r="T178" s="14">
        <v>0.73</v>
      </c>
      <c r="U178" s="14">
        <v>0.73</v>
      </c>
      <c r="V178" s="14">
        <v>0.75</v>
      </c>
      <c r="W178" s="14">
        <v>0.75</v>
      </c>
      <c r="X178" s="14">
        <v>0.76</v>
      </c>
    </row>
    <row r="179" spans="1:24" hidden="1" x14ac:dyDescent="0.3">
      <c r="A179" s="14" t="s">
        <v>384</v>
      </c>
      <c r="B179" s="14" t="s">
        <v>34</v>
      </c>
      <c r="C179" s="14" t="s">
        <v>367</v>
      </c>
      <c r="D179" s="14" t="s">
        <v>368</v>
      </c>
      <c r="E179" s="14" t="s">
        <v>344</v>
      </c>
      <c r="F179" s="14" t="s">
        <v>343</v>
      </c>
      <c r="G179" s="14" t="s">
        <v>343</v>
      </c>
      <c r="H179" s="14" t="s">
        <v>343</v>
      </c>
      <c r="I179" s="14">
        <v>41</v>
      </c>
      <c r="J179" s="14">
        <v>33</v>
      </c>
      <c r="K179" s="14">
        <v>24</v>
      </c>
      <c r="L179" s="14">
        <v>24</v>
      </c>
      <c r="M179" s="14">
        <v>29</v>
      </c>
      <c r="N179" s="14">
        <v>28</v>
      </c>
      <c r="O179" s="14">
        <v>32</v>
      </c>
      <c r="P179" s="14">
        <v>34</v>
      </c>
      <c r="Q179" s="14">
        <v>31</v>
      </c>
      <c r="R179" s="14">
        <v>35</v>
      </c>
      <c r="S179" s="14">
        <v>33</v>
      </c>
      <c r="T179" s="14">
        <v>34</v>
      </c>
      <c r="U179" s="14">
        <v>36</v>
      </c>
      <c r="V179" s="14">
        <v>30</v>
      </c>
      <c r="W179" s="14">
        <v>35</v>
      </c>
      <c r="X179" s="14">
        <v>33</v>
      </c>
    </row>
    <row r="180" spans="1:24" hidden="1" x14ac:dyDescent="0.3">
      <c r="A180" s="14" t="s">
        <v>384</v>
      </c>
      <c r="B180" s="14" t="s">
        <v>34</v>
      </c>
      <c r="C180" s="14" t="s">
        <v>369</v>
      </c>
      <c r="D180" s="14" t="s">
        <v>370</v>
      </c>
      <c r="E180" s="14" t="s">
        <v>342</v>
      </c>
      <c r="F180" s="14" t="s">
        <v>343</v>
      </c>
      <c r="G180" s="14" t="s">
        <v>343</v>
      </c>
      <c r="H180" s="14" t="s">
        <v>343</v>
      </c>
      <c r="I180" s="14">
        <v>0.2</v>
      </c>
      <c r="J180" s="14">
        <v>0.2</v>
      </c>
      <c r="K180" s="14">
        <v>0.3</v>
      </c>
      <c r="L180" s="14">
        <v>0.31</v>
      </c>
      <c r="M180" s="14">
        <v>0.3</v>
      </c>
      <c r="N180" s="14">
        <v>0.31</v>
      </c>
      <c r="O180" s="14">
        <v>0.3</v>
      </c>
      <c r="P180" s="14">
        <v>0.31</v>
      </c>
      <c r="Q180" s="14">
        <v>0.32</v>
      </c>
      <c r="R180" s="14">
        <v>0.35</v>
      </c>
      <c r="S180" s="14">
        <v>0.35</v>
      </c>
      <c r="T180" s="14">
        <v>0.36</v>
      </c>
      <c r="U180" s="14">
        <v>0.36</v>
      </c>
      <c r="V180" s="14">
        <v>0.39</v>
      </c>
      <c r="W180" s="14">
        <v>0.39</v>
      </c>
      <c r="X180" s="14">
        <v>0.41</v>
      </c>
    </row>
    <row r="181" spans="1:24" hidden="1" x14ac:dyDescent="0.3">
      <c r="A181" s="14" t="s">
        <v>384</v>
      </c>
      <c r="B181" s="14" t="s">
        <v>34</v>
      </c>
      <c r="C181" s="14" t="s">
        <v>369</v>
      </c>
      <c r="D181" s="14" t="s">
        <v>370</v>
      </c>
      <c r="E181" s="14" t="s">
        <v>344</v>
      </c>
      <c r="F181" s="14" t="s">
        <v>343</v>
      </c>
      <c r="G181" s="14" t="s">
        <v>343</v>
      </c>
      <c r="H181" s="14" t="s">
        <v>343</v>
      </c>
      <c r="I181" s="14">
        <v>23</v>
      </c>
      <c r="J181" s="14">
        <v>25</v>
      </c>
      <c r="K181" s="14">
        <v>15</v>
      </c>
      <c r="L181" s="14">
        <v>14</v>
      </c>
      <c r="M181" s="14">
        <v>20</v>
      </c>
      <c r="N181" s="14">
        <v>20</v>
      </c>
      <c r="O181" s="14">
        <v>24</v>
      </c>
      <c r="P181" s="14">
        <v>24</v>
      </c>
      <c r="Q181" s="14">
        <v>21</v>
      </c>
      <c r="R181" s="14">
        <v>22</v>
      </c>
      <c r="S181" s="14">
        <v>22</v>
      </c>
      <c r="T181" s="14">
        <v>21</v>
      </c>
      <c r="U181" s="14">
        <v>23</v>
      </c>
      <c r="V181" s="14">
        <v>22</v>
      </c>
      <c r="W181" s="14">
        <v>25</v>
      </c>
      <c r="X181" s="14">
        <v>28</v>
      </c>
    </row>
    <row r="182" spans="1:24" hidden="1" x14ac:dyDescent="0.3">
      <c r="A182" s="14" t="s">
        <v>384</v>
      </c>
      <c r="B182" s="14" t="s">
        <v>34</v>
      </c>
      <c r="C182" s="14" t="s">
        <v>371</v>
      </c>
      <c r="D182" s="14" t="s">
        <v>372</v>
      </c>
      <c r="E182" s="14" t="s">
        <v>342</v>
      </c>
      <c r="F182" s="14" t="s">
        <v>343</v>
      </c>
      <c r="G182" s="14" t="s">
        <v>343</v>
      </c>
      <c r="H182" s="14" t="s">
        <v>343</v>
      </c>
      <c r="U182" s="14">
        <v>0.24</v>
      </c>
      <c r="V182" s="14">
        <v>0.24</v>
      </c>
      <c r="W182" s="14">
        <v>0.24</v>
      </c>
      <c r="X182" s="14">
        <v>0.24</v>
      </c>
    </row>
    <row r="183" spans="1:24" hidden="1" x14ac:dyDescent="0.3">
      <c r="A183" s="14" t="s">
        <v>384</v>
      </c>
      <c r="B183" s="14" t="s">
        <v>34</v>
      </c>
      <c r="C183" s="14" t="s">
        <v>371</v>
      </c>
      <c r="D183" s="14" t="s">
        <v>372</v>
      </c>
      <c r="E183" s="14" t="s">
        <v>344</v>
      </c>
      <c r="F183" s="14" t="s">
        <v>343</v>
      </c>
      <c r="G183" s="14" t="s">
        <v>343</v>
      </c>
      <c r="H183" s="14" t="s">
        <v>343</v>
      </c>
      <c r="U183" s="14">
        <v>15</v>
      </c>
      <c r="V183" s="14">
        <v>16</v>
      </c>
      <c r="W183" s="14">
        <v>16</v>
      </c>
      <c r="X183" s="14">
        <v>16</v>
      </c>
    </row>
    <row r="184" spans="1:24" hidden="1" x14ac:dyDescent="0.3">
      <c r="A184" s="14" t="s">
        <v>384</v>
      </c>
      <c r="B184" s="14" t="s">
        <v>34</v>
      </c>
      <c r="C184" s="14" t="s">
        <v>373</v>
      </c>
      <c r="D184" s="14" t="s">
        <v>374</v>
      </c>
      <c r="E184" s="14" t="s">
        <v>342</v>
      </c>
      <c r="F184" s="14" t="s">
        <v>343</v>
      </c>
      <c r="G184" s="14" t="s">
        <v>343</v>
      </c>
      <c r="H184" s="14" t="s">
        <v>343</v>
      </c>
      <c r="U184" s="14">
        <v>0.21</v>
      </c>
      <c r="V184" s="14">
        <v>0.33</v>
      </c>
      <c r="W184" s="14">
        <v>0.22</v>
      </c>
      <c r="X184" s="14">
        <v>0.22</v>
      </c>
    </row>
    <row r="185" spans="1:24" hidden="1" x14ac:dyDescent="0.3">
      <c r="A185" s="14" t="s">
        <v>384</v>
      </c>
      <c r="B185" s="14" t="s">
        <v>34</v>
      </c>
      <c r="C185" s="14" t="s">
        <v>373</v>
      </c>
      <c r="D185" s="14" t="s">
        <v>374</v>
      </c>
      <c r="E185" s="14" t="s">
        <v>344</v>
      </c>
      <c r="F185" s="14" t="s">
        <v>343</v>
      </c>
      <c r="G185" s="14" t="s">
        <v>343</v>
      </c>
      <c r="H185" s="14" t="s">
        <v>343</v>
      </c>
      <c r="U185" s="14">
        <v>82</v>
      </c>
      <c r="V185" s="14">
        <v>57</v>
      </c>
      <c r="W185" s="14">
        <v>88</v>
      </c>
      <c r="X185" s="14">
        <v>83</v>
      </c>
    </row>
    <row r="186" spans="1:24" hidden="1" x14ac:dyDescent="0.3">
      <c r="A186" s="14" t="s">
        <v>384</v>
      </c>
      <c r="B186" s="14" t="s">
        <v>34</v>
      </c>
      <c r="C186" s="14" t="s">
        <v>375</v>
      </c>
      <c r="D186" s="14" t="s">
        <v>376</v>
      </c>
      <c r="E186" s="14" t="s">
        <v>342</v>
      </c>
      <c r="F186" s="14" t="s">
        <v>343</v>
      </c>
      <c r="G186" s="14" t="s">
        <v>343</v>
      </c>
      <c r="H186" s="14" t="s">
        <v>343</v>
      </c>
      <c r="U186" s="14">
        <v>0.64</v>
      </c>
      <c r="V186" s="14">
        <v>0.64</v>
      </c>
      <c r="W186" s="14">
        <v>0.74</v>
      </c>
      <c r="X186" s="14">
        <v>0.81</v>
      </c>
    </row>
    <row r="187" spans="1:24" hidden="1" x14ac:dyDescent="0.3">
      <c r="A187" s="14" t="s">
        <v>384</v>
      </c>
      <c r="B187" s="14" t="s">
        <v>34</v>
      </c>
      <c r="C187" s="14" t="s">
        <v>375</v>
      </c>
      <c r="D187" s="14" t="s">
        <v>376</v>
      </c>
      <c r="E187" s="14" t="s">
        <v>344</v>
      </c>
      <c r="F187" s="14" t="s">
        <v>343</v>
      </c>
      <c r="G187" s="14" t="s">
        <v>343</v>
      </c>
      <c r="H187" s="14" t="s">
        <v>343</v>
      </c>
      <c r="U187" s="14">
        <v>16</v>
      </c>
      <c r="V187" s="14">
        <v>20</v>
      </c>
      <c r="W187" s="14">
        <v>16</v>
      </c>
      <c r="X187" s="14">
        <v>13</v>
      </c>
    </row>
    <row r="188" spans="1:24" hidden="1" x14ac:dyDescent="0.3">
      <c r="A188" s="14" t="s">
        <v>385</v>
      </c>
      <c r="B188" s="14" t="s">
        <v>35</v>
      </c>
      <c r="C188" s="14" t="s">
        <v>340</v>
      </c>
      <c r="D188" s="14" t="s">
        <v>341</v>
      </c>
      <c r="E188" s="14" t="s">
        <v>342</v>
      </c>
      <c r="F188" s="14" t="s">
        <v>343</v>
      </c>
      <c r="G188" s="14" t="s">
        <v>343</v>
      </c>
      <c r="H188" s="14" t="s">
        <v>343</v>
      </c>
      <c r="J188" s="14">
        <v>1</v>
      </c>
      <c r="K188" s="14">
        <v>1</v>
      </c>
      <c r="L188" s="14">
        <v>1</v>
      </c>
      <c r="M188" s="14">
        <v>1</v>
      </c>
      <c r="N188" s="14">
        <v>1</v>
      </c>
      <c r="O188" s="14">
        <v>1</v>
      </c>
      <c r="P188" s="14">
        <v>1</v>
      </c>
      <c r="Q188" s="14">
        <v>1</v>
      </c>
      <c r="R188" s="14">
        <v>1</v>
      </c>
      <c r="S188" s="14">
        <v>1</v>
      </c>
      <c r="T188" s="14">
        <v>1</v>
      </c>
      <c r="U188" s="14">
        <v>1</v>
      </c>
      <c r="V188" s="14">
        <v>1</v>
      </c>
      <c r="W188" s="14">
        <v>1</v>
      </c>
      <c r="X188" s="14">
        <v>1</v>
      </c>
    </row>
    <row r="189" spans="1:24" hidden="1" x14ac:dyDescent="0.3">
      <c r="A189" s="14" t="s">
        <v>385</v>
      </c>
      <c r="B189" s="14" t="s">
        <v>35</v>
      </c>
      <c r="C189" s="14" t="s">
        <v>340</v>
      </c>
      <c r="D189" s="14" t="s">
        <v>341</v>
      </c>
      <c r="E189" s="14" t="s">
        <v>344</v>
      </c>
      <c r="F189" s="14" t="s">
        <v>343</v>
      </c>
      <c r="G189" s="14" t="s">
        <v>343</v>
      </c>
      <c r="H189" s="14" t="s">
        <v>343</v>
      </c>
      <c r="J189" s="14">
        <v>24</v>
      </c>
      <c r="K189" s="14">
        <v>29</v>
      </c>
      <c r="L189" s="14">
        <v>29</v>
      </c>
      <c r="M189" s="14">
        <v>26</v>
      </c>
      <c r="N189" s="14">
        <v>27</v>
      </c>
      <c r="O189" s="14">
        <v>25</v>
      </c>
      <c r="P189" s="14">
        <v>29</v>
      </c>
      <c r="Q189" s="14">
        <v>31</v>
      </c>
      <c r="R189" s="14">
        <v>35</v>
      </c>
      <c r="S189" s="14">
        <v>27</v>
      </c>
      <c r="T189" s="14">
        <v>42</v>
      </c>
      <c r="U189" s="14">
        <v>35</v>
      </c>
      <c r="V189" s="14">
        <v>45</v>
      </c>
      <c r="W189" s="14">
        <v>46</v>
      </c>
      <c r="X189" s="14">
        <v>28</v>
      </c>
    </row>
    <row r="190" spans="1:24" hidden="1" x14ac:dyDescent="0.3">
      <c r="A190" s="14" t="s">
        <v>385</v>
      </c>
      <c r="B190" s="14" t="s">
        <v>35</v>
      </c>
      <c r="C190" s="14" t="s">
        <v>345</v>
      </c>
      <c r="D190" s="14" t="s">
        <v>346</v>
      </c>
      <c r="E190" s="14" t="s">
        <v>342</v>
      </c>
      <c r="F190" s="14" t="s">
        <v>343</v>
      </c>
      <c r="G190" s="14" t="s">
        <v>343</v>
      </c>
      <c r="H190" s="14" t="s">
        <v>343</v>
      </c>
      <c r="U190" s="14">
        <v>0.54</v>
      </c>
      <c r="V190" s="14">
        <v>0.52</v>
      </c>
      <c r="W190" s="14">
        <v>0.5</v>
      </c>
      <c r="X190" s="14">
        <v>0.51</v>
      </c>
    </row>
    <row r="191" spans="1:24" hidden="1" x14ac:dyDescent="0.3">
      <c r="A191" s="14" t="s">
        <v>385</v>
      </c>
      <c r="B191" s="14" t="s">
        <v>35</v>
      </c>
      <c r="C191" s="14" t="s">
        <v>345</v>
      </c>
      <c r="D191" s="14" t="s">
        <v>346</v>
      </c>
      <c r="E191" s="14" t="s">
        <v>344</v>
      </c>
      <c r="F191" s="14" t="s">
        <v>343</v>
      </c>
      <c r="G191" s="14" t="s">
        <v>343</v>
      </c>
      <c r="H191" s="14" t="s">
        <v>343</v>
      </c>
      <c r="U191" s="14">
        <v>99</v>
      </c>
      <c r="V191" s="14">
        <v>112</v>
      </c>
      <c r="W191" s="14">
        <v>117</v>
      </c>
      <c r="X191" s="14">
        <v>118</v>
      </c>
    </row>
    <row r="192" spans="1:24" hidden="1" x14ac:dyDescent="0.3">
      <c r="A192" s="14" t="s">
        <v>385</v>
      </c>
      <c r="B192" s="14" t="s">
        <v>35</v>
      </c>
      <c r="C192" s="14" t="s">
        <v>347</v>
      </c>
      <c r="D192" s="14" t="s">
        <v>348</v>
      </c>
      <c r="E192" s="14" t="s">
        <v>342</v>
      </c>
      <c r="F192" s="14" t="s">
        <v>343</v>
      </c>
      <c r="G192" s="14" t="s">
        <v>343</v>
      </c>
      <c r="H192" s="14" t="s">
        <v>343</v>
      </c>
      <c r="U192" s="14">
        <v>0.76</v>
      </c>
      <c r="V192" s="14">
        <v>0.74</v>
      </c>
      <c r="W192" s="14">
        <v>0.69</v>
      </c>
      <c r="X192" s="14">
        <v>0.68</v>
      </c>
    </row>
    <row r="193" spans="1:24" hidden="1" x14ac:dyDescent="0.3">
      <c r="A193" s="14" t="s">
        <v>385</v>
      </c>
      <c r="B193" s="14" t="s">
        <v>35</v>
      </c>
      <c r="C193" s="14" t="s">
        <v>347</v>
      </c>
      <c r="D193" s="14" t="s">
        <v>348</v>
      </c>
      <c r="E193" s="14" t="s">
        <v>344</v>
      </c>
      <c r="F193" s="14" t="s">
        <v>343</v>
      </c>
      <c r="G193" s="14" t="s">
        <v>343</v>
      </c>
      <c r="H193" s="14" t="s">
        <v>343</v>
      </c>
      <c r="U193" s="14">
        <v>84</v>
      </c>
      <c r="V193" s="14">
        <v>96</v>
      </c>
      <c r="W193" s="14">
        <v>112</v>
      </c>
      <c r="X193" s="14">
        <v>101</v>
      </c>
    </row>
    <row r="194" spans="1:24" hidden="1" x14ac:dyDescent="0.3">
      <c r="A194" s="14" t="s">
        <v>385</v>
      </c>
      <c r="B194" s="14" t="s">
        <v>35</v>
      </c>
      <c r="C194" s="14" t="s">
        <v>349</v>
      </c>
      <c r="D194" s="14" t="s">
        <v>350</v>
      </c>
      <c r="E194" s="14" t="s">
        <v>342</v>
      </c>
      <c r="F194" s="14" t="s">
        <v>343</v>
      </c>
      <c r="G194" s="14" t="s">
        <v>343</v>
      </c>
      <c r="H194" s="14" t="s">
        <v>343</v>
      </c>
      <c r="U194" s="14">
        <v>0.42</v>
      </c>
      <c r="V194" s="14">
        <v>0.42</v>
      </c>
      <c r="W194" s="14">
        <v>0.36</v>
      </c>
      <c r="X194" s="14">
        <v>0.45</v>
      </c>
    </row>
    <row r="195" spans="1:24" hidden="1" x14ac:dyDescent="0.3">
      <c r="A195" s="14" t="s">
        <v>385</v>
      </c>
      <c r="B195" s="14" t="s">
        <v>35</v>
      </c>
      <c r="C195" s="14" t="s">
        <v>349</v>
      </c>
      <c r="D195" s="14" t="s">
        <v>350</v>
      </c>
      <c r="E195" s="14" t="s">
        <v>344</v>
      </c>
      <c r="F195" s="14" t="s">
        <v>343</v>
      </c>
      <c r="G195" s="14" t="s">
        <v>343</v>
      </c>
      <c r="H195" s="14" t="s">
        <v>343</v>
      </c>
      <c r="U195" s="14">
        <v>86</v>
      </c>
      <c r="V195" s="14">
        <v>88</v>
      </c>
      <c r="W195" s="14">
        <v>106</v>
      </c>
      <c r="X195" s="14">
        <v>87</v>
      </c>
    </row>
    <row r="196" spans="1:24" hidden="1" x14ac:dyDescent="0.3">
      <c r="A196" s="14" t="s">
        <v>385</v>
      </c>
      <c r="B196" s="14" t="s">
        <v>35</v>
      </c>
      <c r="C196" s="14" t="s">
        <v>351</v>
      </c>
      <c r="D196" s="14" t="s">
        <v>352</v>
      </c>
      <c r="E196" s="14" t="s">
        <v>342</v>
      </c>
      <c r="F196" s="14" t="s">
        <v>343</v>
      </c>
      <c r="G196" s="14" t="s">
        <v>343</v>
      </c>
      <c r="H196" s="14" t="s">
        <v>343</v>
      </c>
      <c r="U196" s="14">
        <v>1</v>
      </c>
      <c r="V196" s="14">
        <v>1</v>
      </c>
      <c r="W196" s="14">
        <v>1</v>
      </c>
      <c r="X196" s="14">
        <v>1</v>
      </c>
    </row>
    <row r="197" spans="1:24" hidden="1" x14ac:dyDescent="0.3">
      <c r="A197" s="14" t="s">
        <v>385</v>
      </c>
      <c r="B197" s="14" t="s">
        <v>35</v>
      </c>
      <c r="C197" s="14" t="s">
        <v>351</v>
      </c>
      <c r="D197" s="14" t="s">
        <v>352</v>
      </c>
      <c r="E197" s="14" t="s">
        <v>344</v>
      </c>
      <c r="F197" s="14" t="s">
        <v>343</v>
      </c>
      <c r="G197" s="14" t="s">
        <v>343</v>
      </c>
      <c r="H197" s="14" t="s">
        <v>343</v>
      </c>
      <c r="U197" s="14">
        <v>1</v>
      </c>
      <c r="V197" s="14">
        <v>1</v>
      </c>
      <c r="W197" s="14">
        <v>1</v>
      </c>
      <c r="X197" s="14">
        <v>1</v>
      </c>
    </row>
    <row r="198" spans="1:24" hidden="1" x14ac:dyDescent="0.3">
      <c r="A198" s="14" t="s">
        <v>385</v>
      </c>
      <c r="B198" s="14" t="s">
        <v>35</v>
      </c>
      <c r="C198" s="14" t="s">
        <v>378</v>
      </c>
      <c r="D198" s="14" t="s">
        <v>379</v>
      </c>
      <c r="E198" s="14" t="s">
        <v>342</v>
      </c>
      <c r="F198" s="14" t="s">
        <v>343</v>
      </c>
      <c r="G198" s="14" t="s">
        <v>343</v>
      </c>
      <c r="H198" s="14" t="s">
        <v>343</v>
      </c>
      <c r="S198" s="14">
        <v>0.68</v>
      </c>
      <c r="U198" s="14">
        <v>0.71</v>
      </c>
      <c r="V198" s="14">
        <v>0.73</v>
      </c>
      <c r="W198" s="14">
        <v>0.75</v>
      </c>
      <c r="X198" s="14">
        <v>0.76</v>
      </c>
    </row>
    <row r="199" spans="1:24" hidden="1" x14ac:dyDescent="0.3">
      <c r="A199" s="14" t="s">
        <v>385</v>
      </c>
      <c r="B199" s="14" t="s">
        <v>35</v>
      </c>
      <c r="C199" s="14" t="s">
        <v>378</v>
      </c>
      <c r="D199" s="14" t="s">
        <v>379</v>
      </c>
      <c r="E199" s="14" t="s">
        <v>344</v>
      </c>
      <c r="F199" s="14" t="s">
        <v>343</v>
      </c>
      <c r="G199" s="14" t="s">
        <v>343</v>
      </c>
      <c r="H199" s="14" t="s">
        <v>343</v>
      </c>
      <c r="S199" s="14">
        <v>50</v>
      </c>
      <c r="U199" s="14">
        <v>38</v>
      </c>
      <c r="V199" s="14">
        <v>25</v>
      </c>
      <c r="W199" s="14">
        <v>24</v>
      </c>
      <c r="X199" s="14">
        <v>15</v>
      </c>
    </row>
    <row r="200" spans="1:24" hidden="1" x14ac:dyDescent="0.3">
      <c r="A200" s="14" t="s">
        <v>385</v>
      </c>
      <c r="B200" s="14" t="s">
        <v>35</v>
      </c>
      <c r="C200" s="14" t="s">
        <v>353</v>
      </c>
      <c r="D200" s="14" t="s">
        <v>354</v>
      </c>
      <c r="E200" s="14" t="s">
        <v>342</v>
      </c>
      <c r="F200" s="14" t="s">
        <v>343</v>
      </c>
      <c r="G200" s="14" t="s">
        <v>343</v>
      </c>
      <c r="H200" s="14" t="s">
        <v>343</v>
      </c>
      <c r="U200" s="14">
        <v>1</v>
      </c>
      <c r="V200" s="14">
        <v>1</v>
      </c>
      <c r="W200" s="14">
        <v>1</v>
      </c>
      <c r="X200" s="14">
        <v>1</v>
      </c>
    </row>
    <row r="201" spans="1:24" hidden="1" x14ac:dyDescent="0.3">
      <c r="A201" s="14" t="s">
        <v>385</v>
      </c>
      <c r="B201" s="14" t="s">
        <v>35</v>
      </c>
      <c r="C201" s="14" t="s">
        <v>353</v>
      </c>
      <c r="D201" s="14" t="s">
        <v>354</v>
      </c>
      <c r="E201" s="14" t="s">
        <v>344</v>
      </c>
      <c r="F201" s="14" t="s">
        <v>343</v>
      </c>
      <c r="G201" s="14" t="s">
        <v>343</v>
      </c>
      <c r="H201" s="14" t="s">
        <v>343</v>
      </c>
      <c r="U201" s="14">
        <v>49</v>
      </c>
      <c r="V201" s="14">
        <v>56</v>
      </c>
      <c r="W201" s="14">
        <v>56</v>
      </c>
      <c r="X201" s="14">
        <v>53</v>
      </c>
    </row>
    <row r="202" spans="1:24" hidden="1" x14ac:dyDescent="0.3">
      <c r="A202" s="14" t="s">
        <v>385</v>
      </c>
      <c r="B202" s="14" t="s">
        <v>35</v>
      </c>
      <c r="C202" s="14" t="s">
        <v>380</v>
      </c>
      <c r="D202" s="14" t="s">
        <v>381</v>
      </c>
      <c r="E202" s="14" t="s">
        <v>342</v>
      </c>
      <c r="F202" s="14" t="s">
        <v>343</v>
      </c>
      <c r="G202" s="14" t="s">
        <v>343</v>
      </c>
      <c r="H202" s="14" t="s">
        <v>343</v>
      </c>
      <c r="U202" s="14">
        <v>1</v>
      </c>
      <c r="V202" s="14">
        <v>1</v>
      </c>
      <c r="W202" s="14">
        <v>1</v>
      </c>
      <c r="X202" s="14">
        <v>1</v>
      </c>
    </row>
    <row r="203" spans="1:24" hidden="1" x14ac:dyDescent="0.3">
      <c r="A203" s="14" t="s">
        <v>385</v>
      </c>
      <c r="B203" s="14" t="s">
        <v>35</v>
      </c>
      <c r="C203" s="14" t="s">
        <v>380</v>
      </c>
      <c r="D203" s="14" t="s">
        <v>381</v>
      </c>
      <c r="E203" s="14" t="s">
        <v>344</v>
      </c>
      <c r="F203" s="14" t="s">
        <v>343</v>
      </c>
      <c r="G203" s="14" t="s">
        <v>343</v>
      </c>
      <c r="H203" s="14" t="s">
        <v>343</v>
      </c>
      <c r="U203" s="14">
        <v>69</v>
      </c>
      <c r="V203" s="14">
        <v>94</v>
      </c>
      <c r="W203" s="14">
        <v>97</v>
      </c>
      <c r="X203" s="14">
        <v>1</v>
      </c>
    </row>
    <row r="204" spans="1:24" hidden="1" x14ac:dyDescent="0.3">
      <c r="A204" s="14" t="s">
        <v>385</v>
      </c>
      <c r="B204" s="14" t="s">
        <v>35</v>
      </c>
      <c r="C204" s="14" t="s">
        <v>355</v>
      </c>
      <c r="D204" s="14" t="s">
        <v>356</v>
      </c>
      <c r="E204" s="14" t="s">
        <v>342</v>
      </c>
      <c r="F204" s="14" t="s">
        <v>343</v>
      </c>
      <c r="G204" s="14" t="s">
        <v>343</v>
      </c>
      <c r="H204" s="14" t="s">
        <v>343</v>
      </c>
      <c r="U204" s="14">
        <v>1</v>
      </c>
      <c r="V204" s="14">
        <v>1</v>
      </c>
      <c r="W204" s="14">
        <v>1</v>
      </c>
      <c r="X204" s="14">
        <v>1</v>
      </c>
    </row>
    <row r="205" spans="1:24" hidden="1" x14ac:dyDescent="0.3">
      <c r="A205" s="14" t="s">
        <v>385</v>
      </c>
      <c r="B205" s="14" t="s">
        <v>35</v>
      </c>
      <c r="C205" s="14" t="s">
        <v>355</v>
      </c>
      <c r="D205" s="14" t="s">
        <v>356</v>
      </c>
      <c r="E205" s="14" t="s">
        <v>344</v>
      </c>
      <c r="F205" s="14" t="s">
        <v>343</v>
      </c>
      <c r="G205" s="14" t="s">
        <v>343</v>
      </c>
      <c r="H205" s="14" t="s">
        <v>343</v>
      </c>
      <c r="U205" s="14">
        <v>1</v>
      </c>
      <c r="V205" s="14">
        <v>1</v>
      </c>
      <c r="W205" s="14">
        <v>1</v>
      </c>
      <c r="X205" s="14">
        <v>1</v>
      </c>
    </row>
    <row r="206" spans="1:24" hidden="1" x14ac:dyDescent="0.3">
      <c r="A206" s="14" t="s">
        <v>385</v>
      </c>
      <c r="B206" s="14" t="s">
        <v>35</v>
      </c>
      <c r="C206" s="14" t="s">
        <v>357</v>
      </c>
      <c r="D206" s="14" t="s">
        <v>358</v>
      </c>
      <c r="E206" s="14" t="s">
        <v>342</v>
      </c>
      <c r="F206" s="14" t="s">
        <v>343</v>
      </c>
      <c r="G206" s="14" t="s">
        <v>343</v>
      </c>
      <c r="H206" s="14" t="s">
        <v>343</v>
      </c>
      <c r="U206" s="14">
        <v>1</v>
      </c>
      <c r="V206" s="14">
        <v>1</v>
      </c>
      <c r="W206" s="14">
        <v>1</v>
      </c>
      <c r="X206" s="14">
        <v>1</v>
      </c>
    </row>
    <row r="207" spans="1:24" hidden="1" x14ac:dyDescent="0.3">
      <c r="A207" s="14" t="s">
        <v>385</v>
      </c>
      <c r="B207" s="14" t="s">
        <v>35</v>
      </c>
      <c r="C207" s="14" t="s">
        <v>357</v>
      </c>
      <c r="D207" s="14" t="s">
        <v>358</v>
      </c>
      <c r="E207" s="14" t="s">
        <v>344</v>
      </c>
      <c r="F207" s="14" t="s">
        <v>343</v>
      </c>
      <c r="G207" s="14" t="s">
        <v>343</v>
      </c>
      <c r="H207" s="14" t="s">
        <v>343</v>
      </c>
      <c r="U207" s="14">
        <v>1</v>
      </c>
      <c r="V207" s="14">
        <v>1</v>
      </c>
      <c r="W207" s="14">
        <v>1</v>
      </c>
      <c r="X207" s="14">
        <v>1</v>
      </c>
    </row>
    <row r="208" spans="1:24" hidden="1" x14ac:dyDescent="0.3">
      <c r="A208" s="14" t="s">
        <v>385</v>
      </c>
      <c r="B208" s="14" t="s">
        <v>35</v>
      </c>
      <c r="C208" s="14" t="s">
        <v>359</v>
      </c>
      <c r="D208" s="14" t="s">
        <v>360</v>
      </c>
      <c r="E208" s="14" t="s">
        <v>342</v>
      </c>
      <c r="F208" s="14" t="s">
        <v>343</v>
      </c>
      <c r="G208" s="14" t="s">
        <v>343</v>
      </c>
      <c r="H208" s="14" t="s">
        <v>343</v>
      </c>
      <c r="J208" s="14">
        <v>0.72</v>
      </c>
      <c r="K208" s="14">
        <v>0.7</v>
      </c>
      <c r="L208" s="14">
        <v>0.67</v>
      </c>
      <c r="M208" s="14">
        <v>0.67</v>
      </c>
      <c r="N208" s="14">
        <v>0.66</v>
      </c>
      <c r="O208" s="14">
        <v>0.64</v>
      </c>
      <c r="P208" s="14">
        <v>0.64</v>
      </c>
      <c r="Q208" s="14">
        <v>0.65</v>
      </c>
      <c r="R208" s="14">
        <v>0.66</v>
      </c>
      <c r="S208" s="14">
        <v>0.67</v>
      </c>
      <c r="T208" s="14">
        <v>0.67</v>
      </c>
      <c r="U208" s="14">
        <v>0.68</v>
      </c>
      <c r="V208" s="14">
        <v>0.67</v>
      </c>
      <c r="W208" s="14">
        <v>0.66</v>
      </c>
      <c r="X208" s="14">
        <v>0.67</v>
      </c>
    </row>
    <row r="209" spans="1:24" hidden="1" x14ac:dyDescent="0.3">
      <c r="A209" s="14" t="s">
        <v>385</v>
      </c>
      <c r="B209" s="14" t="s">
        <v>35</v>
      </c>
      <c r="C209" s="14" t="s">
        <v>359</v>
      </c>
      <c r="D209" s="14" t="s">
        <v>360</v>
      </c>
      <c r="E209" s="14" t="s">
        <v>344</v>
      </c>
      <c r="F209" s="14" t="s">
        <v>343</v>
      </c>
      <c r="G209" s="14" t="s">
        <v>343</v>
      </c>
      <c r="H209" s="14" t="s">
        <v>343</v>
      </c>
      <c r="J209" s="14">
        <v>24</v>
      </c>
      <c r="K209" s="14">
        <v>36</v>
      </c>
      <c r="L209" s="14">
        <v>56</v>
      </c>
      <c r="M209" s="14">
        <v>59</v>
      </c>
      <c r="N209" s="14">
        <v>62</v>
      </c>
      <c r="O209" s="14">
        <v>76</v>
      </c>
      <c r="P209" s="14">
        <v>82</v>
      </c>
      <c r="Q209" s="14">
        <v>82</v>
      </c>
      <c r="R209" s="14">
        <v>79</v>
      </c>
      <c r="S209" s="14">
        <v>69</v>
      </c>
      <c r="T209" s="14">
        <v>71</v>
      </c>
      <c r="U209" s="14">
        <v>73</v>
      </c>
      <c r="V209" s="14">
        <v>78</v>
      </c>
      <c r="W209" s="14">
        <v>96</v>
      </c>
      <c r="X209" s="14">
        <v>84</v>
      </c>
    </row>
    <row r="210" spans="1:24" x14ac:dyDescent="0.3">
      <c r="A210" s="14" t="s">
        <v>385</v>
      </c>
      <c r="B210" s="14" t="s">
        <v>35</v>
      </c>
      <c r="C210" s="14" t="s">
        <v>361</v>
      </c>
      <c r="D210" s="14" t="s">
        <v>362</v>
      </c>
      <c r="E210" s="14" t="s">
        <v>342</v>
      </c>
      <c r="F210" s="14" t="s">
        <v>343</v>
      </c>
      <c r="G210" s="14" t="s">
        <v>343</v>
      </c>
      <c r="H210" s="14" t="s">
        <v>343</v>
      </c>
      <c r="J210" s="14">
        <v>0.92</v>
      </c>
      <c r="K210" s="14">
        <v>0.93</v>
      </c>
      <c r="L210" s="14">
        <v>0.93</v>
      </c>
      <c r="M210" s="14">
        <v>0.94</v>
      </c>
      <c r="N210" s="14">
        <v>0.94</v>
      </c>
      <c r="O210" s="14">
        <v>0.94</v>
      </c>
      <c r="P210" s="14">
        <v>0.95</v>
      </c>
      <c r="Q210" s="14">
        <v>0.93</v>
      </c>
      <c r="R210" s="14">
        <v>0.94</v>
      </c>
      <c r="S210" s="14">
        <v>0.94</v>
      </c>
      <c r="T210" s="14">
        <v>0.94</v>
      </c>
      <c r="U210" s="14">
        <v>0.94</v>
      </c>
      <c r="V210" s="14">
        <v>0.95</v>
      </c>
      <c r="W210" s="14">
        <v>0.95</v>
      </c>
      <c r="X210" s="14">
        <v>0.95</v>
      </c>
    </row>
    <row r="211" spans="1:24" hidden="1" x14ac:dyDescent="0.3">
      <c r="A211" s="14" t="s">
        <v>385</v>
      </c>
      <c r="B211" s="14" t="s">
        <v>35</v>
      </c>
      <c r="C211" s="14" t="s">
        <v>361</v>
      </c>
      <c r="D211" s="14" t="s">
        <v>362</v>
      </c>
      <c r="E211" s="14" t="s">
        <v>344</v>
      </c>
      <c r="F211" s="14" t="s">
        <v>343</v>
      </c>
      <c r="G211" s="14" t="s">
        <v>343</v>
      </c>
      <c r="H211" s="14" t="s">
        <v>343</v>
      </c>
      <c r="J211" s="14">
        <v>128</v>
      </c>
      <c r="K211" s="14">
        <v>130</v>
      </c>
      <c r="L211" s="14">
        <v>133</v>
      </c>
      <c r="M211" s="14">
        <v>130</v>
      </c>
      <c r="N211" s="14">
        <v>131</v>
      </c>
      <c r="O211" s="14">
        <v>130</v>
      </c>
      <c r="P211" s="14">
        <v>131</v>
      </c>
      <c r="Q211" s="14">
        <v>142</v>
      </c>
      <c r="R211" s="14">
        <v>144</v>
      </c>
      <c r="S211" s="14">
        <v>143</v>
      </c>
      <c r="T211" s="14">
        <v>143</v>
      </c>
      <c r="U211" s="14">
        <v>148</v>
      </c>
      <c r="V211" s="14">
        <v>148</v>
      </c>
      <c r="W211" s="14">
        <v>150</v>
      </c>
      <c r="X211" s="14">
        <v>139</v>
      </c>
    </row>
    <row r="212" spans="1:24" hidden="1" x14ac:dyDescent="0.3">
      <c r="A212" s="14" t="s">
        <v>385</v>
      </c>
      <c r="B212" s="14" t="s">
        <v>35</v>
      </c>
      <c r="C212" s="14" t="s">
        <v>363</v>
      </c>
      <c r="D212" s="14" t="s">
        <v>364</v>
      </c>
      <c r="E212" s="14" t="s">
        <v>342</v>
      </c>
      <c r="F212" s="14" t="s">
        <v>343</v>
      </c>
      <c r="G212" s="14" t="s">
        <v>343</v>
      </c>
      <c r="H212" s="14" t="s">
        <v>343</v>
      </c>
      <c r="U212" s="14">
        <v>1.06</v>
      </c>
      <c r="V212" s="14">
        <v>1.06</v>
      </c>
      <c r="W212" s="14">
        <v>1.06</v>
      </c>
      <c r="X212" s="14">
        <v>1.06</v>
      </c>
    </row>
    <row r="213" spans="1:24" hidden="1" x14ac:dyDescent="0.3">
      <c r="A213" s="14" t="s">
        <v>385</v>
      </c>
      <c r="B213" s="14" t="s">
        <v>35</v>
      </c>
      <c r="C213" s="14" t="s">
        <v>363</v>
      </c>
      <c r="D213" s="14" t="s">
        <v>364</v>
      </c>
      <c r="E213" s="14" t="s">
        <v>344</v>
      </c>
      <c r="F213" s="14" t="s">
        <v>343</v>
      </c>
      <c r="G213" s="14" t="s">
        <v>343</v>
      </c>
      <c r="H213" s="14" t="s">
        <v>343</v>
      </c>
      <c r="U213" s="14">
        <v>1</v>
      </c>
      <c r="V213" s="14">
        <v>1</v>
      </c>
      <c r="W213" s="14">
        <v>1</v>
      </c>
      <c r="X213" s="14">
        <v>1</v>
      </c>
    </row>
    <row r="214" spans="1:24" hidden="1" x14ac:dyDescent="0.3">
      <c r="A214" s="14" t="s">
        <v>385</v>
      </c>
      <c r="B214" s="14" t="s">
        <v>35</v>
      </c>
      <c r="C214" s="14" t="s">
        <v>365</v>
      </c>
      <c r="D214" s="14" t="s">
        <v>366</v>
      </c>
      <c r="E214" s="14" t="s">
        <v>342</v>
      </c>
      <c r="F214" s="14" t="s">
        <v>343</v>
      </c>
      <c r="G214" s="14" t="s">
        <v>343</v>
      </c>
      <c r="H214" s="14" t="s">
        <v>343</v>
      </c>
      <c r="U214" s="14">
        <v>0.89</v>
      </c>
      <c r="V214" s="14">
        <v>0.9</v>
      </c>
      <c r="W214" s="14">
        <v>0.9</v>
      </c>
      <c r="X214" s="14">
        <v>0.91</v>
      </c>
    </row>
    <row r="215" spans="1:24" hidden="1" x14ac:dyDescent="0.3">
      <c r="A215" s="14" t="s">
        <v>385</v>
      </c>
      <c r="B215" s="14" t="s">
        <v>35</v>
      </c>
      <c r="C215" s="14" t="s">
        <v>365</v>
      </c>
      <c r="D215" s="14" t="s">
        <v>366</v>
      </c>
      <c r="E215" s="14" t="s">
        <v>344</v>
      </c>
      <c r="F215" s="14" t="s">
        <v>343</v>
      </c>
      <c r="G215" s="14" t="s">
        <v>343</v>
      </c>
      <c r="H215" s="14" t="s">
        <v>343</v>
      </c>
      <c r="U215" s="14">
        <v>148</v>
      </c>
      <c r="V215" s="14">
        <v>150</v>
      </c>
      <c r="W215" s="14">
        <v>153</v>
      </c>
      <c r="X215" s="14">
        <v>143</v>
      </c>
    </row>
    <row r="216" spans="1:24" hidden="1" x14ac:dyDescent="0.3">
      <c r="A216" s="14" t="s">
        <v>385</v>
      </c>
      <c r="B216" s="14" t="s">
        <v>35</v>
      </c>
      <c r="C216" s="14" t="s">
        <v>367</v>
      </c>
      <c r="D216" s="14" t="s">
        <v>368</v>
      </c>
      <c r="E216" s="14" t="s">
        <v>342</v>
      </c>
      <c r="F216" s="14" t="s">
        <v>343</v>
      </c>
      <c r="G216" s="14" t="s">
        <v>343</v>
      </c>
      <c r="H216" s="14" t="s">
        <v>343</v>
      </c>
      <c r="J216" s="14">
        <v>0.67</v>
      </c>
      <c r="K216" s="14">
        <v>0.67</v>
      </c>
      <c r="L216" s="14">
        <v>0.66</v>
      </c>
      <c r="M216" s="14">
        <v>0.67</v>
      </c>
      <c r="N216" s="14">
        <v>0.67</v>
      </c>
      <c r="O216" s="14">
        <v>0.66</v>
      </c>
      <c r="P216" s="14">
        <v>0.66</v>
      </c>
      <c r="Q216" s="14">
        <v>0.66</v>
      </c>
      <c r="R216" s="14">
        <v>0.67</v>
      </c>
      <c r="S216" s="14">
        <v>0.67</v>
      </c>
      <c r="T216" s="14">
        <v>0.68</v>
      </c>
      <c r="U216" s="14">
        <v>0.68</v>
      </c>
      <c r="V216" s="14">
        <v>0.68</v>
      </c>
      <c r="W216" s="14">
        <v>0.67</v>
      </c>
      <c r="X216" s="14">
        <v>0.7</v>
      </c>
    </row>
    <row r="217" spans="1:24" hidden="1" x14ac:dyDescent="0.3">
      <c r="A217" s="14" t="s">
        <v>385</v>
      </c>
      <c r="B217" s="14" t="s">
        <v>35</v>
      </c>
      <c r="C217" s="14" t="s">
        <v>367</v>
      </c>
      <c r="D217" s="14" t="s">
        <v>368</v>
      </c>
      <c r="E217" s="14" t="s">
        <v>344</v>
      </c>
      <c r="F217" s="14" t="s">
        <v>343</v>
      </c>
      <c r="G217" s="14" t="s">
        <v>343</v>
      </c>
      <c r="H217" s="14" t="s">
        <v>343</v>
      </c>
      <c r="J217" s="14">
        <v>71</v>
      </c>
      <c r="K217" s="14">
        <v>78</v>
      </c>
      <c r="L217" s="14">
        <v>90</v>
      </c>
      <c r="M217" s="14">
        <v>84</v>
      </c>
      <c r="N217" s="14">
        <v>84</v>
      </c>
      <c r="O217" s="14">
        <v>92</v>
      </c>
      <c r="P217" s="14">
        <v>94</v>
      </c>
      <c r="Q217" s="14">
        <v>103</v>
      </c>
      <c r="R217" s="14">
        <v>105</v>
      </c>
      <c r="S217" s="14">
        <v>102</v>
      </c>
      <c r="T217" s="14">
        <v>97</v>
      </c>
      <c r="U217" s="14">
        <v>98</v>
      </c>
      <c r="V217" s="14">
        <v>98</v>
      </c>
      <c r="W217" s="14">
        <v>114</v>
      </c>
      <c r="X217" s="14">
        <v>89</v>
      </c>
    </row>
    <row r="218" spans="1:24" hidden="1" x14ac:dyDescent="0.3">
      <c r="A218" s="14" t="s">
        <v>385</v>
      </c>
      <c r="B218" s="14" t="s">
        <v>35</v>
      </c>
      <c r="C218" s="14" t="s">
        <v>369</v>
      </c>
      <c r="D218" s="14" t="s">
        <v>370</v>
      </c>
      <c r="E218" s="14" t="s">
        <v>342</v>
      </c>
      <c r="F218" s="14" t="s">
        <v>343</v>
      </c>
      <c r="G218" s="14" t="s">
        <v>343</v>
      </c>
      <c r="H218" s="14" t="s">
        <v>343</v>
      </c>
      <c r="J218" s="14">
        <v>0.02</v>
      </c>
      <c r="K218" s="14">
        <v>0.05</v>
      </c>
      <c r="L218" s="14">
        <v>0.04</v>
      </c>
      <c r="M218" s="14">
        <v>0.06</v>
      </c>
      <c r="N218" s="14">
        <v>0.06</v>
      </c>
      <c r="O218" s="14">
        <v>7.0000000000000007E-2</v>
      </c>
      <c r="P218" s="14">
        <v>7.0000000000000007E-2</v>
      </c>
      <c r="Q218" s="14">
        <v>7.0000000000000007E-2</v>
      </c>
      <c r="R218" s="14">
        <v>7.0000000000000007E-2</v>
      </c>
      <c r="S218" s="14">
        <v>7.0000000000000007E-2</v>
      </c>
      <c r="T218" s="14">
        <v>0.1</v>
      </c>
      <c r="U218" s="14">
        <v>0.1</v>
      </c>
      <c r="V218" s="14">
        <v>0.12</v>
      </c>
      <c r="W218" s="14">
        <v>0.09</v>
      </c>
      <c r="X218" s="14">
        <v>0.17</v>
      </c>
    </row>
    <row r="219" spans="1:24" hidden="1" x14ac:dyDescent="0.3">
      <c r="A219" s="14" t="s">
        <v>385</v>
      </c>
      <c r="B219" s="14" t="s">
        <v>35</v>
      </c>
      <c r="C219" s="14" t="s">
        <v>369</v>
      </c>
      <c r="D219" s="14" t="s">
        <v>370</v>
      </c>
      <c r="E219" s="14" t="s">
        <v>344</v>
      </c>
      <c r="F219" s="14" t="s">
        <v>343</v>
      </c>
      <c r="G219" s="14" t="s">
        <v>343</v>
      </c>
      <c r="H219" s="14" t="s">
        <v>343</v>
      </c>
      <c r="J219" s="14">
        <v>125</v>
      </c>
      <c r="K219" s="14">
        <v>118</v>
      </c>
      <c r="L219" s="14">
        <v>123</v>
      </c>
      <c r="M219" s="14">
        <v>106</v>
      </c>
      <c r="N219" s="14">
        <v>108</v>
      </c>
      <c r="O219" s="14">
        <v>114</v>
      </c>
      <c r="P219" s="14">
        <v>115</v>
      </c>
      <c r="Q219" s="14">
        <v>123</v>
      </c>
      <c r="R219" s="14">
        <v>125</v>
      </c>
      <c r="S219" s="14">
        <v>125</v>
      </c>
      <c r="T219" s="14">
        <v>111</v>
      </c>
      <c r="U219" s="14">
        <v>115</v>
      </c>
      <c r="V219" s="14">
        <v>114</v>
      </c>
      <c r="W219" s="14">
        <v>132</v>
      </c>
      <c r="X219" s="14">
        <v>89</v>
      </c>
    </row>
    <row r="220" spans="1:24" hidden="1" x14ac:dyDescent="0.3">
      <c r="A220" s="14" t="s">
        <v>385</v>
      </c>
      <c r="B220" s="14" t="s">
        <v>35</v>
      </c>
      <c r="C220" s="14" t="s">
        <v>371</v>
      </c>
      <c r="D220" s="14" t="s">
        <v>372</v>
      </c>
      <c r="E220" s="14" t="s">
        <v>342</v>
      </c>
      <c r="F220" s="14" t="s">
        <v>343</v>
      </c>
      <c r="G220" s="14" t="s">
        <v>343</v>
      </c>
      <c r="H220" s="14" t="s">
        <v>343</v>
      </c>
      <c r="U220" s="14">
        <v>0</v>
      </c>
      <c r="V220" s="14">
        <v>0</v>
      </c>
      <c r="W220" s="14">
        <v>0</v>
      </c>
      <c r="X220" s="14">
        <v>0</v>
      </c>
    </row>
    <row r="221" spans="1:24" hidden="1" x14ac:dyDescent="0.3">
      <c r="A221" s="14" t="s">
        <v>385</v>
      </c>
      <c r="B221" s="14" t="s">
        <v>35</v>
      </c>
      <c r="C221" s="14" t="s">
        <v>371</v>
      </c>
      <c r="D221" s="14" t="s">
        <v>372</v>
      </c>
      <c r="E221" s="14" t="s">
        <v>344</v>
      </c>
      <c r="F221" s="14" t="s">
        <v>343</v>
      </c>
      <c r="G221" s="14" t="s">
        <v>343</v>
      </c>
      <c r="H221" s="14" t="s">
        <v>343</v>
      </c>
      <c r="U221" s="14">
        <v>71</v>
      </c>
      <c r="V221" s="14">
        <v>73</v>
      </c>
      <c r="W221" s="14">
        <v>76</v>
      </c>
      <c r="X221" s="14">
        <v>78</v>
      </c>
    </row>
    <row r="222" spans="1:24" hidden="1" x14ac:dyDescent="0.3">
      <c r="A222" s="14" t="s">
        <v>385</v>
      </c>
      <c r="B222" s="14" t="s">
        <v>35</v>
      </c>
      <c r="C222" s="14" t="s">
        <v>373</v>
      </c>
      <c r="D222" s="14" t="s">
        <v>374</v>
      </c>
      <c r="E222" s="14" t="s">
        <v>342</v>
      </c>
      <c r="F222" s="14" t="s">
        <v>343</v>
      </c>
      <c r="G222" s="14" t="s">
        <v>343</v>
      </c>
      <c r="H222" s="14" t="s">
        <v>343</v>
      </c>
      <c r="U222" s="14">
        <v>0.12</v>
      </c>
      <c r="V222" s="14">
        <v>0.08</v>
      </c>
      <c r="W222" s="14">
        <v>0</v>
      </c>
      <c r="X222" s="14">
        <v>0</v>
      </c>
    </row>
    <row r="223" spans="1:24" hidden="1" x14ac:dyDescent="0.3">
      <c r="A223" s="14" t="s">
        <v>385</v>
      </c>
      <c r="B223" s="14" t="s">
        <v>35</v>
      </c>
      <c r="C223" s="14" t="s">
        <v>373</v>
      </c>
      <c r="D223" s="14" t="s">
        <v>374</v>
      </c>
      <c r="E223" s="14" t="s">
        <v>344</v>
      </c>
      <c r="F223" s="14" t="s">
        <v>343</v>
      </c>
      <c r="G223" s="14" t="s">
        <v>343</v>
      </c>
      <c r="H223" s="14" t="s">
        <v>343</v>
      </c>
      <c r="U223" s="14">
        <v>109</v>
      </c>
      <c r="V223" s="14">
        <v>127</v>
      </c>
      <c r="W223" s="14">
        <v>148</v>
      </c>
      <c r="X223" s="14">
        <v>140</v>
      </c>
    </row>
    <row r="224" spans="1:24" hidden="1" x14ac:dyDescent="0.3">
      <c r="A224" s="14" t="s">
        <v>385</v>
      </c>
      <c r="B224" s="14" t="s">
        <v>35</v>
      </c>
      <c r="C224" s="14" t="s">
        <v>375</v>
      </c>
      <c r="D224" s="14" t="s">
        <v>376</v>
      </c>
      <c r="E224" s="14" t="s">
        <v>342</v>
      </c>
      <c r="F224" s="14" t="s">
        <v>343</v>
      </c>
      <c r="G224" s="14" t="s">
        <v>343</v>
      </c>
      <c r="H224" s="14" t="s">
        <v>343</v>
      </c>
      <c r="U224" s="14">
        <v>0.22</v>
      </c>
      <c r="V224" s="14">
        <v>0.32</v>
      </c>
      <c r="W224" s="14">
        <v>0.28999999999999998</v>
      </c>
      <c r="X224" s="14">
        <v>0.55000000000000004</v>
      </c>
    </row>
    <row r="225" spans="1:24" hidden="1" x14ac:dyDescent="0.3">
      <c r="A225" s="14" t="s">
        <v>385</v>
      </c>
      <c r="B225" s="14" t="s">
        <v>35</v>
      </c>
      <c r="C225" s="14" t="s">
        <v>375</v>
      </c>
      <c r="D225" s="14" t="s">
        <v>376</v>
      </c>
      <c r="E225" s="14" t="s">
        <v>344</v>
      </c>
      <c r="F225" s="14" t="s">
        <v>343</v>
      </c>
      <c r="G225" s="14" t="s">
        <v>343</v>
      </c>
      <c r="H225" s="14" t="s">
        <v>343</v>
      </c>
      <c r="U225" s="14">
        <v>96</v>
      </c>
      <c r="V225" s="14">
        <v>64</v>
      </c>
      <c r="W225" s="14">
        <v>84</v>
      </c>
      <c r="X225" s="14">
        <v>39</v>
      </c>
    </row>
    <row r="226" spans="1:24" hidden="1" x14ac:dyDescent="0.3">
      <c r="A226" s="14" t="s">
        <v>386</v>
      </c>
      <c r="B226" s="14" t="s">
        <v>37</v>
      </c>
      <c r="C226" s="14" t="s">
        <v>340</v>
      </c>
      <c r="D226" s="14" t="s">
        <v>341</v>
      </c>
      <c r="E226" s="14" t="s">
        <v>342</v>
      </c>
      <c r="F226" s="14" t="s">
        <v>343</v>
      </c>
      <c r="G226" s="14" t="s">
        <v>343</v>
      </c>
      <c r="H226" s="14" t="s">
        <v>343</v>
      </c>
      <c r="I226" s="14">
        <v>1</v>
      </c>
      <c r="J226" s="14">
        <v>1</v>
      </c>
      <c r="K226" s="14">
        <v>1</v>
      </c>
      <c r="L226" s="14">
        <v>1</v>
      </c>
      <c r="M226" s="14">
        <v>1</v>
      </c>
      <c r="N226" s="14">
        <v>1</v>
      </c>
      <c r="O226" s="14">
        <v>1</v>
      </c>
      <c r="P226" s="14">
        <v>1</v>
      </c>
      <c r="Q226" s="14">
        <v>1</v>
      </c>
      <c r="R226" s="14">
        <v>1</v>
      </c>
      <c r="S226" s="14">
        <v>1</v>
      </c>
      <c r="T226" s="14">
        <v>1</v>
      </c>
      <c r="U226" s="14">
        <v>1</v>
      </c>
      <c r="V226" s="14">
        <v>1</v>
      </c>
      <c r="W226" s="14">
        <v>1</v>
      </c>
      <c r="X226" s="14">
        <v>0.98</v>
      </c>
    </row>
    <row r="227" spans="1:24" hidden="1" x14ac:dyDescent="0.3">
      <c r="A227" s="14" t="s">
        <v>386</v>
      </c>
      <c r="B227" s="14" t="s">
        <v>37</v>
      </c>
      <c r="C227" s="14" t="s">
        <v>340</v>
      </c>
      <c r="D227" s="14" t="s">
        <v>341</v>
      </c>
      <c r="E227" s="14" t="s">
        <v>344</v>
      </c>
      <c r="F227" s="14" t="s">
        <v>343</v>
      </c>
      <c r="G227" s="14" t="s">
        <v>343</v>
      </c>
      <c r="H227" s="14" t="s">
        <v>343</v>
      </c>
      <c r="I227" s="14">
        <v>1</v>
      </c>
      <c r="J227" s="14">
        <v>1</v>
      </c>
      <c r="K227" s="14">
        <v>1</v>
      </c>
      <c r="L227" s="14">
        <v>1</v>
      </c>
      <c r="M227" s="14">
        <v>1</v>
      </c>
      <c r="N227" s="14">
        <v>1</v>
      </c>
      <c r="O227" s="14">
        <v>1</v>
      </c>
      <c r="P227" s="14">
        <v>1</v>
      </c>
      <c r="Q227" s="14">
        <v>1</v>
      </c>
      <c r="R227" s="14">
        <v>1</v>
      </c>
      <c r="S227" s="14">
        <v>1</v>
      </c>
      <c r="T227" s="14">
        <v>1</v>
      </c>
      <c r="U227" s="14">
        <v>1</v>
      </c>
      <c r="V227" s="14">
        <v>1</v>
      </c>
      <c r="W227" s="14">
        <v>1</v>
      </c>
      <c r="X227" s="14">
        <v>87</v>
      </c>
    </row>
    <row r="228" spans="1:24" hidden="1" x14ac:dyDescent="0.3">
      <c r="A228" s="14" t="s">
        <v>386</v>
      </c>
      <c r="B228" s="14" t="s">
        <v>37</v>
      </c>
      <c r="C228" s="14" t="s">
        <v>345</v>
      </c>
      <c r="D228" s="14" t="s">
        <v>346</v>
      </c>
      <c r="E228" s="14" t="s">
        <v>342</v>
      </c>
      <c r="F228" s="14" t="s">
        <v>343</v>
      </c>
      <c r="G228" s="14" t="s">
        <v>343</v>
      </c>
      <c r="H228" s="14" t="s">
        <v>343</v>
      </c>
      <c r="U228" s="14">
        <v>0.62</v>
      </c>
      <c r="V228" s="14">
        <v>0.59</v>
      </c>
      <c r="W228" s="14">
        <v>0.46</v>
      </c>
      <c r="X228" s="14">
        <v>0.62</v>
      </c>
    </row>
    <row r="229" spans="1:24" hidden="1" x14ac:dyDescent="0.3">
      <c r="A229" s="14" t="s">
        <v>386</v>
      </c>
      <c r="B229" s="14" t="s">
        <v>37</v>
      </c>
      <c r="C229" s="14" t="s">
        <v>345</v>
      </c>
      <c r="D229" s="14" t="s">
        <v>346</v>
      </c>
      <c r="E229" s="14" t="s">
        <v>344</v>
      </c>
      <c r="F229" s="14" t="s">
        <v>343</v>
      </c>
      <c r="G229" s="14" t="s">
        <v>343</v>
      </c>
      <c r="H229" s="14" t="s">
        <v>343</v>
      </c>
      <c r="U229" s="14">
        <v>71</v>
      </c>
      <c r="V229" s="14">
        <v>89</v>
      </c>
      <c r="W229" s="14">
        <v>125</v>
      </c>
      <c r="X229" s="14">
        <v>85</v>
      </c>
    </row>
    <row r="230" spans="1:24" hidden="1" x14ac:dyDescent="0.3">
      <c r="A230" s="14" t="s">
        <v>386</v>
      </c>
      <c r="B230" s="14" t="s">
        <v>37</v>
      </c>
      <c r="C230" s="14" t="s">
        <v>347</v>
      </c>
      <c r="D230" s="14" t="s">
        <v>348</v>
      </c>
      <c r="E230" s="14" t="s">
        <v>342</v>
      </c>
      <c r="F230" s="14" t="s">
        <v>343</v>
      </c>
      <c r="G230" s="14" t="s">
        <v>343</v>
      </c>
      <c r="H230" s="14" t="s">
        <v>343</v>
      </c>
      <c r="U230" s="14">
        <v>0.87</v>
      </c>
      <c r="V230" s="14">
        <v>0.88</v>
      </c>
      <c r="W230" s="14">
        <v>0.89</v>
      </c>
      <c r="X230" s="14">
        <v>0.86</v>
      </c>
    </row>
    <row r="231" spans="1:24" hidden="1" x14ac:dyDescent="0.3">
      <c r="A231" s="14" t="s">
        <v>386</v>
      </c>
      <c r="B231" s="14" t="s">
        <v>37</v>
      </c>
      <c r="C231" s="14" t="s">
        <v>347</v>
      </c>
      <c r="D231" s="14" t="s">
        <v>348</v>
      </c>
      <c r="E231" s="14" t="s">
        <v>344</v>
      </c>
      <c r="F231" s="14" t="s">
        <v>343</v>
      </c>
      <c r="G231" s="14" t="s">
        <v>343</v>
      </c>
      <c r="H231" s="14" t="s">
        <v>343</v>
      </c>
      <c r="U231" s="14">
        <v>54</v>
      </c>
      <c r="V231" s="14">
        <v>53</v>
      </c>
      <c r="W231" s="14">
        <v>46</v>
      </c>
      <c r="X231" s="14">
        <v>36</v>
      </c>
    </row>
    <row r="232" spans="1:24" hidden="1" x14ac:dyDescent="0.3">
      <c r="A232" s="14" t="s">
        <v>386</v>
      </c>
      <c r="B232" s="14" t="s">
        <v>37</v>
      </c>
      <c r="C232" s="14" t="s">
        <v>349</v>
      </c>
      <c r="D232" s="14" t="s">
        <v>350</v>
      </c>
      <c r="E232" s="14" t="s">
        <v>342</v>
      </c>
      <c r="F232" s="14" t="s">
        <v>343</v>
      </c>
      <c r="G232" s="14" t="s">
        <v>343</v>
      </c>
      <c r="H232" s="14" t="s">
        <v>343</v>
      </c>
      <c r="U232" s="14">
        <v>0.57999999999999996</v>
      </c>
      <c r="V232" s="14">
        <v>0.61</v>
      </c>
      <c r="W232" s="14">
        <v>0.61</v>
      </c>
      <c r="X232" s="14">
        <v>0.66</v>
      </c>
    </row>
    <row r="233" spans="1:24" hidden="1" x14ac:dyDescent="0.3">
      <c r="A233" s="14" t="s">
        <v>386</v>
      </c>
      <c r="B233" s="14" t="s">
        <v>37</v>
      </c>
      <c r="C233" s="14" t="s">
        <v>349</v>
      </c>
      <c r="D233" s="14" t="s">
        <v>350</v>
      </c>
      <c r="E233" s="14" t="s">
        <v>344</v>
      </c>
      <c r="F233" s="14" t="s">
        <v>343</v>
      </c>
      <c r="G233" s="14" t="s">
        <v>343</v>
      </c>
      <c r="H233" s="14" t="s">
        <v>343</v>
      </c>
      <c r="U233" s="14">
        <v>43</v>
      </c>
      <c r="V233" s="14">
        <v>41</v>
      </c>
      <c r="W233" s="14">
        <v>46</v>
      </c>
      <c r="X233" s="14">
        <v>37</v>
      </c>
    </row>
    <row r="234" spans="1:24" hidden="1" x14ac:dyDescent="0.3">
      <c r="A234" s="14" t="s">
        <v>386</v>
      </c>
      <c r="B234" s="14" t="s">
        <v>37</v>
      </c>
      <c r="C234" s="14" t="s">
        <v>351</v>
      </c>
      <c r="D234" s="14" t="s">
        <v>352</v>
      </c>
      <c r="E234" s="14" t="s">
        <v>342</v>
      </c>
      <c r="F234" s="14" t="s">
        <v>343</v>
      </c>
      <c r="G234" s="14" t="s">
        <v>343</v>
      </c>
      <c r="H234" s="14" t="s">
        <v>343</v>
      </c>
      <c r="U234" s="14">
        <v>1</v>
      </c>
      <c r="V234" s="14">
        <v>1</v>
      </c>
      <c r="W234" s="14">
        <v>1</v>
      </c>
      <c r="X234" s="14">
        <v>1</v>
      </c>
    </row>
    <row r="235" spans="1:24" hidden="1" x14ac:dyDescent="0.3">
      <c r="A235" s="14" t="s">
        <v>386</v>
      </c>
      <c r="B235" s="14" t="s">
        <v>37</v>
      </c>
      <c r="C235" s="14" t="s">
        <v>351</v>
      </c>
      <c r="D235" s="14" t="s">
        <v>352</v>
      </c>
      <c r="E235" s="14" t="s">
        <v>344</v>
      </c>
      <c r="F235" s="14" t="s">
        <v>343</v>
      </c>
      <c r="G235" s="14" t="s">
        <v>343</v>
      </c>
      <c r="H235" s="14" t="s">
        <v>343</v>
      </c>
      <c r="U235" s="14">
        <v>1</v>
      </c>
      <c r="V235" s="14">
        <v>1</v>
      </c>
      <c r="W235" s="14">
        <v>1</v>
      </c>
      <c r="X235" s="14">
        <v>1</v>
      </c>
    </row>
    <row r="236" spans="1:24" hidden="1" x14ac:dyDescent="0.3">
      <c r="A236" s="14" t="s">
        <v>386</v>
      </c>
      <c r="B236" s="14" t="s">
        <v>37</v>
      </c>
      <c r="C236" s="14" t="s">
        <v>378</v>
      </c>
      <c r="D236" s="14" t="s">
        <v>379</v>
      </c>
      <c r="E236" s="14" t="s">
        <v>342</v>
      </c>
      <c r="F236" s="14" t="s">
        <v>343</v>
      </c>
      <c r="G236" s="14" t="s">
        <v>343</v>
      </c>
      <c r="H236" s="14" t="s">
        <v>343</v>
      </c>
      <c r="S236" s="14">
        <v>0.66</v>
      </c>
      <c r="U236" s="14">
        <v>0.65</v>
      </c>
      <c r="V236" s="14">
        <v>0.66</v>
      </c>
      <c r="W236" s="14">
        <v>0.68</v>
      </c>
      <c r="X236" s="14">
        <v>0.68</v>
      </c>
    </row>
    <row r="237" spans="1:24" hidden="1" x14ac:dyDescent="0.3">
      <c r="A237" s="14" t="s">
        <v>386</v>
      </c>
      <c r="B237" s="14" t="s">
        <v>37</v>
      </c>
      <c r="C237" s="14" t="s">
        <v>378</v>
      </c>
      <c r="D237" s="14" t="s">
        <v>379</v>
      </c>
      <c r="E237" s="14" t="s">
        <v>344</v>
      </c>
      <c r="F237" s="14" t="s">
        <v>343</v>
      </c>
      <c r="G237" s="14" t="s">
        <v>343</v>
      </c>
      <c r="H237" s="14" t="s">
        <v>343</v>
      </c>
      <c r="S237" s="14">
        <v>60</v>
      </c>
      <c r="U237" s="14">
        <v>73</v>
      </c>
      <c r="V237" s="14">
        <v>70</v>
      </c>
      <c r="W237" s="14">
        <v>68</v>
      </c>
      <c r="X237" s="14">
        <v>57</v>
      </c>
    </row>
    <row r="238" spans="1:24" hidden="1" x14ac:dyDescent="0.3">
      <c r="A238" s="14" t="s">
        <v>386</v>
      </c>
      <c r="B238" s="14" t="s">
        <v>37</v>
      </c>
      <c r="C238" s="14" t="s">
        <v>353</v>
      </c>
      <c r="D238" s="14" t="s">
        <v>354</v>
      </c>
      <c r="E238" s="14" t="s">
        <v>342</v>
      </c>
      <c r="F238" s="14" t="s">
        <v>343</v>
      </c>
      <c r="G238" s="14" t="s">
        <v>343</v>
      </c>
      <c r="H238" s="14" t="s">
        <v>343</v>
      </c>
      <c r="U238" s="14">
        <v>1</v>
      </c>
      <c r="V238" s="14">
        <v>1</v>
      </c>
      <c r="W238" s="14">
        <v>1</v>
      </c>
      <c r="X238" s="14">
        <v>1</v>
      </c>
    </row>
    <row r="239" spans="1:24" hidden="1" x14ac:dyDescent="0.3">
      <c r="A239" s="14" t="s">
        <v>386</v>
      </c>
      <c r="B239" s="14" t="s">
        <v>37</v>
      </c>
      <c r="C239" s="14" t="s">
        <v>353</v>
      </c>
      <c r="D239" s="14" t="s">
        <v>354</v>
      </c>
      <c r="E239" s="14" t="s">
        <v>344</v>
      </c>
      <c r="F239" s="14" t="s">
        <v>343</v>
      </c>
      <c r="G239" s="14" t="s">
        <v>343</v>
      </c>
      <c r="H239" s="14" t="s">
        <v>343</v>
      </c>
      <c r="U239" s="14">
        <v>1</v>
      </c>
      <c r="V239" s="14">
        <v>1</v>
      </c>
      <c r="W239" s="14">
        <v>1</v>
      </c>
      <c r="X239" s="14">
        <v>1</v>
      </c>
    </row>
    <row r="240" spans="1:24" hidden="1" x14ac:dyDescent="0.3">
      <c r="A240" s="14" t="s">
        <v>386</v>
      </c>
      <c r="B240" s="14" t="s">
        <v>37</v>
      </c>
      <c r="C240" s="14" t="s">
        <v>380</v>
      </c>
      <c r="D240" s="14" t="s">
        <v>381</v>
      </c>
      <c r="E240" s="14" t="s">
        <v>342</v>
      </c>
      <c r="F240" s="14" t="s">
        <v>343</v>
      </c>
      <c r="G240" s="14" t="s">
        <v>343</v>
      </c>
      <c r="H240" s="14" t="s">
        <v>343</v>
      </c>
      <c r="U240" s="14">
        <v>1</v>
      </c>
      <c r="V240" s="14">
        <v>1</v>
      </c>
      <c r="W240" s="14">
        <v>1</v>
      </c>
      <c r="X240" s="14">
        <v>1</v>
      </c>
    </row>
    <row r="241" spans="1:24" hidden="1" x14ac:dyDescent="0.3">
      <c r="A241" s="14" t="s">
        <v>386</v>
      </c>
      <c r="B241" s="14" t="s">
        <v>37</v>
      </c>
      <c r="C241" s="14" t="s">
        <v>380</v>
      </c>
      <c r="D241" s="14" t="s">
        <v>381</v>
      </c>
      <c r="E241" s="14" t="s">
        <v>344</v>
      </c>
      <c r="F241" s="14" t="s">
        <v>343</v>
      </c>
      <c r="G241" s="14" t="s">
        <v>343</v>
      </c>
      <c r="H241" s="14" t="s">
        <v>343</v>
      </c>
      <c r="U241" s="14">
        <v>1</v>
      </c>
      <c r="V241" s="14">
        <v>1</v>
      </c>
      <c r="W241" s="14">
        <v>1</v>
      </c>
      <c r="X241" s="14">
        <v>67</v>
      </c>
    </row>
    <row r="242" spans="1:24" hidden="1" x14ac:dyDescent="0.3">
      <c r="A242" s="14" t="s">
        <v>386</v>
      </c>
      <c r="B242" s="14" t="s">
        <v>37</v>
      </c>
      <c r="C242" s="14" t="s">
        <v>355</v>
      </c>
      <c r="D242" s="14" t="s">
        <v>356</v>
      </c>
      <c r="E242" s="14" t="s">
        <v>342</v>
      </c>
      <c r="F242" s="14" t="s">
        <v>343</v>
      </c>
      <c r="G242" s="14" t="s">
        <v>343</v>
      </c>
      <c r="H242" s="14" t="s">
        <v>343</v>
      </c>
      <c r="U242" s="14">
        <v>1</v>
      </c>
      <c r="V242" s="14">
        <v>1</v>
      </c>
      <c r="W242" s="14">
        <v>1</v>
      </c>
      <c r="X242" s="14">
        <v>0.93</v>
      </c>
    </row>
    <row r="243" spans="1:24" hidden="1" x14ac:dyDescent="0.3">
      <c r="A243" s="14" t="s">
        <v>386</v>
      </c>
      <c r="B243" s="14" t="s">
        <v>37</v>
      </c>
      <c r="C243" s="14" t="s">
        <v>355</v>
      </c>
      <c r="D243" s="14" t="s">
        <v>356</v>
      </c>
      <c r="E243" s="14" t="s">
        <v>344</v>
      </c>
      <c r="F243" s="14" t="s">
        <v>343</v>
      </c>
      <c r="G243" s="14" t="s">
        <v>343</v>
      </c>
      <c r="H243" s="14" t="s">
        <v>343</v>
      </c>
      <c r="U243" s="14">
        <v>1</v>
      </c>
      <c r="V243" s="14">
        <v>1</v>
      </c>
      <c r="W243" s="14">
        <v>1</v>
      </c>
      <c r="X243" s="14">
        <v>117</v>
      </c>
    </row>
    <row r="244" spans="1:24" hidden="1" x14ac:dyDescent="0.3">
      <c r="A244" s="14" t="s">
        <v>386</v>
      </c>
      <c r="B244" s="14" t="s">
        <v>37</v>
      </c>
      <c r="C244" s="14" t="s">
        <v>357</v>
      </c>
      <c r="D244" s="14" t="s">
        <v>358</v>
      </c>
      <c r="E244" s="14" t="s">
        <v>342</v>
      </c>
      <c r="F244" s="14" t="s">
        <v>343</v>
      </c>
      <c r="G244" s="14" t="s">
        <v>343</v>
      </c>
      <c r="H244" s="14" t="s">
        <v>343</v>
      </c>
      <c r="U244" s="14">
        <v>1</v>
      </c>
      <c r="V244" s="14">
        <v>1</v>
      </c>
      <c r="W244" s="14">
        <v>1</v>
      </c>
      <c r="X244" s="14">
        <v>1</v>
      </c>
    </row>
    <row r="245" spans="1:24" hidden="1" x14ac:dyDescent="0.3">
      <c r="A245" s="14" t="s">
        <v>386</v>
      </c>
      <c r="B245" s="14" t="s">
        <v>37</v>
      </c>
      <c r="C245" s="14" t="s">
        <v>357</v>
      </c>
      <c r="D245" s="14" t="s">
        <v>358</v>
      </c>
      <c r="E245" s="14" t="s">
        <v>344</v>
      </c>
      <c r="F245" s="14" t="s">
        <v>343</v>
      </c>
      <c r="G245" s="14" t="s">
        <v>343</v>
      </c>
      <c r="H245" s="14" t="s">
        <v>343</v>
      </c>
      <c r="U245" s="14">
        <v>1</v>
      </c>
      <c r="V245" s="14">
        <v>1</v>
      </c>
      <c r="W245" s="14">
        <v>1</v>
      </c>
      <c r="X245" s="14">
        <v>1</v>
      </c>
    </row>
    <row r="246" spans="1:24" hidden="1" x14ac:dyDescent="0.3">
      <c r="A246" s="14" t="s">
        <v>386</v>
      </c>
      <c r="B246" s="14" t="s">
        <v>37</v>
      </c>
      <c r="C246" s="14" t="s">
        <v>359</v>
      </c>
      <c r="D246" s="14" t="s">
        <v>360</v>
      </c>
      <c r="E246" s="14" t="s">
        <v>342</v>
      </c>
      <c r="F246" s="14" t="s">
        <v>343</v>
      </c>
      <c r="G246" s="14" t="s">
        <v>343</v>
      </c>
      <c r="H246" s="14" t="s">
        <v>343</v>
      </c>
      <c r="I246" s="14">
        <v>0.73</v>
      </c>
      <c r="J246" s="14">
        <v>0.74</v>
      </c>
      <c r="K246" s="14">
        <v>0.73</v>
      </c>
      <c r="L246" s="14">
        <v>0.75</v>
      </c>
      <c r="M246" s="14">
        <v>0.74</v>
      </c>
      <c r="N246" s="14">
        <v>0.76</v>
      </c>
      <c r="O246" s="14">
        <v>0.76</v>
      </c>
      <c r="P246" s="14">
        <v>0.79</v>
      </c>
      <c r="Q246" s="14">
        <v>0.8</v>
      </c>
      <c r="R246" s="14">
        <v>0.77</v>
      </c>
      <c r="S246" s="14">
        <v>0.72</v>
      </c>
      <c r="T246" s="14">
        <v>0.72</v>
      </c>
      <c r="U246" s="14">
        <v>0.72</v>
      </c>
      <c r="V246" s="14">
        <v>0.72</v>
      </c>
      <c r="W246" s="14">
        <v>0.7</v>
      </c>
      <c r="X246" s="14">
        <v>0.74</v>
      </c>
    </row>
    <row r="247" spans="1:24" hidden="1" x14ac:dyDescent="0.3">
      <c r="A247" s="14" t="s">
        <v>386</v>
      </c>
      <c r="B247" s="14" t="s">
        <v>37</v>
      </c>
      <c r="C247" s="14" t="s">
        <v>359</v>
      </c>
      <c r="D247" s="14" t="s">
        <v>360</v>
      </c>
      <c r="E247" s="14" t="s">
        <v>344</v>
      </c>
      <c r="F247" s="14" t="s">
        <v>343</v>
      </c>
      <c r="G247" s="14" t="s">
        <v>343</v>
      </c>
      <c r="H247" s="14" t="s">
        <v>343</v>
      </c>
      <c r="I247" s="14">
        <v>12</v>
      </c>
      <c r="J247" s="14">
        <v>12</v>
      </c>
      <c r="K247" s="14">
        <v>22</v>
      </c>
      <c r="L247" s="14">
        <v>19</v>
      </c>
      <c r="M247" s="14">
        <v>24</v>
      </c>
      <c r="N247" s="14">
        <v>18</v>
      </c>
      <c r="O247" s="14">
        <v>22</v>
      </c>
      <c r="P247" s="14">
        <v>13</v>
      </c>
      <c r="Q247" s="14">
        <v>14</v>
      </c>
      <c r="R247" s="14">
        <v>32</v>
      </c>
      <c r="S247" s="14">
        <v>42</v>
      </c>
      <c r="T247" s="14">
        <v>42</v>
      </c>
      <c r="U247" s="14">
        <v>46</v>
      </c>
      <c r="V247" s="14">
        <v>49</v>
      </c>
      <c r="W247" s="14">
        <v>70</v>
      </c>
      <c r="X247" s="14">
        <v>38</v>
      </c>
    </row>
    <row r="248" spans="1:24" x14ac:dyDescent="0.3">
      <c r="A248" s="14" t="s">
        <v>386</v>
      </c>
      <c r="B248" s="14" t="s">
        <v>37</v>
      </c>
      <c r="C248" s="14" t="s">
        <v>361</v>
      </c>
      <c r="D248" s="14" t="s">
        <v>362</v>
      </c>
      <c r="E248" s="14" t="s">
        <v>342</v>
      </c>
      <c r="F248" s="14" t="s">
        <v>343</v>
      </c>
      <c r="G248" s="14" t="s">
        <v>343</v>
      </c>
      <c r="H248" s="14" t="s">
        <v>343</v>
      </c>
      <c r="I248" s="14">
        <v>0.98</v>
      </c>
      <c r="J248" s="14">
        <v>0.97</v>
      </c>
      <c r="K248" s="14">
        <v>0.97</v>
      </c>
      <c r="L248" s="14">
        <v>0.97</v>
      </c>
      <c r="M248" s="14">
        <v>0.97</v>
      </c>
      <c r="N248" s="14">
        <v>0.97</v>
      </c>
      <c r="O248" s="14">
        <v>0.97</v>
      </c>
      <c r="P248" s="14">
        <v>0.97</v>
      </c>
      <c r="Q248" s="14">
        <v>0.97</v>
      </c>
      <c r="R248" s="14">
        <v>0.97</v>
      </c>
      <c r="S248" s="14">
        <v>0.97</v>
      </c>
      <c r="T248" s="14">
        <v>0.97</v>
      </c>
      <c r="U248" s="14">
        <v>0.97</v>
      </c>
      <c r="V248" s="14">
        <v>0.97</v>
      </c>
      <c r="W248" s="14">
        <v>0.97</v>
      </c>
      <c r="X248" s="14">
        <v>0.97</v>
      </c>
    </row>
    <row r="249" spans="1:24" hidden="1" x14ac:dyDescent="0.3">
      <c r="A249" s="14" t="s">
        <v>386</v>
      </c>
      <c r="B249" s="14" t="s">
        <v>37</v>
      </c>
      <c r="C249" s="14" t="s">
        <v>361</v>
      </c>
      <c r="D249" s="14" t="s">
        <v>362</v>
      </c>
      <c r="E249" s="14" t="s">
        <v>344</v>
      </c>
      <c r="F249" s="14" t="s">
        <v>343</v>
      </c>
      <c r="G249" s="14" t="s">
        <v>343</v>
      </c>
      <c r="H249" s="14" t="s">
        <v>343</v>
      </c>
      <c r="I249" s="14">
        <v>57</v>
      </c>
      <c r="J249" s="14">
        <v>71</v>
      </c>
      <c r="K249" s="14">
        <v>73</v>
      </c>
      <c r="L249" s="14">
        <v>78</v>
      </c>
      <c r="M249" s="14">
        <v>73</v>
      </c>
      <c r="N249" s="14">
        <v>74</v>
      </c>
      <c r="O249" s="14">
        <v>73</v>
      </c>
      <c r="P249" s="14">
        <v>69</v>
      </c>
      <c r="Q249" s="14">
        <v>70</v>
      </c>
      <c r="R249" s="14">
        <v>74</v>
      </c>
      <c r="S249" s="14">
        <v>72</v>
      </c>
      <c r="T249" s="14">
        <v>104</v>
      </c>
      <c r="U249" s="14">
        <v>103</v>
      </c>
      <c r="V249" s="14">
        <v>104</v>
      </c>
      <c r="W249" s="14">
        <v>99</v>
      </c>
      <c r="X249" s="14">
        <v>90</v>
      </c>
    </row>
    <row r="250" spans="1:24" hidden="1" x14ac:dyDescent="0.3">
      <c r="A250" s="14" t="s">
        <v>386</v>
      </c>
      <c r="B250" s="14" t="s">
        <v>37</v>
      </c>
      <c r="C250" s="14" t="s">
        <v>363</v>
      </c>
      <c r="D250" s="14" t="s">
        <v>364</v>
      </c>
      <c r="E250" s="14" t="s">
        <v>342</v>
      </c>
      <c r="F250" s="14" t="s">
        <v>343</v>
      </c>
      <c r="G250" s="14" t="s">
        <v>343</v>
      </c>
      <c r="H250" s="14" t="s">
        <v>343</v>
      </c>
      <c r="U250" s="14">
        <v>1.03</v>
      </c>
      <c r="V250" s="14">
        <v>1.03</v>
      </c>
      <c r="W250" s="14">
        <v>1.02</v>
      </c>
      <c r="X250" s="14">
        <v>1.02</v>
      </c>
    </row>
    <row r="251" spans="1:24" hidden="1" x14ac:dyDescent="0.3">
      <c r="A251" s="14" t="s">
        <v>386</v>
      </c>
      <c r="B251" s="14" t="s">
        <v>37</v>
      </c>
      <c r="C251" s="14" t="s">
        <v>363</v>
      </c>
      <c r="D251" s="14" t="s">
        <v>364</v>
      </c>
      <c r="E251" s="14" t="s">
        <v>344</v>
      </c>
      <c r="F251" s="14" t="s">
        <v>343</v>
      </c>
      <c r="G251" s="14" t="s">
        <v>343</v>
      </c>
      <c r="H251" s="14" t="s">
        <v>343</v>
      </c>
      <c r="U251" s="14">
        <v>110</v>
      </c>
      <c r="V251" s="14">
        <v>113</v>
      </c>
      <c r="W251" s="14">
        <v>110</v>
      </c>
      <c r="X251" s="14">
        <v>98</v>
      </c>
    </row>
    <row r="252" spans="1:24" hidden="1" x14ac:dyDescent="0.3">
      <c r="A252" s="14" t="s">
        <v>386</v>
      </c>
      <c r="B252" s="14" t="s">
        <v>37</v>
      </c>
      <c r="C252" s="14" t="s">
        <v>365</v>
      </c>
      <c r="D252" s="14" t="s">
        <v>366</v>
      </c>
      <c r="E252" s="14" t="s">
        <v>342</v>
      </c>
      <c r="F252" s="14" t="s">
        <v>343</v>
      </c>
      <c r="G252" s="14" t="s">
        <v>343</v>
      </c>
      <c r="H252" s="14" t="s">
        <v>343</v>
      </c>
      <c r="U252" s="14">
        <v>0.94</v>
      </c>
      <c r="V252" s="14">
        <v>0.94</v>
      </c>
      <c r="W252" s="14">
        <v>0.94</v>
      </c>
      <c r="X252" s="14">
        <v>0.94</v>
      </c>
    </row>
    <row r="253" spans="1:24" hidden="1" x14ac:dyDescent="0.3">
      <c r="A253" s="14" t="s">
        <v>386</v>
      </c>
      <c r="B253" s="14" t="s">
        <v>37</v>
      </c>
      <c r="C253" s="14" t="s">
        <v>365</v>
      </c>
      <c r="D253" s="14" t="s">
        <v>366</v>
      </c>
      <c r="E253" s="14" t="s">
        <v>344</v>
      </c>
      <c r="F253" s="14" t="s">
        <v>343</v>
      </c>
      <c r="G253" s="14" t="s">
        <v>343</v>
      </c>
      <c r="H253" s="14" t="s">
        <v>343</v>
      </c>
      <c r="U253" s="14">
        <v>1</v>
      </c>
      <c r="V253" s="14">
        <v>1</v>
      </c>
      <c r="W253" s="14">
        <v>1</v>
      </c>
      <c r="X253" s="14">
        <v>1</v>
      </c>
    </row>
    <row r="254" spans="1:24" hidden="1" x14ac:dyDescent="0.3">
      <c r="A254" s="14" t="s">
        <v>386</v>
      </c>
      <c r="B254" s="14" t="s">
        <v>37</v>
      </c>
      <c r="C254" s="14" t="s">
        <v>367</v>
      </c>
      <c r="D254" s="14" t="s">
        <v>368</v>
      </c>
      <c r="E254" s="14" t="s">
        <v>342</v>
      </c>
      <c r="F254" s="14" t="s">
        <v>343</v>
      </c>
      <c r="G254" s="14" t="s">
        <v>343</v>
      </c>
      <c r="H254" s="14" t="s">
        <v>343</v>
      </c>
      <c r="I254" s="14">
        <v>0.72</v>
      </c>
      <c r="J254" s="14">
        <v>0.72</v>
      </c>
      <c r="K254" s="14">
        <v>0.72</v>
      </c>
      <c r="L254" s="14">
        <v>0.73</v>
      </c>
      <c r="M254" s="14">
        <v>0.73</v>
      </c>
      <c r="N254" s="14">
        <v>0.73</v>
      </c>
      <c r="O254" s="14">
        <v>0.73</v>
      </c>
      <c r="P254" s="14">
        <v>0.74</v>
      </c>
      <c r="Q254" s="14">
        <v>0.74</v>
      </c>
      <c r="R254" s="14">
        <v>0.73</v>
      </c>
      <c r="S254" s="14">
        <v>0.72</v>
      </c>
      <c r="T254" s="14">
        <v>0.73</v>
      </c>
      <c r="U254" s="14">
        <v>0.73</v>
      </c>
      <c r="V254" s="14">
        <v>0.73</v>
      </c>
      <c r="W254" s="14">
        <v>0.73</v>
      </c>
      <c r="X254" s="14">
        <v>0.74</v>
      </c>
    </row>
    <row r="255" spans="1:24" hidden="1" x14ac:dyDescent="0.3">
      <c r="A255" s="14" t="s">
        <v>386</v>
      </c>
      <c r="B255" s="14" t="s">
        <v>37</v>
      </c>
      <c r="C255" s="14" t="s">
        <v>367</v>
      </c>
      <c r="D255" s="14" t="s">
        <v>368</v>
      </c>
      <c r="E255" s="14" t="s">
        <v>344</v>
      </c>
      <c r="F255" s="14" t="s">
        <v>343</v>
      </c>
      <c r="G255" s="14" t="s">
        <v>343</v>
      </c>
      <c r="H255" s="14" t="s">
        <v>343</v>
      </c>
      <c r="I255" s="14">
        <v>15</v>
      </c>
      <c r="J255" s="14">
        <v>17</v>
      </c>
      <c r="K255" s="14">
        <v>21</v>
      </c>
      <c r="L255" s="14">
        <v>20</v>
      </c>
      <c r="M255" s="14">
        <v>23</v>
      </c>
      <c r="N255" s="14">
        <v>23</v>
      </c>
      <c r="O255" s="14">
        <v>25</v>
      </c>
      <c r="P255" s="14">
        <v>24</v>
      </c>
      <c r="Q255" s="14">
        <v>24</v>
      </c>
      <c r="R255" s="14">
        <v>36</v>
      </c>
      <c r="S255" s="14">
        <v>46</v>
      </c>
      <c r="T255" s="14">
        <v>35</v>
      </c>
      <c r="U255" s="14">
        <v>39</v>
      </c>
      <c r="V255" s="14">
        <v>44</v>
      </c>
      <c r="W255" s="14">
        <v>50</v>
      </c>
      <c r="X255" s="14">
        <v>43</v>
      </c>
    </row>
    <row r="256" spans="1:24" hidden="1" x14ac:dyDescent="0.3">
      <c r="A256" s="14" t="s">
        <v>386</v>
      </c>
      <c r="B256" s="14" t="s">
        <v>37</v>
      </c>
      <c r="C256" s="14" t="s">
        <v>369</v>
      </c>
      <c r="D256" s="14" t="s">
        <v>370</v>
      </c>
      <c r="E256" s="14" t="s">
        <v>342</v>
      </c>
      <c r="F256" s="14" t="s">
        <v>343</v>
      </c>
      <c r="G256" s="14" t="s">
        <v>343</v>
      </c>
      <c r="H256" s="14" t="s">
        <v>343</v>
      </c>
      <c r="I256" s="14">
        <v>0.16</v>
      </c>
      <c r="J256" s="14">
        <v>0.16</v>
      </c>
      <c r="K256" s="14">
        <v>0.19</v>
      </c>
      <c r="L256" s="14">
        <v>0.19</v>
      </c>
      <c r="M256" s="14">
        <v>0.19</v>
      </c>
      <c r="N256" s="14">
        <v>0.19</v>
      </c>
      <c r="O256" s="14">
        <v>0.18</v>
      </c>
      <c r="P256" s="14">
        <v>0.19</v>
      </c>
      <c r="Q256" s="14">
        <v>0.19</v>
      </c>
      <c r="R256" s="14">
        <v>0.19</v>
      </c>
      <c r="S256" s="14">
        <v>0.19</v>
      </c>
      <c r="T256" s="14">
        <v>0.23</v>
      </c>
      <c r="U256" s="14">
        <v>0.23</v>
      </c>
      <c r="V256" s="14">
        <v>0.23</v>
      </c>
      <c r="W256" s="14">
        <v>0.26</v>
      </c>
      <c r="X256" s="14">
        <v>0.26</v>
      </c>
    </row>
    <row r="257" spans="1:24" hidden="1" x14ac:dyDescent="0.3">
      <c r="A257" s="14" t="s">
        <v>386</v>
      </c>
      <c r="B257" s="14" t="s">
        <v>37</v>
      </c>
      <c r="C257" s="14" t="s">
        <v>369</v>
      </c>
      <c r="D257" s="14" t="s">
        <v>370</v>
      </c>
      <c r="E257" s="14" t="s">
        <v>344</v>
      </c>
      <c r="F257" s="14" t="s">
        <v>343</v>
      </c>
      <c r="G257" s="14" t="s">
        <v>343</v>
      </c>
      <c r="H257" s="14" t="s">
        <v>343</v>
      </c>
      <c r="I257" s="14">
        <v>32</v>
      </c>
      <c r="J257" s="14">
        <v>35</v>
      </c>
      <c r="K257" s="14">
        <v>37</v>
      </c>
      <c r="L257" s="14">
        <v>39</v>
      </c>
      <c r="M257" s="14">
        <v>39</v>
      </c>
      <c r="N257" s="14">
        <v>38</v>
      </c>
      <c r="O257" s="14">
        <v>42</v>
      </c>
      <c r="P257" s="14">
        <v>43</v>
      </c>
      <c r="Q257" s="14">
        <v>53</v>
      </c>
      <c r="R257" s="14">
        <v>61</v>
      </c>
      <c r="S257" s="14">
        <v>61</v>
      </c>
      <c r="T257" s="14">
        <v>48</v>
      </c>
      <c r="U257" s="14">
        <v>49</v>
      </c>
      <c r="V257" s="14">
        <v>57</v>
      </c>
      <c r="W257" s="14">
        <v>54</v>
      </c>
      <c r="X257" s="14">
        <v>50</v>
      </c>
    </row>
    <row r="258" spans="1:24" hidden="1" x14ac:dyDescent="0.3">
      <c r="A258" s="14" t="s">
        <v>386</v>
      </c>
      <c r="B258" s="14" t="s">
        <v>37</v>
      </c>
      <c r="C258" s="14" t="s">
        <v>371</v>
      </c>
      <c r="D258" s="14" t="s">
        <v>372</v>
      </c>
      <c r="E258" s="14" t="s">
        <v>342</v>
      </c>
      <c r="F258" s="14" t="s">
        <v>343</v>
      </c>
      <c r="G258" s="14" t="s">
        <v>343</v>
      </c>
      <c r="H258" s="14" t="s">
        <v>343</v>
      </c>
      <c r="U258" s="14">
        <v>0.06</v>
      </c>
      <c r="V258" s="14">
        <v>0.06</v>
      </c>
      <c r="W258" s="14">
        <v>0.06</v>
      </c>
      <c r="X258" s="14">
        <v>0.06</v>
      </c>
    </row>
    <row r="259" spans="1:24" hidden="1" x14ac:dyDescent="0.3">
      <c r="A259" s="14" t="s">
        <v>386</v>
      </c>
      <c r="B259" s="14" t="s">
        <v>37</v>
      </c>
      <c r="C259" s="14" t="s">
        <v>371</v>
      </c>
      <c r="D259" s="14" t="s">
        <v>372</v>
      </c>
      <c r="E259" s="14" t="s">
        <v>344</v>
      </c>
      <c r="F259" s="14" t="s">
        <v>343</v>
      </c>
      <c r="G259" s="14" t="s">
        <v>343</v>
      </c>
      <c r="H259" s="14" t="s">
        <v>343</v>
      </c>
      <c r="U259" s="14">
        <v>37</v>
      </c>
      <c r="V259" s="14">
        <v>41</v>
      </c>
      <c r="W259" s="14">
        <v>43</v>
      </c>
      <c r="X259" s="14">
        <v>44</v>
      </c>
    </row>
    <row r="260" spans="1:24" hidden="1" x14ac:dyDescent="0.3">
      <c r="A260" s="14" t="s">
        <v>386</v>
      </c>
      <c r="B260" s="14" t="s">
        <v>37</v>
      </c>
      <c r="C260" s="14" t="s">
        <v>373</v>
      </c>
      <c r="D260" s="14" t="s">
        <v>374</v>
      </c>
      <c r="E260" s="14" t="s">
        <v>342</v>
      </c>
      <c r="F260" s="14" t="s">
        <v>343</v>
      </c>
      <c r="G260" s="14" t="s">
        <v>343</v>
      </c>
      <c r="H260" s="14" t="s">
        <v>343</v>
      </c>
      <c r="U260" s="14">
        <v>0.32</v>
      </c>
      <c r="V260" s="14">
        <v>0.27</v>
      </c>
      <c r="W260" s="14">
        <v>0.36</v>
      </c>
      <c r="X260" s="14">
        <v>0.36</v>
      </c>
    </row>
    <row r="261" spans="1:24" hidden="1" x14ac:dyDescent="0.3">
      <c r="A261" s="14" t="s">
        <v>386</v>
      </c>
      <c r="B261" s="14" t="s">
        <v>37</v>
      </c>
      <c r="C261" s="14" t="s">
        <v>373</v>
      </c>
      <c r="D261" s="14" t="s">
        <v>374</v>
      </c>
      <c r="E261" s="14" t="s">
        <v>344</v>
      </c>
      <c r="F261" s="14" t="s">
        <v>343</v>
      </c>
      <c r="G261" s="14" t="s">
        <v>343</v>
      </c>
      <c r="H261" s="14" t="s">
        <v>343</v>
      </c>
      <c r="U261" s="14">
        <v>43</v>
      </c>
      <c r="V261" s="14">
        <v>78</v>
      </c>
      <c r="W261" s="14">
        <v>64</v>
      </c>
      <c r="X261" s="14">
        <v>62</v>
      </c>
    </row>
    <row r="262" spans="1:24" hidden="1" x14ac:dyDescent="0.3">
      <c r="A262" s="14" t="s">
        <v>386</v>
      </c>
      <c r="B262" s="14" t="s">
        <v>37</v>
      </c>
      <c r="C262" s="14" t="s">
        <v>375</v>
      </c>
      <c r="D262" s="14" t="s">
        <v>376</v>
      </c>
      <c r="E262" s="14" t="s">
        <v>342</v>
      </c>
      <c r="F262" s="14" t="s">
        <v>343</v>
      </c>
      <c r="G262" s="14" t="s">
        <v>343</v>
      </c>
      <c r="H262" s="14" t="s">
        <v>343</v>
      </c>
      <c r="U262" s="14">
        <v>0.4</v>
      </c>
      <c r="V262" s="14">
        <v>0.44</v>
      </c>
      <c r="W262" s="14">
        <v>0.45</v>
      </c>
      <c r="X262" s="14">
        <v>0.45</v>
      </c>
    </row>
    <row r="263" spans="1:24" hidden="1" x14ac:dyDescent="0.3">
      <c r="A263" s="14" t="s">
        <v>386</v>
      </c>
      <c r="B263" s="14" t="s">
        <v>37</v>
      </c>
      <c r="C263" s="14" t="s">
        <v>375</v>
      </c>
      <c r="D263" s="14" t="s">
        <v>376</v>
      </c>
      <c r="E263" s="14" t="s">
        <v>344</v>
      </c>
      <c r="F263" s="14" t="s">
        <v>343</v>
      </c>
      <c r="G263" s="14" t="s">
        <v>343</v>
      </c>
      <c r="H263" s="14" t="s">
        <v>343</v>
      </c>
      <c r="U263" s="14">
        <v>44</v>
      </c>
      <c r="V263" s="14">
        <v>43</v>
      </c>
      <c r="W263" s="14">
        <v>44</v>
      </c>
      <c r="X263" s="14">
        <v>48</v>
      </c>
    </row>
    <row r="264" spans="1:24" hidden="1" x14ac:dyDescent="0.3">
      <c r="A264" s="14" t="s">
        <v>387</v>
      </c>
      <c r="B264" s="14" t="s">
        <v>38</v>
      </c>
      <c r="C264" s="14" t="s">
        <v>340</v>
      </c>
      <c r="D264" s="14" t="s">
        <v>341</v>
      </c>
      <c r="E264" s="14" t="s">
        <v>342</v>
      </c>
      <c r="F264" s="14" t="s">
        <v>343</v>
      </c>
      <c r="G264" s="14" t="s">
        <v>343</v>
      </c>
      <c r="H264" s="14" t="s">
        <v>343</v>
      </c>
      <c r="I264" s="14">
        <v>0.98</v>
      </c>
      <c r="J264" s="14">
        <v>0.98</v>
      </c>
      <c r="K264" s="14">
        <v>0.99</v>
      </c>
      <c r="L264" s="14">
        <v>0.99</v>
      </c>
      <c r="M264" s="14">
        <v>0.99</v>
      </c>
      <c r="N264" s="14">
        <v>0.99</v>
      </c>
      <c r="O264" s="14">
        <v>0.99</v>
      </c>
      <c r="P264" s="14">
        <v>1</v>
      </c>
      <c r="Q264" s="14">
        <v>1</v>
      </c>
      <c r="R264" s="14">
        <v>1</v>
      </c>
      <c r="S264" s="14">
        <v>0.99</v>
      </c>
      <c r="T264" s="14">
        <v>0.99</v>
      </c>
      <c r="U264" s="14">
        <v>1</v>
      </c>
      <c r="V264" s="14">
        <v>1</v>
      </c>
      <c r="W264" s="14">
        <v>1</v>
      </c>
      <c r="X264" s="14">
        <v>0.99</v>
      </c>
    </row>
    <row r="265" spans="1:24" hidden="1" x14ac:dyDescent="0.3">
      <c r="A265" s="14" t="s">
        <v>387</v>
      </c>
      <c r="B265" s="14" t="s">
        <v>38</v>
      </c>
      <c r="C265" s="14" t="s">
        <v>340</v>
      </c>
      <c r="D265" s="14" t="s">
        <v>341</v>
      </c>
      <c r="E265" s="14" t="s">
        <v>344</v>
      </c>
      <c r="F265" s="14" t="s">
        <v>343</v>
      </c>
      <c r="G265" s="14" t="s">
        <v>343</v>
      </c>
      <c r="H265" s="14" t="s">
        <v>343</v>
      </c>
      <c r="I265" s="14">
        <v>68</v>
      </c>
      <c r="J265" s="14">
        <v>77</v>
      </c>
      <c r="K265" s="14">
        <v>76</v>
      </c>
      <c r="L265" s="14">
        <v>78</v>
      </c>
      <c r="M265" s="14">
        <v>75</v>
      </c>
      <c r="N265" s="14">
        <v>76</v>
      </c>
      <c r="O265" s="14">
        <v>49</v>
      </c>
      <c r="P265" s="14">
        <v>1</v>
      </c>
      <c r="Q265" s="14">
        <v>1</v>
      </c>
      <c r="R265" s="14">
        <v>1</v>
      </c>
      <c r="S265" s="14">
        <v>86</v>
      </c>
      <c r="T265" s="14">
        <v>84</v>
      </c>
      <c r="U265" s="14">
        <v>1</v>
      </c>
      <c r="V265" s="14">
        <v>1</v>
      </c>
      <c r="W265" s="14">
        <v>1</v>
      </c>
      <c r="X265" s="14">
        <v>61</v>
      </c>
    </row>
    <row r="266" spans="1:24" hidden="1" x14ac:dyDescent="0.3">
      <c r="A266" s="14" t="s">
        <v>387</v>
      </c>
      <c r="B266" s="14" t="s">
        <v>38</v>
      </c>
      <c r="C266" s="14" t="s">
        <v>345</v>
      </c>
      <c r="D266" s="14" t="s">
        <v>346</v>
      </c>
      <c r="E266" s="14" t="s">
        <v>342</v>
      </c>
      <c r="F266" s="14" t="s">
        <v>343</v>
      </c>
      <c r="G266" s="14" t="s">
        <v>343</v>
      </c>
      <c r="H266" s="14" t="s">
        <v>343</v>
      </c>
      <c r="U266" s="14">
        <v>0.53</v>
      </c>
      <c r="V266" s="14">
        <v>0.54</v>
      </c>
      <c r="W266" s="14">
        <v>0.55000000000000004</v>
      </c>
      <c r="X266" s="14">
        <v>0.55000000000000004</v>
      </c>
    </row>
    <row r="267" spans="1:24" hidden="1" x14ac:dyDescent="0.3">
      <c r="A267" s="14" t="s">
        <v>387</v>
      </c>
      <c r="B267" s="14" t="s">
        <v>38</v>
      </c>
      <c r="C267" s="14" t="s">
        <v>345</v>
      </c>
      <c r="D267" s="14" t="s">
        <v>346</v>
      </c>
      <c r="E267" s="14" t="s">
        <v>344</v>
      </c>
      <c r="F267" s="14" t="s">
        <v>343</v>
      </c>
      <c r="G267" s="14" t="s">
        <v>343</v>
      </c>
      <c r="H267" s="14" t="s">
        <v>343</v>
      </c>
      <c r="U267" s="14">
        <v>101</v>
      </c>
      <c r="V267" s="14">
        <v>107</v>
      </c>
      <c r="W267" s="14">
        <v>109</v>
      </c>
      <c r="X267" s="14">
        <v>105</v>
      </c>
    </row>
    <row r="268" spans="1:24" hidden="1" x14ac:dyDescent="0.3">
      <c r="A268" s="14" t="s">
        <v>387</v>
      </c>
      <c r="B268" s="14" t="s">
        <v>38</v>
      </c>
      <c r="C268" s="14" t="s">
        <v>347</v>
      </c>
      <c r="D268" s="14" t="s">
        <v>348</v>
      </c>
      <c r="E268" s="14" t="s">
        <v>342</v>
      </c>
      <c r="F268" s="14" t="s">
        <v>343</v>
      </c>
      <c r="G268" s="14" t="s">
        <v>343</v>
      </c>
      <c r="H268" s="14" t="s">
        <v>343</v>
      </c>
      <c r="U268" s="14">
        <v>0.89</v>
      </c>
      <c r="V268" s="14">
        <v>0.89</v>
      </c>
      <c r="W268" s="14">
        <v>0.89</v>
      </c>
      <c r="X268" s="14">
        <v>0.84</v>
      </c>
    </row>
    <row r="269" spans="1:24" hidden="1" x14ac:dyDescent="0.3">
      <c r="A269" s="14" t="s">
        <v>387</v>
      </c>
      <c r="B269" s="14" t="s">
        <v>38</v>
      </c>
      <c r="C269" s="14" t="s">
        <v>347</v>
      </c>
      <c r="D269" s="14" t="s">
        <v>348</v>
      </c>
      <c r="E269" s="14" t="s">
        <v>344</v>
      </c>
      <c r="F269" s="14" t="s">
        <v>343</v>
      </c>
      <c r="G269" s="14" t="s">
        <v>343</v>
      </c>
      <c r="H269" s="14" t="s">
        <v>343</v>
      </c>
      <c r="U269" s="14">
        <v>44</v>
      </c>
      <c r="V269" s="14">
        <v>48</v>
      </c>
      <c r="W269" s="14">
        <v>48</v>
      </c>
      <c r="X269" s="14">
        <v>52</v>
      </c>
    </row>
    <row r="270" spans="1:24" hidden="1" x14ac:dyDescent="0.3">
      <c r="A270" s="14" t="s">
        <v>387</v>
      </c>
      <c r="B270" s="14" t="s">
        <v>38</v>
      </c>
      <c r="C270" s="14" t="s">
        <v>349</v>
      </c>
      <c r="D270" s="14" t="s">
        <v>350</v>
      </c>
      <c r="E270" s="14" t="s">
        <v>342</v>
      </c>
      <c r="F270" s="14" t="s">
        <v>343</v>
      </c>
      <c r="G270" s="14" t="s">
        <v>343</v>
      </c>
      <c r="H270" s="14" t="s">
        <v>343</v>
      </c>
      <c r="U270" s="14">
        <v>0.47</v>
      </c>
      <c r="V270" s="14">
        <v>0.46</v>
      </c>
      <c r="W270" s="14">
        <v>0.5</v>
      </c>
      <c r="X270" s="14">
        <v>0.49</v>
      </c>
    </row>
    <row r="271" spans="1:24" hidden="1" x14ac:dyDescent="0.3">
      <c r="A271" s="14" t="s">
        <v>387</v>
      </c>
      <c r="B271" s="14" t="s">
        <v>38</v>
      </c>
      <c r="C271" s="14" t="s">
        <v>349</v>
      </c>
      <c r="D271" s="14" t="s">
        <v>350</v>
      </c>
      <c r="E271" s="14" t="s">
        <v>344</v>
      </c>
      <c r="F271" s="14" t="s">
        <v>343</v>
      </c>
      <c r="G271" s="14" t="s">
        <v>343</v>
      </c>
      <c r="H271" s="14" t="s">
        <v>343</v>
      </c>
      <c r="U271" s="14">
        <v>72</v>
      </c>
      <c r="V271" s="14">
        <v>81</v>
      </c>
      <c r="W271" s="14">
        <v>75</v>
      </c>
      <c r="X271" s="14">
        <v>79</v>
      </c>
    </row>
    <row r="272" spans="1:24" hidden="1" x14ac:dyDescent="0.3">
      <c r="A272" s="14" t="s">
        <v>387</v>
      </c>
      <c r="B272" s="14" t="s">
        <v>38</v>
      </c>
      <c r="C272" s="14" t="s">
        <v>351</v>
      </c>
      <c r="D272" s="14" t="s">
        <v>352</v>
      </c>
      <c r="E272" s="14" t="s">
        <v>342</v>
      </c>
      <c r="F272" s="14" t="s">
        <v>343</v>
      </c>
      <c r="G272" s="14" t="s">
        <v>343</v>
      </c>
      <c r="H272" s="14" t="s">
        <v>343</v>
      </c>
      <c r="U272" s="14">
        <v>0.95</v>
      </c>
      <c r="V272" s="14">
        <v>0.95</v>
      </c>
      <c r="W272" s="14">
        <v>0.9</v>
      </c>
      <c r="X272" s="14">
        <v>0.99</v>
      </c>
    </row>
    <row r="273" spans="1:24" hidden="1" x14ac:dyDescent="0.3">
      <c r="A273" s="14" t="s">
        <v>387</v>
      </c>
      <c r="B273" s="14" t="s">
        <v>38</v>
      </c>
      <c r="C273" s="14" t="s">
        <v>351</v>
      </c>
      <c r="D273" s="14" t="s">
        <v>352</v>
      </c>
      <c r="E273" s="14" t="s">
        <v>344</v>
      </c>
      <c r="F273" s="14" t="s">
        <v>343</v>
      </c>
      <c r="G273" s="14" t="s">
        <v>343</v>
      </c>
      <c r="H273" s="14" t="s">
        <v>343</v>
      </c>
      <c r="U273" s="14">
        <v>78</v>
      </c>
      <c r="V273" s="14">
        <v>81</v>
      </c>
      <c r="W273" s="14">
        <v>88</v>
      </c>
      <c r="X273" s="14">
        <v>69</v>
      </c>
    </row>
    <row r="274" spans="1:24" hidden="1" x14ac:dyDescent="0.3">
      <c r="A274" s="14" t="s">
        <v>387</v>
      </c>
      <c r="B274" s="14" t="s">
        <v>38</v>
      </c>
      <c r="C274" s="14" t="s">
        <v>378</v>
      </c>
      <c r="D274" s="14" t="s">
        <v>379</v>
      </c>
      <c r="E274" s="14" t="s">
        <v>342</v>
      </c>
      <c r="F274" s="14" t="s">
        <v>343</v>
      </c>
      <c r="G274" s="14" t="s">
        <v>343</v>
      </c>
      <c r="H274" s="14" t="s">
        <v>343</v>
      </c>
      <c r="S274" s="14">
        <v>0.57999999999999996</v>
      </c>
      <c r="U274" s="14">
        <v>0.56999999999999995</v>
      </c>
      <c r="V274" s="14">
        <v>0.56999999999999995</v>
      </c>
      <c r="W274" s="14">
        <v>0.6</v>
      </c>
      <c r="X274" s="14">
        <v>0.62</v>
      </c>
    </row>
    <row r="275" spans="1:24" hidden="1" x14ac:dyDescent="0.3">
      <c r="A275" s="14" t="s">
        <v>387</v>
      </c>
      <c r="B275" s="14" t="s">
        <v>38</v>
      </c>
      <c r="C275" s="14" t="s">
        <v>378</v>
      </c>
      <c r="D275" s="14" t="s">
        <v>379</v>
      </c>
      <c r="E275" s="14" t="s">
        <v>344</v>
      </c>
      <c r="F275" s="14" t="s">
        <v>343</v>
      </c>
      <c r="G275" s="14" t="s">
        <v>343</v>
      </c>
      <c r="H275" s="14" t="s">
        <v>343</v>
      </c>
      <c r="S275" s="14">
        <v>100</v>
      </c>
      <c r="U275" s="14">
        <v>107</v>
      </c>
      <c r="V275" s="14">
        <v>108</v>
      </c>
      <c r="W275" s="14">
        <v>103</v>
      </c>
      <c r="X275" s="14">
        <v>91</v>
      </c>
    </row>
    <row r="276" spans="1:24" hidden="1" x14ac:dyDescent="0.3">
      <c r="A276" s="14" t="s">
        <v>387</v>
      </c>
      <c r="B276" s="14" t="s">
        <v>38</v>
      </c>
      <c r="C276" s="14" t="s">
        <v>353</v>
      </c>
      <c r="D276" s="14" t="s">
        <v>354</v>
      </c>
      <c r="E276" s="14" t="s">
        <v>342</v>
      </c>
      <c r="F276" s="14" t="s">
        <v>343</v>
      </c>
      <c r="G276" s="14" t="s">
        <v>343</v>
      </c>
      <c r="H276" s="14" t="s">
        <v>343</v>
      </c>
      <c r="U276" s="14">
        <v>1</v>
      </c>
      <c r="V276" s="14">
        <v>1</v>
      </c>
      <c r="W276" s="14">
        <v>1</v>
      </c>
      <c r="X276" s="14">
        <v>1</v>
      </c>
    </row>
    <row r="277" spans="1:24" hidden="1" x14ac:dyDescent="0.3">
      <c r="A277" s="14" t="s">
        <v>387</v>
      </c>
      <c r="B277" s="14" t="s">
        <v>38</v>
      </c>
      <c r="C277" s="14" t="s">
        <v>353</v>
      </c>
      <c r="D277" s="14" t="s">
        <v>354</v>
      </c>
      <c r="E277" s="14" t="s">
        <v>344</v>
      </c>
      <c r="F277" s="14" t="s">
        <v>343</v>
      </c>
      <c r="G277" s="14" t="s">
        <v>343</v>
      </c>
      <c r="H277" s="14" t="s">
        <v>343</v>
      </c>
      <c r="U277" s="14">
        <v>1</v>
      </c>
      <c r="V277" s="14">
        <v>1</v>
      </c>
      <c r="W277" s="14">
        <v>1</v>
      </c>
      <c r="X277" s="14">
        <v>1</v>
      </c>
    </row>
    <row r="278" spans="1:24" hidden="1" x14ac:dyDescent="0.3">
      <c r="A278" s="14" t="s">
        <v>387</v>
      </c>
      <c r="B278" s="14" t="s">
        <v>38</v>
      </c>
      <c r="C278" s="14" t="s">
        <v>380</v>
      </c>
      <c r="D278" s="14" t="s">
        <v>381</v>
      </c>
      <c r="E278" s="14" t="s">
        <v>342</v>
      </c>
      <c r="F278" s="14" t="s">
        <v>343</v>
      </c>
      <c r="G278" s="14" t="s">
        <v>343</v>
      </c>
      <c r="H278" s="14" t="s">
        <v>343</v>
      </c>
      <c r="V278" s="14">
        <v>1</v>
      </c>
      <c r="W278" s="14">
        <v>1</v>
      </c>
      <c r="X278" s="14">
        <v>1</v>
      </c>
    </row>
    <row r="279" spans="1:24" hidden="1" x14ac:dyDescent="0.3">
      <c r="A279" s="14" t="s">
        <v>387</v>
      </c>
      <c r="B279" s="14" t="s">
        <v>38</v>
      </c>
      <c r="C279" s="14" t="s">
        <v>380</v>
      </c>
      <c r="D279" s="14" t="s">
        <v>381</v>
      </c>
      <c r="E279" s="14" t="s">
        <v>344</v>
      </c>
      <c r="F279" s="14" t="s">
        <v>343</v>
      </c>
      <c r="G279" s="14" t="s">
        <v>343</v>
      </c>
      <c r="H279" s="14" t="s">
        <v>343</v>
      </c>
      <c r="V279" s="14">
        <v>1</v>
      </c>
      <c r="W279" s="14">
        <v>1</v>
      </c>
      <c r="X279" s="14">
        <v>1</v>
      </c>
    </row>
    <row r="280" spans="1:24" hidden="1" x14ac:dyDescent="0.3">
      <c r="A280" s="14" t="s">
        <v>387</v>
      </c>
      <c r="B280" s="14" t="s">
        <v>38</v>
      </c>
      <c r="C280" s="14" t="s">
        <v>355</v>
      </c>
      <c r="D280" s="14" t="s">
        <v>356</v>
      </c>
      <c r="E280" s="14" t="s">
        <v>342</v>
      </c>
      <c r="F280" s="14" t="s">
        <v>343</v>
      </c>
      <c r="G280" s="14" t="s">
        <v>343</v>
      </c>
      <c r="H280" s="14" t="s">
        <v>343</v>
      </c>
      <c r="U280" s="14">
        <v>1</v>
      </c>
      <c r="V280" s="14">
        <v>1</v>
      </c>
      <c r="W280" s="14">
        <v>1</v>
      </c>
      <c r="X280" s="14">
        <v>0.98</v>
      </c>
    </row>
    <row r="281" spans="1:24" hidden="1" x14ac:dyDescent="0.3">
      <c r="A281" s="14" t="s">
        <v>387</v>
      </c>
      <c r="B281" s="14" t="s">
        <v>38</v>
      </c>
      <c r="C281" s="14" t="s">
        <v>355</v>
      </c>
      <c r="D281" s="14" t="s">
        <v>356</v>
      </c>
      <c r="E281" s="14" t="s">
        <v>344</v>
      </c>
      <c r="F281" s="14" t="s">
        <v>343</v>
      </c>
      <c r="G281" s="14" t="s">
        <v>343</v>
      </c>
      <c r="H281" s="14" t="s">
        <v>343</v>
      </c>
      <c r="U281" s="14">
        <v>1</v>
      </c>
      <c r="V281" s="14">
        <v>1</v>
      </c>
      <c r="W281" s="14">
        <v>1</v>
      </c>
      <c r="X281" s="14">
        <v>97</v>
      </c>
    </row>
    <row r="282" spans="1:24" hidden="1" x14ac:dyDescent="0.3">
      <c r="A282" s="14" t="s">
        <v>387</v>
      </c>
      <c r="B282" s="14" t="s">
        <v>38</v>
      </c>
      <c r="C282" s="14" t="s">
        <v>357</v>
      </c>
      <c r="D282" s="14" t="s">
        <v>358</v>
      </c>
      <c r="E282" s="14" t="s">
        <v>342</v>
      </c>
      <c r="F282" s="14" t="s">
        <v>343</v>
      </c>
      <c r="G282" s="14" t="s">
        <v>343</v>
      </c>
      <c r="H282" s="14" t="s">
        <v>343</v>
      </c>
      <c r="U282" s="14">
        <v>1</v>
      </c>
      <c r="V282" s="14">
        <v>1</v>
      </c>
      <c r="W282" s="14">
        <v>1</v>
      </c>
      <c r="X282" s="14">
        <v>1</v>
      </c>
    </row>
    <row r="283" spans="1:24" hidden="1" x14ac:dyDescent="0.3">
      <c r="A283" s="14" t="s">
        <v>387</v>
      </c>
      <c r="B283" s="14" t="s">
        <v>38</v>
      </c>
      <c r="C283" s="14" t="s">
        <v>357</v>
      </c>
      <c r="D283" s="14" t="s">
        <v>358</v>
      </c>
      <c r="E283" s="14" t="s">
        <v>344</v>
      </c>
      <c r="F283" s="14" t="s">
        <v>343</v>
      </c>
      <c r="G283" s="14" t="s">
        <v>343</v>
      </c>
      <c r="H283" s="14" t="s">
        <v>343</v>
      </c>
      <c r="U283" s="14">
        <v>1</v>
      </c>
      <c r="V283" s="14">
        <v>1</v>
      </c>
      <c r="W283" s="14">
        <v>1</v>
      </c>
      <c r="X283" s="14">
        <v>1</v>
      </c>
    </row>
    <row r="284" spans="1:24" hidden="1" x14ac:dyDescent="0.3">
      <c r="A284" s="14" t="s">
        <v>387</v>
      </c>
      <c r="B284" s="14" t="s">
        <v>38</v>
      </c>
      <c r="C284" s="14" t="s">
        <v>359</v>
      </c>
      <c r="D284" s="14" t="s">
        <v>360</v>
      </c>
      <c r="E284" s="14" t="s">
        <v>342</v>
      </c>
      <c r="F284" s="14" t="s">
        <v>343</v>
      </c>
      <c r="G284" s="14" t="s">
        <v>343</v>
      </c>
      <c r="H284" s="14" t="s">
        <v>343</v>
      </c>
      <c r="I284" s="14">
        <v>0.55000000000000004</v>
      </c>
      <c r="J284" s="14">
        <v>0.57999999999999996</v>
      </c>
      <c r="K284" s="14">
        <v>0.59</v>
      </c>
      <c r="L284" s="14">
        <v>0.56999999999999995</v>
      </c>
      <c r="M284" s="14">
        <v>0.6</v>
      </c>
      <c r="N284" s="14">
        <v>0.62</v>
      </c>
      <c r="O284" s="14">
        <v>0.65</v>
      </c>
      <c r="P284" s="14">
        <v>0.66</v>
      </c>
      <c r="Q284" s="14">
        <v>0.67</v>
      </c>
      <c r="R284" s="14">
        <v>0.7</v>
      </c>
      <c r="S284" s="14">
        <v>0.65</v>
      </c>
      <c r="T284" s="14">
        <v>0.66</v>
      </c>
      <c r="U284" s="14">
        <v>0.66</v>
      </c>
      <c r="V284" s="14">
        <v>0.66</v>
      </c>
      <c r="W284" s="14">
        <v>0.66</v>
      </c>
      <c r="X284" s="14">
        <v>0.67</v>
      </c>
    </row>
    <row r="285" spans="1:24" hidden="1" x14ac:dyDescent="0.3">
      <c r="A285" s="14" t="s">
        <v>387</v>
      </c>
      <c r="B285" s="14" t="s">
        <v>38</v>
      </c>
      <c r="C285" s="14" t="s">
        <v>359</v>
      </c>
      <c r="D285" s="14" t="s">
        <v>360</v>
      </c>
      <c r="E285" s="14" t="s">
        <v>344</v>
      </c>
      <c r="F285" s="14" t="s">
        <v>343</v>
      </c>
      <c r="G285" s="14" t="s">
        <v>343</v>
      </c>
      <c r="H285" s="14" t="s">
        <v>343</v>
      </c>
      <c r="I285" s="14">
        <v>81</v>
      </c>
      <c r="J285" s="14">
        <v>89</v>
      </c>
      <c r="K285" s="14">
        <v>84</v>
      </c>
      <c r="L285" s="14">
        <v>102</v>
      </c>
      <c r="M285" s="14">
        <v>92</v>
      </c>
      <c r="N285" s="14">
        <v>77</v>
      </c>
      <c r="O285" s="14">
        <v>70</v>
      </c>
      <c r="P285" s="14">
        <v>69</v>
      </c>
      <c r="Q285" s="14">
        <v>68</v>
      </c>
      <c r="R285" s="14">
        <v>52</v>
      </c>
      <c r="S285" s="14">
        <v>84</v>
      </c>
      <c r="T285" s="14">
        <v>80</v>
      </c>
      <c r="U285" s="14">
        <v>81</v>
      </c>
      <c r="V285" s="14">
        <v>86</v>
      </c>
      <c r="W285" s="14">
        <v>88</v>
      </c>
      <c r="X285" s="14">
        <v>81</v>
      </c>
    </row>
    <row r="286" spans="1:24" x14ac:dyDescent="0.3">
      <c r="A286" s="14" t="s">
        <v>387</v>
      </c>
      <c r="B286" s="14" t="s">
        <v>38</v>
      </c>
      <c r="C286" s="14" t="s">
        <v>361</v>
      </c>
      <c r="D286" s="14" t="s">
        <v>362</v>
      </c>
      <c r="E286" s="14" t="s">
        <v>342</v>
      </c>
      <c r="F286" s="14" t="s">
        <v>343</v>
      </c>
      <c r="G286" s="14" t="s">
        <v>343</v>
      </c>
      <c r="H286" s="14" t="s">
        <v>343</v>
      </c>
      <c r="I286" s="14">
        <v>0.98</v>
      </c>
      <c r="J286" s="14">
        <v>0.98</v>
      </c>
      <c r="K286" s="14">
        <v>0.98</v>
      </c>
      <c r="L286" s="14">
        <v>0.98</v>
      </c>
      <c r="M286" s="14">
        <v>0.98</v>
      </c>
      <c r="N286" s="14">
        <v>0.98</v>
      </c>
      <c r="O286" s="14">
        <v>0.98</v>
      </c>
      <c r="P286" s="14">
        <v>0.98</v>
      </c>
      <c r="Q286" s="14">
        <v>0.98</v>
      </c>
      <c r="R286" s="14">
        <v>0.98</v>
      </c>
      <c r="S286" s="14">
        <v>0.98</v>
      </c>
      <c r="T286" s="14">
        <v>0.98</v>
      </c>
      <c r="U286" s="14">
        <v>0.97</v>
      </c>
      <c r="V286" s="14">
        <v>0.97</v>
      </c>
      <c r="W286" s="14">
        <v>0.97</v>
      </c>
      <c r="X286" s="14">
        <v>0.97</v>
      </c>
    </row>
    <row r="287" spans="1:24" hidden="1" x14ac:dyDescent="0.3">
      <c r="A287" s="14" t="s">
        <v>387</v>
      </c>
      <c r="B287" s="14" t="s">
        <v>38</v>
      </c>
      <c r="C287" s="14" t="s">
        <v>361</v>
      </c>
      <c r="D287" s="14" t="s">
        <v>362</v>
      </c>
      <c r="E287" s="14" t="s">
        <v>344</v>
      </c>
      <c r="F287" s="14" t="s">
        <v>343</v>
      </c>
      <c r="G287" s="14" t="s">
        <v>343</v>
      </c>
      <c r="H287" s="14" t="s">
        <v>343</v>
      </c>
      <c r="I287" s="14">
        <v>1</v>
      </c>
      <c r="J287" s="14">
        <v>1</v>
      </c>
      <c r="K287" s="14">
        <v>1</v>
      </c>
      <c r="L287" s="14">
        <v>1</v>
      </c>
      <c r="M287" s="14">
        <v>44</v>
      </c>
      <c r="N287" s="14">
        <v>46</v>
      </c>
      <c r="O287" s="14">
        <v>50</v>
      </c>
      <c r="P287" s="14">
        <v>47</v>
      </c>
      <c r="Q287" s="14">
        <v>52</v>
      </c>
      <c r="R287" s="14">
        <v>1</v>
      </c>
      <c r="S287" s="14">
        <v>1</v>
      </c>
      <c r="T287" s="14">
        <v>72</v>
      </c>
      <c r="U287" s="14">
        <v>81</v>
      </c>
      <c r="V287" s="14">
        <v>82</v>
      </c>
      <c r="W287" s="14">
        <v>83</v>
      </c>
      <c r="X287" s="14">
        <v>82</v>
      </c>
    </row>
    <row r="288" spans="1:24" hidden="1" x14ac:dyDescent="0.3">
      <c r="A288" s="14" t="s">
        <v>387</v>
      </c>
      <c r="B288" s="14" t="s">
        <v>38</v>
      </c>
      <c r="C288" s="14" t="s">
        <v>363</v>
      </c>
      <c r="D288" s="14" t="s">
        <v>364</v>
      </c>
      <c r="E288" s="14" t="s">
        <v>342</v>
      </c>
      <c r="F288" s="14" t="s">
        <v>343</v>
      </c>
      <c r="G288" s="14" t="s">
        <v>343</v>
      </c>
      <c r="H288" s="14" t="s">
        <v>343</v>
      </c>
      <c r="U288" s="14">
        <v>1.04</v>
      </c>
      <c r="V288" s="14">
        <v>1.04</v>
      </c>
      <c r="W288" s="14">
        <v>1.03</v>
      </c>
      <c r="X288" s="14">
        <v>1.03</v>
      </c>
    </row>
    <row r="289" spans="1:24" hidden="1" x14ac:dyDescent="0.3">
      <c r="A289" s="14" t="s">
        <v>387</v>
      </c>
      <c r="B289" s="14" t="s">
        <v>38</v>
      </c>
      <c r="C289" s="14" t="s">
        <v>363</v>
      </c>
      <c r="D289" s="14" t="s">
        <v>364</v>
      </c>
      <c r="E289" s="14" t="s">
        <v>344</v>
      </c>
      <c r="F289" s="14" t="s">
        <v>343</v>
      </c>
      <c r="G289" s="14" t="s">
        <v>343</v>
      </c>
      <c r="H289" s="14" t="s">
        <v>343</v>
      </c>
      <c r="U289" s="14">
        <v>91</v>
      </c>
      <c r="V289" s="14">
        <v>94</v>
      </c>
      <c r="W289" s="14">
        <v>96</v>
      </c>
      <c r="X289" s="14">
        <v>90</v>
      </c>
    </row>
    <row r="290" spans="1:24" hidden="1" x14ac:dyDescent="0.3">
      <c r="A290" s="14" t="s">
        <v>387</v>
      </c>
      <c r="B290" s="14" t="s">
        <v>38</v>
      </c>
      <c r="C290" s="14" t="s">
        <v>365</v>
      </c>
      <c r="D290" s="14" t="s">
        <v>366</v>
      </c>
      <c r="E290" s="14" t="s">
        <v>342</v>
      </c>
      <c r="F290" s="14" t="s">
        <v>343</v>
      </c>
      <c r="G290" s="14" t="s">
        <v>343</v>
      </c>
      <c r="H290" s="14" t="s">
        <v>343</v>
      </c>
      <c r="U290" s="14">
        <v>0.94</v>
      </c>
      <c r="V290" s="14">
        <v>0.94</v>
      </c>
      <c r="W290" s="14">
        <v>0.94</v>
      </c>
      <c r="X290" s="14">
        <v>0.94</v>
      </c>
    </row>
    <row r="291" spans="1:24" hidden="1" x14ac:dyDescent="0.3">
      <c r="A291" s="14" t="s">
        <v>387</v>
      </c>
      <c r="B291" s="14" t="s">
        <v>38</v>
      </c>
      <c r="C291" s="14" t="s">
        <v>365</v>
      </c>
      <c r="D291" s="14" t="s">
        <v>366</v>
      </c>
      <c r="E291" s="14" t="s">
        <v>344</v>
      </c>
      <c r="F291" s="14" t="s">
        <v>343</v>
      </c>
      <c r="G291" s="14" t="s">
        <v>343</v>
      </c>
      <c r="H291" s="14" t="s">
        <v>343</v>
      </c>
      <c r="U291" s="14">
        <v>1</v>
      </c>
      <c r="V291" s="14">
        <v>1</v>
      </c>
      <c r="W291" s="14">
        <v>1</v>
      </c>
      <c r="X291" s="14">
        <v>1</v>
      </c>
    </row>
    <row r="292" spans="1:24" hidden="1" x14ac:dyDescent="0.3">
      <c r="A292" s="14" t="s">
        <v>387</v>
      </c>
      <c r="B292" s="14" t="s">
        <v>38</v>
      </c>
      <c r="C292" s="14" t="s">
        <v>367</v>
      </c>
      <c r="D292" s="14" t="s">
        <v>368</v>
      </c>
      <c r="E292" s="14" t="s">
        <v>342</v>
      </c>
      <c r="F292" s="14" t="s">
        <v>343</v>
      </c>
      <c r="G292" s="14" t="s">
        <v>343</v>
      </c>
      <c r="H292" s="14" t="s">
        <v>343</v>
      </c>
      <c r="I292" s="14">
        <v>0.7</v>
      </c>
      <c r="J292" s="14">
        <v>0.71</v>
      </c>
      <c r="K292" s="14">
        <v>0.72</v>
      </c>
      <c r="L292" s="14">
        <v>0.7</v>
      </c>
      <c r="M292" s="14">
        <v>0.71</v>
      </c>
      <c r="N292" s="14">
        <v>0.72</v>
      </c>
      <c r="O292" s="14">
        <v>0.74</v>
      </c>
      <c r="P292" s="14">
        <v>0.74</v>
      </c>
      <c r="Q292" s="14">
        <v>0.73</v>
      </c>
      <c r="R292" s="14">
        <v>0.73</v>
      </c>
      <c r="S292" s="14">
        <v>0.72</v>
      </c>
      <c r="T292" s="14">
        <v>0.71</v>
      </c>
      <c r="U292" s="14">
        <v>0.72</v>
      </c>
      <c r="V292" s="14">
        <v>0.74</v>
      </c>
      <c r="W292" s="14">
        <v>0.78</v>
      </c>
      <c r="X292" s="14">
        <v>0.78</v>
      </c>
    </row>
    <row r="293" spans="1:24" hidden="1" x14ac:dyDescent="0.3">
      <c r="A293" s="14" t="s">
        <v>387</v>
      </c>
      <c r="B293" s="14" t="s">
        <v>38</v>
      </c>
      <c r="C293" s="14" t="s">
        <v>367</v>
      </c>
      <c r="D293" s="14" t="s">
        <v>368</v>
      </c>
      <c r="E293" s="14" t="s">
        <v>344</v>
      </c>
      <c r="F293" s="14" t="s">
        <v>343</v>
      </c>
      <c r="G293" s="14" t="s">
        <v>343</v>
      </c>
      <c r="H293" s="14" t="s">
        <v>343</v>
      </c>
      <c r="I293" s="14">
        <v>27</v>
      </c>
      <c r="J293" s="14">
        <v>27</v>
      </c>
      <c r="K293" s="14">
        <v>29</v>
      </c>
      <c r="L293" s="14">
        <v>42</v>
      </c>
      <c r="M293" s="14">
        <v>37</v>
      </c>
      <c r="N293" s="14">
        <v>34</v>
      </c>
      <c r="O293" s="14">
        <v>20</v>
      </c>
      <c r="P293" s="14">
        <v>19</v>
      </c>
      <c r="Q293" s="14">
        <v>36</v>
      </c>
      <c r="R293" s="14">
        <v>37</v>
      </c>
      <c r="S293" s="14">
        <v>52</v>
      </c>
      <c r="T293" s="14">
        <v>57</v>
      </c>
      <c r="U293" s="14">
        <v>53</v>
      </c>
      <c r="V293" s="14">
        <v>34</v>
      </c>
      <c r="W293" s="14">
        <v>21</v>
      </c>
      <c r="X293" s="14">
        <v>21</v>
      </c>
    </row>
    <row r="294" spans="1:24" hidden="1" x14ac:dyDescent="0.3">
      <c r="A294" s="14" t="s">
        <v>387</v>
      </c>
      <c r="B294" s="14" t="s">
        <v>38</v>
      </c>
      <c r="C294" s="14" t="s">
        <v>369</v>
      </c>
      <c r="D294" s="14" t="s">
        <v>370</v>
      </c>
      <c r="E294" s="14" t="s">
        <v>342</v>
      </c>
      <c r="F294" s="14" t="s">
        <v>343</v>
      </c>
      <c r="G294" s="14" t="s">
        <v>343</v>
      </c>
      <c r="H294" s="14" t="s">
        <v>343</v>
      </c>
      <c r="I294" s="14">
        <v>0.28000000000000003</v>
      </c>
      <c r="J294" s="14">
        <v>0.28000000000000003</v>
      </c>
      <c r="K294" s="14">
        <v>0.31</v>
      </c>
      <c r="L294" s="14">
        <v>0.27</v>
      </c>
      <c r="M294" s="14">
        <v>0.27</v>
      </c>
      <c r="N294" s="14">
        <v>0.27</v>
      </c>
      <c r="O294" s="14">
        <v>0.33</v>
      </c>
      <c r="P294" s="14">
        <v>0.33</v>
      </c>
      <c r="Q294" s="14">
        <v>0.26</v>
      </c>
      <c r="R294" s="14">
        <v>0.25</v>
      </c>
      <c r="S294" s="14">
        <v>0.25</v>
      </c>
      <c r="T294" s="14">
        <v>0.22</v>
      </c>
      <c r="U294" s="14">
        <v>0.24</v>
      </c>
      <c r="V294" s="14">
        <v>0.34</v>
      </c>
      <c r="W294" s="14">
        <v>0.47</v>
      </c>
      <c r="X294" s="14">
        <v>0.49</v>
      </c>
    </row>
    <row r="295" spans="1:24" hidden="1" x14ac:dyDescent="0.3">
      <c r="A295" s="14" t="s">
        <v>387</v>
      </c>
      <c r="B295" s="14" t="s">
        <v>38</v>
      </c>
      <c r="C295" s="14" t="s">
        <v>369</v>
      </c>
      <c r="D295" s="14" t="s">
        <v>370</v>
      </c>
      <c r="E295" s="14" t="s">
        <v>344</v>
      </c>
      <c r="F295" s="14" t="s">
        <v>343</v>
      </c>
      <c r="G295" s="14" t="s">
        <v>343</v>
      </c>
      <c r="H295" s="14" t="s">
        <v>343</v>
      </c>
      <c r="I295" s="14">
        <v>14</v>
      </c>
      <c r="J295" s="14">
        <v>15</v>
      </c>
      <c r="K295" s="14">
        <v>14</v>
      </c>
      <c r="L295" s="14">
        <v>23</v>
      </c>
      <c r="M295" s="14">
        <v>26</v>
      </c>
      <c r="N295" s="14">
        <v>27</v>
      </c>
      <c r="O295" s="14">
        <v>18</v>
      </c>
      <c r="P295" s="14">
        <v>19</v>
      </c>
      <c r="Q295" s="14">
        <v>36</v>
      </c>
      <c r="R295" s="14">
        <v>39</v>
      </c>
      <c r="S295" s="14">
        <v>41</v>
      </c>
      <c r="T295" s="14">
        <v>54</v>
      </c>
      <c r="U295" s="14">
        <v>44</v>
      </c>
      <c r="V295" s="14">
        <v>30</v>
      </c>
      <c r="W295" s="14">
        <v>17</v>
      </c>
      <c r="X295" s="14">
        <v>16</v>
      </c>
    </row>
    <row r="296" spans="1:24" hidden="1" x14ac:dyDescent="0.3">
      <c r="A296" s="14" t="s">
        <v>387</v>
      </c>
      <c r="B296" s="14" t="s">
        <v>38</v>
      </c>
      <c r="C296" s="14" t="s">
        <v>371</v>
      </c>
      <c r="D296" s="14" t="s">
        <v>372</v>
      </c>
      <c r="E296" s="14" t="s">
        <v>342</v>
      </c>
      <c r="F296" s="14" t="s">
        <v>343</v>
      </c>
      <c r="G296" s="14" t="s">
        <v>343</v>
      </c>
      <c r="H296" s="14" t="s">
        <v>343</v>
      </c>
      <c r="U296" s="14">
        <v>0.01</v>
      </c>
      <c r="V296" s="14">
        <v>0.01</v>
      </c>
      <c r="W296" s="14">
        <v>0.05</v>
      </c>
      <c r="X296" s="14">
        <v>0.05</v>
      </c>
    </row>
    <row r="297" spans="1:24" hidden="1" x14ac:dyDescent="0.3">
      <c r="A297" s="14" t="s">
        <v>387</v>
      </c>
      <c r="B297" s="14" t="s">
        <v>38</v>
      </c>
      <c r="C297" s="14" t="s">
        <v>371</v>
      </c>
      <c r="D297" s="14" t="s">
        <v>372</v>
      </c>
      <c r="E297" s="14" t="s">
        <v>344</v>
      </c>
      <c r="F297" s="14" t="s">
        <v>343</v>
      </c>
      <c r="G297" s="14" t="s">
        <v>343</v>
      </c>
      <c r="H297" s="14" t="s">
        <v>343</v>
      </c>
      <c r="U297" s="14">
        <v>58</v>
      </c>
      <c r="V297" s="14">
        <v>61</v>
      </c>
      <c r="W297" s="14">
        <v>52</v>
      </c>
      <c r="X297" s="14">
        <v>51</v>
      </c>
    </row>
    <row r="298" spans="1:24" hidden="1" x14ac:dyDescent="0.3">
      <c r="A298" s="14" t="s">
        <v>387</v>
      </c>
      <c r="B298" s="14" t="s">
        <v>38</v>
      </c>
      <c r="C298" s="14" t="s">
        <v>373</v>
      </c>
      <c r="D298" s="14" t="s">
        <v>374</v>
      </c>
      <c r="E298" s="14" t="s">
        <v>342</v>
      </c>
      <c r="F298" s="14" t="s">
        <v>343</v>
      </c>
      <c r="G298" s="14" t="s">
        <v>343</v>
      </c>
      <c r="H298" s="14" t="s">
        <v>343</v>
      </c>
      <c r="U298" s="14">
        <v>0.3</v>
      </c>
      <c r="V298" s="14">
        <v>0.63</v>
      </c>
      <c r="W298" s="14">
        <v>1</v>
      </c>
      <c r="X298" s="14">
        <v>1</v>
      </c>
    </row>
    <row r="299" spans="1:24" hidden="1" x14ac:dyDescent="0.3">
      <c r="A299" s="14" t="s">
        <v>387</v>
      </c>
      <c r="B299" s="14" t="s">
        <v>38</v>
      </c>
      <c r="C299" s="14" t="s">
        <v>373</v>
      </c>
      <c r="D299" s="14" t="s">
        <v>374</v>
      </c>
      <c r="E299" s="14" t="s">
        <v>344</v>
      </c>
      <c r="F299" s="14" t="s">
        <v>343</v>
      </c>
      <c r="G299" s="14" t="s">
        <v>343</v>
      </c>
      <c r="H299" s="14" t="s">
        <v>343</v>
      </c>
      <c r="U299" s="14">
        <v>49</v>
      </c>
      <c r="V299" s="14">
        <v>19</v>
      </c>
      <c r="W299" s="14">
        <v>1</v>
      </c>
      <c r="X299" s="14">
        <v>1</v>
      </c>
    </row>
    <row r="300" spans="1:24" hidden="1" x14ac:dyDescent="0.3">
      <c r="A300" s="14" t="s">
        <v>387</v>
      </c>
      <c r="B300" s="14" t="s">
        <v>38</v>
      </c>
      <c r="C300" s="14" t="s">
        <v>375</v>
      </c>
      <c r="D300" s="14" t="s">
        <v>376</v>
      </c>
      <c r="E300" s="14" t="s">
        <v>342</v>
      </c>
      <c r="F300" s="14" t="s">
        <v>343</v>
      </c>
      <c r="G300" s="14" t="s">
        <v>343</v>
      </c>
      <c r="H300" s="14" t="s">
        <v>343</v>
      </c>
      <c r="U300" s="14">
        <v>0.52</v>
      </c>
      <c r="V300" s="14">
        <v>0.59</v>
      </c>
      <c r="W300" s="14">
        <v>0.66</v>
      </c>
      <c r="X300" s="14">
        <v>0.71</v>
      </c>
    </row>
    <row r="301" spans="1:24" hidden="1" x14ac:dyDescent="0.3">
      <c r="A301" s="14" t="s">
        <v>387</v>
      </c>
      <c r="B301" s="14" t="s">
        <v>38</v>
      </c>
      <c r="C301" s="14" t="s">
        <v>375</v>
      </c>
      <c r="D301" s="14" t="s">
        <v>376</v>
      </c>
      <c r="E301" s="14" t="s">
        <v>344</v>
      </c>
      <c r="F301" s="14" t="s">
        <v>343</v>
      </c>
      <c r="G301" s="14" t="s">
        <v>343</v>
      </c>
      <c r="H301" s="14" t="s">
        <v>343</v>
      </c>
      <c r="U301" s="14">
        <v>30</v>
      </c>
      <c r="V301" s="14">
        <v>26</v>
      </c>
      <c r="W301" s="14">
        <v>22</v>
      </c>
      <c r="X301" s="14">
        <v>21</v>
      </c>
    </row>
    <row r="302" spans="1:24" hidden="1" x14ac:dyDescent="0.3">
      <c r="A302" s="14" t="s">
        <v>388</v>
      </c>
      <c r="B302" s="14" t="s">
        <v>39</v>
      </c>
      <c r="C302" s="14" t="s">
        <v>340</v>
      </c>
      <c r="D302" s="14" t="s">
        <v>341</v>
      </c>
      <c r="E302" s="14" t="s">
        <v>342</v>
      </c>
      <c r="F302" s="14" t="s">
        <v>343</v>
      </c>
      <c r="G302" s="14" t="s">
        <v>343</v>
      </c>
      <c r="H302" s="14" t="s">
        <v>343</v>
      </c>
      <c r="J302" s="14">
        <v>0.97</v>
      </c>
      <c r="K302" s="14">
        <v>0.97</v>
      </c>
      <c r="L302" s="14">
        <v>0.97</v>
      </c>
      <c r="M302" s="14">
        <v>0.97</v>
      </c>
      <c r="N302" s="14">
        <v>0.99</v>
      </c>
      <c r="O302" s="14">
        <v>0.98</v>
      </c>
      <c r="P302" s="14">
        <v>0.98</v>
      </c>
      <c r="Q302" s="14">
        <v>0.98</v>
      </c>
      <c r="R302" s="14">
        <v>0.98</v>
      </c>
      <c r="S302" s="14">
        <v>0.99</v>
      </c>
      <c r="T302" s="14">
        <v>0.98</v>
      </c>
      <c r="U302" s="14">
        <v>1</v>
      </c>
      <c r="V302" s="14">
        <v>1</v>
      </c>
      <c r="W302" s="14">
        <v>1</v>
      </c>
      <c r="X302" s="14">
        <v>1</v>
      </c>
    </row>
    <row r="303" spans="1:24" hidden="1" x14ac:dyDescent="0.3">
      <c r="A303" s="14" t="s">
        <v>388</v>
      </c>
      <c r="B303" s="14" t="s">
        <v>39</v>
      </c>
      <c r="C303" s="14" t="s">
        <v>340</v>
      </c>
      <c r="D303" s="14" t="s">
        <v>341</v>
      </c>
      <c r="E303" s="14" t="s">
        <v>344</v>
      </c>
      <c r="F303" s="14" t="s">
        <v>343</v>
      </c>
      <c r="G303" s="14" t="s">
        <v>343</v>
      </c>
      <c r="H303" s="14" t="s">
        <v>343</v>
      </c>
      <c r="J303" s="14">
        <v>82</v>
      </c>
      <c r="K303" s="14">
        <v>91</v>
      </c>
      <c r="L303" s="14">
        <v>94</v>
      </c>
      <c r="M303" s="14">
        <v>93</v>
      </c>
      <c r="N303" s="14">
        <v>73</v>
      </c>
      <c r="O303" s="14">
        <v>84</v>
      </c>
      <c r="P303" s="14">
        <v>85</v>
      </c>
      <c r="Q303" s="14">
        <v>92</v>
      </c>
      <c r="R303" s="14">
        <v>90</v>
      </c>
      <c r="S303" s="14">
        <v>83</v>
      </c>
      <c r="T303" s="14">
        <v>91</v>
      </c>
      <c r="U303" s="14">
        <v>33</v>
      </c>
      <c r="V303" s="14">
        <v>60</v>
      </c>
      <c r="W303" s="14">
        <v>62</v>
      </c>
      <c r="X303" s="14">
        <v>55</v>
      </c>
    </row>
    <row r="304" spans="1:24" hidden="1" x14ac:dyDescent="0.3">
      <c r="A304" s="14" t="s">
        <v>388</v>
      </c>
      <c r="B304" s="14" t="s">
        <v>39</v>
      </c>
      <c r="C304" s="14" t="s">
        <v>345</v>
      </c>
      <c r="D304" s="14" t="s">
        <v>346</v>
      </c>
      <c r="E304" s="14" t="s">
        <v>342</v>
      </c>
      <c r="F304" s="14" t="s">
        <v>343</v>
      </c>
      <c r="G304" s="14" t="s">
        <v>343</v>
      </c>
      <c r="H304" s="14" t="s">
        <v>343</v>
      </c>
      <c r="U304" s="14">
        <v>0.48</v>
      </c>
      <c r="V304" s="14">
        <v>0.51</v>
      </c>
      <c r="W304" s="14">
        <v>0.55000000000000004</v>
      </c>
      <c r="X304" s="14">
        <v>0.6</v>
      </c>
    </row>
    <row r="305" spans="1:24" hidden="1" x14ac:dyDescent="0.3">
      <c r="A305" s="14" t="s">
        <v>388</v>
      </c>
      <c r="B305" s="14" t="s">
        <v>39</v>
      </c>
      <c r="C305" s="14" t="s">
        <v>345</v>
      </c>
      <c r="D305" s="14" t="s">
        <v>346</v>
      </c>
      <c r="E305" s="14" t="s">
        <v>344</v>
      </c>
      <c r="F305" s="14" t="s">
        <v>343</v>
      </c>
      <c r="G305" s="14" t="s">
        <v>343</v>
      </c>
      <c r="H305" s="14" t="s">
        <v>343</v>
      </c>
      <c r="U305" s="14">
        <v>117</v>
      </c>
      <c r="V305" s="14">
        <v>114</v>
      </c>
      <c r="W305" s="14">
        <v>107</v>
      </c>
      <c r="X305" s="14">
        <v>92</v>
      </c>
    </row>
    <row r="306" spans="1:24" hidden="1" x14ac:dyDescent="0.3">
      <c r="A306" s="14" t="s">
        <v>388</v>
      </c>
      <c r="B306" s="14" t="s">
        <v>39</v>
      </c>
      <c r="C306" s="14" t="s">
        <v>347</v>
      </c>
      <c r="D306" s="14" t="s">
        <v>348</v>
      </c>
      <c r="E306" s="14" t="s">
        <v>342</v>
      </c>
      <c r="F306" s="14" t="s">
        <v>343</v>
      </c>
      <c r="G306" s="14" t="s">
        <v>343</v>
      </c>
      <c r="H306" s="14" t="s">
        <v>343</v>
      </c>
      <c r="U306" s="14">
        <v>0.93</v>
      </c>
      <c r="V306" s="14">
        <v>0.93</v>
      </c>
      <c r="W306" s="14">
        <v>0.93</v>
      </c>
      <c r="X306" s="14">
        <v>0.9</v>
      </c>
    </row>
    <row r="307" spans="1:24" hidden="1" x14ac:dyDescent="0.3">
      <c r="A307" s="14" t="s">
        <v>388</v>
      </c>
      <c r="B307" s="14" t="s">
        <v>39</v>
      </c>
      <c r="C307" s="14" t="s">
        <v>347</v>
      </c>
      <c r="D307" s="14" t="s">
        <v>348</v>
      </c>
      <c r="E307" s="14" t="s">
        <v>344</v>
      </c>
      <c r="F307" s="14" t="s">
        <v>343</v>
      </c>
      <c r="G307" s="14" t="s">
        <v>343</v>
      </c>
      <c r="H307" s="14" t="s">
        <v>343</v>
      </c>
      <c r="U307" s="14">
        <v>24</v>
      </c>
      <c r="V307" s="14">
        <v>22</v>
      </c>
      <c r="W307" s="14">
        <v>21</v>
      </c>
      <c r="X307" s="14">
        <v>16</v>
      </c>
    </row>
    <row r="308" spans="1:24" hidden="1" x14ac:dyDescent="0.3">
      <c r="A308" s="14" t="s">
        <v>388</v>
      </c>
      <c r="B308" s="14" t="s">
        <v>39</v>
      </c>
      <c r="C308" s="14" t="s">
        <v>349</v>
      </c>
      <c r="D308" s="14" t="s">
        <v>350</v>
      </c>
      <c r="E308" s="14" t="s">
        <v>342</v>
      </c>
      <c r="F308" s="14" t="s">
        <v>343</v>
      </c>
      <c r="G308" s="14" t="s">
        <v>343</v>
      </c>
      <c r="H308" s="14" t="s">
        <v>343</v>
      </c>
      <c r="U308" s="14">
        <v>0.53</v>
      </c>
      <c r="V308" s="14">
        <v>0.62</v>
      </c>
      <c r="W308" s="14">
        <v>0.56000000000000005</v>
      </c>
      <c r="X308" s="14">
        <v>0.55000000000000004</v>
      </c>
    </row>
    <row r="309" spans="1:24" hidden="1" x14ac:dyDescent="0.3">
      <c r="A309" s="14" t="s">
        <v>388</v>
      </c>
      <c r="B309" s="14" t="s">
        <v>39</v>
      </c>
      <c r="C309" s="14" t="s">
        <v>349</v>
      </c>
      <c r="D309" s="14" t="s">
        <v>350</v>
      </c>
      <c r="E309" s="14" t="s">
        <v>344</v>
      </c>
      <c r="F309" s="14" t="s">
        <v>343</v>
      </c>
      <c r="G309" s="14" t="s">
        <v>343</v>
      </c>
      <c r="H309" s="14" t="s">
        <v>343</v>
      </c>
      <c r="U309" s="14">
        <v>57</v>
      </c>
      <c r="V309" s="14">
        <v>39</v>
      </c>
      <c r="W309" s="14">
        <v>58</v>
      </c>
      <c r="X309" s="14">
        <v>63</v>
      </c>
    </row>
    <row r="310" spans="1:24" hidden="1" x14ac:dyDescent="0.3">
      <c r="A310" s="14" t="s">
        <v>388</v>
      </c>
      <c r="B310" s="14" t="s">
        <v>39</v>
      </c>
      <c r="C310" s="14" t="s">
        <v>351</v>
      </c>
      <c r="D310" s="14" t="s">
        <v>352</v>
      </c>
      <c r="E310" s="14" t="s">
        <v>342</v>
      </c>
      <c r="F310" s="14" t="s">
        <v>343</v>
      </c>
      <c r="G310" s="14" t="s">
        <v>343</v>
      </c>
      <c r="H310" s="14" t="s">
        <v>343</v>
      </c>
      <c r="U310" s="14">
        <v>1</v>
      </c>
      <c r="V310" s="14">
        <v>1</v>
      </c>
      <c r="W310" s="14">
        <v>1</v>
      </c>
      <c r="X310" s="14">
        <v>1</v>
      </c>
    </row>
    <row r="311" spans="1:24" hidden="1" x14ac:dyDescent="0.3">
      <c r="A311" s="14" t="s">
        <v>388</v>
      </c>
      <c r="B311" s="14" t="s">
        <v>39</v>
      </c>
      <c r="C311" s="14" t="s">
        <v>351</v>
      </c>
      <c r="D311" s="14" t="s">
        <v>352</v>
      </c>
      <c r="E311" s="14" t="s">
        <v>344</v>
      </c>
      <c r="F311" s="14" t="s">
        <v>343</v>
      </c>
      <c r="G311" s="14" t="s">
        <v>343</v>
      </c>
      <c r="H311" s="14" t="s">
        <v>343</v>
      </c>
      <c r="U311" s="14">
        <v>1</v>
      </c>
      <c r="V311" s="14">
        <v>1</v>
      </c>
      <c r="W311" s="14">
        <v>1</v>
      </c>
      <c r="X311" s="14">
        <v>1</v>
      </c>
    </row>
    <row r="312" spans="1:24" hidden="1" x14ac:dyDescent="0.3">
      <c r="A312" s="14" t="s">
        <v>388</v>
      </c>
      <c r="B312" s="14" t="s">
        <v>39</v>
      </c>
      <c r="C312" s="14" t="s">
        <v>378</v>
      </c>
      <c r="D312" s="14" t="s">
        <v>379</v>
      </c>
      <c r="E312" s="14" t="s">
        <v>342</v>
      </c>
      <c r="F312" s="14" t="s">
        <v>343</v>
      </c>
      <c r="G312" s="14" t="s">
        <v>343</v>
      </c>
      <c r="H312" s="14" t="s">
        <v>343</v>
      </c>
      <c r="S312" s="14">
        <v>0.75</v>
      </c>
      <c r="U312" s="14">
        <v>0.73</v>
      </c>
      <c r="V312" s="14">
        <v>0.76</v>
      </c>
      <c r="W312" s="14">
        <v>0.76</v>
      </c>
    </row>
    <row r="313" spans="1:24" hidden="1" x14ac:dyDescent="0.3">
      <c r="A313" s="14" t="s">
        <v>388</v>
      </c>
      <c r="B313" s="14" t="s">
        <v>39</v>
      </c>
      <c r="C313" s="14" t="s">
        <v>378</v>
      </c>
      <c r="D313" s="14" t="s">
        <v>379</v>
      </c>
      <c r="E313" s="14" t="s">
        <v>344</v>
      </c>
      <c r="F313" s="14" t="s">
        <v>343</v>
      </c>
      <c r="G313" s="14" t="s">
        <v>343</v>
      </c>
      <c r="H313" s="14" t="s">
        <v>343</v>
      </c>
      <c r="S313" s="14">
        <v>27</v>
      </c>
      <c r="U313" s="14">
        <v>28</v>
      </c>
      <c r="V313" s="14">
        <v>12</v>
      </c>
      <c r="W313" s="14">
        <v>17</v>
      </c>
    </row>
    <row r="314" spans="1:24" hidden="1" x14ac:dyDescent="0.3">
      <c r="A314" s="14" t="s">
        <v>388</v>
      </c>
      <c r="B314" s="14" t="s">
        <v>39</v>
      </c>
      <c r="C314" s="14" t="s">
        <v>353</v>
      </c>
      <c r="D314" s="14" t="s">
        <v>354</v>
      </c>
      <c r="E314" s="14" t="s">
        <v>342</v>
      </c>
      <c r="F314" s="14" t="s">
        <v>343</v>
      </c>
      <c r="G314" s="14" t="s">
        <v>343</v>
      </c>
      <c r="H314" s="14" t="s">
        <v>343</v>
      </c>
      <c r="U314" s="14">
        <v>1</v>
      </c>
      <c r="V314" s="14">
        <v>1</v>
      </c>
      <c r="W314" s="14">
        <v>1</v>
      </c>
      <c r="X314" s="14">
        <v>1</v>
      </c>
    </row>
    <row r="315" spans="1:24" hidden="1" x14ac:dyDescent="0.3">
      <c r="A315" s="14" t="s">
        <v>388</v>
      </c>
      <c r="B315" s="14" t="s">
        <v>39</v>
      </c>
      <c r="C315" s="14" t="s">
        <v>353</v>
      </c>
      <c r="D315" s="14" t="s">
        <v>354</v>
      </c>
      <c r="E315" s="14" t="s">
        <v>344</v>
      </c>
      <c r="F315" s="14" t="s">
        <v>343</v>
      </c>
      <c r="G315" s="14" t="s">
        <v>343</v>
      </c>
      <c r="H315" s="14" t="s">
        <v>343</v>
      </c>
      <c r="U315" s="14">
        <v>52</v>
      </c>
      <c r="V315" s="14">
        <v>57</v>
      </c>
      <c r="W315" s="14">
        <v>57</v>
      </c>
      <c r="X315" s="14">
        <v>55</v>
      </c>
    </row>
    <row r="316" spans="1:24" hidden="1" x14ac:dyDescent="0.3">
      <c r="A316" s="14" t="s">
        <v>388</v>
      </c>
      <c r="B316" s="14" t="s">
        <v>39</v>
      </c>
      <c r="C316" s="14" t="s">
        <v>380</v>
      </c>
      <c r="D316" s="14" t="s">
        <v>381</v>
      </c>
      <c r="E316" s="14" t="s">
        <v>342</v>
      </c>
      <c r="F316" s="14" t="s">
        <v>343</v>
      </c>
      <c r="G316" s="14" t="s">
        <v>343</v>
      </c>
      <c r="H316" s="14" t="s">
        <v>343</v>
      </c>
      <c r="U316" s="14">
        <v>1</v>
      </c>
      <c r="V316" s="14">
        <v>1</v>
      </c>
      <c r="W316" s="14">
        <v>1</v>
      </c>
      <c r="X316" s="14">
        <v>1</v>
      </c>
    </row>
    <row r="317" spans="1:24" hidden="1" x14ac:dyDescent="0.3">
      <c r="A317" s="14" t="s">
        <v>388</v>
      </c>
      <c r="B317" s="14" t="s">
        <v>39</v>
      </c>
      <c r="C317" s="14" t="s">
        <v>380</v>
      </c>
      <c r="D317" s="14" t="s">
        <v>381</v>
      </c>
      <c r="E317" s="14" t="s">
        <v>344</v>
      </c>
      <c r="F317" s="14" t="s">
        <v>343</v>
      </c>
      <c r="G317" s="14" t="s">
        <v>343</v>
      </c>
      <c r="H317" s="14" t="s">
        <v>343</v>
      </c>
      <c r="U317" s="14">
        <v>1</v>
      </c>
      <c r="V317" s="14">
        <v>93</v>
      </c>
      <c r="W317" s="14">
        <v>96</v>
      </c>
      <c r="X317" s="14">
        <v>1</v>
      </c>
    </row>
    <row r="318" spans="1:24" hidden="1" x14ac:dyDescent="0.3">
      <c r="A318" s="14" t="s">
        <v>388</v>
      </c>
      <c r="B318" s="14" t="s">
        <v>39</v>
      </c>
      <c r="C318" s="14" t="s">
        <v>355</v>
      </c>
      <c r="D318" s="14" t="s">
        <v>356</v>
      </c>
      <c r="E318" s="14" t="s">
        <v>342</v>
      </c>
      <c r="F318" s="14" t="s">
        <v>343</v>
      </c>
      <c r="G318" s="14" t="s">
        <v>343</v>
      </c>
      <c r="H318" s="14" t="s">
        <v>343</v>
      </c>
      <c r="U318" s="14">
        <v>1</v>
      </c>
      <c r="V318" s="14">
        <v>0.99</v>
      </c>
      <c r="W318" s="14">
        <v>0.99</v>
      </c>
      <c r="X318" s="14">
        <v>0.98</v>
      </c>
    </row>
    <row r="319" spans="1:24" hidden="1" x14ac:dyDescent="0.3">
      <c r="A319" s="14" t="s">
        <v>388</v>
      </c>
      <c r="B319" s="14" t="s">
        <v>39</v>
      </c>
      <c r="C319" s="14" t="s">
        <v>355</v>
      </c>
      <c r="D319" s="14" t="s">
        <v>356</v>
      </c>
      <c r="E319" s="14" t="s">
        <v>344</v>
      </c>
      <c r="F319" s="14" t="s">
        <v>343</v>
      </c>
      <c r="G319" s="14" t="s">
        <v>343</v>
      </c>
      <c r="H319" s="14" t="s">
        <v>343</v>
      </c>
      <c r="U319" s="14">
        <v>1</v>
      </c>
      <c r="V319" s="14">
        <v>109</v>
      </c>
      <c r="W319" s="14">
        <v>110</v>
      </c>
      <c r="X319" s="14">
        <v>93</v>
      </c>
    </row>
    <row r="320" spans="1:24" hidden="1" x14ac:dyDescent="0.3">
      <c r="A320" s="14" t="s">
        <v>388</v>
      </c>
      <c r="B320" s="14" t="s">
        <v>39</v>
      </c>
      <c r="C320" s="14" t="s">
        <v>357</v>
      </c>
      <c r="D320" s="14" t="s">
        <v>358</v>
      </c>
      <c r="E320" s="14" t="s">
        <v>342</v>
      </c>
      <c r="F320" s="14" t="s">
        <v>343</v>
      </c>
      <c r="G320" s="14" t="s">
        <v>343</v>
      </c>
      <c r="H320" s="14" t="s">
        <v>343</v>
      </c>
      <c r="U320" s="14">
        <v>1</v>
      </c>
      <c r="V320" s="14">
        <v>1</v>
      </c>
      <c r="W320" s="14">
        <v>1</v>
      </c>
      <c r="X320" s="14">
        <v>1</v>
      </c>
    </row>
    <row r="321" spans="1:24" hidden="1" x14ac:dyDescent="0.3">
      <c r="A321" s="14" t="s">
        <v>388</v>
      </c>
      <c r="B321" s="14" t="s">
        <v>39</v>
      </c>
      <c r="C321" s="14" t="s">
        <v>357</v>
      </c>
      <c r="D321" s="14" t="s">
        <v>358</v>
      </c>
      <c r="E321" s="14" t="s">
        <v>344</v>
      </c>
      <c r="F321" s="14" t="s">
        <v>343</v>
      </c>
      <c r="G321" s="14" t="s">
        <v>343</v>
      </c>
      <c r="H321" s="14" t="s">
        <v>343</v>
      </c>
      <c r="U321" s="14">
        <v>1</v>
      </c>
      <c r="V321" s="14">
        <v>1</v>
      </c>
      <c r="W321" s="14">
        <v>1</v>
      </c>
      <c r="X321" s="14">
        <v>1</v>
      </c>
    </row>
    <row r="322" spans="1:24" hidden="1" x14ac:dyDescent="0.3">
      <c r="A322" s="14" t="s">
        <v>388</v>
      </c>
      <c r="B322" s="14" t="s">
        <v>39</v>
      </c>
      <c r="C322" s="14" t="s">
        <v>359</v>
      </c>
      <c r="D322" s="14" t="s">
        <v>360</v>
      </c>
      <c r="E322" s="14" t="s">
        <v>342</v>
      </c>
      <c r="F322" s="14" t="s">
        <v>343</v>
      </c>
      <c r="G322" s="14" t="s">
        <v>343</v>
      </c>
      <c r="H322" s="14" t="s">
        <v>343</v>
      </c>
      <c r="J322" s="14">
        <v>0.73</v>
      </c>
      <c r="K322" s="14">
        <v>0.79</v>
      </c>
      <c r="L322" s="14">
        <v>0.69</v>
      </c>
      <c r="M322" s="14">
        <v>0.64</v>
      </c>
      <c r="N322" s="14">
        <v>0.64</v>
      </c>
      <c r="O322" s="14">
        <v>0.65</v>
      </c>
      <c r="P322" s="14">
        <v>0.66</v>
      </c>
      <c r="Q322" s="14">
        <v>0.71</v>
      </c>
      <c r="R322" s="14">
        <v>0.7</v>
      </c>
      <c r="S322" s="14">
        <v>0.73</v>
      </c>
      <c r="T322" s="14">
        <v>0.72</v>
      </c>
      <c r="U322" s="14">
        <v>0.72</v>
      </c>
      <c r="V322" s="14">
        <v>0.75</v>
      </c>
      <c r="W322" s="14">
        <v>0.75</v>
      </c>
      <c r="X322" s="14">
        <v>0.74</v>
      </c>
    </row>
    <row r="323" spans="1:24" hidden="1" x14ac:dyDescent="0.3">
      <c r="A323" s="14" t="s">
        <v>388</v>
      </c>
      <c r="B323" s="14" t="s">
        <v>39</v>
      </c>
      <c r="C323" s="14" t="s">
        <v>359</v>
      </c>
      <c r="D323" s="14" t="s">
        <v>360</v>
      </c>
      <c r="E323" s="14" t="s">
        <v>344</v>
      </c>
      <c r="F323" s="14" t="s">
        <v>343</v>
      </c>
      <c r="G323" s="14" t="s">
        <v>343</v>
      </c>
      <c r="H323" s="14" t="s">
        <v>343</v>
      </c>
      <c r="J323" s="14">
        <v>19</v>
      </c>
      <c r="K323" s="14">
        <v>4</v>
      </c>
      <c r="L323" s="14">
        <v>47</v>
      </c>
      <c r="M323" s="14">
        <v>73</v>
      </c>
      <c r="N323" s="14">
        <v>70</v>
      </c>
      <c r="O323" s="14">
        <v>74</v>
      </c>
      <c r="P323" s="14">
        <v>72</v>
      </c>
      <c r="Q323" s="14">
        <v>52</v>
      </c>
      <c r="R323" s="14">
        <v>54</v>
      </c>
      <c r="S323" s="14">
        <v>38</v>
      </c>
      <c r="T323" s="14">
        <v>45</v>
      </c>
      <c r="U323" s="14">
        <v>47</v>
      </c>
      <c r="V323" s="14">
        <v>33</v>
      </c>
      <c r="W323" s="14">
        <v>36</v>
      </c>
      <c r="X323" s="14">
        <v>36</v>
      </c>
    </row>
    <row r="324" spans="1:24" x14ac:dyDescent="0.3">
      <c r="A324" s="14" t="s">
        <v>388</v>
      </c>
      <c r="B324" s="14" t="s">
        <v>39</v>
      </c>
      <c r="C324" s="14" t="s">
        <v>361</v>
      </c>
      <c r="D324" s="14" t="s">
        <v>362</v>
      </c>
      <c r="E324" s="14" t="s">
        <v>342</v>
      </c>
      <c r="F324" s="14" t="s">
        <v>343</v>
      </c>
      <c r="G324" s="14" t="s">
        <v>343</v>
      </c>
      <c r="H324" s="14" t="s">
        <v>343</v>
      </c>
      <c r="J324" s="14">
        <v>0.93</v>
      </c>
      <c r="K324" s="14">
        <v>0.93</v>
      </c>
      <c r="L324" s="14">
        <v>0.94</v>
      </c>
      <c r="M324" s="14">
        <v>0.93</v>
      </c>
      <c r="N324" s="14">
        <v>0.93</v>
      </c>
      <c r="O324" s="14">
        <v>0.92</v>
      </c>
      <c r="P324" s="14">
        <v>0.93</v>
      </c>
      <c r="Q324" s="14">
        <v>0.94</v>
      </c>
      <c r="R324" s="14">
        <v>0.95</v>
      </c>
      <c r="S324" s="14">
        <v>0.95</v>
      </c>
      <c r="T324" s="14">
        <v>0.94</v>
      </c>
      <c r="U324" s="14">
        <v>0.94</v>
      </c>
      <c r="V324" s="14">
        <v>0.94</v>
      </c>
      <c r="W324" s="14">
        <v>0.94</v>
      </c>
      <c r="X324" s="14">
        <v>0.94</v>
      </c>
    </row>
    <row r="325" spans="1:24" hidden="1" x14ac:dyDescent="0.3">
      <c r="A325" s="14" t="s">
        <v>388</v>
      </c>
      <c r="B325" s="14" t="s">
        <v>39</v>
      </c>
      <c r="C325" s="14" t="s">
        <v>361</v>
      </c>
      <c r="D325" s="14" t="s">
        <v>362</v>
      </c>
      <c r="E325" s="14" t="s">
        <v>344</v>
      </c>
      <c r="F325" s="14" t="s">
        <v>343</v>
      </c>
      <c r="G325" s="14" t="s">
        <v>343</v>
      </c>
      <c r="H325" s="14" t="s">
        <v>343</v>
      </c>
      <c r="J325" s="14">
        <v>127</v>
      </c>
      <c r="K325" s="14">
        <v>129</v>
      </c>
      <c r="L325" s="14">
        <v>132</v>
      </c>
      <c r="M325" s="14">
        <v>134</v>
      </c>
      <c r="N325" s="14">
        <v>132</v>
      </c>
      <c r="O325" s="14">
        <v>135</v>
      </c>
      <c r="P325" s="14">
        <v>136</v>
      </c>
      <c r="Q325" s="14">
        <v>137</v>
      </c>
      <c r="R325" s="14">
        <v>139</v>
      </c>
      <c r="S325" s="14">
        <v>138</v>
      </c>
      <c r="T325" s="14">
        <v>142</v>
      </c>
      <c r="U325" s="14">
        <v>146</v>
      </c>
      <c r="V325" s="14">
        <v>152</v>
      </c>
      <c r="W325" s="14">
        <v>154</v>
      </c>
      <c r="X325" s="14">
        <v>144</v>
      </c>
    </row>
    <row r="326" spans="1:24" hidden="1" x14ac:dyDescent="0.3">
      <c r="A326" s="14" t="s">
        <v>388</v>
      </c>
      <c r="B326" s="14" t="s">
        <v>39</v>
      </c>
      <c r="C326" s="14" t="s">
        <v>363</v>
      </c>
      <c r="D326" s="14" t="s">
        <v>364</v>
      </c>
      <c r="E326" s="14" t="s">
        <v>342</v>
      </c>
      <c r="F326" s="14" t="s">
        <v>343</v>
      </c>
      <c r="G326" s="14" t="s">
        <v>343</v>
      </c>
      <c r="H326" s="14" t="s">
        <v>343</v>
      </c>
      <c r="U326" s="14">
        <v>1.06</v>
      </c>
      <c r="V326" s="14">
        <v>1.06</v>
      </c>
      <c r="W326" s="14">
        <v>1.05</v>
      </c>
      <c r="X326" s="14">
        <v>1.05</v>
      </c>
    </row>
    <row r="327" spans="1:24" hidden="1" x14ac:dyDescent="0.3">
      <c r="A327" s="14" t="s">
        <v>388</v>
      </c>
      <c r="B327" s="14" t="s">
        <v>39</v>
      </c>
      <c r="C327" s="14" t="s">
        <v>363</v>
      </c>
      <c r="D327" s="14" t="s">
        <v>364</v>
      </c>
      <c r="E327" s="14" t="s">
        <v>344</v>
      </c>
      <c r="F327" s="14" t="s">
        <v>343</v>
      </c>
      <c r="G327" s="14" t="s">
        <v>343</v>
      </c>
      <c r="H327" s="14" t="s">
        <v>343</v>
      </c>
      <c r="U327" s="14">
        <v>1</v>
      </c>
      <c r="V327" s="14">
        <v>1</v>
      </c>
      <c r="W327" s="14">
        <v>59</v>
      </c>
      <c r="X327" s="14">
        <v>53</v>
      </c>
    </row>
    <row r="328" spans="1:24" hidden="1" x14ac:dyDescent="0.3">
      <c r="A328" s="14" t="s">
        <v>388</v>
      </c>
      <c r="B328" s="14" t="s">
        <v>39</v>
      </c>
      <c r="C328" s="14" t="s">
        <v>365</v>
      </c>
      <c r="D328" s="14" t="s">
        <v>366</v>
      </c>
      <c r="E328" s="14" t="s">
        <v>342</v>
      </c>
      <c r="F328" s="14" t="s">
        <v>343</v>
      </c>
      <c r="G328" s="14" t="s">
        <v>343</v>
      </c>
      <c r="H328" s="14" t="s">
        <v>343</v>
      </c>
      <c r="U328" s="14">
        <v>0.89</v>
      </c>
      <c r="V328" s="14">
        <v>0.89</v>
      </c>
      <c r="W328" s="14">
        <v>0.89</v>
      </c>
      <c r="X328" s="14">
        <v>0.89</v>
      </c>
    </row>
    <row r="329" spans="1:24" hidden="1" x14ac:dyDescent="0.3">
      <c r="A329" s="14" t="s">
        <v>388</v>
      </c>
      <c r="B329" s="14" t="s">
        <v>39</v>
      </c>
      <c r="C329" s="14" t="s">
        <v>365</v>
      </c>
      <c r="D329" s="14" t="s">
        <v>366</v>
      </c>
      <c r="E329" s="14" t="s">
        <v>344</v>
      </c>
      <c r="F329" s="14" t="s">
        <v>343</v>
      </c>
      <c r="G329" s="14" t="s">
        <v>343</v>
      </c>
      <c r="H329" s="14" t="s">
        <v>343</v>
      </c>
      <c r="U329" s="14">
        <v>147</v>
      </c>
      <c r="V329" s="14">
        <v>152</v>
      </c>
      <c r="W329" s="14">
        <v>155</v>
      </c>
      <c r="X329" s="14">
        <v>146</v>
      </c>
    </row>
    <row r="330" spans="1:24" hidden="1" x14ac:dyDescent="0.3">
      <c r="A330" s="14" t="s">
        <v>388</v>
      </c>
      <c r="B330" s="14" t="s">
        <v>39</v>
      </c>
      <c r="C330" s="14" t="s">
        <v>367</v>
      </c>
      <c r="D330" s="14" t="s">
        <v>368</v>
      </c>
      <c r="E330" s="14" t="s">
        <v>342</v>
      </c>
      <c r="F330" s="14" t="s">
        <v>343</v>
      </c>
      <c r="G330" s="14" t="s">
        <v>343</v>
      </c>
      <c r="H330" s="14" t="s">
        <v>343</v>
      </c>
      <c r="J330" s="14">
        <v>0.68</v>
      </c>
      <c r="K330" s="14">
        <v>0.69</v>
      </c>
      <c r="L330" s="14">
        <v>0.66</v>
      </c>
      <c r="M330" s="14">
        <v>0.64</v>
      </c>
      <c r="N330" s="14">
        <v>0.66</v>
      </c>
      <c r="O330" s="14">
        <v>0.65</v>
      </c>
      <c r="P330" s="14">
        <v>0.66</v>
      </c>
      <c r="Q330" s="14">
        <v>0.68</v>
      </c>
      <c r="R330" s="14">
        <v>0.68</v>
      </c>
      <c r="S330" s="14">
        <v>0.68</v>
      </c>
      <c r="T330" s="14">
        <v>0.68</v>
      </c>
      <c r="U330" s="14">
        <v>0.68</v>
      </c>
      <c r="V330" s="14">
        <v>0.69</v>
      </c>
      <c r="W330" s="14">
        <v>0.69</v>
      </c>
      <c r="X330" s="14">
        <v>0.69</v>
      </c>
    </row>
    <row r="331" spans="1:24" hidden="1" x14ac:dyDescent="0.3">
      <c r="A331" s="14" t="s">
        <v>388</v>
      </c>
      <c r="B331" s="14" t="s">
        <v>39</v>
      </c>
      <c r="C331" s="14" t="s">
        <v>367</v>
      </c>
      <c r="D331" s="14" t="s">
        <v>368</v>
      </c>
      <c r="E331" s="14" t="s">
        <v>344</v>
      </c>
      <c r="F331" s="14" t="s">
        <v>343</v>
      </c>
      <c r="G331" s="14" t="s">
        <v>343</v>
      </c>
      <c r="H331" s="14" t="s">
        <v>343</v>
      </c>
      <c r="J331" s="14">
        <v>59</v>
      </c>
      <c r="K331" s="14">
        <v>61</v>
      </c>
      <c r="L331" s="14">
        <v>89</v>
      </c>
      <c r="M331" s="14">
        <v>100</v>
      </c>
      <c r="N331" s="14">
        <v>91</v>
      </c>
      <c r="O331" s="14">
        <v>99</v>
      </c>
      <c r="P331" s="14">
        <v>99</v>
      </c>
      <c r="Q331" s="14">
        <v>94</v>
      </c>
      <c r="R331" s="14">
        <v>96</v>
      </c>
      <c r="S331" s="14">
        <v>86</v>
      </c>
      <c r="T331" s="14">
        <v>98</v>
      </c>
      <c r="U331" s="14">
        <v>97</v>
      </c>
      <c r="V331" s="14">
        <v>94</v>
      </c>
      <c r="W331" s="14">
        <v>100</v>
      </c>
      <c r="X331" s="14">
        <v>101</v>
      </c>
    </row>
    <row r="332" spans="1:24" hidden="1" x14ac:dyDescent="0.3">
      <c r="A332" s="14" t="s">
        <v>388</v>
      </c>
      <c r="B332" s="14" t="s">
        <v>39</v>
      </c>
      <c r="C332" s="14" t="s">
        <v>369</v>
      </c>
      <c r="D332" s="14" t="s">
        <v>370</v>
      </c>
      <c r="E332" s="14" t="s">
        <v>342</v>
      </c>
      <c r="F332" s="14" t="s">
        <v>343</v>
      </c>
      <c r="G332" s="14" t="s">
        <v>343</v>
      </c>
      <c r="H332" s="14" t="s">
        <v>343</v>
      </c>
      <c r="J332" s="14">
        <v>0.08</v>
      </c>
      <c r="K332" s="14">
        <v>0.06</v>
      </c>
      <c r="L332" s="14">
        <v>0.06</v>
      </c>
      <c r="M332" s="14">
        <v>0.05</v>
      </c>
      <c r="N332" s="14">
        <v>7.0000000000000007E-2</v>
      </c>
      <c r="O332" s="14">
        <v>7.0000000000000007E-2</v>
      </c>
      <c r="P332" s="14">
        <v>7.0000000000000007E-2</v>
      </c>
      <c r="Q332" s="14">
        <v>0.06</v>
      </c>
      <c r="R332" s="14">
        <v>0.06</v>
      </c>
      <c r="S332" s="14">
        <v>7.0000000000000007E-2</v>
      </c>
      <c r="T332" s="14">
        <v>0.06</v>
      </c>
      <c r="U332" s="14">
        <v>0.06</v>
      </c>
      <c r="V332" s="14">
        <v>0.06</v>
      </c>
      <c r="W332" s="14">
        <v>7.0000000000000007E-2</v>
      </c>
      <c r="X332" s="14">
        <v>7.0000000000000007E-2</v>
      </c>
    </row>
    <row r="333" spans="1:24" hidden="1" x14ac:dyDescent="0.3">
      <c r="A333" s="14" t="s">
        <v>388</v>
      </c>
      <c r="B333" s="14" t="s">
        <v>39</v>
      </c>
      <c r="C333" s="14" t="s">
        <v>369</v>
      </c>
      <c r="D333" s="14" t="s">
        <v>370</v>
      </c>
      <c r="E333" s="14" t="s">
        <v>344</v>
      </c>
      <c r="F333" s="14" t="s">
        <v>343</v>
      </c>
      <c r="G333" s="14" t="s">
        <v>343</v>
      </c>
      <c r="H333" s="14" t="s">
        <v>343</v>
      </c>
      <c r="J333" s="14">
        <v>85</v>
      </c>
      <c r="K333" s="14">
        <v>114</v>
      </c>
      <c r="L333" s="14">
        <v>119</v>
      </c>
      <c r="M333" s="14">
        <v>113</v>
      </c>
      <c r="N333" s="14">
        <v>103</v>
      </c>
      <c r="O333" s="14">
        <v>113</v>
      </c>
      <c r="P333" s="14">
        <v>114</v>
      </c>
      <c r="Q333" s="14">
        <v>127</v>
      </c>
      <c r="R333" s="14">
        <v>129</v>
      </c>
      <c r="S333" s="14">
        <v>124</v>
      </c>
      <c r="T333" s="14">
        <v>131</v>
      </c>
      <c r="U333" s="14">
        <v>137</v>
      </c>
      <c r="V333" s="14">
        <v>140</v>
      </c>
      <c r="W333" s="14">
        <v>141</v>
      </c>
      <c r="X333" s="14">
        <v>135</v>
      </c>
    </row>
    <row r="334" spans="1:24" hidden="1" x14ac:dyDescent="0.3">
      <c r="A334" s="14" t="s">
        <v>388</v>
      </c>
      <c r="B334" s="14" t="s">
        <v>39</v>
      </c>
      <c r="C334" s="14" t="s">
        <v>371</v>
      </c>
      <c r="D334" s="14" t="s">
        <v>372</v>
      </c>
      <c r="E334" s="14" t="s">
        <v>342</v>
      </c>
      <c r="F334" s="14" t="s">
        <v>343</v>
      </c>
      <c r="G334" s="14" t="s">
        <v>343</v>
      </c>
      <c r="H334" s="14" t="s">
        <v>343</v>
      </c>
      <c r="U334" s="14">
        <v>0</v>
      </c>
      <c r="V334" s="14">
        <v>0</v>
      </c>
      <c r="W334" s="14">
        <v>0</v>
      </c>
      <c r="X334" s="14">
        <v>0</v>
      </c>
    </row>
    <row r="335" spans="1:24" hidden="1" x14ac:dyDescent="0.3">
      <c r="A335" s="14" t="s">
        <v>388</v>
      </c>
      <c r="B335" s="14" t="s">
        <v>39</v>
      </c>
      <c r="C335" s="14" t="s">
        <v>371</v>
      </c>
      <c r="D335" s="14" t="s">
        <v>372</v>
      </c>
      <c r="E335" s="14" t="s">
        <v>344</v>
      </c>
      <c r="F335" s="14" t="s">
        <v>343</v>
      </c>
      <c r="G335" s="14" t="s">
        <v>343</v>
      </c>
      <c r="H335" s="14" t="s">
        <v>343</v>
      </c>
      <c r="U335" s="14">
        <v>71</v>
      </c>
      <c r="V335" s="14">
        <v>73</v>
      </c>
      <c r="W335" s="14">
        <v>76</v>
      </c>
      <c r="X335" s="14">
        <v>78</v>
      </c>
    </row>
    <row r="336" spans="1:24" hidden="1" x14ac:dyDescent="0.3">
      <c r="A336" s="14" t="s">
        <v>388</v>
      </c>
      <c r="B336" s="14" t="s">
        <v>39</v>
      </c>
      <c r="C336" s="14" t="s">
        <v>373</v>
      </c>
      <c r="D336" s="14" t="s">
        <v>374</v>
      </c>
      <c r="E336" s="14" t="s">
        <v>342</v>
      </c>
      <c r="F336" s="14" t="s">
        <v>343</v>
      </c>
      <c r="G336" s="14" t="s">
        <v>343</v>
      </c>
      <c r="H336" s="14" t="s">
        <v>343</v>
      </c>
      <c r="U336" s="14">
        <v>0</v>
      </c>
      <c r="V336" s="14">
        <v>0</v>
      </c>
      <c r="W336" s="14">
        <v>0</v>
      </c>
      <c r="X336" s="14">
        <v>0</v>
      </c>
    </row>
    <row r="337" spans="1:24" hidden="1" x14ac:dyDescent="0.3">
      <c r="A337" s="14" t="s">
        <v>388</v>
      </c>
      <c r="B337" s="14" t="s">
        <v>39</v>
      </c>
      <c r="C337" s="14" t="s">
        <v>373</v>
      </c>
      <c r="D337" s="14" t="s">
        <v>374</v>
      </c>
      <c r="E337" s="14" t="s">
        <v>344</v>
      </c>
      <c r="F337" s="14" t="s">
        <v>343</v>
      </c>
      <c r="G337" s="14" t="s">
        <v>343</v>
      </c>
      <c r="H337" s="14" t="s">
        <v>343</v>
      </c>
      <c r="U337" s="14">
        <v>144</v>
      </c>
      <c r="V337" s="14">
        <v>145</v>
      </c>
      <c r="W337" s="14">
        <v>148</v>
      </c>
      <c r="X337" s="14">
        <v>140</v>
      </c>
    </row>
    <row r="338" spans="1:24" hidden="1" x14ac:dyDescent="0.3">
      <c r="A338" s="14" t="s">
        <v>388</v>
      </c>
      <c r="B338" s="14" t="s">
        <v>39</v>
      </c>
      <c r="C338" s="14" t="s">
        <v>375</v>
      </c>
      <c r="D338" s="14" t="s">
        <v>376</v>
      </c>
      <c r="E338" s="14" t="s">
        <v>342</v>
      </c>
      <c r="F338" s="14" t="s">
        <v>343</v>
      </c>
      <c r="G338" s="14" t="s">
        <v>343</v>
      </c>
      <c r="H338" s="14" t="s">
        <v>343</v>
      </c>
      <c r="U338" s="14">
        <v>0.2</v>
      </c>
      <c r="V338" s="14">
        <v>0.2</v>
      </c>
      <c r="W338" s="14">
        <v>0.22</v>
      </c>
      <c r="X338" s="14">
        <v>0.22</v>
      </c>
    </row>
    <row r="339" spans="1:24" hidden="1" x14ac:dyDescent="0.3">
      <c r="A339" s="14" t="s">
        <v>388</v>
      </c>
      <c r="B339" s="14" t="s">
        <v>39</v>
      </c>
      <c r="C339" s="14" t="s">
        <v>375</v>
      </c>
      <c r="D339" s="14" t="s">
        <v>376</v>
      </c>
      <c r="E339" s="14" t="s">
        <v>344</v>
      </c>
      <c r="F339" s="14" t="s">
        <v>343</v>
      </c>
      <c r="G339" s="14" t="s">
        <v>343</v>
      </c>
      <c r="H339" s="14" t="s">
        <v>343</v>
      </c>
      <c r="U339" s="14">
        <v>103</v>
      </c>
      <c r="V339" s="14">
        <v>107</v>
      </c>
      <c r="W339" s="14">
        <v>111</v>
      </c>
      <c r="X339" s="14">
        <v>107</v>
      </c>
    </row>
    <row r="340" spans="1:24" hidden="1" x14ac:dyDescent="0.3">
      <c r="A340" s="14" t="s">
        <v>389</v>
      </c>
      <c r="B340" s="14" t="s">
        <v>58</v>
      </c>
      <c r="C340" s="14" t="s">
        <v>340</v>
      </c>
      <c r="D340" s="14" t="s">
        <v>341</v>
      </c>
      <c r="E340" s="14" t="s">
        <v>342</v>
      </c>
      <c r="F340" s="14" t="s">
        <v>343</v>
      </c>
      <c r="G340" s="14" t="s">
        <v>343</v>
      </c>
      <c r="H340" s="14" t="s">
        <v>343</v>
      </c>
      <c r="N340" s="14">
        <v>0.86</v>
      </c>
      <c r="O340" s="14">
        <v>0.86</v>
      </c>
      <c r="P340" s="14">
        <v>0.89</v>
      </c>
      <c r="Q340" s="14">
        <v>0.9</v>
      </c>
      <c r="R340" s="14">
        <v>0.86</v>
      </c>
      <c r="S340" s="14">
        <v>0.92</v>
      </c>
      <c r="T340" s="14">
        <v>0.88</v>
      </c>
      <c r="U340" s="14">
        <v>0.89</v>
      </c>
      <c r="V340" s="14">
        <v>0.9</v>
      </c>
      <c r="W340" s="14">
        <v>0.9</v>
      </c>
      <c r="X340" s="14">
        <v>0.93</v>
      </c>
    </row>
    <row r="341" spans="1:24" hidden="1" x14ac:dyDescent="0.3">
      <c r="A341" s="14" t="s">
        <v>389</v>
      </c>
      <c r="B341" s="14" t="s">
        <v>58</v>
      </c>
      <c r="C341" s="14" t="s">
        <v>340</v>
      </c>
      <c r="D341" s="14" t="s">
        <v>341</v>
      </c>
      <c r="E341" s="14" t="s">
        <v>344</v>
      </c>
      <c r="F341" s="14" t="s">
        <v>343</v>
      </c>
      <c r="G341" s="14" t="s">
        <v>343</v>
      </c>
      <c r="H341" s="14" t="s">
        <v>343</v>
      </c>
      <c r="N341" s="14">
        <v>119</v>
      </c>
      <c r="O341" s="14">
        <v>117</v>
      </c>
      <c r="P341" s="14">
        <v>114</v>
      </c>
      <c r="Q341" s="14">
        <v>120</v>
      </c>
      <c r="R341" s="14">
        <v>131</v>
      </c>
      <c r="S341" s="14">
        <v>124</v>
      </c>
      <c r="T341" s="14">
        <v>128</v>
      </c>
      <c r="U341" s="14">
        <v>130</v>
      </c>
      <c r="V341" s="14">
        <v>131</v>
      </c>
      <c r="W341" s="14">
        <v>132</v>
      </c>
      <c r="X341" s="14">
        <v>121</v>
      </c>
    </row>
    <row r="342" spans="1:24" hidden="1" x14ac:dyDescent="0.3">
      <c r="A342" s="14" t="s">
        <v>389</v>
      </c>
      <c r="B342" s="14" t="s">
        <v>58</v>
      </c>
      <c r="C342" s="14" t="s">
        <v>345</v>
      </c>
      <c r="D342" s="14" t="s">
        <v>346</v>
      </c>
      <c r="E342" s="14" t="s">
        <v>342</v>
      </c>
      <c r="F342" s="14" t="s">
        <v>343</v>
      </c>
      <c r="G342" s="14" t="s">
        <v>343</v>
      </c>
      <c r="H342" s="14" t="s">
        <v>343</v>
      </c>
      <c r="U342" s="14">
        <v>1</v>
      </c>
      <c r="V342" s="14">
        <v>1</v>
      </c>
      <c r="W342" s="14">
        <v>1</v>
      </c>
      <c r="X342" s="14">
        <v>1</v>
      </c>
    </row>
    <row r="343" spans="1:24" hidden="1" x14ac:dyDescent="0.3">
      <c r="A343" s="14" t="s">
        <v>389</v>
      </c>
      <c r="B343" s="14" t="s">
        <v>58</v>
      </c>
      <c r="C343" s="14" t="s">
        <v>345</v>
      </c>
      <c r="D343" s="14" t="s">
        <v>346</v>
      </c>
      <c r="E343" s="14" t="s">
        <v>344</v>
      </c>
      <c r="F343" s="14" t="s">
        <v>343</v>
      </c>
      <c r="G343" s="14" t="s">
        <v>343</v>
      </c>
      <c r="H343" s="14" t="s">
        <v>343</v>
      </c>
      <c r="U343" s="14">
        <v>1</v>
      </c>
      <c r="V343" s="14">
        <v>1</v>
      </c>
      <c r="W343" s="14">
        <v>1</v>
      </c>
      <c r="X343" s="14">
        <v>1</v>
      </c>
    </row>
    <row r="344" spans="1:24" hidden="1" x14ac:dyDescent="0.3">
      <c r="A344" s="14" t="s">
        <v>389</v>
      </c>
      <c r="B344" s="14" t="s">
        <v>58</v>
      </c>
      <c r="C344" s="14" t="s">
        <v>347</v>
      </c>
      <c r="D344" s="14" t="s">
        <v>348</v>
      </c>
      <c r="E344" s="14" t="s">
        <v>342</v>
      </c>
      <c r="F344" s="14" t="s">
        <v>343</v>
      </c>
      <c r="G344" s="14" t="s">
        <v>343</v>
      </c>
      <c r="H344" s="14" t="s">
        <v>343</v>
      </c>
      <c r="U344" s="14">
        <v>1</v>
      </c>
      <c r="V344" s="14">
        <v>1</v>
      </c>
      <c r="W344" s="14">
        <v>1</v>
      </c>
      <c r="X344" s="14">
        <v>1</v>
      </c>
    </row>
    <row r="345" spans="1:24" hidden="1" x14ac:dyDescent="0.3">
      <c r="A345" s="14" t="s">
        <v>389</v>
      </c>
      <c r="B345" s="14" t="s">
        <v>58</v>
      </c>
      <c r="C345" s="14" t="s">
        <v>347</v>
      </c>
      <c r="D345" s="14" t="s">
        <v>348</v>
      </c>
      <c r="E345" s="14" t="s">
        <v>344</v>
      </c>
      <c r="F345" s="14" t="s">
        <v>343</v>
      </c>
      <c r="G345" s="14" t="s">
        <v>343</v>
      </c>
      <c r="H345" s="14" t="s">
        <v>343</v>
      </c>
      <c r="U345" s="14">
        <v>1</v>
      </c>
      <c r="V345" s="14">
        <v>1</v>
      </c>
      <c r="W345" s="14">
        <v>1</v>
      </c>
      <c r="X345" s="14">
        <v>1</v>
      </c>
    </row>
    <row r="346" spans="1:24" hidden="1" x14ac:dyDescent="0.3">
      <c r="A346" s="14" t="s">
        <v>389</v>
      </c>
      <c r="B346" s="14" t="s">
        <v>58</v>
      </c>
      <c r="C346" s="14" t="s">
        <v>349</v>
      </c>
      <c r="D346" s="14" t="s">
        <v>350</v>
      </c>
      <c r="E346" s="14" t="s">
        <v>342</v>
      </c>
      <c r="F346" s="14" t="s">
        <v>343</v>
      </c>
      <c r="G346" s="14" t="s">
        <v>343</v>
      </c>
      <c r="H346" s="14" t="s">
        <v>343</v>
      </c>
      <c r="U346" s="14">
        <v>0.48</v>
      </c>
      <c r="V346" s="14">
        <v>0.38</v>
      </c>
      <c r="W346" s="14">
        <v>0.48</v>
      </c>
      <c r="X346" s="14">
        <v>0.48</v>
      </c>
    </row>
    <row r="347" spans="1:24" hidden="1" x14ac:dyDescent="0.3">
      <c r="A347" s="14" t="s">
        <v>389</v>
      </c>
      <c r="B347" s="14" t="s">
        <v>58</v>
      </c>
      <c r="C347" s="14" t="s">
        <v>349</v>
      </c>
      <c r="D347" s="14" t="s">
        <v>350</v>
      </c>
      <c r="E347" s="14" t="s">
        <v>344</v>
      </c>
      <c r="F347" s="14" t="s">
        <v>343</v>
      </c>
      <c r="G347" s="14" t="s">
        <v>343</v>
      </c>
      <c r="H347" s="14" t="s">
        <v>343</v>
      </c>
      <c r="U347" s="14">
        <v>69</v>
      </c>
      <c r="V347" s="14">
        <v>96</v>
      </c>
      <c r="W347" s="14">
        <v>81</v>
      </c>
      <c r="X347" s="14">
        <v>81</v>
      </c>
    </row>
    <row r="348" spans="1:24" hidden="1" x14ac:dyDescent="0.3">
      <c r="A348" s="14" t="s">
        <v>389</v>
      </c>
      <c r="B348" s="14" t="s">
        <v>58</v>
      </c>
      <c r="C348" s="14" t="s">
        <v>351</v>
      </c>
      <c r="D348" s="14" t="s">
        <v>352</v>
      </c>
      <c r="E348" s="14" t="s">
        <v>342</v>
      </c>
      <c r="F348" s="14" t="s">
        <v>343</v>
      </c>
      <c r="G348" s="14" t="s">
        <v>343</v>
      </c>
      <c r="H348" s="14" t="s">
        <v>343</v>
      </c>
      <c r="U348" s="14">
        <v>0.85</v>
      </c>
      <c r="V348" s="14">
        <v>0.85</v>
      </c>
      <c r="W348" s="14">
        <v>0.85</v>
      </c>
      <c r="X348" s="14">
        <v>0.85</v>
      </c>
    </row>
    <row r="349" spans="1:24" hidden="1" x14ac:dyDescent="0.3">
      <c r="A349" s="14" t="s">
        <v>389</v>
      </c>
      <c r="B349" s="14" t="s">
        <v>58</v>
      </c>
      <c r="C349" s="14" t="s">
        <v>351</v>
      </c>
      <c r="D349" s="14" t="s">
        <v>352</v>
      </c>
      <c r="E349" s="14" t="s">
        <v>344</v>
      </c>
      <c r="F349" s="14" t="s">
        <v>343</v>
      </c>
      <c r="G349" s="14" t="s">
        <v>343</v>
      </c>
      <c r="H349" s="14" t="s">
        <v>343</v>
      </c>
      <c r="U349" s="14">
        <v>95</v>
      </c>
      <c r="V349" s="14">
        <v>98</v>
      </c>
      <c r="W349" s="14">
        <v>91</v>
      </c>
      <c r="X349" s="14">
        <v>89</v>
      </c>
    </row>
    <row r="350" spans="1:24" hidden="1" x14ac:dyDescent="0.3">
      <c r="A350" s="14" t="s">
        <v>389</v>
      </c>
      <c r="B350" s="14" t="s">
        <v>58</v>
      </c>
      <c r="C350" s="14" t="s">
        <v>378</v>
      </c>
      <c r="D350" s="14" t="s">
        <v>379</v>
      </c>
      <c r="E350" s="14" t="s">
        <v>342</v>
      </c>
      <c r="F350" s="14" t="s">
        <v>343</v>
      </c>
      <c r="G350" s="14" t="s">
        <v>343</v>
      </c>
      <c r="H350" s="14" t="s">
        <v>343</v>
      </c>
      <c r="S350" s="14">
        <v>0.84</v>
      </c>
      <c r="U350" s="14">
        <v>0.79</v>
      </c>
      <c r="V350" s="14">
        <v>0.83</v>
      </c>
      <c r="W350" s="14">
        <v>0.84</v>
      </c>
      <c r="X350" s="14">
        <v>0.84</v>
      </c>
    </row>
    <row r="351" spans="1:24" hidden="1" x14ac:dyDescent="0.3">
      <c r="A351" s="14" t="s">
        <v>389</v>
      </c>
      <c r="B351" s="14" t="s">
        <v>58</v>
      </c>
      <c r="C351" s="14" t="s">
        <v>378</v>
      </c>
      <c r="D351" s="14" t="s">
        <v>379</v>
      </c>
      <c r="E351" s="14" t="s">
        <v>344</v>
      </c>
      <c r="F351" s="14" t="s">
        <v>343</v>
      </c>
      <c r="G351" s="14" t="s">
        <v>343</v>
      </c>
      <c r="H351" s="14" t="s">
        <v>343</v>
      </c>
      <c r="S351" s="14">
        <v>2</v>
      </c>
      <c r="U351" s="14">
        <v>10</v>
      </c>
      <c r="V351" s="14">
        <v>2</v>
      </c>
      <c r="W351" s="14">
        <v>3</v>
      </c>
      <c r="X351" s="14">
        <v>2</v>
      </c>
    </row>
    <row r="352" spans="1:24" hidden="1" x14ac:dyDescent="0.3">
      <c r="A352" s="14" t="s">
        <v>389</v>
      </c>
      <c r="B352" s="14" t="s">
        <v>58</v>
      </c>
      <c r="C352" s="14" t="s">
        <v>353</v>
      </c>
      <c r="D352" s="14" t="s">
        <v>354</v>
      </c>
      <c r="E352" s="14" t="s">
        <v>342</v>
      </c>
      <c r="F352" s="14" t="s">
        <v>343</v>
      </c>
      <c r="G352" s="14" t="s">
        <v>343</v>
      </c>
      <c r="H352" s="14" t="s">
        <v>343</v>
      </c>
      <c r="U352" s="14">
        <v>0.78</v>
      </c>
      <c r="V352" s="14">
        <v>0.8</v>
      </c>
      <c r="W352" s="14">
        <v>0.8</v>
      </c>
      <c r="X352" s="14">
        <v>0.8</v>
      </c>
    </row>
    <row r="353" spans="1:24" hidden="1" x14ac:dyDescent="0.3">
      <c r="A353" s="14" t="s">
        <v>389</v>
      </c>
      <c r="B353" s="14" t="s">
        <v>58</v>
      </c>
      <c r="C353" s="14" t="s">
        <v>353</v>
      </c>
      <c r="D353" s="14" t="s">
        <v>354</v>
      </c>
      <c r="E353" s="14" t="s">
        <v>344</v>
      </c>
      <c r="F353" s="14" t="s">
        <v>343</v>
      </c>
      <c r="G353" s="14" t="s">
        <v>343</v>
      </c>
      <c r="H353" s="14" t="s">
        <v>343</v>
      </c>
      <c r="U353" s="14">
        <v>119</v>
      </c>
      <c r="V353" s="14">
        <v>126</v>
      </c>
      <c r="W353" s="14">
        <v>128</v>
      </c>
      <c r="X353" s="14">
        <v>120</v>
      </c>
    </row>
    <row r="354" spans="1:24" hidden="1" x14ac:dyDescent="0.3">
      <c r="A354" s="14" t="s">
        <v>389</v>
      </c>
      <c r="B354" s="14" t="s">
        <v>58</v>
      </c>
      <c r="C354" s="14" t="s">
        <v>380</v>
      </c>
      <c r="D354" s="14" t="s">
        <v>381</v>
      </c>
      <c r="E354" s="14" t="s">
        <v>342</v>
      </c>
      <c r="F354" s="14" t="s">
        <v>343</v>
      </c>
      <c r="G354" s="14" t="s">
        <v>343</v>
      </c>
      <c r="H354" s="14" t="s">
        <v>343</v>
      </c>
      <c r="U354" s="14">
        <v>1</v>
      </c>
      <c r="V354" s="14">
        <v>1</v>
      </c>
      <c r="W354" s="14">
        <v>1</v>
      </c>
      <c r="X354" s="14">
        <v>1</v>
      </c>
    </row>
    <row r="355" spans="1:24" hidden="1" x14ac:dyDescent="0.3">
      <c r="A355" s="14" t="s">
        <v>389</v>
      </c>
      <c r="B355" s="14" t="s">
        <v>58</v>
      </c>
      <c r="C355" s="14" t="s">
        <v>380</v>
      </c>
      <c r="D355" s="14" t="s">
        <v>381</v>
      </c>
      <c r="E355" s="14" t="s">
        <v>344</v>
      </c>
      <c r="F355" s="14" t="s">
        <v>343</v>
      </c>
      <c r="G355" s="14" t="s">
        <v>343</v>
      </c>
      <c r="H355" s="14" t="s">
        <v>343</v>
      </c>
      <c r="U355" s="14">
        <v>1</v>
      </c>
      <c r="V355" s="14">
        <v>1</v>
      </c>
      <c r="W355" s="14">
        <v>1</v>
      </c>
      <c r="X355" s="14">
        <v>1</v>
      </c>
    </row>
    <row r="356" spans="1:24" hidden="1" x14ac:dyDescent="0.3">
      <c r="A356" s="14" t="s">
        <v>389</v>
      </c>
      <c r="B356" s="14" t="s">
        <v>58</v>
      </c>
      <c r="C356" s="14" t="s">
        <v>355</v>
      </c>
      <c r="D356" s="14" t="s">
        <v>356</v>
      </c>
      <c r="E356" s="14" t="s">
        <v>342</v>
      </c>
      <c r="F356" s="14" t="s">
        <v>343</v>
      </c>
      <c r="G356" s="14" t="s">
        <v>343</v>
      </c>
      <c r="H356" s="14" t="s">
        <v>343</v>
      </c>
      <c r="U356" s="14">
        <v>1</v>
      </c>
      <c r="V356" s="14">
        <v>1</v>
      </c>
      <c r="W356" s="14">
        <v>1</v>
      </c>
      <c r="X356" s="14">
        <v>1</v>
      </c>
    </row>
    <row r="357" spans="1:24" hidden="1" x14ac:dyDescent="0.3">
      <c r="A357" s="14" t="s">
        <v>389</v>
      </c>
      <c r="B357" s="14" t="s">
        <v>58</v>
      </c>
      <c r="C357" s="14" t="s">
        <v>355</v>
      </c>
      <c r="D357" s="14" t="s">
        <v>356</v>
      </c>
      <c r="E357" s="14" t="s">
        <v>344</v>
      </c>
      <c r="F357" s="14" t="s">
        <v>343</v>
      </c>
      <c r="G357" s="14" t="s">
        <v>343</v>
      </c>
      <c r="H357" s="14" t="s">
        <v>343</v>
      </c>
      <c r="U357" s="14">
        <v>1</v>
      </c>
      <c r="V357" s="14">
        <v>1</v>
      </c>
      <c r="W357" s="14">
        <v>1</v>
      </c>
      <c r="X357" s="14">
        <v>1</v>
      </c>
    </row>
    <row r="358" spans="1:24" hidden="1" x14ac:dyDescent="0.3">
      <c r="A358" s="14" t="s">
        <v>389</v>
      </c>
      <c r="B358" s="14" t="s">
        <v>58</v>
      </c>
      <c r="C358" s="14" t="s">
        <v>357</v>
      </c>
      <c r="D358" s="14" t="s">
        <v>358</v>
      </c>
      <c r="E358" s="14" t="s">
        <v>342</v>
      </c>
      <c r="F358" s="14" t="s">
        <v>343</v>
      </c>
      <c r="G358" s="14" t="s">
        <v>343</v>
      </c>
      <c r="H358" s="14" t="s">
        <v>343</v>
      </c>
      <c r="U358" s="14">
        <v>0.43</v>
      </c>
      <c r="V358" s="14">
        <v>0.45</v>
      </c>
      <c r="W358" s="14">
        <v>0.45</v>
      </c>
      <c r="X358" s="14">
        <v>0.7</v>
      </c>
    </row>
    <row r="359" spans="1:24" hidden="1" x14ac:dyDescent="0.3">
      <c r="A359" s="14" t="s">
        <v>389</v>
      </c>
      <c r="B359" s="14" t="s">
        <v>58</v>
      </c>
      <c r="C359" s="14" t="s">
        <v>357</v>
      </c>
      <c r="D359" s="14" t="s">
        <v>358</v>
      </c>
      <c r="E359" s="14" t="s">
        <v>344</v>
      </c>
      <c r="F359" s="14" t="s">
        <v>343</v>
      </c>
      <c r="G359" s="14" t="s">
        <v>343</v>
      </c>
      <c r="H359" s="14" t="s">
        <v>343</v>
      </c>
      <c r="U359" s="14">
        <v>136</v>
      </c>
      <c r="V359" s="14">
        <v>142</v>
      </c>
      <c r="W359" s="14">
        <v>143</v>
      </c>
      <c r="X359" s="14">
        <v>124</v>
      </c>
    </row>
    <row r="360" spans="1:24" hidden="1" x14ac:dyDescent="0.3">
      <c r="A360" s="14" t="s">
        <v>389</v>
      </c>
      <c r="B360" s="14" t="s">
        <v>58</v>
      </c>
      <c r="C360" s="14" t="s">
        <v>359</v>
      </c>
      <c r="D360" s="14" t="s">
        <v>360</v>
      </c>
      <c r="E360" s="14" t="s">
        <v>342</v>
      </c>
      <c r="F360" s="14" t="s">
        <v>343</v>
      </c>
      <c r="G360" s="14" t="s">
        <v>343</v>
      </c>
      <c r="H360" s="14" t="s">
        <v>343</v>
      </c>
      <c r="N360" s="14">
        <v>0.84</v>
      </c>
      <c r="O360" s="14">
        <v>0.83</v>
      </c>
      <c r="P360" s="14">
        <v>0.83</v>
      </c>
      <c r="Q360" s="14">
        <v>0.86</v>
      </c>
      <c r="R360" s="14">
        <v>0.84</v>
      </c>
      <c r="S360" s="14">
        <v>0.86</v>
      </c>
      <c r="T360" s="14">
        <v>0.91</v>
      </c>
      <c r="U360" s="14">
        <v>0.84</v>
      </c>
      <c r="V360" s="14">
        <v>0.84</v>
      </c>
      <c r="W360" s="14">
        <v>0.86</v>
      </c>
      <c r="X360" s="14">
        <v>0.86</v>
      </c>
    </row>
    <row r="361" spans="1:24" hidden="1" x14ac:dyDescent="0.3">
      <c r="A361" s="14" t="s">
        <v>389</v>
      </c>
      <c r="B361" s="14" t="s">
        <v>58</v>
      </c>
      <c r="C361" s="14" t="s">
        <v>359</v>
      </c>
      <c r="D361" s="14" t="s">
        <v>360</v>
      </c>
      <c r="E361" s="14" t="s">
        <v>344</v>
      </c>
      <c r="F361" s="14" t="s">
        <v>343</v>
      </c>
      <c r="G361" s="14" t="s">
        <v>343</v>
      </c>
      <c r="H361" s="14" t="s">
        <v>343</v>
      </c>
      <c r="N361" s="14">
        <v>4</v>
      </c>
      <c r="O361" s="14">
        <v>3</v>
      </c>
      <c r="P361" s="14">
        <v>3</v>
      </c>
      <c r="Q361" s="14">
        <v>1</v>
      </c>
      <c r="R361" s="14">
        <v>3</v>
      </c>
      <c r="S361" s="14">
        <v>1</v>
      </c>
      <c r="T361" s="14">
        <v>1</v>
      </c>
      <c r="U361" s="14">
        <v>5</v>
      </c>
      <c r="V361" s="14">
        <v>6</v>
      </c>
      <c r="W361" s="14">
        <v>3</v>
      </c>
      <c r="X361" s="14">
        <v>2</v>
      </c>
    </row>
    <row r="362" spans="1:24" x14ac:dyDescent="0.3">
      <c r="A362" s="14" t="s">
        <v>389</v>
      </c>
      <c r="B362" s="14" t="s">
        <v>58</v>
      </c>
      <c r="C362" s="14" t="s">
        <v>361</v>
      </c>
      <c r="D362" s="14" t="s">
        <v>362</v>
      </c>
      <c r="E362" s="14" t="s">
        <v>342</v>
      </c>
      <c r="F362" s="14" t="s">
        <v>343</v>
      </c>
      <c r="G362" s="14" t="s">
        <v>343</v>
      </c>
      <c r="H362" s="14" t="s">
        <v>343</v>
      </c>
      <c r="N362" s="14">
        <v>0.97</v>
      </c>
      <c r="O362" s="14">
        <v>0.97</v>
      </c>
      <c r="P362" s="14">
        <v>0.97</v>
      </c>
      <c r="Q362" s="14">
        <v>0.98</v>
      </c>
      <c r="R362" s="14">
        <v>0.97</v>
      </c>
      <c r="S362" s="14">
        <v>0.97</v>
      </c>
      <c r="T362" s="14">
        <v>0.98</v>
      </c>
      <c r="U362" s="14">
        <v>0.98</v>
      </c>
      <c r="V362" s="14">
        <v>0.98</v>
      </c>
      <c r="W362" s="14">
        <v>0.98</v>
      </c>
      <c r="X362" s="14">
        <v>0.98</v>
      </c>
    </row>
    <row r="363" spans="1:24" hidden="1" x14ac:dyDescent="0.3">
      <c r="A363" s="14" t="s">
        <v>389</v>
      </c>
      <c r="B363" s="14" t="s">
        <v>58</v>
      </c>
      <c r="C363" s="14" t="s">
        <v>361</v>
      </c>
      <c r="D363" s="14" t="s">
        <v>362</v>
      </c>
      <c r="E363" s="14" t="s">
        <v>344</v>
      </c>
      <c r="F363" s="14" t="s">
        <v>343</v>
      </c>
      <c r="G363" s="14" t="s">
        <v>343</v>
      </c>
      <c r="H363" s="14" t="s">
        <v>343</v>
      </c>
      <c r="N363" s="14">
        <v>98</v>
      </c>
      <c r="O363" s="14">
        <v>100</v>
      </c>
      <c r="P363" s="14">
        <v>99</v>
      </c>
      <c r="Q363" s="14">
        <v>1</v>
      </c>
      <c r="R363" s="14">
        <v>68</v>
      </c>
      <c r="S363" s="14">
        <v>66</v>
      </c>
      <c r="T363" s="14">
        <v>1</v>
      </c>
      <c r="U363" s="14">
        <v>55</v>
      </c>
      <c r="V363" s="14">
        <v>51</v>
      </c>
      <c r="W363" s="14">
        <v>33</v>
      </c>
      <c r="X363" s="14">
        <v>29</v>
      </c>
    </row>
    <row r="364" spans="1:24" hidden="1" x14ac:dyDescent="0.3">
      <c r="A364" s="14" t="s">
        <v>389</v>
      </c>
      <c r="B364" s="14" t="s">
        <v>58</v>
      </c>
      <c r="C364" s="14" t="s">
        <v>363</v>
      </c>
      <c r="D364" s="14" t="s">
        <v>364</v>
      </c>
      <c r="E364" s="14" t="s">
        <v>342</v>
      </c>
      <c r="F364" s="14" t="s">
        <v>343</v>
      </c>
      <c r="G364" s="14" t="s">
        <v>343</v>
      </c>
      <c r="H364" s="14" t="s">
        <v>343</v>
      </c>
      <c r="U364" s="14">
        <v>1.05</v>
      </c>
      <c r="V364" s="14">
        <v>1.06</v>
      </c>
      <c r="W364" s="14">
        <v>1.06</v>
      </c>
      <c r="X364" s="14">
        <v>1.06</v>
      </c>
    </row>
    <row r="365" spans="1:24" hidden="1" x14ac:dyDescent="0.3">
      <c r="A365" s="14" t="s">
        <v>389</v>
      </c>
      <c r="B365" s="14" t="s">
        <v>58</v>
      </c>
      <c r="C365" s="14" t="s">
        <v>363</v>
      </c>
      <c r="D365" s="14" t="s">
        <v>364</v>
      </c>
      <c r="E365" s="14" t="s">
        <v>344</v>
      </c>
      <c r="F365" s="14" t="s">
        <v>343</v>
      </c>
      <c r="G365" s="14" t="s">
        <v>343</v>
      </c>
      <c r="H365" s="14" t="s">
        <v>343</v>
      </c>
      <c r="U365" s="14">
        <v>65</v>
      </c>
      <c r="V365" s="14">
        <v>67</v>
      </c>
      <c r="W365" s="14">
        <v>44</v>
      </c>
      <c r="X365" s="14">
        <v>40</v>
      </c>
    </row>
    <row r="366" spans="1:24" hidden="1" x14ac:dyDescent="0.3">
      <c r="A366" s="14" t="s">
        <v>389</v>
      </c>
      <c r="B366" s="14" t="s">
        <v>58</v>
      </c>
      <c r="C366" s="14" t="s">
        <v>365</v>
      </c>
      <c r="D366" s="14" t="s">
        <v>366</v>
      </c>
      <c r="E366" s="14" t="s">
        <v>342</v>
      </c>
      <c r="F366" s="14" t="s">
        <v>343</v>
      </c>
      <c r="G366" s="14" t="s">
        <v>343</v>
      </c>
      <c r="H366" s="14" t="s">
        <v>343</v>
      </c>
      <c r="U366" s="14">
        <v>0.94</v>
      </c>
      <c r="V366" s="14">
        <v>0.94</v>
      </c>
      <c r="W366" s="14">
        <v>0.94</v>
      </c>
      <c r="X366" s="14">
        <v>0.94</v>
      </c>
    </row>
    <row r="367" spans="1:24" hidden="1" x14ac:dyDescent="0.3">
      <c r="A367" s="14" t="s">
        <v>389</v>
      </c>
      <c r="B367" s="14" t="s">
        <v>58</v>
      </c>
      <c r="C367" s="14" t="s">
        <v>365</v>
      </c>
      <c r="D367" s="14" t="s">
        <v>366</v>
      </c>
      <c r="E367" s="14" t="s">
        <v>344</v>
      </c>
      <c r="F367" s="14" t="s">
        <v>343</v>
      </c>
      <c r="G367" s="14" t="s">
        <v>343</v>
      </c>
      <c r="H367" s="14" t="s">
        <v>343</v>
      </c>
      <c r="U367" s="14">
        <v>1</v>
      </c>
      <c r="V367" s="14">
        <v>1</v>
      </c>
      <c r="W367" s="14">
        <v>1</v>
      </c>
      <c r="X367" s="14">
        <v>1</v>
      </c>
    </row>
    <row r="368" spans="1:24" hidden="1" x14ac:dyDescent="0.3">
      <c r="A368" s="14" t="s">
        <v>389</v>
      </c>
      <c r="B368" s="14" t="s">
        <v>58</v>
      </c>
      <c r="C368" s="14" t="s">
        <v>367</v>
      </c>
      <c r="D368" s="14" t="s">
        <v>368</v>
      </c>
      <c r="E368" s="14" t="s">
        <v>342</v>
      </c>
      <c r="F368" s="14" t="s">
        <v>343</v>
      </c>
      <c r="G368" s="14" t="s">
        <v>343</v>
      </c>
      <c r="H368" s="14" t="s">
        <v>343</v>
      </c>
      <c r="N368" s="14">
        <v>0.73</v>
      </c>
      <c r="O368" s="14">
        <v>0.73</v>
      </c>
      <c r="P368" s="14">
        <v>0.74</v>
      </c>
      <c r="Q368" s="14">
        <v>0.76</v>
      </c>
      <c r="R368" s="14">
        <v>0.75</v>
      </c>
      <c r="S368" s="14">
        <v>0.77</v>
      </c>
      <c r="T368" s="14">
        <v>0.76</v>
      </c>
      <c r="U368" s="14">
        <v>0.74</v>
      </c>
      <c r="V368" s="14">
        <v>0.74</v>
      </c>
      <c r="W368" s="14">
        <v>0.77</v>
      </c>
      <c r="X368" s="14">
        <v>0.78</v>
      </c>
    </row>
    <row r="369" spans="1:24" hidden="1" x14ac:dyDescent="0.3">
      <c r="A369" s="14" t="s">
        <v>389</v>
      </c>
      <c r="B369" s="14" t="s">
        <v>58</v>
      </c>
      <c r="C369" s="14" t="s">
        <v>367</v>
      </c>
      <c r="D369" s="14" t="s">
        <v>368</v>
      </c>
      <c r="E369" s="14" t="s">
        <v>344</v>
      </c>
      <c r="F369" s="14" t="s">
        <v>343</v>
      </c>
      <c r="G369" s="14" t="s">
        <v>343</v>
      </c>
      <c r="H369" s="14" t="s">
        <v>343</v>
      </c>
      <c r="N369" s="14">
        <v>24</v>
      </c>
      <c r="O369" s="14">
        <v>24</v>
      </c>
      <c r="P369" s="14">
        <v>22</v>
      </c>
      <c r="Q369" s="14">
        <v>17</v>
      </c>
      <c r="R369" s="14">
        <v>23</v>
      </c>
      <c r="S369" s="14">
        <v>12</v>
      </c>
      <c r="T369" s="14">
        <v>22</v>
      </c>
      <c r="U369" s="14">
        <v>31</v>
      </c>
      <c r="V369" s="14">
        <v>32</v>
      </c>
      <c r="W369" s="14">
        <v>26</v>
      </c>
      <c r="X369" s="14">
        <v>24</v>
      </c>
    </row>
    <row r="370" spans="1:24" hidden="1" x14ac:dyDescent="0.3">
      <c r="A370" s="14" t="s">
        <v>389</v>
      </c>
      <c r="B370" s="14" t="s">
        <v>58</v>
      </c>
      <c r="C370" s="14" t="s">
        <v>369</v>
      </c>
      <c r="D370" s="14" t="s">
        <v>370</v>
      </c>
      <c r="E370" s="14" t="s">
        <v>342</v>
      </c>
      <c r="F370" s="14" t="s">
        <v>343</v>
      </c>
      <c r="G370" s="14" t="s">
        <v>343</v>
      </c>
      <c r="H370" s="14" t="s">
        <v>343</v>
      </c>
      <c r="N370" s="14">
        <v>0.25</v>
      </c>
      <c r="O370" s="14">
        <v>0.27</v>
      </c>
      <c r="P370" s="14">
        <v>0.27</v>
      </c>
      <c r="Q370" s="14">
        <v>0.28000000000000003</v>
      </c>
      <c r="R370" s="14">
        <v>0.31</v>
      </c>
      <c r="S370" s="14">
        <v>0.31</v>
      </c>
      <c r="T370" s="14">
        <v>0.26</v>
      </c>
      <c r="U370" s="14">
        <v>0.26</v>
      </c>
      <c r="V370" s="14">
        <v>0.27</v>
      </c>
      <c r="W370" s="14">
        <v>0.34</v>
      </c>
      <c r="X370" s="14">
        <v>0.34</v>
      </c>
    </row>
    <row r="371" spans="1:24" hidden="1" x14ac:dyDescent="0.3">
      <c r="A371" s="14" t="s">
        <v>389</v>
      </c>
      <c r="B371" s="14" t="s">
        <v>58</v>
      </c>
      <c r="C371" s="14" t="s">
        <v>369</v>
      </c>
      <c r="D371" s="14" t="s">
        <v>370</v>
      </c>
      <c r="E371" s="14" t="s">
        <v>344</v>
      </c>
      <c r="F371" s="14" t="s">
        <v>343</v>
      </c>
      <c r="G371" s="14" t="s">
        <v>343</v>
      </c>
      <c r="H371" s="14" t="s">
        <v>343</v>
      </c>
      <c r="N371" s="14">
        <v>32</v>
      </c>
      <c r="O371" s="14">
        <v>30</v>
      </c>
      <c r="P371" s="14">
        <v>31</v>
      </c>
      <c r="Q371" s="14">
        <v>30</v>
      </c>
      <c r="R371" s="14">
        <v>28</v>
      </c>
      <c r="S371" s="14">
        <v>28</v>
      </c>
      <c r="T371" s="14">
        <v>40</v>
      </c>
      <c r="U371" s="14">
        <v>40</v>
      </c>
      <c r="V371" s="14">
        <v>43</v>
      </c>
      <c r="W371" s="14">
        <v>36</v>
      </c>
      <c r="X371" s="14">
        <v>37</v>
      </c>
    </row>
    <row r="372" spans="1:24" hidden="1" x14ac:dyDescent="0.3">
      <c r="A372" s="14" t="s">
        <v>389</v>
      </c>
      <c r="B372" s="14" t="s">
        <v>58</v>
      </c>
      <c r="C372" s="14" t="s">
        <v>371</v>
      </c>
      <c r="D372" s="14" t="s">
        <v>372</v>
      </c>
      <c r="E372" s="14" t="s">
        <v>342</v>
      </c>
      <c r="F372" s="14" t="s">
        <v>343</v>
      </c>
      <c r="G372" s="14" t="s">
        <v>343</v>
      </c>
      <c r="H372" s="14" t="s">
        <v>343</v>
      </c>
      <c r="U372" s="14">
        <v>0.01</v>
      </c>
      <c r="V372" s="14">
        <v>0.01</v>
      </c>
      <c r="W372" s="14">
        <v>0.01</v>
      </c>
      <c r="X372" s="14">
        <v>0.01</v>
      </c>
    </row>
    <row r="373" spans="1:24" hidden="1" x14ac:dyDescent="0.3">
      <c r="A373" s="14" t="s">
        <v>389</v>
      </c>
      <c r="B373" s="14" t="s">
        <v>58</v>
      </c>
      <c r="C373" s="14" t="s">
        <v>371</v>
      </c>
      <c r="D373" s="14" t="s">
        <v>372</v>
      </c>
      <c r="E373" s="14" t="s">
        <v>344</v>
      </c>
      <c r="F373" s="14" t="s">
        <v>343</v>
      </c>
      <c r="G373" s="14" t="s">
        <v>343</v>
      </c>
      <c r="H373" s="14" t="s">
        <v>343</v>
      </c>
      <c r="U373" s="14">
        <v>57</v>
      </c>
      <c r="V373" s="14">
        <v>62</v>
      </c>
      <c r="W373" s="14">
        <v>65</v>
      </c>
      <c r="X373" s="14">
        <v>65</v>
      </c>
    </row>
    <row r="374" spans="1:24" hidden="1" x14ac:dyDescent="0.3">
      <c r="A374" s="14" t="s">
        <v>389</v>
      </c>
      <c r="B374" s="14" t="s">
        <v>58</v>
      </c>
      <c r="C374" s="14" t="s">
        <v>373</v>
      </c>
      <c r="D374" s="14" t="s">
        <v>374</v>
      </c>
      <c r="E374" s="14" t="s">
        <v>342</v>
      </c>
      <c r="F374" s="14" t="s">
        <v>343</v>
      </c>
      <c r="G374" s="14" t="s">
        <v>343</v>
      </c>
      <c r="H374" s="14" t="s">
        <v>343</v>
      </c>
      <c r="U374" s="14">
        <v>0.28999999999999998</v>
      </c>
      <c r="V374" s="14">
        <v>0.35</v>
      </c>
      <c r="W374" s="14">
        <v>0.6</v>
      </c>
      <c r="X374" s="14">
        <v>0.6</v>
      </c>
    </row>
    <row r="375" spans="1:24" hidden="1" x14ac:dyDescent="0.3">
      <c r="A375" s="14" t="s">
        <v>389</v>
      </c>
      <c r="B375" s="14" t="s">
        <v>58</v>
      </c>
      <c r="C375" s="14" t="s">
        <v>373</v>
      </c>
      <c r="D375" s="14" t="s">
        <v>374</v>
      </c>
      <c r="E375" s="14" t="s">
        <v>344</v>
      </c>
      <c r="F375" s="14" t="s">
        <v>343</v>
      </c>
      <c r="G375" s="14" t="s">
        <v>343</v>
      </c>
      <c r="H375" s="14" t="s">
        <v>343</v>
      </c>
      <c r="U375" s="14">
        <v>53</v>
      </c>
      <c r="V375" s="14">
        <v>55</v>
      </c>
      <c r="W375" s="14">
        <v>31</v>
      </c>
      <c r="X375" s="14">
        <v>31</v>
      </c>
    </row>
    <row r="376" spans="1:24" hidden="1" x14ac:dyDescent="0.3">
      <c r="A376" s="14" t="s">
        <v>389</v>
      </c>
      <c r="B376" s="14" t="s">
        <v>58</v>
      </c>
      <c r="C376" s="14" t="s">
        <v>375</v>
      </c>
      <c r="D376" s="14" t="s">
        <v>376</v>
      </c>
      <c r="E376" s="14" t="s">
        <v>342</v>
      </c>
      <c r="F376" s="14" t="s">
        <v>343</v>
      </c>
      <c r="G376" s="14" t="s">
        <v>343</v>
      </c>
      <c r="H376" s="14" t="s">
        <v>343</v>
      </c>
      <c r="U376" s="14">
        <v>0.56999999999999995</v>
      </c>
      <c r="V376" s="14">
        <v>0.56999999999999995</v>
      </c>
      <c r="W376" s="14">
        <v>0.62</v>
      </c>
      <c r="X376" s="14">
        <v>0.62</v>
      </c>
    </row>
    <row r="377" spans="1:24" hidden="1" x14ac:dyDescent="0.3">
      <c r="A377" s="14" t="s">
        <v>389</v>
      </c>
      <c r="B377" s="14" t="s">
        <v>58</v>
      </c>
      <c r="C377" s="14" t="s">
        <v>375</v>
      </c>
      <c r="D377" s="14" t="s">
        <v>376</v>
      </c>
      <c r="E377" s="14" t="s">
        <v>344</v>
      </c>
      <c r="F377" s="14" t="s">
        <v>343</v>
      </c>
      <c r="G377" s="14" t="s">
        <v>343</v>
      </c>
      <c r="H377" s="14" t="s">
        <v>343</v>
      </c>
      <c r="U377" s="14">
        <v>25</v>
      </c>
      <c r="V377" s="14">
        <v>28</v>
      </c>
      <c r="W377" s="14">
        <v>31</v>
      </c>
      <c r="X377" s="14">
        <v>33</v>
      </c>
    </row>
    <row r="378" spans="1:24" hidden="1" x14ac:dyDescent="0.3">
      <c r="A378" s="14" t="s">
        <v>390</v>
      </c>
      <c r="B378" s="14" t="s">
        <v>45</v>
      </c>
      <c r="C378" s="14" t="s">
        <v>340</v>
      </c>
      <c r="D378" s="14" t="s">
        <v>341</v>
      </c>
      <c r="E378" s="14" t="s">
        <v>342</v>
      </c>
      <c r="F378" s="14" t="s">
        <v>343</v>
      </c>
      <c r="G378" s="14" t="s">
        <v>343</v>
      </c>
      <c r="H378" s="14" t="s">
        <v>343</v>
      </c>
      <c r="I378" s="14">
        <v>1</v>
      </c>
      <c r="J378" s="14">
        <v>1</v>
      </c>
      <c r="K378" s="14">
        <v>0.99</v>
      </c>
      <c r="L378" s="14">
        <v>0.99</v>
      </c>
      <c r="M378" s="14">
        <v>0.99</v>
      </c>
      <c r="N378" s="14">
        <v>0.99</v>
      </c>
      <c r="O378" s="14">
        <v>0.99</v>
      </c>
      <c r="P378" s="14">
        <v>0.99</v>
      </c>
      <c r="Q378" s="14">
        <v>0.99</v>
      </c>
      <c r="R378" s="14">
        <v>1</v>
      </c>
      <c r="S378" s="14">
        <v>1</v>
      </c>
      <c r="T378" s="14">
        <v>1</v>
      </c>
      <c r="U378" s="14">
        <v>1</v>
      </c>
      <c r="V378" s="14">
        <v>1</v>
      </c>
      <c r="W378" s="14">
        <v>1</v>
      </c>
      <c r="X378" s="14">
        <v>1</v>
      </c>
    </row>
    <row r="379" spans="1:24" hidden="1" x14ac:dyDescent="0.3">
      <c r="A379" s="14" t="s">
        <v>390</v>
      </c>
      <c r="B379" s="14" t="s">
        <v>45</v>
      </c>
      <c r="C379" s="14" t="s">
        <v>340</v>
      </c>
      <c r="D379" s="14" t="s">
        <v>341</v>
      </c>
      <c r="E379" s="14" t="s">
        <v>344</v>
      </c>
      <c r="F379" s="14" t="s">
        <v>343</v>
      </c>
      <c r="G379" s="14" t="s">
        <v>343</v>
      </c>
      <c r="H379" s="14" t="s">
        <v>343</v>
      </c>
      <c r="I379" s="14">
        <v>1</v>
      </c>
      <c r="J379" s="14">
        <v>1</v>
      </c>
      <c r="K379" s="14">
        <v>67</v>
      </c>
      <c r="L379" s="14">
        <v>71</v>
      </c>
      <c r="M379" s="14">
        <v>62</v>
      </c>
      <c r="N379" s="14">
        <v>63</v>
      </c>
      <c r="O379" s="14">
        <v>67</v>
      </c>
      <c r="P379" s="14">
        <v>67</v>
      </c>
      <c r="Q379" s="14">
        <v>73</v>
      </c>
      <c r="R379" s="14">
        <v>1</v>
      </c>
      <c r="S379" s="14">
        <v>1</v>
      </c>
      <c r="T379" s="14">
        <v>1</v>
      </c>
      <c r="U379" s="14">
        <v>34</v>
      </c>
      <c r="V379" s="14">
        <v>1</v>
      </c>
      <c r="W379" s="14">
        <v>1</v>
      </c>
      <c r="X379" s="14">
        <v>1</v>
      </c>
    </row>
    <row r="380" spans="1:24" hidden="1" x14ac:dyDescent="0.3">
      <c r="A380" s="14" t="s">
        <v>390</v>
      </c>
      <c r="B380" s="14" t="s">
        <v>45</v>
      </c>
      <c r="C380" s="14" t="s">
        <v>345</v>
      </c>
      <c r="D380" s="14" t="s">
        <v>346</v>
      </c>
      <c r="E380" s="14" t="s">
        <v>342</v>
      </c>
      <c r="F380" s="14" t="s">
        <v>343</v>
      </c>
      <c r="G380" s="14" t="s">
        <v>343</v>
      </c>
      <c r="H380" s="14" t="s">
        <v>343</v>
      </c>
      <c r="U380" s="14">
        <v>0.66</v>
      </c>
      <c r="V380" s="14">
        <v>0.66</v>
      </c>
      <c r="W380" s="14">
        <v>0.66</v>
      </c>
      <c r="X380" s="14">
        <v>0.69</v>
      </c>
    </row>
    <row r="381" spans="1:24" hidden="1" x14ac:dyDescent="0.3">
      <c r="A381" s="14" t="s">
        <v>390</v>
      </c>
      <c r="B381" s="14" t="s">
        <v>45</v>
      </c>
      <c r="C381" s="14" t="s">
        <v>345</v>
      </c>
      <c r="D381" s="14" t="s">
        <v>346</v>
      </c>
      <c r="E381" s="14" t="s">
        <v>344</v>
      </c>
      <c r="F381" s="14" t="s">
        <v>343</v>
      </c>
      <c r="G381" s="14" t="s">
        <v>343</v>
      </c>
      <c r="H381" s="14" t="s">
        <v>343</v>
      </c>
      <c r="U381" s="14">
        <v>48</v>
      </c>
      <c r="V381" s="14">
        <v>59</v>
      </c>
      <c r="W381" s="14">
        <v>59</v>
      </c>
      <c r="X381" s="14">
        <v>51</v>
      </c>
    </row>
    <row r="382" spans="1:24" hidden="1" x14ac:dyDescent="0.3">
      <c r="A382" s="14" t="s">
        <v>390</v>
      </c>
      <c r="B382" s="14" t="s">
        <v>45</v>
      </c>
      <c r="C382" s="14" t="s">
        <v>347</v>
      </c>
      <c r="D382" s="14" t="s">
        <v>348</v>
      </c>
      <c r="E382" s="14" t="s">
        <v>342</v>
      </c>
      <c r="F382" s="14" t="s">
        <v>343</v>
      </c>
      <c r="G382" s="14" t="s">
        <v>343</v>
      </c>
      <c r="H382" s="14" t="s">
        <v>343</v>
      </c>
      <c r="U382" s="14">
        <v>0.87</v>
      </c>
      <c r="V382" s="14">
        <v>0.87</v>
      </c>
      <c r="W382" s="14">
        <v>0.89</v>
      </c>
      <c r="X382" s="14">
        <v>0.85</v>
      </c>
    </row>
    <row r="383" spans="1:24" hidden="1" x14ac:dyDescent="0.3">
      <c r="A383" s="14" t="s">
        <v>390</v>
      </c>
      <c r="B383" s="14" t="s">
        <v>45</v>
      </c>
      <c r="C383" s="14" t="s">
        <v>347</v>
      </c>
      <c r="D383" s="14" t="s">
        <v>348</v>
      </c>
      <c r="E383" s="14" t="s">
        <v>344</v>
      </c>
      <c r="F383" s="14" t="s">
        <v>343</v>
      </c>
      <c r="G383" s="14" t="s">
        <v>343</v>
      </c>
      <c r="H383" s="14" t="s">
        <v>343</v>
      </c>
      <c r="U383" s="14">
        <v>53</v>
      </c>
      <c r="V383" s="14">
        <v>56</v>
      </c>
      <c r="W383" s="14">
        <v>47</v>
      </c>
      <c r="X383" s="14">
        <v>46</v>
      </c>
    </row>
    <row r="384" spans="1:24" hidden="1" x14ac:dyDescent="0.3">
      <c r="A384" s="14" t="s">
        <v>390</v>
      </c>
      <c r="B384" s="14" t="s">
        <v>45</v>
      </c>
      <c r="C384" s="14" t="s">
        <v>349</v>
      </c>
      <c r="D384" s="14" t="s">
        <v>350</v>
      </c>
      <c r="E384" s="14" t="s">
        <v>342</v>
      </c>
      <c r="F384" s="14" t="s">
        <v>343</v>
      </c>
      <c r="G384" s="14" t="s">
        <v>343</v>
      </c>
      <c r="H384" s="14" t="s">
        <v>343</v>
      </c>
      <c r="U384" s="14">
        <v>0.5</v>
      </c>
      <c r="V384" s="14">
        <v>0.51</v>
      </c>
      <c r="W384" s="14">
        <v>0.49</v>
      </c>
      <c r="X384" s="14">
        <v>0.53</v>
      </c>
    </row>
    <row r="385" spans="1:24" hidden="1" x14ac:dyDescent="0.3">
      <c r="A385" s="14" t="s">
        <v>390</v>
      </c>
      <c r="B385" s="14" t="s">
        <v>45</v>
      </c>
      <c r="C385" s="14" t="s">
        <v>349</v>
      </c>
      <c r="D385" s="14" t="s">
        <v>350</v>
      </c>
      <c r="E385" s="14" t="s">
        <v>344</v>
      </c>
      <c r="F385" s="14" t="s">
        <v>343</v>
      </c>
      <c r="G385" s="14" t="s">
        <v>343</v>
      </c>
      <c r="H385" s="14" t="s">
        <v>343</v>
      </c>
      <c r="U385" s="14">
        <v>62</v>
      </c>
      <c r="V385" s="14">
        <v>64</v>
      </c>
      <c r="W385" s="14">
        <v>80</v>
      </c>
      <c r="X385" s="14">
        <v>70</v>
      </c>
    </row>
    <row r="386" spans="1:24" hidden="1" x14ac:dyDescent="0.3">
      <c r="A386" s="14" t="s">
        <v>390</v>
      </c>
      <c r="B386" s="14" t="s">
        <v>45</v>
      </c>
      <c r="C386" s="14" t="s">
        <v>351</v>
      </c>
      <c r="D386" s="14" t="s">
        <v>352</v>
      </c>
      <c r="E386" s="14" t="s">
        <v>342</v>
      </c>
      <c r="F386" s="14" t="s">
        <v>343</v>
      </c>
      <c r="G386" s="14" t="s">
        <v>343</v>
      </c>
      <c r="H386" s="14" t="s">
        <v>343</v>
      </c>
      <c r="U386" s="14">
        <v>1</v>
      </c>
      <c r="V386" s="14">
        <v>1</v>
      </c>
      <c r="W386" s="14">
        <v>1</v>
      </c>
      <c r="X386" s="14">
        <v>1</v>
      </c>
    </row>
    <row r="387" spans="1:24" hidden="1" x14ac:dyDescent="0.3">
      <c r="A387" s="14" t="s">
        <v>390</v>
      </c>
      <c r="B387" s="14" t="s">
        <v>45</v>
      </c>
      <c r="C387" s="14" t="s">
        <v>351</v>
      </c>
      <c r="D387" s="14" t="s">
        <v>352</v>
      </c>
      <c r="E387" s="14" t="s">
        <v>344</v>
      </c>
      <c r="F387" s="14" t="s">
        <v>343</v>
      </c>
      <c r="G387" s="14" t="s">
        <v>343</v>
      </c>
      <c r="H387" s="14" t="s">
        <v>343</v>
      </c>
      <c r="U387" s="14">
        <v>1</v>
      </c>
      <c r="V387" s="14">
        <v>1</v>
      </c>
      <c r="W387" s="14">
        <v>1</v>
      </c>
      <c r="X387" s="14">
        <v>1</v>
      </c>
    </row>
    <row r="388" spans="1:24" hidden="1" x14ac:dyDescent="0.3">
      <c r="A388" s="14" t="s">
        <v>390</v>
      </c>
      <c r="B388" s="14" t="s">
        <v>45</v>
      </c>
      <c r="C388" s="14" t="s">
        <v>378</v>
      </c>
      <c r="D388" s="14" t="s">
        <v>379</v>
      </c>
      <c r="E388" s="14" t="s">
        <v>342</v>
      </c>
      <c r="F388" s="14" t="s">
        <v>343</v>
      </c>
      <c r="G388" s="14" t="s">
        <v>343</v>
      </c>
      <c r="H388" s="14" t="s">
        <v>343</v>
      </c>
      <c r="S388" s="14">
        <v>0.71</v>
      </c>
      <c r="U388" s="14">
        <v>0.64</v>
      </c>
      <c r="V388" s="14">
        <v>0.64</v>
      </c>
      <c r="W388" s="14">
        <v>0.62</v>
      </c>
      <c r="X388" s="14">
        <v>0.65</v>
      </c>
    </row>
    <row r="389" spans="1:24" hidden="1" x14ac:dyDescent="0.3">
      <c r="A389" s="14" t="s">
        <v>390</v>
      </c>
      <c r="B389" s="14" t="s">
        <v>45</v>
      </c>
      <c r="C389" s="14" t="s">
        <v>378</v>
      </c>
      <c r="D389" s="14" t="s">
        <v>379</v>
      </c>
      <c r="E389" s="14" t="s">
        <v>344</v>
      </c>
      <c r="F389" s="14" t="s">
        <v>343</v>
      </c>
      <c r="G389" s="14" t="s">
        <v>343</v>
      </c>
      <c r="H389" s="14" t="s">
        <v>343</v>
      </c>
      <c r="S389" s="14">
        <v>37</v>
      </c>
      <c r="U389" s="14">
        <v>76</v>
      </c>
      <c r="V389" s="14">
        <v>80</v>
      </c>
      <c r="W389" s="14">
        <v>91</v>
      </c>
      <c r="X389" s="14">
        <v>74</v>
      </c>
    </row>
    <row r="390" spans="1:24" hidden="1" x14ac:dyDescent="0.3">
      <c r="A390" s="14" t="s">
        <v>390</v>
      </c>
      <c r="B390" s="14" t="s">
        <v>45</v>
      </c>
      <c r="C390" s="14" t="s">
        <v>353</v>
      </c>
      <c r="D390" s="14" t="s">
        <v>354</v>
      </c>
      <c r="E390" s="14" t="s">
        <v>342</v>
      </c>
      <c r="F390" s="14" t="s">
        <v>343</v>
      </c>
      <c r="G390" s="14" t="s">
        <v>343</v>
      </c>
      <c r="H390" s="14" t="s">
        <v>343</v>
      </c>
      <c r="U390" s="14">
        <v>1</v>
      </c>
      <c r="V390" s="14">
        <v>1</v>
      </c>
      <c r="W390" s="14">
        <v>1</v>
      </c>
      <c r="X390" s="14">
        <v>1</v>
      </c>
    </row>
    <row r="391" spans="1:24" hidden="1" x14ac:dyDescent="0.3">
      <c r="A391" s="14" t="s">
        <v>390</v>
      </c>
      <c r="B391" s="14" t="s">
        <v>45</v>
      </c>
      <c r="C391" s="14" t="s">
        <v>353</v>
      </c>
      <c r="D391" s="14" t="s">
        <v>354</v>
      </c>
      <c r="E391" s="14" t="s">
        <v>344</v>
      </c>
      <c r="F391" s="14" t="s">
        <v>343</v>
      </c>
      <c r="G391" s="14" t="s">
        <v>343</v>
      </c>
      <c r="H391" s="14" t="s">
        <v>343</v>
      </c>
      <c r="U391" s="14">
        <v>1</v>
      </c>
      <c r="V391" s="14">
        <v>1</v>
      </c>
      <c r="W391" s="14">
        <v>1</v>
      </c>
      <c r="X391" s="14">
        <v>1</v>
      </c>
    </row>
    <row r="392" spans="1:24" hidden="1" x14ac:dyDescent="0.3">
      <c r="A392" s="14" t="s">
        <v>390</v>
      </c>
      <c r="B392" s="14" t="s">
        <v>45</v>
      </c>
      <c r="C392" s="14" t="s">
        <v>380</v>
      </c>
      <c r="D392" s="14" t="s">
        <v>381</v>
      </c>
      <c r="E392" s="14" t="s">
        <v>342</v>
      </c>
      <c r="F392" s="14" t="s">
        <v>343</v>
      </c>
      <c r="G392" s="14" t="s">
        <v>343</v>
      </c>
      <c r="H392" s="14" t="s">
        <v>343</v>
      </c>
      <c r="U392" s="14">
        <v>1</v>
      </c>
      <c r="V392" s="14">
        <v>1</v>
      </c>
      <c r="W392" s="14">
        <v>1</v>
      </c>
      <c r="X392" s="14">
        <v>1</v>
      </c>
    </row>
    <row r="393" spans="1:24" hidden="1" x14ac:dyDescent="0.3">
      <c r="A393" s="14" t="s">
        <v>390</v>
      </c>
      <c r="B393" s="14" t="s">
        <v>45</v>
      </c>
      <c r="C393" s="14" t="s">
        <v>380</v>
      </c>
      <c r="D393" s="14" t="s">
        <v>381</v>
      </c>
      <c r="E393" s="14" t="s">
        <v>344</v>
      </c>
      <c r="F393" s="14" t="s">
        <v>343</v>
      </c>
      <c r="G393" s="14" t="s">
        <v>343</v>
      </c>
      <c r="H393" s="14" t="s">
        <v>343</v>
      </c>
      <c r="U393" s="14">
        <v>71</v>
      </c>
      <c r="V393" s="14">
        <v>1</v>
      </c>
      <c r="W393" s="14">
        <v>1</v>
      </c>
      <c r="X393" s="14">
        <v>1</v>
      </c>
    </row>
    <row r="394" spans="1:24" hidden="1" x14ac:dyDescent="0.3">
      <c r="A394" s="14" t="s">
        <v>390</v>
      </c>
      <c r="B394" s="14" t="s">
        <v>45</v>
      </c>
      <c r="C394" s="14" t="s">
        <v>355</v>
      </c>
      <c r="D394" s="14" t="s">
        <v>356</v>
      </c>
      <c r="E394" s="14" t="s">
        <v>342</v>
      </c>
      <c r="F394" s="14" t="s">
        <v>343</v>
      </c>
      <c r="G394" s="14" t="s">
        <v>343</v>
      </c>
      <c r="H394" s="14" t="s">
        <v>343</v>
      </c>
      <c r="U394" s="14">
        <v>1</v>
      </c>
      <c r="V394" s="14">
        <v>1</v>
      </c>
      <c r="W394" s="14">
        <v>1</v>
      </c>
      <c r="X394" s="14">
        <v>1</v>
      </c>
    </row>
    <row r="395" spans="1:24" hidden="1" x14ac:dyDescent="0.3">
      <c r="A395" s="14" t="s">
        <v>390</v>
      </c>
      <c r="B395" s="14" t="s">
        <v>45</v>
      </c>
      <c r="C395" s="14" t="s">
        <v>355</v>
      </c>
      <c r="D395" s="14" t="s">
        <v>356</v>
      </c>
      <c r="E395" s="14" t="s">
        <v>344</v>
      </c>
      <c r="F395" s="14" t="s">
        <v>343</v>
      </c>
      <c r="G395" s="14" t="s">
        <v>343</v>
      </c>
      <c r="H395" s="14" t="s">
        <v>343</v>
      </c>
      <c r="U395" s="14">
        <v>1</v>
      </c>
      <c r="V395" s="14">
        <v>1</v>
      </c>
      <c r="W395" s="14">
        <v>1</v>
      </c>
      <c r="X395" s="14">
        <v>1</v>
      </c>
    </row>
    <row r="396" spans="1:24" hidden="1" x14ac:dyDescent="0.3">
      <c r="A396" s="14" t="s">
        <v>390</v>
      </c>
      <c r="B396" s="14" t="s">
        <v>45</v>
      </c>
      <c r="C396" s="14" t="s">
        <v>357</v>
      </c>
      <c r="D396" s="14" t="s">
        <v>358</v>
      </c>
      <c r="E396" s="14" t="s">
        <v>342</v>
      </c>
      <c r="F396" s="14" t="s">
        <v>343</v>
      </c>
      <c r="G396" s="14" t="s">
        <v>343</v>
      </c>
      <c r="H396" s="14" t="s">
        <v>343</v>
      </c>
      <c r="U396" s="14">
        <v>1</v>
      </c>
      <c r="V396" s="14">
        <v>1</v>
      </c>
      <c r="W396" s="14">
        <v>1</v>
      </c>
      <c r="X396" s="14">
        <v>1</v>
      </c>
    </row>
    <row r="397" spans="1:24" hidden="1" x14ac:dyDescent="0.3">
      <c r="A397" s="14" t="s">
        <v>390</v>
      </c>
      <c r="B397" s="14" t="s">
        <v>45</v>
      </c>
      <c r="C397" s="14" t="s">
        <v>357</v>
      </c>
      <c r="D397" s="14" t="s">
        <v>358</v>
      </c>
      <c r="E397" s="14" t="s">
        <v>344</v>
      </c>
      <c r="F397" s="14" t="s">
        <v>343</v>
      </c>
      <c r="G397" s="14" t="s">
        <v>343</v>
      </c>
      <c r="H397" s="14" t="s">
        <v>343</v>
      </c>
      <c r="U397" s="14">
        <v>1</v>
      </c>
      <c r="V397" s="14">
        <v>1</v>
      </c>
      <c r="W397" s="14">
        <v>1</v>
      </c>
      <c r="X397" s="14">
        <v>1</v>
      </c>
    </row>
    <row r="398" spans="1:24" hidden="1" x14ac:dyDescent="0.3">
      <c r="A398" s="14" t="s">
        <v>390</v>
      </c>
      <c r="B398" s="14" t="s">
        <v>45</v>
      </c>
      <c r="C398" s="14" t="s">
        <v>359</v>
      </c>
      <c r="D398" s="14" t="s">
        <v>360</v>
      </c>
      <c r="E398" s="14" t="s">
        <v>342</v>
      </c>
      <c r="F398" s="14" t="s">
        <v>343</v>
      </c>
      <c r="G398" s="14" t="s">
        <v>343</v>
      </c>
      <c r="H398" s="14" t="s">
        <v>343</v>
      </c>
      <c r="I398" s="14">
        <v>0.62</v>
      </c>
      <c r="J398" s="14">
        <v>0.67</v>
      </c>
      <c r="K398" s="14">
        <v>0.65</v>
      </c>
      <c r="L398" s="14">
        <v>0.65</v>
      </c>
      <c r="M398" s="14">
        <v>0.71</v>
      </c>
      <c r="N398" s="14">
        <v>0.72</v>
      </c>
      <c r="O398" s="14">
        <v>0.72</v>
      </c>
      <c r="P398" s="14">
        <v>0.74</v>
      </c>
      <c r="Q398" s="14">
        <v>0.76</v>
      </c>
      <c r="R398" s="14">
        <v>0.76</v>
      </c>
      <c r="S398" s="14">
        <v>0.73</v>
      </c>
      <c r="T398" s="14">
        <v>0.72</v>
      </c>
      <c r="U398" s="14">
        <v>0.71</v>
      </c>
      <c r="V398" s="14">
        <v>0.71</v>
      </c>
      <c r="W398" s="14">
        <v>0.71</v>
      </c>
      <c r="X398" s="14">
        <v>0.72</v>
      </c>
    </row>
    <row r="399" spans="1:24" hidden="1" x14ac:dyDescent="0.3">
      <c r="A399" s="14" t="s">
        <v>390</v>
      </c>
      <c r="B399" s="14" t="s">
        <v>45</v>
      </c>
      <c r="C399" s="14" t="s">
        <v>359</v>
      </c>
      <c r="D399" s="14" t="s">
        <v>360</v>
      </c>
      <c r="E399" s="14" t="s">
        <v>344</v>
      </c>
      <c r="F399" s="14" t="s">
        <v>343</v>
      </c>
      <c r="G399" s="14" t="s">
        <v>343</v>
      </c>
      <c r="H399" s="14" t="s">
        <v>343</v>
      </c>
      <c r="I399" s="14">
        <v>54</v>
      </c>
      <c r="J399" s="14">
        <v>46</v>
      </c>
      <c r="K399" s="14">
        <v>60</v>
      </c>
      <c r="L399" s="14">
        <v>64</v>
      </c>
      <c r="M399" s="14">
        <v>39</v>
      </c>
      <c r="N399" s="14">
        <v>36</v>
      </c>
      <c r="O399" s="14">
        <v>36</v>
      </c>
      <c r="P399" s="14">
        <v>34</v>
      </c>
      <c r="Q399" s="14">
        <v>27</v>
      </c>
      <c r="R399" s="14">
        <v>34</v>
      </c>
      <c r="S399" s="14">
        <v>37</v>
      </c>
      <c r="T399" s="14">
        <v>46</v>
      </c>
      <c r="U399" s="14">
        <v>49</v>
      </c>
      <c r="V399" s="14">
        <v>54</v>
      </c>
      <c r="W399" s="14">
        <v>59</v>
      </c>
      <c r="X399" s="14">
        <v>52</v>
      </c>
    </row>
    <row r="400" spans="1:24" x14ac:dyDescent="0.3">
      <c r="A400" s="14" t="s">
        <v>390</v>
      </c>
      <c r="B400" s="14" t="s">
        <v>45</v>
      </c>
      <c r="C400" s="14" t="s">
        <v>361</v>
      </c>
      <c r="D400" s="14" t="s">
        <v>362</v>
      </c>
      <c r="E400" s="14" t="s">
        <v>342</v>
      </c>
      <c r="F400" s="14" t="s">
        <v>343</v>
      </c>
      <c r="G400" s="14" t="s">
        <v>343</v>
      </c>
      <c r="H400" s="14" t="s">
        <v>343</v>
      </c>
      <c r="I400" s="14">
        <v>0.98</v>
      </c>
      <c r="J400" s="14">
        <v>0.98</v>
      </c>
      <c r="K400" s="14">
        <v>0.98</v>
      </c>
      <c r="L400" s="14">
        <v>0.98</v>
      </c>
      <c r="M400" s="14">
        <v>0.98</v>
      </c>
      <c r="N400" s="14">
        <v>0.98</v>
      </c>
      <c r="O400" s="14">
        <v>0.98</v>
      </c>
      <c r="P400" s="14">
        <v>0.98</v>
      </c>
      <c r="Q400" s="14">
        <v>0.98</v>
      </c>
      <c r="R400" s="14">
        <v>0.97</v>
      </c>
      <c r="S400" s="14">
        <v>0.97</v>
      </c>
      <c r="T400" s="14">
        <v>0.98</v>
      </c>
      <c r="U400" s="14">
        <v>0.97</v>
      </c>
      <c r="V400" s="14">
        <v>0.97</v>
      </c>
      <c r="W400" s="14">
        <v>0.97</v>
      </c>
      <c r="X400" s="14">
        <v>0.97</v>
      </c>
    </row>
    <row r="401" spans="1:24" hidden="1" x14ac:dyDescent="0.3">
      <c r="A401" s="14" t="s">
        <v>390</v>
      </c>
      <c r="B401" s="14" t="s">
        <v>45</v>
      </c>
      <c r="C401" s="14" t="s">
        <v>361</v>
      </c>
      <c r="D401" s="14" t="s">
        <v>362</v>
      </c>
      <c r="E401" s="14" t="s">
        <v>344</v>
      </c>
      <c r="F401" s="14" t="s">
        <v>343</v>
      </c>
      <c r="G401" s="14" t="s">
        <v>343</v>
      </c>
      <c r="H401" s="14" t="s">
        <v>343</v>
      </c>
      <c r="I401" s="14">
        <v>1</v>
      </c>
      <c r="J401" s="14">
        <v>50</v>
      </c>
      <c r="K401" s="14">
        <v>52</v>
      </c>
      <c r="L401" s="14">
        <v>55</v>
      </c>
      <c r="M401" s="14">
        <v>44</v>
      </c>
      <c r="N401" s="14">
        <v>46</v>
      </c>
      <c r="O401" s="14">
        <v>50</v>
      </c>
      <c r="P401" s="14">
        <v>47</v>
      </c>
      <c r="Q401" s="14">
        <v>52</v>
      </c>
      <c r="R401" s="14">
        <v>66</v>
      </c>
      <c r="S401" s="14">
        <v>64</v>
      </c>
      <c r="T401" s="14">
        <v>63</v>
      </c>
      <c r="U401" s="14">
        <v>85</v>
      </c>
      <c r="V401" s="14">
        <v>86</v>
      </c>
      <c r="W401" s="14">
        <v>98</v>
      </c>
      <c r="X401" s="14">
        <v>91</v>
      </c>
    </row>
    <row r="402" spans="1:24" hidden="1" x14ac:dyDescent="0.3">
      <c r="A402" s="14" t="s">
        <v>390</v>
      </c>
      <c r="B402" s="14" t="s">
        <v>45</v>
      </c>
      <c r="C402" s="14" t="s">
        <v>363</v>
      </c>
      <c r="D402" s="14" t="s">
        <v>364</v>
      </c>
      <c r="E402" s="14" t="s">
        <v>342</v>
      </c>
      <c r="F402" s="14" t="s">
        <v>343</v>
      </c>
      <c r="G402" s="14" t="s">
        <v>343</v>
      </c>
      <c r="H402" s="14" t="s">
        <v>343</v>
      </c>
      <c r="U402" s="14">
        <v>1.04</v>
      </c>
      <c r="V402" s="14">
        <v>1.04</v>
      </c>
      <c r="W402" s="14">
        <v>1.02</v>
      </c>
      <c r="X402" s="14">
        <v>1.02</v>
      </c>
    </row>
    <row r="403" spans="1:24" hidden="1" x14ac:dyDescent="0.3">
      <c r="A403" s="14" t="s">
        <v>390</v>
      </c>
      <c r="B403" s="14" t="s">
        <v>45</v>
      </c>
      <c r="C403" s="14" t="s">
        <v>363</v>
      </c>
      <c r="D403" s="14" t="s">
        <v>364</v>
      </c>
      <c r="E403" s="14" t="s">
        <v>344</v>
      </c>
      <c r="F403" s="14" t="s">
        <v>343</v>
      </c>
      <c r="G403" s="14" t="s">
        <v>343</v>
      </c>
      <c r="H403" s="14" t="s">
        <v>343</v>
      </c>
      <c r="U403" s="14">
        <v>95</v>
      </c>
      <c r="V403" s="14">
        <v>98</v>
      </c>
      <c r="W403" s="14">
        <v>109</v>
      </c>
      <c r="X403" s="14">
        <v>101</v>
      </c>
    </row>
    <row r="404" spans="1:24" hidden="1" x14ac:dyDescent="0.3">
      <c r="A404" s="14" t="s">
        <v>390</v>
      </c>
      <c r="B404" s="14" t="s">
        <v>45</v>
      </c>
      <c r="C404" s="14" t="s">
        <v>365</v>
      </c>
      <c r="D404" s="14" t="s">
        <v>366</v>
      </c>
      <c r="E404" s="14" t="s">
        <v>342</v>
      </c>
      <c r="F404" s="14" t="s">
        <v>343</v>
      </c>
      <c r="G404" s="14" t="s">
        <v>343</v>
      </c>
      <c r="H404" s="14" t="s">
        <v>343</v>
      </c>
      <c r="U404" s="14">
        <v>0.94</v>
      </c>
      <c r="V404" s="14">
        <v>0.94</v>
      </c>
      <c r="W404" s="14">
        <v>0.94</v>
      </c>
      <c r="X404" s="14">
        <v>0.94</v>
      </c>
    </row>
    <row r="405" spans="1:24" hidden="1" x14ac:dyDescent="0.3">
      <c r="A405" s="14" t="s">
        <v>390</v>
      </c>
      <c r="B405" s="14" t="s">
        <v>45</v>
      </c>
      <c r="C405" s="14" t="s">
        <v>365</v>
      </c>
      <c r="D405" s="14" t="s">
        <v>366</v>
      </c>
      <c r="E405" s="14" t="s">
        <v>344</v>
      </c>
      <c r="F405" s="14" t="s">
        <v>343</v>
      </c>
      <c r="G405" s="14" t="s">
        <v>343</v>
      </c>
      <c r="H405" s="14" t="s">
        <v>343</v>
      </c>
      <c r="U405" s="14">
        <v>1</v>
      </c>
      <c r="V405" s="14">
        <v>1</v>
      </c>
      <c r="W405" s="14">
        <v>1</v>
      </c>
      <c r="X405" s="14">
        <v>1</v>
      </c>
    </row>
    <row r="406" spans="1:24" hidden="1" x14ac:dyDescent="0.3">
      <c r="A406" s="14" t="s">
        <v>390</v>
      </c>
      <c r="B406" s="14" t="s">
        <v>45</v>
      </c>
      <c r="C406" s="14" t="s">
        <v>367</v>
      </c>
      <c r="D406" s="14" t="s">
        <v>368</v>
      </c>
      <c r="E406" s="14" t="s">
        <v>342</v>
      </c>
      <c r="F406" s="14" t="s">
        <v>343</v>
      </c>
      <c r="G406" s="14" t="s">
        <v>343</v>
      </c>
      <c r="H406" s="14" t="s">
        <v>343</v>
      </c>
      <c r="I406" s="14">
        <v>0.71</v>
      </c>
      <c r="J406" s="14">
        <v>0.72</v>
      </c>
      <c r="K406" s="14">
        <v>0.72</v>
      </c>
      <c r="L406" s="14">
        <v>0.72</v>
      </c>
      <c r="M406" s="14">
        <v>0.75</v>
      </c>
      <c r="N406" s="14">
        <v>0.75</v>
      </c>
      <c r="O406" s="14">
        <v>0.77</v>
      </c>
      <c r="P406" s="14">
        <v>0.77</v>
      </c>
      <c r="Q406" s="14">
        <v>0.78</v>
      </c>
      <c r="R406" s="14">
        <v>0.75</v>
      </c>
      <c r="S406" s="14">
        <v>0.74</v>
      </c>
      <c r="T406" s="14">
        <v>0.74</v>
      </c>
      <c r="U406" s="14">
        <v>0.74</v>
      </c>
      <c r="V406" s="14">
        <v>0.75</v>
      </c>
      <c r="W406" s="14">
        <v>0.79</v>
      </c>
      <c r="X406" s="14">
        <v>0.79</v>
      </c>
    </row>
    <row r="407" spans="1:24" hidden="1" x14ac:dyDescent="0.3">
      <c r="A407" s="14" t="s">
        <v>390</v>
      </c>
      <c r="B407" s="14" t="s">
        <v>45</v>
      </c>
      <c r="C407" s="14" t="s">
        <v>367</v>
      </c>
      <c r="D407" s="14" t="s">
        <v>368</v>
      </c>
      <c r="E407" s="14" t="s">
        <v>344</v>
      </c>
      <c r="F407" s="14" t="s">
        <v>343</v>
      </c>
      <c r="G407" s="14" t="s">
        <v>343</v>
      </c>
      <c r="H407" s="14" t="s">
        <v>343</v>
      </c>
      <c r="I407" s="14">
        <v>20</v>
      </c>
      <c r="J407" s="14">
        <v>19</v>
      </c>
      <c r="K407" s="14">
        <v>28</v>
      </c>
      <c r="L407" s="14">
        <v>33</v>
      </c>
      <c r="M407" s="14">
        <v>14</v>
      </c>
      <c r="N407" s="14">
        <v>13</v>
      </c>
      <c r="O407" s="14">
        <v>12</v>
      </c>
      <c r="P407" s="14">
        <v>11</v>
      </c>
      <c r="Q407" s="14">
        <v>10</v>
      </c>
      <c r="R407" s="14">
        <v>19</v>
      </c>
      <c r="S407" s="14">
        <v>24</v>
      </c>
      <c r="T407" s="14">
        <v>31</v>
      </c>
      <c r="U407" s="14">
        <v>32</v>
      </c>
      <c r="V407" s="14">
        <v>27</v>
      </c>
      <c r="W407" s="14">
        <v>13</v>
      </c>
      <c r="X407" s="14">
        <v>14</v>
      </c>
    </row>
    <row r="408" spans="1:24" hidden="1" x14ac:dyDescent="0.3">
      <c r="A408" s="14" t="s">
        <v>390</v>
      </c>
      <c r="B408" s="14" t="s">
        <v>45</v>
      </c>
      <c r="C408" s="14" t="s">
        <v>369</v>
      </c>
      <c r="D408" s="14" t="s">
        <v>370</v>
      </c>
      <c r="E408" s="14" t="s">
        <v>342</v>
      </c>
      <c r="F408" s="14" t="s">
        <v>343</v>
      </c>
      <c r="G408" s="14" t="s">
        <v>343</v>
      </c>
      <c r="H408" s="14" t="s">
        <v>343</v>
      </c>
      <c r="I408" s="14">
        <v>0.23</v>
      </c>
      <c r="J408" s="14">
        <v>0.23</v>
      </c>
      <c r="K408" s="14">
        <v>0.24</v>
      </c>
      <c r="L408" s="14">
        <v>0.24</v>
      </c>
      <c r="M408" s="14">
        <v>0.32</v>
      </c>
      <c r="N408" s="14">
        <v>0.32</v>
      </c>
      <c r="O408" s="14">
        <v>0.37</v>
      </c>
      <c r="P408" s="14">
        <v>0.37</v>
      </c>
      <c r="Q408" s="14">
        <v>0.39</v>
      </c>
      <c r="R408" s="14">
        <v>0.28000000000000003</v>
      </c>
      <c r="S408" s="14">
        <v>0.28000000000000003</v>
      </c>
      <c r="T408" s="14">
        <v>0.26</v>
      </c>
      <c r="U408" s="14">
        <v>0.26</v>
      </c>
      <c r="V408" s="14">
        <v>0.31</v>
      </c>
      <c r="W408" s="14">
        <v>0.48</v>
      </c>
      <c r="X408" s="14">
        <v>0.48</v>
      </c>
    </row>
    <row r="409" spans="1:24" hidden="1" x14ac:dyDescent="0.3">
      <c r="A409" s="14" t="s">
        <v>390</v>
      </c>
      <c r="B409" s="14" t="s">
        <v>45</v>
      </c>
      <c r="C409" s="14" t="s">
        <v>369</v>
      </c>
      <c r="D409" s="14" t="s">
        <v>370</v>
      </c>
      <c r="E409" s="14" t="s">
        <v>344</v>
      </c>
      <c r="F409" s="14" t="s">
        <v>343</v>
      </c>
      <c r="G409" s="14" t="s">
        <v>343</v>
      </c>
      <c r="H409" s="14" t="s">
        <v>343</v>
      </c>
      <c r="I409" s="14">
        <v>19</v>
      </c>
      <c r="J409" s="14">
        <v>20</v>
      </c>
      <c r="K409" s="14">
        <v>27</v>
      </c>
      <c r="L409" s="14">
        <v>29</v>
      </c>
      <c r="M409" s="14">
        <v>16</v>
      </c>
      <c r="N409" s="14">
        <v>17</v>
      </c>
      <c r="O409" s="14">
        <v>10</v>
      </c>
      <c r="P409" s="14">
        <v>14</v>
      </c>
      <c r="Q409" s="14">
        <v>13</v>
      </c>
      <c r="R409" s="14">
        <v>35</v>
      </c>
      <c r="S409" s="14">
        <v>35</v>
      </c>
      <c r="T409" s="14">
        <v>37</v>
      </c>
      <c r="U409" s="14">
        <v>39</v>
      </c>
      <c r="V409" s="14">
        <v>34</v>
      </c>
      <c r="W409" s="14">
        <v>16</v>
      </c>
      <c r="X409" s="14">
        <v>18</v>
      </c>
    </row>
    <row r="410" spans="1:24" hidden="1" x14ac:dyDescent="0.3">
      <c r="A410" s="14" t="s">
        <v>390</v>
      </c>
      <c r="B410" s="14" t="s">
        <v>45</v>
      </c>
      <c r="C410" s="14" t="s">
        <v>371</v>
      </c>
      <c r="D410" s="14" t="s">
        <v>372</v>
      </c>
      <c r="E410" s="14" t="s">
        <v>342</v>
      </c>
      <c r="F410" s="14" t="s">
        <v>343</v>
      </c>
      <c r="G410" s="14" t="s">
        <v>343</v>
      </c>
      <c r="H410" s="14" t="s">
        <v>343</v>
      </c>
      <c r="U410" s="14">
        <v>0</v>
      </c>
      <c r="V410" s="14">
        <v>0</v>
      </c>
      <c r="W410" s="14">
        <v>0.02</v>
      </c>
      <c r="X410" s="14">
        <v>0.02</v>
      </c>
    </row>
    <row r="411" spans="1:24" hidden="1" x14ac:dyDescent="0.3">
      <c r="A411" s="14" t="s">
        <v>390</v>
      </c>
      <c r="B411" s="14" t="s">
        <v>45</v>
      </c>
      <c r="C411" s="14" t="s">
        <v>371</v>
      </c>
      <c r="D411" s="14" t="s">
        <v>372</v>
      </c>
      <c r="E411" s="14" t="s">
        <v>344</v>
      </c>
      <c r="F411" s="14" t="s">
        <v>343</v>
      </c>
      <c r="G411" s="14" t="s">
        <v>343</v>
      </c>
      <c r="H411" s="14" t="s">
        <v>343</v>
      </c>
      <c r="U411" s="14">
        <v>71</v>
      </c>
      <c r="V411" s="14">
        <v>73</v>
      </c>
      <c r="W411" s="14">
        <v>60</v>
      </c>
      <c r="X411" s="14">
        <v>61</v>
      </c>
    </row>
    <row r="412" spans="1:24" hidden="1" x14ac:dyDescent="0.3">
      <c r="A412" s="14" t="s">
        <v>390</v>
      </c>
      <c r="B412" s="14" t="s">
        <v>45</v>
      </c>
      <c r="C412" s="14" t="s">
        <v>373</v>
      </c>
      <c r="D412" s="14" t="s">
        <v>374</v>
      </c>
      <c r="E412" s="14" t="s">
        <v>342</v>
      </c>
      <c r="F412" s="14" t="s">
        <v>343</v>
      </c>
      <c r="G412" s="14" t="s">
        <v>343</v>
      </c>
      <c r="H412" s="14" t="s">
        <v>343</v>
      </c>
      <c r="U412" s="14">
        <v>0.3</v>
      </c>
      <c r="V412" s="14">
        <v>0.33</v>
      </c>
      <c r="W412" s="14">
        <v>1</v>
      </c>
      <c r="X412" s="14">
        <v>1</v>
      </c>
    </row>
    <row r="413" spans="1:24" hidden="1" x14ac:dyDescent="0.3">
      <c r="A413" s="14" t="s">
        <v>390</v>
      </c>
      <c r="B413" s="14" t="s">
        <v>45</v>
      </c>
      <c r="C413" s="14" t="s">
        <v>373</v>
      </c>
      <c r="D413" s="14" t="s">
        <v>374</v>
      </c>
      <c r="E413" s="14" t="s">
        <v>344</v>
      </c>
      <c r="F413" s="14" t="s">
        <v>343</v>
      </c>
      <c r="G413" s="14" t="s">
        <v>343</v>
      </c>
      <c r="H413" s="14" t="s">
        <v>343</v>
      </c>
      <c r="U413" s="14">
        <v>49</v>
      </c>
      <c r="V413" s="14">
        <v>57</v>
      </c>
      <c r="W413" s="14">
        <v>1</v>
      </c>
      <c r="X413" s="14">
        <v>1</v>
      </c>
    </row>
    <row r="414" spans="1:24" hidden="1" x14ac:dyDescent="0.3">
      <c r="A414" s="14" t="s">
        <v>390</v>
      </c>
      <c r="B414" s="14" t="s">
        <v>45</v>
      </c>
      <c r="C414" s="14" t="s">
        <v>375</v>
      </c>
      <c r="D414" s="14" t="s">
        <v>376</v>
      </c>
      <c r="E414" s="14" t="s">
        <v>342</v>
      </c>
      <c r="F414" s="14" t="s">
        <v>343</v>
      </c>
      <c r="G414" s="14" t="s">
        <v>343</v>
      </c>
      <c r="H414" s="14" t="s">
        <v>343</v>
      </c>
      <c r="U414" s="14">
        <v>0.61</v>
      </c>
      <c r="V414" s="14">
        <v>0.74</v>
      </c>
      <c r="W414" s="14">
        <v>0.72</v>
      </c>
      <c r="X414" s="14">
        <v>0.72</v>
      </c>
    </row>
    <row r="415" spans="1:24" hidden="1" x14ac:dyDescent="0.3">
      <c r="A415" s="14" t="s">
        <v>390</v>
      </c>
      <c r="B415" s="14" t="s">
        <v>45</v>
      </c>
      <c r="C415" s="14" t="s">
        <v>375</v>
      </c>
      <c r="D415" s="14" t="s">
        <v>376</v>
      </c>
      <c r="E415" s="14" t="s">
        <v>344</v>
      </c>
      <c r="F415" s="14" t="s">
        <v>343</v>
      </c>
      <c r="G415" s="14" t="s">
        <v>343</v>
      </c>
      <c r="H415" s="14" t="s">
        <v>343</v>
      </c>
      <c r="U415" s="14">
        <v>21</v>
      </c>
      <c r="V415" s="14">
        <v>12</v>
      </c>
      <c r="W415" s="14">
        <v>18</v>
      </c>
      <c r="X415" s="14">
        <v>19</v>
      </c>
    </row>
    <row r="416" spans="1:24" hidden="1" x14ac:dyDescent="0.3">
      <c r="A416" s="14" t="s">
        <v>391</v>
      </c>
      <c r="B416" s="14" t="s">
        <v>47</v>
      </c>
      <c r="C416" s="14" t="s">
        <v>340</v>
      </c>
      <c r="D416" s="14" t="s">
        <v>341</v>
      </c>
      <c r="E416" s="14" t="s">
        <v>342</v>
      </c>
      <c r="F416" s="14" t="s">
        <v>343</v>
      </c>
      <c r="G416" s="14" t="s">
        <v>343</v>
      </c>
      <c r="H416" s="14" t="s">
        <v>343</v>
      </c>
      <c r="I416" s="14">
        <v>0.64</v>
      </c>
      <c r="J416" s="14">
        <v>0.66</v>
      </c>
      <c r="K416" s="14">
        <v>0.63</v>
      </c>
      <c r="L416" s="14">
        <v>0.63</v>
      </c>
      <c r="M416" s="14">
        <v>0.65</v>
      </c>
      <c r="N416" s="14">
        <v>0.66</v>
      </c>
      <c r="O416" s="14">
        <v>0.64</v>
      </c>
      <c r="P416" s="14">
        <v>0.51</v>
      </c>
      <c r="R416" s="14">
        <v>0.7</v>
      </c>
      <c r="S416" s="14">
        <v>0.71</v>
      </c>
      <c r="T416" s="14">
        <v>0.71</v>
      </c>
      <c r="U416" s="14">
        <v>0.73</v>
      </c>
      <c r="V416" s="14">
        <v>0.73</v>
      </c>
      <c r="W416" s="14">
        <v>0.73</v>
      </c>
      <c r="X416" s="14">
        <v>0.79</v>
      </c>
    </row>
    <row r="417" spans="1:24" hidden="1" x14ac:dyDescent="0.3">
      <c r="A417" s="14" t="s">
        <v>391</v>
      </c>
      <c r="B417" s="14" t="s">
        <v>47</v>
      </c>
      <c r="C417" s="14" t="s">
        <v>340</v>
      </c>
      <c r="D417" s="14" t="s">
        <v>341</v>
      </c>
      <c r="E417" s="14" t="s">
        <v>344</v>
      </c>
      <c r="F417" s="14" t="s">
        <v>343</v>
      </c>
      <c r="G417" s="14" t="s">
        <v>343</v>
      </c>
      <c r="H417" s="14" t="s">
        <v>343</v>
      </c>
      <c r="I417" s="14">
        <v>113</v>
      </c>
      <c r="J417" s="14">
        <v>125</v>
      </c>
      <c r="K417" s="14">
        <v>128</v>
      </c>
      <c r="L417" s="14">
        <v>132</v>
      </c>
      <c r="M417" s="14">
        <v>133</v>
      </c>
      <c r="N417" s="14">
        <v>133</v>
      </c>
      <c r="O417" s="14">
        <v>134</v>
      </c>
      <c r="P417" s="14">
        <v>136</v>
      </c>
      <c r="R417" s="14">
        <v>144</v>
      </c>
      <c r="S417" s="14">
        <v>143</v>
      </c>
      <c r="T417" s="14">
        <v>142</v>
      </c>
      <c r="U417" s="14">
        <v>145</v>
      </c>
      <c r="V417" s="14">
        <v>149</v>
      </c>
      <c r="W417" s="14">
        <v>150</v>
      </c>
      <c r="X417" s="14">
        <v>138</v>
      </c>
    </row>
    <row r="418" spans="1:24" hidden="1" x14ac:dyDescent="0.3">
      <c r="A418" s="14" t="s">
        <v>391</v>
      </c>
      <c r="B418" s="14" t="s">
        <v>47</v>
      </c>
      <c r="C418" s="14" t="s">
        <v>345</v>
      </c>
      <c r="D418" s="14" t="s">
        <v>346</v>
      </c>
      <c r="E418" s="14" t="s">
        <v>342</v>
      </c>
      <c r="F418" s="14" t="s">
        <v>343</v>
      </c>
      <c r="G418" s="14" t="s">
        <v>343</v>
      </c>
      <c r="H418" s="14" t="s">
        <v>343</v>
      </c>
      <c r="U418" s="14">
        <v>0.95</v>
      </c>
      <c r="V418" s="14">
        <v>0.93</v>
      </c>
      <c r="W418" s="14">
        <v>0.72</v>
      </c>
      <c r="X418" s="14">
        <v>0.61</v>
      </c>
    </row>
    <row r="419" spans="1:24" hidden="1" x14ac:dyDescent="0.3">
      <c r="A419" s="14" t="s">
        <v>391</v>
      </c>
      <c r="B419" s="14" t="s">
        <v>47</v>
      </c>
      <c r="C419" s="14" t="s">
        <v>345</v>
      </c>
      <c r="D419" s="14" t="s">
        <v>346</v>
      </c>
      <c r="E419" s="14" t="s">
        <v>344</v>
      </c>
      <c r="F419" s="14" t="s">
        <v>343</v>
      </c>
      <c r="G419" s="14" t="s">
        <v>343</v>
      </c>
      <c r="H419" s="14" t="s">
        <v>343</v>
      </c>
      <c r="U419" s="14">
        <v>5</v>
      </c>
      <c r="V419" s="14">
        <v>5</v>
      </c>
      <c r="W419" s="14">
        <v>30</v>
      </c>
      <c r="X419" s="14">
        <v>88</v>
      </c>
    </row>
    <row r="420" spans="1:24" hidden="1" x14ac:dyDescent="0.3">
      <c r="A420" s="14" t="s">
        <v>391</v>
      </c>
      <c r="B420" s="14" t="s">
        <v>47</v>
      </c>
      <c r="C420" s="14" t="s">
        <v>347</v>
      </c>
      <c r="D420" s="14" t="s">
        <v>348</v>
      </c>
      <c r="E420" s="14" t="s">
        <v>342</v>
      </c>
      <c r="F420" s="14" t="s">
        <v>343</v>
      </c>
      <c r="G420" s="14" t="s">
        <v>343</v>
      </c>
      <c r="H420" s="14" t="s">
        <v>343</v>
      </c>
      <c r="U420" s="14">
        <v>0.96</v>
      </c>
      <c r="V420" s="14">
        <v>0.96</v>
      </c>
      <c r="W420" s="14">
        <v>0.96</v>
      </c>
      <c r="X420" s="14">
        <v>0.96</v>
      </c>
    </row>
    <row r="421" spans="1:24" hidden="1" x14ac:dyDescent="0.3">
      <c r="A421" s="14" t="s">
        <v>391</v>
      </c>
      <c r="B421" s="14" t="s">
        <v>47</v>
      </c>
      <c r="C421" s="14" t="s">
        <v>347</v>
      </c>
      <c r="D421" s="14" t="s">
        <v>348</v>
      </c>
      <c r="E421" s="14" t="s">
        <v>344</v>
      </c>
      <c r="F421" s="14" t="s">
        <v>343</v>
      </c>
      <c r="G421" s="14" t="s">
        <v>343</v>
      </c>
      <c r="H421" s="14" t="s">
        <v>343</v>
      </c>
      <c r="U421" s="14">
        <v>14</v>
      </c>
      <c r="V421" s="14">
        <v>12</v>
      </c>
      <c r="W421" s="14">
        <v>12</v>
      </c>
      <c r="X421" s="14">
        <v>8</v>
      </c>
    </row>
    <row r="422" spans="1:24" hidden="1" x14ac:dyDescent="0.3">
      <c r="A422" s="14" t="s">
        <v>391</v>
      </c>
      <c r="B422" s="14" t="s">
        <v>47</v>
      </c>
      <c r="C422" s="14" t="s">
        <v>349</v>
      </c>
      <c r="D422" s="14" t="s">
        <v>350</v>
      </c>
      <c r="E422" s="14" t="s">
        <v>342</v>
      </c>
      <c r="F422" s="14" t="s">
        <v>343</v>
      </c>
      <c r="G422" s="14" t="s">
        <v>343</v>
      </c>
      <c r="H422" s="14" t="s">
        <v>343</v>
      </c>
      <c r="X422" s="14">
        <v>0.16</v>
      </c>
    </row>
    <row r="423" spans="1:24" hidden="1" x14ac:dyDescent="0.3">
      <c r="A423" s="14" t="s">
        <v>391</v>
      </c>
      <c r="B423" s="14" t="s">
        <v>47</v>
      </c>
      <c r="C423" s="14" t="s">
        <v>349</v>
      </c>
      <c r="D423" s="14" t="s">
        <v>350</v>
      </c>
      <c r="E423" s="14" t="s">
        <v>344</v>
      </c>
      <c r="F423" s="14" t="s">
        <v>343</v>
      </c>
      <c r="G423" s="14" t="s">
        <v>343</v>
      </c>
      <c r="H423" s="14" t="s">
        <v>343</v>
      </c>
      <c r="X423" s="14">
        <v>128</v>
      </c>
    </row>
    <row r="424" spans="1:24" hidden="1" x14ac:dyDescent="0.3">
      <c r="A424" s="14" t="s">
        <v>391</v>
      </c>
      <c r="B424" s="14" t="s">
        <v>47</v>
      </c>
      <c r="C424" s="14" t="s">
        <v>351</v>
      </c>
      <c r="D424" s="14" t="s">
        <v>352</v>
      </c>
      <c r="E424" s="14" t="s">
        <v>342</v>
      </c>
      <c r="F424" s="14" t="s">
        <v>343</v>
      </c>
      <c r="G424" s="14" t="s">
        <v>343</v>
      </c>
      <c r="H424" s="14" t="s">
        <v>343</v>
      </c>
      <c r="X424" s="14">
        <v>0.24</v>
      </c>
    </row>
    <row r="425" spans="1:24" hidden="1" x14ac:dyDescent="0.3">
      <c r="A425" s="14" t="s">
        <v>391</v>
      </c>
      <c r="B425" s="14" t="s">
        <v>47</v>
      </c>
      <c r="C425" s="14" t="s">
        <v>351</v>
      </c>
      <c r="D425" s="14" t="s">
        <v>352</v>
      </c>
      <c r="E425" s="14" t="s">
        <v>344</v>
      </c>
      <c r="F425" s="14" t="s">
        <v>343</v>
      </c>
      <c r="G425" s="14" t="s">
        <v>343</v>
      </c>
      <c r="H425" s="14" t="s">
        <v>343</v>
      </c>
      <c r="X425" s="14">
        <v>137</v>
      </c>
    </row>
    <row r="426" spans="1:24" hidden="1" x14ac:dyDescent="0.3">
      <c r="A426" s="14" t="s">
        <v>391</v>
      </c>
      <c r="B426" s="14" t="s">
        <v>47</v>
      </c>
      <c r="C426" s="14" t="s">
        <v>378</v>
      </c>
      <c r="D426" s="14" t="s">
        <v>379</v>
      </c>
      <c r="E426" s="14" t="s">
        <v>342</v>
      </c>
      <c r="F426" s="14" t="s">
        <v>343</v>
      </c>
      <c r="G426" s="14" t="s">
        <v>343</v>
      </c>
      <c r="H426" s="14" t="s">
        <v>343</v>
      </c>
      <c r="S426" s="14">
        <v>0.73</v>
      </c>
      <c r="U426" s="14">
        <v>0.71</v>
      </c>
      <c r="V426" s="14">
        <v>0.72</v>
      </c>
      <c r="W426" s="14">
        <v>0.78</v>
      </c>
      <c r="X426" s="14">
        <v>0.71</v>
      </c>
    </row>
    <row r="427" spans="1:24" hidden="1" x14ac:dyDescent="0.3">
      <c r="A427" s="14" t="s">
        <v>391</v>
      </c>
      <c r="B427" s="14" t="s">
        <v>47</v>
      </c>
      <c r="C427" s="14" t="s">
        <v>378</v>
      </c>
      <c r="D427" s="14" t="s">
        <v>379</v>
      </c>
      <c r="E427" s="14" t="s">
        <v>344</v>
      </c>
      <c r="F427" s="14" t="s">
        <v>343</v>
      </c>
      <c r="G427" s="14" t="s">
        <v>343</v>
      </c>
      <c r="H427" s="14" t="s">
        <v>343</v>
      </c>
      <c r="S427" s="14">
        <v>30</v>
      </c>
      <c r="U427" s="14">
        <v>35</v>
      </c>
      <c r="V427" s="14">
        <v>35</v>
      </c>
      <c r="W427" s="14">
        <v>13</v>
      </c>
      <c r="X427" s="14">
        <v>44</v>
      </c>
    </row>
    <row r="428" spans="1:24" hidden="1" x14ac:dyDescent="0.3">
      <c r="A428" s="14" t="s">
        <v>391</v>
      </c>
      <c r="B428" s="14" t="s">
        <v>47</v>
      </c>
      <c r="C428" s="14" t="s">
        <v>353</v>
      </c>
      <c r="D428" s="14" t="s">
        <v>354</v>
      </c>
      <c r="E428" s="14" t="s">
        <v>342</v>
      </c>
      <c r="F428" s="14" t="s">
        <v>343</v>
      </c>
      <c r="G428" s="14" t="s">
        <v>343</v>
      </c>
      <c r="H428" s="14" t="s">
        <v>343</v>
      </c>
      <c r="U428" s="14">
        <v>0.49</v>
      </c>
      <c r="V428" s="14">
        <v>0.57999999999999996</v>
      </c>
      <c r="W428" s="14">
        <v>0.57999999999999996</v>
      </c>
      <c r="X428" s="14">
        <v>0.57999999999999996</v>
      </c>
    </row>
    <row r="429" spans="1:24" hidden="1" x14ac:dyDescent="0.3">
      <c r="A429" s="14" t="s">
        <v>391</v>
      </c>
      <c r="B429" s="14" t="s">
        <v>47</v>
      </c>
      <c r="C429" s="14" t="s">
        <v>353</v>
      </c>
      <c r="D429" s="14" t="s">
        <v>354</v>
      </c>
      <c r="E429" s="14" t="s">
        <v>344</v>
      </c>
      <c r="F429" s="14" t="s">
        <v>343</v>
      </c>
      <c r="G429" s="14" t="s">
        <v>343</v>
      </c>
      <c r="H429" s="14" t="s">
        <v>343</v>
      </c>
      <c r="U429" s="14">
        <v>141</v>
      </c>
      <c r="V429" s="14">
        <v>146</v>
      </c>
      <c r="W429" s="14">
        <v>148</v>
      </c>
      <c r="X429" s="14">
        <v>138</v>
      </c>
    </row>
    <row r="430" spans="1:24" hidden="1" x14ac:dyDescent="0.3">
      <c r="A430" s="14" t="s">
        <v>391</v>
      </c>
      <c r="B430" s="14" t="s">
        <v>47</v>
      </c>
      <c r="C430" s="14" t="s">
        <v>380</v>
      </c>
      <c r="D430" s="14" t="s">
        <v>381</v>
      </c>
      <c r="E430" s="14" t="s">
        <v>342</v>
      </c>
      <c r="F430" s="14" t="s">
        <v>343</v>
      </c>
      <c r="G430" s="14" t="s">
        <v>343</v>
      </c>
      <c r="H430" s="14" t="s">
        <v>343</v>
      </c>
      <c r="U430" s="14">
        <v>0.9</v>
      </c>
      <c r="V430" s="14">
        <v>0.87</v>
      </c>
      <c r="W430" s="14">
        <v>0.87</v>
      </c>
      <c r="X430" s="14">
        <v>0.94</v>
      </c>
    </row>
    <row r="431" spans="1:24" hidden="1" x14ac:dyDescent="0.3">
      <c r="A431" s="14" t="s">
        <v>391</v>
      </c>
      <c r="B431" s="14" t="s">
        <v>47</v>
      </c>
      <c r="C431" s="14" t="s">
        <v>380</v>
      </c>
      <c r="D431" s="14" t="s">
        <v>381</v>
      </c>
      <c r="E431" s="14" t="s">
        <v>344</v>
      </c>
      <c r="F431" s="14" t="s">
        <v>343</v>
      </c>
      <c r="G431" s="14" t="s">
        <v>343</v>
      </c>
      <c r="H431" s="14" t="s">
        <v>343</v>
      </c>
      <c r="U431" s="14">
        <v>129</v>
      </c>
      <c r="V431" s="14">
        <v>142</v>
      </c>
      <c r="W431" s="14">
        <v>143</v>
      </c>
      <c r="X431" s="14">
        <v>107</v>
      </c>
    </row>
    <row r="432" spans="1:24" hidden="1" x14ac:dyDescent="0.3">
      <c r="A432" s="14" t="s">
        <v>391</v>
      </c>
      <c r="B432" s="14" t="s">
        <v>47</v>
      </c>
      <c r="C432" s="14" t="s">
        <v>355</v>
      </c>
      <c r="D432" s="14" t="s">
        <v>356</v>
      </c>
      <c r="E432" s="14" t="s">
        <v>342</v>
      </c>
      <c r="F432" s="14" t="s">
        <v>343</v>
      </c>
      <c r="G432" s="14" t="s">
        <v>343</v>
      </c>
      <c r="H432" s="14" t="s">
        <v>343</v>
      </c>
      <c r="U432" s="14">
        <v>0.75</v>
      </c>
      <c r="V432" s="14">
        <v>0.75</v>
      </c>
      <c r="W432" s="14">
        <v>0.75</v>
      </c>
      <c r="X432" s="14">
        <v>0.81</v>
      </c>
    </row>
    <row r="433" spans="1:24" hidden="1" x14ac:dyDescent="0.3">
      <c r="A433" s="14" t="s">
        <v>391</v>
      </c>
      <c r="B433" s="14" t="s">
        <v>47</v>
      </c>
      <c r="C433" s="14" t="s">
        <v>355</v>
      </c>
      <c r="D433" s="14" t="s">
        <v>356</v>
      </c>
      <c r="E433" s="14" t="s">
        <v>344</v>
      </c>
      <c r="F433" s="14" t="s">
        <v>343</v>
      </c>
      <c r="G433" s="14" t="s">
        <v>343</v>
      </c>
      <c r="H433" s="14" t="s">
        <v>343</v>
      </c>
      <c r="U433" s="14">
        <v>142</v>
      </c>
      <c r="V433" s="14">
        <v>146</v>
      </c>
      <c r="W433" s="14">
        <v>146</v>
      </c>
      <c r="X433" s="14">
        <v>129</v>
      </c>
    </row>
    <row r="434" spans="1:24" hidden="1" x14ac:dyDescent="0.3">
      <c r="A434" s="14" t="s">
        <v>391</v>
      </c>
      <c r="B434" s="14" t="s">
        <v>47</v>
      </c>
      <c r="C434" s="14" t="s">
        <v>357</v>
      </c>
      <c r="D434" s="14" t="s">
        <v>358</v>
      </c>
      <c r="E434" s="14" t="s">
        <v>342</v>
      </c>
      <c r="F434" s="14" t="s">
        <v>343</v>
      </c>
      <c r="G434" s="14" t="s">
        <v>343</v>
      </c>
      <c r="H434" s="14" t="s">
        <v>343</v>
      </c>
      <c r="U434" s="14">
        <v>0.43</v>
      </c>
      <c r="V434" s="14">
        <v>0.44</v>
      </c>
      <c r="W434" s="14">
        <v>0.44</v>
      </c>
      <c r="X434" s="14">
        <v>0.51</v>
      </c>
    </row>
    <row r="435" spans="1:24" hidden="1" x14ac:dyDescent="0.3">
      <c r="A435" s="14" t="s">
        <v>391</v>
      </c>
      <c r="B435" s="14" t="s">
        <v>47</v>
      </c>
      <c r="C435" s="14" t="s">
        <v>357</v>
      </c>
      <c r="D435" s="14" t="s">
        <v>358</v>
      </c>
      <c r="E435" s="14" t="s">
        <v>344</v>
      </c>
      <c r="F435" s="14" t="s">
        <v>343</v>
      </c>
      <c r="G435" s="14" t="s">
        <v>343</v>
      </c>
      <c r="H435" s="14" t="s">
        <v>343</v>
      </c>
      <c r="U435" s="14">
        <v>137</v>
      </c>
      <c r="V435" s="14">
        <v>144</v>
      </c>
      <c r="W435" s="14">
        <v>145</v>
      </c>
      <c r="X435" s="14">
        <v>132</v>
      </c>
    </row>
    <row r="436" spans="1:24" hidden="1" x14ac:dyDescent="0.3">
      <c r="A436" s="14" t="s">
        <v>391</v>
      </c>
      <c r="B436" s="14" t="s">
        <v>47</v>
      </c>
      <c r="C436" s="14" t="s">
        <v>359</v>
      </c>
      <c r="D436" s="14" t="s">
        <v>360</v>
      </c>
      <c r="E436" s="14" t="s">
        <v>342</v>
      </c>
      <c r="F436" s="14" t="s">
        <v>343</v>
      </c>
      <c r="G436" s="14" t="s">
        <v>343</v>
      </c>
      <c r="H436" s="14" t="s">
        <v>343</v>
      </c>
      <c r="I436" s="14">
        <v>0.62</v>
      </c>
      <c r="J436" s="14">
        <v>0.54</v>
      </c>
      <c r="K436" s="14">
        <v>0.52</v>
      </c>
      <c r="L436" s="14">
        <v>0.55000000000000004</v>
      </c>
      <c r="M436" s="14">
        <v>0.6</v>
      </c>
      <c r="N436" s="14">
        <v>0.65</v>
      </c>
      <c r="O436" s="14">
        <v>0.76</v>
      </c>
      <c r="P436" s="14">
        <v>0.74</v>
      </c>
      <c r="R436" s="14">
        <v>0.76</v>
      </c>
      <c r="S436" s="14">
        <v>0.8</v>
      </c>
      <c r="T436" s="14">
        <v>0.86</v>
      </c>
      <c r="U436" s="14">
        <v>0.85</v>
      </c>
      <c r="V436" s="14">
        <v>0.85</v>
      </c>
      <c r="W436" s="14">
        <v>0.81</v>
      </c>
      <c r="X436" s="14">
        <v>0.6</v>
      </c>
    </row>
    <row r="437" spans="1:24" hidden="1" x14ac:dyDescent="0.3">
      <c r="A437" s="14" t="s">
        <v>391</v>
      </c>
      <c r="B437" s="14" t="s">
        <v>47</v>
      </c>
      <c r="C437" s="14" t="s">
        <v>359</v>
      </c>
      <c r="D437" s="14" t="s">
        <v>360</v>
      </c>
      <c r="E437" s="14" t="s">
        <v>344</v>
      </c>
      <c r="F437" s="14" t="s">
        <v>343</v>
      </c>
      <c r="G437" s="14" t="s">
        <v>343</v>
      </c>
      <c r="H437" s="14" t="s">
        <v>343</v>
      </c>
      <c r="I437" s="14">
        <v>55</v>
      </c>
      <c r="J437" s="14">
        <v>102</v>
      </c>
      <c r="K437" s="14">
        <v>105</v>
      </c>
      <c r="L437" s="14">
        <v>110</v>
      </c>
      <c r="M437" s="14">
        <v>85</v>
      </c>
      <c r="N437" s="14">
        <v>67</v>
      </c>
      <c r="O437" s="14">
        <v>23</v>
      </c>
      <c r="P437" s="14">
        <v>31</v>
      </c>
      <c r="R437" s="14">
        <v>33</v>
      </c>
      <c r="S437" s="14">
        <v>14</v>
      </c>
      <c r="T437" s="14">
        <v>4</v>
      </c>
      <c r="U437" s="14">
        <v>4</v>
      </c>
      <c r="V437" s="14">
        <v>1</v>
      </c>
      <c r="W437" s="14">
        <v>9</v>
      </c>
      <c r="X437" s="14">
        <v>114</v>
      </c>
    </row>
    <row r="438" spans="1:24" x14ac:dyDescent="0.3">
      <c r="A438" s="14" t="s">
        <v>391</v>
      </c>
      <c r="B438" s="14" t="s">
        <v>47</v>
      </c>
      <c r="C438" s="14" t="s">
        <v>361</v>
      </c>
      <c r="D438" s="14" t="s">
        <v>362</v>
      </c>
      <c r="E438" s="14" t="s">
        <v>342</v>
      </c>
      <c r="F438" s="14" t="s">
        <v>343</v>
      </c>
      <c r="G438" s="14" t="s">
        <v>343</v>
      </c>
      <c r="H438" s="14" t="s">
        <v>343</v>
      </c>
      <c r="I438" s="14">
        <v>0.97</v>
      </c>
      <c r="J438" s="14">
        <v>0.98</v>
      </c>
      <c r="K438" s="14">
        <v>0.98</v>
      </c>
      <c r="L438" s="14">
        <v>0.98</v>
      </c>
      <c r="M438" s="14">
        <v>0.96</v>
      </c>
      <c r="N438" s="14">
        <v>0.96</v>
      </c>
      <c r="O438" s="14">
        <v>0.96</v>
      </c>
      <c r="P438" s="14">
        <v>0.96</v>
      </c>
      <c r="R438" s="14">
        <v>0.97</v>
      </c>
      <c r="S438" s="14">
        <v>0.97</v>
      </c>
      <c r="T438" s="14">
        <v>0.96</v>
      </c>
      <c r="U438" s="14">
        <v>0.97</v>
      </c>
      <c r="V438" s="14">
        <v>0.97</v>
      </c>
      <c r="W438" s="14">
        <v>0.97</v>
      </c>
      <c r="X438" s="14">
        <v>0.97</v>
      </c>
    </row>
    <row r="439" spans="1:24" hidden="1" x14ac:dyDescent="0.3">
      <c r="A439" s="14" t="s">
        <v>391</v>
      </c>
      <c r="B439" s="14" t="s">
        <v>47</v>
      </c>
      <c r="C439" s="14" t="s">
        <v>361</v>
      </c>
      <c r="D439" s="14" t="s">
        <v>362</v>
      </c>
      <c r="E439" s="14" t="s">
        <v>344</v>
      </c>
      <c r="F439" s="14" t="s">
        <v>343</v>
      </c>
      <c r="G439" s="14" t="s">
        <v>343</v>
      </c>
      <c r="H439" s="14" t="s">
        <v>343</v>
      </c>
      <c r="I439" s="14">
        <v>86</v>
      </c>
      <c r="J439" s="14">
        <v>65</v>
      </c>
      <c r="K439" s="14">
        <v>67</v>
      </c>
      <c r="L439" s="14">
        <v>70</v>
      </c>
      <c r="M439" s="14">
        <v>110</v>
      </c>
      <c r="N439" s="14">
        <v>111</v>
      </c>
      <c r="O439" s="14">
        <v>111</v>
      </c>
      <c r="P439" s="14">
        <v>112</v>
      </c>
      <c r="R439" s="14">
        <v>117</v>
      </c>
      <c r="S439" s="14">
        <v>116</v>
      </c>
      <c r="T439" s="14">
        <v>131</v>
      </c>
      <c r="U439" s="14">
        <v>92</v>
      </c>
      <c r="V439" s="14">
        <v>92</v>
      </c>
      <c r="W439" s="14">
        <v>70</v>
      </c>
      <c r="X439" s="14">
        <v>65</v>
      </c>
    </row>
    <row r="440" spans="1:24" hidden="1" x14ac:dyDescent="0.3">
      <c r="A440" s="14" t="s">
        <v>391</v>
      </c>
      <c r="B440" s="14" t="s">
        <v>47</v>
      </c>
      <c r="C440" s="14" t="s">
        <v>363</v>
      </c>
      <c r="D440" s="14" t="s">
        <v>364</v>
      </c>
      <c r="E440" s="14" t="s">
        <v>342</v>
      </c>
      <c r="F440" s="14" t="s">
        <v>343</v>
      </c>
      <c r="G440" s="14" t="s">
        <v>343</v>
      </c>
      <c r="H440" s="14" t="s">
        <v>343</v>
      </c>
      <c r="U440" s="14">
        <v>1.04</v>
      </c>
      <c r="V440" s="14">
        <v>1.04</v>
      </c>
      <c r="W440" s="14">
        <v>1.04</v>
      </c>
      <c r="X440" s="14">
        <v>1.04</v>
      </c>
    </row>
    <row r="441" spans="1:24" hidden="1" x14ac:dyDescent="0.3">
      <c r="A441" s="14" t="s">
        <v>391</v>
      </c>
      <c r="B441" s="14" t="s">
        <v>47</v>
      </c>
      <c r="C441" s="14" t="s">
        <v>363</v>
      </c>
      <c r="D441" s="14" t="s">
        <v>364</v>
      </c>
      <c r="E441" s="14" t="s">
        <v>344</v>
      </c>
      <c r="F441" s="14" t="s">
        <v>343</v>
      </c>
      <c r="G441" s="14" t="s">
        <v>343</v>
      </c>
      <c r="H441" s="14" t="s">
        <v>343</v>
      </c>
      <c r="U441" s="14">
        <v>101</v>
      </c>
      <c r="V441" s="14">
        <v>104</v>
      </c>
      <c r="W441" s="14">
        <v>77</v>
      </c>
      <c r="X441" s="14">
        <v>71</v>
      </c>
    </row>
    <row r="442" spans="1:24" hidden="1" x14ac:dyDescent="0.3">
      <c r="A442" s="14" t="s">
        <v>391</v>
      </c>
      <c r="B442" s="14" t="s">
        <v>47</v>
      </c>
      <c r="C442" s="14" t="s">
        <v>365</v>
      </c>
      <c r="D442" s="14" t="s">
        <v>366</v>
      </c>
      <c r="E442" s="14" t="s">
        <v>342</v>
      </c>
      <c r="F442" s="14" t="s">
        <v>343</v>
      </c>
      <c r="G442" s="14" t="s">
        <v>343</v>
      </c>
      <c r="H442" s="14" t="s">
        <v>343</v>
      </c>
      <c r="U442" s="14">
        <v>0.94</v>
      </c>
      <c r="V442" s="14">
        <v>0.94</v>
      </c>
      <c r="W442" s="14">
        <v>0.94</v>
      </c>
      <c r="X442" s="14">
        <v>0.94</v>
      </c>
    </row>
    <row r="443" spans="1:24" hidden="1" x14ac:dyDescent="0.3">
      <c r="A443" s="14" t="s">
        <v>391</v>
      </c>
      <c r="B443" s="14" t="s">
        <v>47</v>
      </c>
      <c r="C443" s="14" t="s">
        <v>365</v>
      </c>
      <c r="D443" s="14" t="s">
        <v>366</v>
      </c>
      <c r="E443" s="14" t="s">
        <v>344</v>
      </c>
      <c r="F443" s="14" t="s">
        <v>343</v>
      </c>
      <c r="G443" s="14" t="s">
        <v>343</v>
      </c>
      <c r="H443" s="14" t="s">
        <v>343</v>
      </c>
      <c r="U443" s="14">
        <v>1</v>
      </c>
      <c r="V443" s="14">
        <v>1</v>
      </c>
      <c r="W443" s="14">
        <v>1</v>
      </c>
      <c r="X443" s="14">
        <v>1</v>
      </c>
    </row>
    <row r="444" spans="1:24" hidden="1" x14ac:dyDescent="0.3">
      <c r="A444" s="14" t="s">
        <v>391</v>
      </c>
      <c r="B444" s="14" t="s">
        <v>47</v>
      </c>
      <c r="C444" s="14" t="s">
        <v>367</v>
      </c>
      <c r="D444" s="14" t="s">
        <v>368</v>
      </c>
      <c r="E444" s="14" t="s">
        <v>342</v>
      </c>
      <c r="F444" s="14" t="s">
        <v>343</v>
      </c>
      <c r="G444" s="14" t="s">
        <v>343</v>
      </c>
      <c r="H444" s="14" t="s">
        <v>343</v>
      </c>
      <c r="I444" s="14">
        <v>0.57999999999999996</v>
      </c>
      <c r="J444" s="14">
        <v>0.56999999999999995</v>
      </c>
      <c r="K444" s="14">
        <v>0.56000000000000005</v>
      </c>
      <c r="L444" s="14">
        <v>0.56000000000000005</v>
      </c>
      <c r="M444" s="14">
        <v>0.56999999999999995</v>
      </c>
      <c r="N444" s="14">
        <v>0.57999999999999996</v>
      </c>
      <c r="O444" s="14">
        <v>0.63</v>
      </c>
      <c r="P444" s="14">
        <v>0.59</v>
      </c>
      <c r="R444" s="14">
        <v>0.62</v>
      </c>
      <c r="S444" s="14">
        <v>0.64</v>
      </c>
      <c r="T444" s="14">
        <v>0.65</v>
      </c>
      <c r="U444" s="14">
        <v>0.65</v>
      </c>
      <c r="V444" s="14">
        <v>0.66</v>
      </c>
      <c r="W444" s="14">
        <v>0.65</v>
      </c>
      <c r="X444" s="14">
        <v>0.61</v>
      </c>
    </row>
    <row r="445" spans="1:24" hidden="1" x14ac:dyDescent="0.3">
      <c r="A445" s="14" t="s">
        <v>391</v>
      </c>
      <c r="B445" s="14" t="s">
        <v>47</v>
      </c>
      <c r="C445" s="14" t="s">
        <v>367</v>
      </c>
      <c r="D445" s="14" t="s">
        <v>368</v>
      </c>
      <c r="E445" s="14" t="s">
        <v>344</v>
      </c>
      <c r="F445" s="14" t="s">
        <v>343</v>
      </c>
      <c r="G445" s="14" t="s">
        <v>343</v>
      </c>
      <c r="H445" s="14" t="s">
        <v>343</v>
      </c>
      <c r="I445" s="14">
        <v>110</v>
      </c>
      <c r="J445" s="14">
        <v>123</v>
      </c>
      <c r="K445" s="14">
        <v>126</v>
      </c>
      <c r="L445" s="14">
        <v>131</v>
      </c>
      <c r="M445" s="14">
        <v>128</v>
      </c>
      <c r="N445" s="14">
        <v>128</v>
      </c>
      <c r="O445" s="14">
        <v>117</v>
      </c>
      <c r="P445" s="14">
        <v>126</v>
      </c>
      <c r="R445" s="14">
        <v>129</v>
      </c>
      <c r="S445" s="14">
        <v>127</v>
      </c>
      <c r="T445" s="14">
        <v>116</v>
      </c>
      <c r="U445" s="14">
        <v>118</v>
      </c>
      <c r="V445" s="14">
        <v>119</v>
      </c>
      <c r="W445" s="14">
        <v>123</v>
      </c>
      <c r="X445" s="14">
        <v>138</v>
      </c>
    </row>
    <row r="446" spans="1:24" hidden="1" x14ac:dyDescent="0.3">
      <c r="A446" s="14" t="s">
        <v>391</v>
      </c>
      <c r="B446" s="14" t="s">
        <v>47</v>
      </c>
      <c r="C446" s="14" t="s">
        <v>369</v>
      </c>
      <c r="D446" s="14" t="s">
        <v>370</v>
      </c>
      <c r="E446" s="14" t="s">
        <v>342</v>
      </c>
      <c r="F446" s="14" t="s">
        <v>343</v>
      </c>
      <c r="G446" s="14" t="s">
        <v>343</v>
      </c>
      <c r="H446" s="14" t="s">
        <v>343</v>
      </c>
      <c r="I446" s="14">
        <v>0.08</v>
      </c>
      <c r="J446" s="14">
        <v>0.09</v>
      </c>
      <c r="K446" s="14">
        <v>0.11</v>
      </c>
      <c r="L446" s="14">
        <v>0.11</v>
      </c>
      <c r="M446" s="14">
        <v>0.08</v>
      </c>
      <c r="N446" s="14">
        <v>7.0000000000000007E-2</v>
      </c>
      <c r="O446" s="14">
        <v>0.14000000000000001</v>
      </c>
      <c r="P446" s="14">
        <v>0.14000000000000001</v>
      </c>
      <c r="R446" s="14">
        <v>7.0000000000000007E-2</v>
      </c>
      <c r="S446" s="14">
        <v>7.0000000000000007E-2</v>
      </c>
      <c r="T446" s="14">
        <v>0.06</v>
      </c>
      <c r="U446" s="14">
        <v>0.06</v>
      </c>
      <c r="V446" s="14">
        <v>0.08</v>
      </c>
      <c r="W446" s="14">
        <v>0.09</v>
      </c>
      <c r="X446" s="14">
        <v>0.09</v>
      </c>
    </row>
    <row r="447" spans="1:24" hidden="1" x14ac:dyDescent="0.3">
      <c r="A447" s="14" t="s">
        <v>391</v>
      </c>
      <c r="B447" s="14" t="s">
        <v>47</v>
      </c>
      <c r="C447" s="14" t="s">
        <v>369</v>
      </c>
      <c r="D447" s="14" t="s">
        <v>370</v>
      </c>
      <c r="E447" s="14" t="s">
        <v>344</v>
      </c>
      <c r="F447" s="14" t="s">
        <v>343</v>
      </c>
      <c r="G447" s="14" t="s">
        <v>343</v>
      </c>
      <c r="H447" s="14" t="s">
        <v>343</v>
      </c>
      <c r="I447" s="14">
        <v>76</v>
      </c>
      <c r="J447" s="14">
        <v>81</v>
      </c>
      <c r="K447" s="14">
        <v>75</v>
      </c>
      <c r="L447" s="14">
        <v>79</v>
      </c>
      <c r="M447" s="14">
        <v>100</v>
      </c>
      <c r="N447" s="14">
        <v>104</v>
      </c>
      <c r="O447" s="14">
        <v>69</v>
      </c>
      <c r="P447" s="14">
        <v>72</v>
      </c>
      <c r="R447" s="14">
        <v>127</v>
      </c>
      <c r="S447" s="14">
        <v>128</v>
      </c>
      <c r="T447" s="14">
        <v>129</v>
      </c>
      <c r="U447" s="14">
        <v>134</v>
      </c>
      <c r="V447" s="14">
        <v>134</v>
      </c>
      <c r="W447" s="14">
        <v>131</v>
      </c>
      <c r="X447" s="14">
        <v>126</v>
      </c>
    </row>
    <row r="448" spans="1:24" hidden="1" x14ac:dyDescent="0.3">
      <c r="A448" s="14" t="s">
        <v>391</v>
      </c>
      <c r="B448" s="14" t="s">
        <v>47</v>
      </c>
      <c r="C448" s="14" t="s">
        <v>371</v>
      </c>
      <c r="D448" s="14" t="s">
        <v>372</v>
      </c>
      <c r="E448" s="14" t="s">
        <v>342</v>
      </c>
      <c r="F448" s="14" t="s">
        <v>343</v>
      </c>
      <c r="G448" s="14" t="s">
        <v>343</v>
      </c>
      <c r="H448" s="14" t="s">
        <v>343</v>
      </c>
      <c r="U448" s="14">
        <v>0</v>
      </c>
      <c r="V448" s="14">
        <v>0</v>
      </c>
      <c r="W448" s="14">
        <v>0</v>
      </c>
      <c r="X448" s="14">
        <v>0</v>
      </c>
    </row>
    <row r="449" spans="1:24" hidden="1" x14ac:dyDescent="0.3">
      <c r="A449" s="14" t="s">
        <v>391</v>
      </c>
      <c r="B449" s="14" t="s">
        <v>47</v>
      </c>
      <c r="C449" s="14" t="s">
        <v>371</v>
      </c>
      <c r="D449" s="14" t="s">
        <v>372</v>
      </c>
      <c r="E449" s="14" t="s">
        <v>344</v>
      </c>
      <c r="F449" s="14" t="s">
        <v>343</v>
      </c>
      <c r="G449" s="14" t="s">
        <v>343</v>
      </c>
      <c r="H449" s="14" t="s">
        <v>343</v>
      </c>
      <c r="U449" s="14">
        <v>71</v>
      </c>
      <c r="V449" s="14">
        <v>73</v>
      </c>
      <c r="W449" s="14">
        <v>76</v>
      </c>
      <c r="X449" s="14">
        <v>78</v>
      </c>
    </row>
    <row r="450" spans="1:24" hidden="1" x14ac:dyDescent="0.3">
      <c r="A450" s="14" t="s">
        <v>391</v>
      </c>
      <c r="B450" s="14" t="s">
        <v>47</v>
      </c>
      <c r="C450" s="14" t="s">
        <v>373</v>
      </c>
      <c r="D450" s="14" t="s">
        <v>374</v>
      </c>
      <c r="E450" s="14" t="s">
        <v>342</v>
      </c>
      <c r="F450" s="14" t="s">
        <v>343</v>
      </c>
      <c r="G450" s="14" t="s">
        <v>343</v>
      </c>
      <c r="H450" s="14" t="s">
        <v>343</v>
      </c>
      <c r="U450" s="14">
        <v>0.17</v>
      </c>
      <c r="V450" s="14">
        <v>0.22</v>
      </c>
      <c r="W450" s="14">
        <v>0.26</v>
      </c>
      <c r="X450" s="14">
        <v>0.26</v>
      </c>
    </row>
    <row r="451" spans="1:24" hidden="1" x14ac:dyDescent="0.3">
      <c r="A451" s="14" t="s">
        <v>391</v>
      </c>
      <c r="B451" s="14" t="s">
        <v>47</v>
      </c>
      <c r="C451" s="14" t="s">
        <v>373</v>
      </c>
      <c r="D451" s="14" t="s">
        <v>374</v>
      </c>
      <c r="E451" s="14" t="s">
        <v>344</v>
      </c>
      <c r="F451" s="14" t="s">
        <v>343</v>
      </c>
      <c r="G451" s="14" t="s">
        <v>343</v>
      </c>
      <c r="H451" s="14" t="s">
        <v>343</v>
      </c>
      <c r="U451" s="14">
        <v>95</v>
      </c>
      <c r="V451" s="14">
        <v>90</v>
      </c>
      <c r="W451" s="14">
        <v>81</v>
      </c>
      <c r="X451" s="14">
        <v>76</v>
      </c>
    </row>
    <row r="452" spans="1:24" hidden="1" x14ac:dyDescent="0.3">
      <c r="A452" s="14" t="s">
        <v>391</v>
      </c>
      <c r="B452" s="14" t="s">
        <v>47</v>
      </c>
      <c r="C452" s="14" t="s">
        <v>375</v>
      </c>
      <c r="D452" s="14" t="s">
        <v>376</v>
      </c>
      <c r="E452" s="14" t="s">
        <v>342</v>
      </c>
      <c r="F452" s="14" t="s">
        <v>343</v>
      </c>
      <c r="G452" s="14" t="s">
        <v>343</v>
      </c>
      <c r="H452" s="14" t="s">
        <v>343</v>
      </c>
      <c r="U452" s="14">
        <v>0.08</v>
      </c>
      <c r="V452" s="14">
        <v>0.08</v>
      </c>
      <c r="W452" s="14">
        <v>0.09</v>
      </c>
      <c r="X452" s="14">
        <v>0.08</v>
      </c>
    </row>
    <row r="453" spans="1:24" hidden="1" x14ac:dyDescent="0.3">
      <c r="A453" s="14" t="s">
        <v>391</v>
      </c>
      <c r="B453" s="14" t="s">
        <v>47</v>
      </c>
      <c r="C453" s="14" t="s">
        <v>375</v>
      </c>
      <c r="D453" s="14" t="s">
        <v>376</v>
      </c>
      <c r="E453" s="14" t="s">
        <v>344</v>
      </c>
      <c r="F453" s="14" t="s">
        <v>343</v>
      </c>
      <c r="G453" s="14" t="s">
        <v>343</v>
      </c>
      <c r="H453" s="14" t="s">
        <v>343</v>
      </c>
      <c r="U453" s="14">
        <v>140</v>
      </c>
      <c r="V453" s="14">
        <v>143</v>
      </c>
      <c r="W453" s="14">
        <v>145</v>
      </c>
      <c r="X453" s="14">
        <v>136</v>
      </c>
    </row>
    <row r="454" spans="1:24" hidden="1" x14ac:dyDescent="0.3">
      <c r="A454" s="14" t="s">
        <v>392</v>
      </c>
      <c r="B454" s="14" t="s">
        <v>57</v>
      </c>
      <c r="C454" s="14" t="s">
        <v>340</v>
      </c>
      <c r="D454" s="14" t="s">
        <v>341</v>
      </c>
      <c r="E454" s="14" t="s">
        <v>342</v>
      </c>
      <c r="F454" s="14" t="s">
        <v>343</v>
      </c>
      <c r="G454" s="14" t="s">
        <v>343</v>
      </c>
      <c r="H454" s="14" t="s">
        <v>343</v>
      </c>
      <c r="I454" s="14">
        <v>0.65</v>
      </c>
      <c r="J454" s="14">
        <v>0.68</v>
      </c>
      <c r="K454" s="14">
        <v>0.71</v>
      </c>
      <c r="L454" s="14">
        <v>0.73</v>
      </c>
      <c r="M454" s="14">
        <v>0.75</v>
      </c>
      <c r="N454" s="14">
        <v>0.76</v>
      </c>
      <c r="O454" s="14">
        <v>0.79</v>
      </c>
      <c r="P454" s="14">
        <v>0.8</v>
      </c>
      <c r="Q454" s="14">
        <v>0.8</v>
      </c>
      <c r="R454" s="14">
        <v>0.83</v>
      </c>
      <c r="S454" s="14">
        <v>0.81</v>
      </c>
      <c r="T454" s="14">
        <v>0.83</v>
      </c>
      <c r="U454" s="14">
        <v>0.85</v>
      </c>
      <c r="V454" s="14">
        <v>0.87</v>
      </c>
      <c r="W454" s="14">
        <v>0.87</v>
      </c>
      <c r="X454" s="14">
        <v>0.88</v>
      </c>
    </row>
    <row r="455" spans="1:24" hidden="1" x14ac:dyDescent="0.3">
      <c r="A455" s="14" t="s">
        <v>392</v>
      </c>
      <c r="B455" s="14" t="s">
        <v>57</v>
      </c>
      <c r="C455" s="14" t="s">
        <v>340</v>
      </c>
      <c r="D455" s="14" t="s">
        <v>341</v>
      </c>
      <c r="E455" s="14" t="s">
        <v>344</v>
      </c>
      <c r="F455" s="14" t="s">
        <v>343</v>
      </c>
      <c r="G455" s="14" t="s">
        <v>343</v>
      </c>
      <c r="H455" s="14" t="s">
        <v>343</v>
      </c>
      <c r="I455" s="14">
        <v>112</v>
      </c>
      <c r="J455" s="14">
        <v>124</v>
      </c>
      <c r="K455" s="14">
        <v>125</v>
      </c>
      <c r="L455" s="14">
        <v>129</v>
      </c>
      <c r="M455" s="14">
        <v>128</v>
      </c>
      <c r="N455" s="14">
        <v>129</v>
      </c>
      <c r="O455" s="14">
        <v>125</v>
      </c>
      <c r="P455" s="14">
        <v>128</v>
      </c>
      <c r="Q455" s="14">
        <v>133</v>
      </c>
      <c r="R455" s="14">
        <v>134</v>
      </c>
      <c r="S455" s="14">
        <v>136</v>
      </c>
      <c r="T455" s="14">
        <v>133</v>
      </c>
      <c r="U455" s="14">
        <v>135</v>
      </c>
      <c r="V455" s="14">
        <v>138</v>
      </c>
      <c r="W455" s="14">
        <v>139</v>
      </c>
      <c r="X455" s="14">
        <v>131</v>
      </c>
    </row>
    <row r="456" spans="1:24" hidden="1" x14ac:dyDescent="0.3">
      <c r="A456" s="14" t="s">
        <v>392</v>
      </c>
      <c r="B456" s="14" t="s">
        <v>57</v>
      </c>
      <c r="C456" s="14" t="s">
        <v>345</v>
      </c>
      <c r="D456" s="14" t="s">
        <v>346</v>
      </c>
      <c r="E456" s="14" t="s">
        <v>342</v>
      </c>
      <c r="F456" s="14" t="s">
        <v>343</v>
      </c>
      <c r="G456" s="14" t="s">
        <v>343</v>
      </c>
      <c r="H456" s="14" t="s">
        <v>343</v>
      </c>
      <c r="U456" s="14">
        <v>0.66</v>
      </c>
      <c r="V456" s="14">
        <v>0.6</v>
      </c>
      <c r="W456" s="14">
        <v>0.56999999999999995</v>
      </c>
      <c r="X456" s="14">
        <v>0.56999999999999995</v>
      </c>
    </row>
    <row r="457" spans="1:24" hidden="1" x14ac:dyDescent="0.3">
      <c r="A457" s="14" t="s">
        <v>392</v>
      </c>
      <c r="B457" s="14" t="s">
        <v>57</v>
      </c>
      <c r="C457" s="14" t="s">
        <v>345</v>
      </c>
      <c r="D457" s="14" t="s">
        <v>346</v>
      </c>
      <c r="E457" s="14" t="s">
        <v>344</v>
      </c>
      <c r="F457" s="14" t="s">
        <v>343</v>
      </c>
      <c r="G457" s="14" t="s">
        <v>343</v>
      </c>
      <c r="H457" s="14" t="s">
        <v>343</v>
      </c>
      <c r="U457" s="14">
        <v>53</v>
      </c>
      <c r="V457" s="14">
        <v>83</v>
      </c>
      <c r="W457" s="14">
        <v>98</v>
      </c>
      <c r="X457" s="14">
        <v>98</v>
      </c>
    </row>
    <row r="458" spans="1:24" hidden="1" x14ac:dyDescent="0.3">
      <c r="A458" s="14" t="s">
        <v>392</v>
      </c>
      <c r="B458" s="14" t="s">
        <v>57</v>
      </c>
      <c r="C458" s="14" t="s">
        <v>347</v>
      </c>
      <c r="D458" s="14" t="s">
        <v>348</v>
      </c>
      <c r="E458" s="14" t="s">
        <v>342</v>
      </c>
      <c r="F458" s="14" t="s">
        <v>343</v>
      </c>
      <c r="G458" s="14" t="s">
        <v>343</v>
      </c>
      <c r="H458" s="14" t="s">
        <v>343</v>
      </c>
      <c r="U458" s="14">
        <v>0.78</v>
      </c>
      <c r="V458" s="14">
        <v>0.79</v>
      </c>
      <c r="W458" s="14">
        <v>0.79</v>
      </c>
      <c r="X458" s="14">
        <v>0.79</v>
      </c>
    </row>
    <row r="459" spans="1:24" hidden="1" x14ac:dyDescent="0.3">
      <c r="A459" s="14" t="s">
        <v>392</v>
      </c>
      <c r="B459" s="14" t="s">
        <v>57</v>
      </c>
      <c r="C459" s="14" t="s">
        <v>347</v>
      </c>
      <c r="D459" s="14" t="s">
        <v>348</v>
      </c>
      <c r="E459" s="14" t="s">
        <v>344</v>
      </c>
      <c r="F459" s="14" t="s">
        <v>343</v>
      </c>
      <c r="G459" s="14" t="s">
        <v>343</v>
      </c>
      <c r="H459" s="14" t="s">
        <v>343</v>
      </c>
      <c r="U459" s="14">
        <v>82</v>
      </c>
      <c r="V459" s="14">
        <v>86</v>
      </c>
      <c r="W459" s="14">
        <v>87</v>
      </c>
      <c r="X459" s="14">
        <v>66</v>
      </c>
    </row>
    <row r="460" spans="1:24" hidden="1" x14ac:dyDescent="0.3">
      <c r="A460" s="14" t="s">
        <v>392</v>
      </c>
      <c r="B460" s="14" t="s">
        <v>57</v>
      </c>
      <c r="C460" s="14" t="s">
        <v>349</v>
      </c>
      <c r="D460" s="14" t="s">
        <v>350</v>
      </c>
      <c r="E460" s="14" t="s">
        <v>342</v>
      </c>
      <c r="F460" s="14" t="s">
        <v>343</v>
      </c>
      <c r="G460" s="14" t="s">
        <v>343</v>
      </c>
      <c r="H460" s="14" t="s">
        <v>343</v>
      </c>
      <c r="U460" s="14">
        <v>0.45</v>
      </c>
      <c r="V460" s="14">
        <v>0.45</v>
      </c>
      <c r="W460" s="14">
        <v>1</v>
      </c>
      <c r="X460" s="14">
        <v>1</v>
      </c>
    </row>
    <row r="461" spans="1:24" hidden="1" x14ac:dyDescent="0.3">
      <c r="A461" s="14" t="s">
        <v>392</v>
      </c>
      <c r="B461" s="14" t="s">
        <v>57</v>
      </c>
      <c r="C461" s="14" t="s">
        <v>349</v>
      </c>
      <c r="D461" s="14" t="s">
        <v>350</v>
      </c>
      <c r="E461" s="14" t="s">
        <v>344</v>
      </c>
      <c r="F461" s="14" t="s">
        <v>343</v>
      </c>
      <c r="G461" s="14" t="s">
        <v>343</v>
      </c>
      <c r="H461" s="14" t="s">
        <v>343</v>
      </c>
      <c r="U461" s="14">
        <v>77</v>
      </c>
      <c r="V461" s="14">
        <v>83</v>
      </c>
      <c r="W461" s="14">
        <v>1</v>
      </c>
      <c r="X461" s="14">
        <v>1</v>
      </c>
    </row>
    <row r="462" spans="1:24" hidden="1" x14ac:dyDescent="0.3">
      <c r="A462" s="14" t="s">
        <v>392</v>
      </c>
      <c r="B462" s="14" t="s">
        <v>57</v>
      </c>
      <c r="C462" s="14" t="s">
        <v>351</v>
      </c>
      <c r="D462" s="14" t="s">
        <v>352</v>
      </c>
      <c r="E462" s="14" t="s">
        <v>342</v>
      </c>
      <c r="F462" s="14" t="s">
        <v>343</v>
      </c>
      <c r="G462" s="14" t="s">
        <v>343</v>
      </c>
      <c r="H462" s="14" t="s">
        <v>343</v>
      </c>
      <c r="U462" s="14">
        <v>0.33</v>
      </c>
      <c r="V462" s="14">
        <v>0.33</v>
      </c>
      <c r="W462" s="14">
        <v>0.33</v>
      </c>
      <c r="X462" s="14">
        <v>0.56999999999999995</v>
      </c>
    </row>
    <row r="463" spans="1:24" hidden="1" x14ac:dyDescent="0.3">
      <c r="A463" s="14" t="s">
        <v>392</v>
      </c>
      <c r="B463" s="14" t="s">
        <v>57</v>
      </c>
      <c r="C463" s="14" t="s">
        <v>351</v>
      </c>
      <c r="D463" s="14" t="s">
        <v>352</v>
      </c>
      <c r="E463" s="14" t="s">
        <v>344</v>
      </c>
      <c r="F463" s="14" t="s">
        <v>343</v>
      </c>
      <c r="G463" s="14" t="s">
        <v>343</v>
      </c>
      <c r="H463" s="14" t="s">
        <v>343</v>
      </c>
      <c r="U463" s="14">
        <v>134</v>
      </c>
      <c r="V463" s="14">
        <v>138</v>
      </c>
      <c r="W463" s="14">
        <v>141</v>
      </c>
      <c r="X463" s="14">
        <v>109</v>
      </c>
    </row>
    <row r="464" spans="1:24" hidden="1" x14ac:dyDescent="0.3">
      <c r="A464" s="14" t="s">
        <v>392</v>
      </c>
      <c r="B464" s="14" t="s">
        <v>57</v>
      </c>
      <c r="C464" s="14" t="s">
        <v>378</v>
      </c>
      <c r="D464" s="14" t="s">
        <v>379</v>
      </c>
      <c r="E464" s="14" t="s">
        <v>342</v>
      </c>
      <c r="F464" s="14" t="s">
        <v>343</v>
      </c>
      <c r="G464" s="14" t="s">
        <v>343</v>
      </c>
      <c r="H464" s="14" t="s">
        <v>343</v>
      </c>
      <c r="S464" s="14">
        <v>0.66</v>
      </c>
      <c r="U464" s="14">
        <v>0.69</v>
      </c>
      <c r="V464" s="14">
        <v>0.7</v>
      </c>
      <c r="W464" s="14">
        <v>0.7</v>
      </c>
      <c r="X464" s="14">
        <v>0.7</v>
      </c>
    </row>
    <row r="465" spans="1:24" hidden="1" x14ac:dyDescent="0.3">
      <c r="A465" s="14" t="s">
        <v>392</v>
      </c>
      <c r="B465" s="14" t="s">
        <v>57</v>
      </c>
      <c r="C465" s="14" t="s">
        <v>378</v>
      </c>
      <c r="D465" s="14" t="s">
        <v>379</v>
      </c>
      <c r="E465" s="14" t="s">
        <v>344</v>
      </c>
      <c r="F465" s="14" t="s">
        <v>343</v>
      </c>
      <c r="G465" s="14" t="s">
        <v>343</v>
      </c>
      <c r="H465" s="14" t="s">
        <v>343</v>
      </c>
      <c r="S465" s="14">
        <v>57</v>
      </c>
      <c r="U465" s="14">
        <v>47</v>
      </c>
      <c r="V465" s="14">
        <v>45</v>
      </c>
      <c r="W465" s="14">
        <v>53</v>
      </c>
      <c r="X465" s="14">
        <v>51</v>
      </c>
    </row>
    <row r="466" spans="1:24" hidden="1" x14ac:dyDescent="0.3">
      <c r="A466" s="14" t="s">
        <v>392</v>
      </c>
      <c r="B466" s="14" t="s">
        <v>57</v>
      </c>
      <c r="C466" s="14" t="s">
        <v>353</v>
      </c>
      <c r="D466" s="14" t="s">
        <v>354</v>
      </c>
      <c r="E466" s="14" t="s">
        <v>342</v>
      </c>
      <c r="F466" s="14" t="s">
        <v>343</v>
      </c>
      <c r="G466" s="14" t="s">
        <v>343</v>
      </c>
      <c r="H466" s="14" t="s">
        <v>343</v>
      </c>
      <c r="U466" s="14">
        <v>0.59</v>
      </c>
      <c r="V466" s="14">
        <v>0.65</v>
      </c>
      <c r="W466" s="14">
        <v>0.65</v>
      </c>
      <c r="X466" s="14">
        <v>0.63</v>
      </c>
    </row>
    <row r="467" spans="1:24" hidden="1" x14ac:dyDescent="0.3">
      <c r="A467" s="14" t="s">
        <v>392</v>
      </c>
      <c r="B467" s="14" t="s">
        <v>57</v>
      </c>
      <c r="C467" s="14" t="s">
        <v>353</v>
      </c>
      <c r="D467" s="14" t="s">
        <v>354</v>
      </c>
      <c r="E467" s="14" t="s">
        <v>344</v>
      </c>
      <c r="F467" s="14" t="s">
        <v>343</v>
      </c>
      <c r="G467" s="14" t="s">
        <v>343</v>
      </c>
      <c r="H467" s="14" t="s">
        <v>343</v>
      </c>
      <c r="U467" s="14">
        <v>137</v>
      </c>
      <c r="V467" s="14">
        <v>144</v>
      </c>
      <c r="W467" s="14">
        <v>145</v>
      </c>
      <c r="X467" s="14">
        <v>135</v>
      </c>
    </row>
    <row r="468" spans="1:24" hidden="1" x14ac:dyDescent="0.3">
      <c r="A468" s="14" t="s">
        <v>392</v>
      </c>
      <c r="B468" s="14" t="s">
        <v>57</v>
      </c>
      <c r="C468" s="14" t="s">
        <v>380</v>
      </c>
      <c r="D468" s="14" t="s">
        <v>381</v>
      </c>
      <c r="E468" s="14" t="s">
        <v>342</v>
      </c>
      <c r="F468" s="14" t="s">
        <v>343</v>
      </c>
      <c r="G468" s="14" t="s">
        <v>343</v>
      </c>
      <c r="H468" s="14" t="s">
        <v>343</v>
      </c>
      <c r="U468" s="14">
        <v>0.98</v>
      </c>
      <c r="V468" s="14">
        <v>0.98</v>
      </c>
      <c r="W468" s="14">
        <v>0.98</v>
      </c>
      <c r="X468" s="14">
        <v>1</v>
      </c>
    </row>
    <row r="469" spans="1:24" hidden="1" x14ac:dyDescent="0.3">
      <c r="A469" s="14" t="s">
        <v>392</v>
      </c>
      <c r="B469" s="14" t="s">
        <v>57</v>
      </c>
      <c r="C469" s="14" t="s">
        <v>380</v>
      </c>
      <c r="D469" s="14" t="s">
        <v>381</v>
      </c>
      <c r="E469" s="14" t="s">
        <v>344</v>
      </c>
      <c r="F469" s="14" t="s">
        <v>343</v>
      </c>
      <c r="G469" s="14" t="s">
        <v>343</v>
      </c>
      <c r="H469" s="14" t="s">
        <v>343</v>
      </c>
      <c r="U469" s="14">
        <v>118</v>
      </c>
      <c r="V469" s="14">
        <v>128</v>
      </c>
      <c r="W469" s="14">
        <v>128</v>
      </c>
      <c r="X469" s="14">
        <v>75</v>
      </c>
    </row>
    <row r="470" spans="1:24" hidden="1" x14ac:dyDescent="0.3">
      <c r="A470" s="14" t="s">
        <v>392</v>
      </c>
      <c r="B470" s="14" t="s">
        <v>57</v>
      </c>
      <c r="C470" s="14" t="s">
        <v>355</v>
      </c>
      <c r="D470" s="14" t="s">
        <v>356</v>
      </c>
      <c r="E470" s="14" t="s">
        <v>342</v>
      </c>
      <c r="F470" s="14" t="s">
        <v>343</v>
      </c>
      <c r="G470" s="14" t="s">
        <v>343</v>
      </c>
      <c r="H470" s="14" t="s">
        <v>343</v>
      </c>
      <c r="U470" s="14">
        <v>1</v>
      </c>
      <c r="V470" s="14">
        <v>1</v>
      </c>
      <c r="W470" s="14">
        <v>1</v>
      </c>
      <c r="X470" s="14">
        <v>1</v>
      </c>
    </row>
    <row r="471" spans="1:24" hidden="1" x14ac:dyDescent="0.3">
      <c r="A471" s="14" t="s">
        <v>392</v>
      </c>
      <c r="B471" s="14" t="s">
        <v>57</v>
      </c>
      <c r="C471" s="14" t="s">
        <v>355</v>
      </c>
      <c r="D471" s="14" t="s">
        <v>356</v>
      </c>
      <c r="E471" s="14" t="s">
        <v>344</v>
      </c>
      <c r="F471" s="14" t="s">
        <v>343</v>
      </c>
      <c r="G471" s="14" t="s">
        <v>343</v>
      </c>
      <c r="H471" s="14" t="s">
        <v>343</v>
      </c>
      <c r="U471" s="14">
        <v>1</v>
      </c>
      <c r="V471" s="14">
        <v>1</v>
      </c>
      <c r="W471" s="14">
        <v>1</v>
      </c>
      <c r="X471" s="14">
        <v>1</v>
      </c>
    </row>
    <row r="472" spans="1:24" hidden="1" x14ac:dyDescent="0.3">
      <c r="A472" s="14" t="s">
        <v>392</v>
      </c>
      <c r="B472" s="14" t="s">
        <v>57</v>
      </c>
      <c r="C472" s="14" t="s">
        <v>357</v>
      </c>
      <c r="D472" s="14" t="s">
        <v>358</v>
      </c>
      <c r="E472" s="14" t="s">
        <v>342</v>
      </c>
      <c r="F472" s="14" t="s">
        <v>343</v>
      </c>
      <c r="G472" s="14" t="s">
        <v>343</v>
      </c>
      <c r="H472" s="14" t="s">
        <v>343</v>
      </c>
      <c r="U472" s="14">
        <v>0.52</v>
      </c>
      <c r="V472" s="14">
        <v>0.57999999999999996</v>
      </c>
      <c r="W472" s="14">
        <v>0.57999999999999996</v>
      </c>
      <c r="X472" s="14">
        <v>0.55000000000000004</v>
      </c>
    </row>
    <row r="473" spans="1:24" hidden="1" x14ac:dyDescent="0.3">
      <c r="A473" s="14" t="s">
        <v>392</v>
      </c>
      <c r="B473" s="14" t="s">
        <v>57</v>
      </c>
      <c r="C473" s="14" t="s">
        <v>357</v>
      </c>
      <c r="D473" s="14" t="s">
        <v>358</v>
      </c>
      <c r="E473" s="14" t="s">
        <v>344</v>
      </c>
      <c r="F473" s="14" t="s">
        <v>343</v>
      </c>
      <c r="G473" s="14" t="s">
        <v>343</v>
      </c>
      <c r="H473" s="14" t="s">
        <v>343</v>
      </c>
      <c r="U473" s="14">
        <v>129</v>
      </c>
      <c r="V473" s="14">
        <v>136</v>
      </c>
      <c r="W473" s="14">
        <v>137</v>
      </c>
      <c r="X473" s="14">
        <v>131</v>
      </c>
    </row>
    <row r="474" spans="1:24" hidden="1" x14ac:dyDescent="0.3">
      <c r="A474" s="14" t="s">
        <v>392</v>
      </c>
      <c r="B474" s="14" t="s">
        <v>57</v>
      </c>
      <c r="C474" s="14" t="s">
        <v>359</v>
      </c>
      <c r="D474" s="14" t="s">
        <v>360</v>
      </c>
      <c r="E474" s="14" t="s">
        <v>342</v>
      </c>
      <c r="F474" s="14" t="s">
        <v>343</v>
      </c>
      <c r="G474" s="14" t="s">
        <v>343</v>
      </c>
      <c r="H474" s="14" t="s">
        <v>343</v>
      </c>
      <c r="I474" s="14">
        <v>0.64</v>
      </c>
      <c r="J474" s="14">
        <v>0.63</v>
      </c>
      <c r="K474" s="14">
        <v>0.64</v>
      </c>
      <c r="L474" s="14">
        <v>0.64</v>
      </c>
      <c r="M474" s="14">
        <v>0.64</v>
      </c>
      <c r="N474" s="14">
        <v>0.63</v>
      </c>
      <c r="O474" s="14">
        <v>0.74</v>
      </c>
      <c r="P474" s="14">
        <v>0.75</v>
      </c>
      <c r="Q474" s="14">
        <v>0.72</v>
      </c>
      <c r="R474" s="14">
        <v>0.72</v>
      </c>
      <c r="S474" s="14">
        <v>0.71</v>
      </c>
      <c r="T474" s="14">
        <v>0.72</v>
      </c>
      <c r="U474" s="14">
        <v>0.62</v>
      </c>
      <c r="V474" s="14">
        <v>0.61</v>
      </c>
      <c r="W474" s="14">
        <v>0.69</v>
      </c>
      <c r="X474" s="14">
        <v>0.72</v>
      </c>
    </row>
    <row r="475" spans="1:24" hidden="1" x14ac:dyDescent="0.3">
      <c r="A475" s="14" t="s">
        <v>392</v>
      </c>
      <c r="B475" s="14" t="s">
        <v>57</v>
      </c>
      <c r="C475" s="14" t="s">
        <v>359</v>
      </c>
      <c r="D475" s="14" t="s">
        <v>360</v>
      </c>
      <c r="E475" s="14" t="s">
        <v>344</v>
      </c>
      <c r="F475" s="14" t="s">
        <v>343</v>
      </c>
      <c r="G475" s="14" t="s">
        <v>343</v>
      </c>
      <c r="H475" s="14" t="s">
        <v>343</v>
      </c>
      <c r="I475" s="14">
        <v>49</v>
      </c>
      <c r="J475" s="14">
        <v>67</v>
      </c>
      <c r="K475" s="14">
        <v>67</v>
      </c>
      <c r="L475" s="14">
        <v>72</v>
      </c>
      <c r="M475" s="14">
        <v>69</v>
      </c>
      <c r="N475" s="14">
        <v>76</v>
      </c>
      <c r="O475" s="14">
        <v>32</v>
      </c>
      <c r="P475" s="14">
        <v>28</v>
      </c>
      <c r="Q475" s="14">
        <v>43</v>
      </c>
      <c r="R475" s="14">
        <v>45</v>
      </c>
      <c r="S475" s="14">
        <v>44</v>
      </c>
      <c r="T475" s="14">
        <v>47</v>
      </c>
      <c r="U475" s="14">
        <v>99</v>
      </c>
      <c r="V475" s="14">
        <v>108</v>
      </c>
      <c r="W475" s="14">
        <v>77</v>
      </c>
      <c r="X475" s="14">
        <v>57</v>
      </c>
    </row>
    <row r="476" spans="1:24" x14ac:dyDescent="0.3">
      <c r="A476" s="14" t="s">
        <v>392</v>
      </c>
      <c r="B476" s="14" t="s">
        <v>57</v>
      </c>
      <c r="C476" s="14" t="s">
        <v>361</v>
      </c>
      <c r="D476" s="14" t="s">
        <v>362</v>
      </c>
      <c r="E476" s="14" t="s">
        <v>342</v>
      </c>
      <c r="F476" s="14" t="s">
        <v>343</v>
      </c>
      <c r="G476" s="14" t="s">
        <v>343</v>
      </c>
      <c r="H476" s="14" t="s">
        <v>343</v>
      </c>
      <c r="I476" s="14">
        <v>0.97</v>
      </c>
      <c r="J476" s="14">
        <v>0.97</v>
      </c>
      <c r="K476" s="14">
        <v>0.97</v>
      </c>
      <c r="L476" s="14">
        <v>0.97</v>
      </c>
      <c r="M476" s="14">
        <v>0.97</v>
      </c>
      <c r="N476" s="14">
        <v>0.97</v>
      </c>
      <c r="O476" s="14">
        <v>0.97</v>
      </c>
      <c r="P476" s="14">
        <v>0.97</v>
      </c>
      <c r="Q476" s="14">
        <v>0.97</v>
      </c>
      <c r="R476" s="14">
        <v>0.97</v>
      </c>
      <c r="S476" s="14">
        <v>0.97</v>
      </c>
      <c r="T476" s="14">
        <v>0.96</v>
      </c>
      <c r="U476" s="14">
        <v>0.96</v>
      </c>
      <c r="V476" s="14">
        <v>0.96</v>
      </c>
      <c r="W476" s="14">
        <v>0.98</v>
      </c>
      <c r="X476" s="14">
        <v>0.98</v>
      </c>
    </row>
    <row r="477" spans="1:24" hidden="1" x14ac:dyDescent="0.3">
      <c r="A477" s="14" t="s">
        <v>392</v>
      </c>
      <c r="B477" s="14" t="s">
        <v>57</v>
      </c>
      <c r="C477" s="14" t="s">
        <v>361</v>
      </c>
      <c r="D477" s="14" t="s">
        <v>362</v>
      </c>
      <c r="E477" s="14" t="s">
        <v>344</v>
      </c>
      <c r="F477" s="14" t="s">
        <v>343</v>
      </c>
      <c r="G477" s="14" t="s">
        <v>343</v>
      </c>
      <c r="H477" s="14" t="s">
        <v>343</v>
      </c>
      <c r="I477" s="14">
        <v>68</v>
      </c>
      <c r="J477" s="14">
        <v>92</v>
      </c>
      <c r="K477" s="14">
        <v>93</v>
      </c>
      <c r="L477" s="14">
        <v>98</v>
      </c>
      <c r="M477" s="14">
        <v>98</v>
      </c>
      <c r="N477" s="14">
        <v>98</v>
      </c>
      <c r="O477" s="14">
        <v>100</v>
      </c>
      <c r="P477" s="14">
        <v>99</v>
      </c>
      <c r="Q477" s="14">
        <v>110</v>
      </c>
      <c r="R477" s="14">
        <v>117</v>
      </c>
      <c r="S477" s="14">
        <v>116</v>
      </c>
      <c r="T477" s="14">
        <v>134</v>
      </c>
      <c r="U477" s="14">
        <v>133</v>
      </c>
      <c r="V477" s="14">
        <v>137</v>
      </c>
      <c r="W477" s="14">
        <v>43</v>
      </c>
      <c r="X477" s="14">
        <v>43</v>
      </c>
    </row>
    <row r="478" spans="1:24" hidden="1" x14ac:dyDescent="0.3">
      <c r="A478" s="14" t="s">
        <v>392</v>
      </c>
      <c r="B478" s="14" t="s">
        <v>57</v>
      </c>
      <c r="C478" s="14" t="s">
        <v>363</v>
      </c>
      <c r="D478" s="14" t="s">
        <v>364</v>
      </c>
      <c r="E478" s="14" t="s">
        <v>342</v>
      </c>
      <c r="F478" s="14" t="s">
        <v>343</v>
      </c>
      <c r="G478" s="14" t="s">
        <v>343</v>
      </c>
      <c r="H478" s="14" t="s">
        <v>343</v>
      </c>
      <c r="U478" s="14">
        <v>1.01</v>
      </c>
      <c r="V478" s="14">
        <v>1.01</v>
      </c>
      <c r="W478" s="14">
        <v>1.05</v>
      </c>
      <c r="X478" s="14">
        <v>1.05</v>
      </c>
    </row>
    <row r="479" spans="1:24" hidden="1" x14ac:dyDescent="0.3">
      <c r="A479" s="14" t="s">
        <v>392</v>
      </c>
      <c r="B479" s="14" t="s">
        <v>57</v>
      </c>
      <c r="C479" s="14" t="s">
        <v>363</v>
      </c>
      <c r="D479" s="14" t="s">
        <v>364</v>
      </c>
      <c r="E479" s="14" t="s">
        <v>344</v>
      </c>
      <c r="F479" s="14" t="s">
        <v>343</v>
      </c>
      <c r="G479" s="14" t="s">
        <v>343</v>
      </c>
      <c r="H479" s="14" t="s">
        <v>343</v>
      </c>
      <c r="U479" s="14">
        <v>140</v>
      </c>
      <c r="V479" s="14">
        <v>144</v>
      </c>
      <c r="W479" s="14">
        <v>52</v>
      </c>
      <c r="X479" s="14">
        <v>51</v>
      </c>
    </row>
    <row r="480" spans="1:24" hidden="1" x14ac:dyDescent="0.3">
      <c r="A480" s="14" t="s">
        <v>392</v>
      </c>
      <c r="B480" s="14" t="s">
        <v>57</v>
      </c>
      <c r="C480" s="14" t="s">
        <v>365</v>
      </c>
      <c r="D480" s="14" t="s">
        <v>366</v>
      </c>
      <c r="E480" s="14" t="s">
        <v>342</v>
      </c>
      <c r="F480" s="14" t="s">
        <v>343</v>
      </c>
      <c r="G480" s="14" t="s">
        <v>343</v>
      </c>
      <c r="H480" s="14" t="s">
        <v>343</v>
      </c>
      <c r="U480" s="14">
        <v>0.94</v>
      </c>
      <c r="V480" s="14">
        <v>0.94</v>
      </c>
      <c r="W480" s="14">
        <v>0.94</v>
      </c>
      <c r="X480" s="14">
        <v>0.94</v>
      </c>
    </row>
    <row r="481" spans="1:24" hidden="1" x14ac:dyDescent="0.3">
      <c r="A481" s="14" t="s">
        <v>392</v>
      </c>
      <c r="B481" s="14" t="s">
        <v>57</v>
      </c>
      <c r="C481" s="14" t="s">
        <v>365</v>
      </c>
      <c r="D481" s="14" t="s">
        <v>366</v>
      </c>
      <c r="E481" s="14" t="s">
        <v>344</v>
      </c>
      <c r="F481" s="14" t="s">
        <v>343</v>
      </c>
      <c r="G481" s="14" t="s">
        <v>343</v>
      </c>
      <c r="H481" s="14" t="s">
        <v>343</v>
      </c>
      <c r="U481" s="14">
        <v>1</v>
      </c>
      <c r="V481" s="14">
        <v>1</v>
      </c>
      <c r="W481" s="14">
        <v>1</v>
      </c>
      <c r="X481" s="14">
        <v>1</v>
      </c>
    </row>
    <row r="482" spans="1:24" hidden="1" x14ac:dyDescent="0.3">
      <c r="A482" s="14" t="s">
        <v>392</v>
      </c>
      <c r="B482" s="14" t="s">
        <v>57</v>
      </c>
      <c r="C482" s="14" t="s">
        <v>367</v>
      </c>
      <c r="D482" s="14" t="s">
        <v>368</v>
      </c>
      <c r="E482" s="14" t="s">
        <v>342</v>
      </c>
      <c r="F482" s="14" t="s">
        <v>343</v>
      </c>
      <c r="G482" s="14" t="s">
        <v>343</v>
      </c>
      <c r="H482" s="14" t="s">
        <v>343</v>
      </c>
      <c r="I482" s="14">
        <v>0.59</v>
      </c>
      <c r="J482" s="14">
        <v>0.59</v>
      </c>
      <c r="K482" s="14">
        <v>0.6</v>
      </c>
      <c r="L482" s="14">
        <v>0.61</v>
      </c>
      <c r="M482" s="14">
        <v>0.62</v>
      </c>
      <c r="N482" s="14">
        <v>0.62</v>
      </c>
      <c r="O482" s="14">
        <v>0.65</v>
      </c>
      <c r="P482" s="14">
        <v>0.65</v>
      </c>
      <c r="Q482" s="14">
        <v>0.65</v>
      </c>
      <c r="R482" s="14">
        <v>0.65</v>
      </c>
      <c r="S482" s="14">
        <v>0.64</v>
      </c>
      <c r="T482" s="14">
        <v>0.65</v>
      </c>
      <c r="U482" s="14">
        <v>0.63</v>
      </c>
      <c r="V482" s="14">
        <v>0.64</v>
      </c>
      <c r="W482" s="14">
        <v>0.65</v>
      </c>
      <c r="X482" s="14">
        <v>0.66</v>
      </c>
    </row>
    <row r="483" spans="1:24" hidden="1" x14ac:dyDescent="0.3">
      <c r="A483" s="14" t="s">
        <v>392</v>
      </c>
      <c r="B483" s="14" t="s">
        <v>57</v>
      </c>
      <c r="C483" s="14" t="s">
        <v>367</v>
      </c>
      <c r="D483" s="14" t="s">
        <v>368</v>
      </c>
      <c r="E483" s="14" t="s">
        <v>344</v>
      </c>
      <c r="F483" s="14" t="s">
        <v>343</v>
      </c>
      <c r="G483" s="14" t="s">
        <v>343</v>
      </c>
      <c r="H483" s="14" t="s">
        <v>343</v>
      </c>
      <c r="I483" s="14">
        <v>104</v>
      </c>
      <c r="J483" s="14">
        <v>117</v>
      </c>
      <c r="K483" s="14">
        <v>115</v>
      </c>
      <c r="L483" s="14">
        <v>120</v>
      </c>
      <c r="M483" s="14">
        <v>111</v>
      </c>
      <c r="N483" s="14">
        <v>115</v>
      </c>
      <c r="O483" s="14">
        <v>104</v>
      </c>
      <c r="P483" s="14">
        <v>103</v>
      </c>
      <c r="Q483" s="14">
        <v>110</v>
      </c>
      <c r="R483" s="14">
        <v>114</v>
      </c>
      <c r="S483" s="14">
        <v>123</v>
      </c>
      <c r="T483" s="14">
        <v>121</v>
      </c>
      <c r="U483" s="14">
        <v>129</v>
      </c>
      <c r="V483" s="14">
        <v>129</v>
      </c>
      <c r="W483" s="14">
        <v>124</v>
      </c>
      <c r="X483" s="14">
        <v>115</v>
      </c>
    </row>
    <row r="484" spans="1:24" hidden="1" x14ac:dyDescent="0.3">
      <c r="A484" s="14" t="s">
        <v>392</v>
      </c>
      <c r="B484" s="14" t="s">
        <v>57</v>
      </c>
      <c r="C484" s="14" t="s">
        <v>369</v>
      </c>
      <c r="D484" s="14" t="s">
        <v>370</v>
      </c>
      <c r="E484" s="14" t="s">
        <v>342</v>
      </c>
      <c r="F484" s="14" t="s">
        <v>343</v>
      </c>
      <c r="G484" s="14" t="s">
        <v>343</v>
      </c>
      <c r="H484" s="14" t="s">
        <v>343</v>
      </c>
      <c r="I484" s="14">
        <v>0.08</v>
      </c>
      <c r="J484" s="14">
        <v>0.08</v>
      </c>
      <c r="K484" s="14">
        <v>0.1</v>
      </c>
      <c r="L484" s="14">
        <v>0.1</v>
      </c>
      <c r="M484" s="14">
        <v>0.11</v>
      </c>
      <c r="N484" s="14">
        <v>0.11</v>
      </c>
      <c r="O484" s="14">
        <v>0.09</v>
      </c>
      <c r="P484" s="14">
        <v>0.09</v>
      </c>
      <c r="Q484" s="14">
        <v>0.11</v>
      </c>
      <c r="R484" s="14">
        <v>0.08</v>
      </c>
      <c r="S484" s="14">
        <v>7.0000000000000007E-2</v>
      </c>
      <c r="T484" s="14">
        <v>0.08</v>
      </c>
      <c r="U484" s="14">
        <v>0.08</v>
      </c>
      <c r="V484" s="14">
        <v>0.09</v>
      </c>
      <c r="W484" s="14">
        <v>7.0000000000000007E-2</v>
      </c>
      <c r="X484" s="14">
        <v>7.0000000000000007E-2</v>
      </c>
    </row>
    <row r="485" spans="1:24" hidden="1" x14ac:dyDescent="0.3">
      <c r="A485" s="14" t="s">
        <v>392</v>
      </c>
      <c r="B485" s="14" t="s">
        <v>57</v>
      </c>
      <c r="C485" s="14" t="s">
        <v>369</v>
      </c>
      <c r="D485" s="14" t="s">
        <v>370</v>
      </c>
      <c r="E485" s="14" t="s">
        <v>344</v>
      </c>
      <c r="F485" s="14" t="s">
        <v>343</v>
      </c>
      <c r="G485" s="14" t="s">
        <v>343</v>
      </c>
      <c r="H485" s="14" t="s">
        <v>343</v>
      </c>
      <c r="I485" s="14">
        <v>74</v>
      </c>
      <c r="J485" s="14">
        <v>84</v>
      </c>
      <c r="K485" s="14">
        <v>82</v>
      </c>
      <c r="L485" s="14">
        <v>88</v>
      </c>
      <c r="M485" s="14">
        <v>77</v>
      </c>
      <c r="N485" s="14">
        <v>77</v>
      </c>
      <c r="O485" s="14">
        <v>94</v>
      </c>
      <c r="P485" s="14">
        <v>98</v>
      </c>
      <c r="Q485" s="14">
        <v>92</v>
      </c>
      <c r="R485" s="14">
        <v>118</v>
      </c>
      <c r="S485" s="14">
        <v>127</v>
      </c>
      <c r="T485" s="14">
        <v>125</v>
      </c>
      <c r="U485" s="14">
        <v>128</v>
      </c>
      <c r="V485" s="14">
        <v>127</v>
      </c>
      <c r="W485" s="14">
        <v>145</v>
      </c>
      <c r="X485" s="14">
        <v>138</v>
      </c>
    </row>
    <row r="486" spans="1:24" hidden="1" x14ac:dyDescent="0.3">
      <c r="A486" s="14" t="s">
        <v>392</v>
      </c>
      <c r="B486" s="14" t="s">
        <v>57</v>
      </c>
      <c r="C486" s="14" t="s">
        <v>371</v>
      </c>
      <c r="D486" s="14" t="s">
        <v>372</v>
      </c>
      <c r="E486" s="14" t="s">
        <v>342</v>
      </c>
      <c r="F486" s="14" t="s">
        <v>343</v>
      </c>
      <c r="G486" s="14" t="s">
        <v>343</v>
      </c>
      <c r="H486" s="14" t="s">
        <v>343</v>
      </c>
      <c r="U486" s="14">
        <v>0</v>
      </c>
      <c r="V486" s="14">
        <v>0</v>
      </c>
      <c r="W486" s="14">
        <v>0</v>
      </c>
      <c r="X486" s="14">
        <v>0</v>
      </c>
    </row>
    <row r="487" spans="1:24" hidden="1" x14ac:dyDescent="0.3">
      <c r="A487" s="14" t="s">
        <v>392</v>
      </c>
      <c r="B487" s="14" t="s">
        <v>57</v>
      </c>
      <c r="C487" s="14" t="s">
        <v>371</v>
      </c>
      <c r="D487" s="14" t="s">
        <v>372</v>
      </c>
      <c r="E487" s="14" t="s">
        <v>344</v>
      </c>
      <c r="F487" s="14" t="s">
        <v>343</v>
      </c>
      <c r="G487" s="14" t="s">
        <v>343</v>
      </c>
      <c r="H487" s="14" t="s">
        <v>343</v>
      </c>
      <c r="U487" s="14">
        <v>71</v>
      </c>
      <c r="V487" s="14">
        <v>73</v>
      </c>
      <c r="W487" s="14">
        <v>76</v>
      </c>
      <c r="X487" s="14">
        <v>78</v>
      </c>
    </row>
    <row r="488" spans="1:24" hidden="1" x14ac:dyDescent="0.3">
      <c r="A488" s="14" t="s">
        <v>392</v>
      </c>
      <c r="B488" s="14" t="s">
        <v>57</v>
      </c>
      <c r="C488" s="14" t="s">
        <v>373</v>
      </c>
      <c r="D488" s="14" t="s">
        <v>374</v>
      </c>
      <c r="E488" s="14" t="s">
        <v>342</v>
      </c>
      <c r="F488" s="14" t="s">
        <v>343</v>
      </c>
      <c r="G488" s="14" t="s">
        <v>343</v>
      </c>
      <c r="H488" s="14" t="s">
        <v>343</v>
      </c>
      <c r="U488" s="14">
        <v>0.15</v>
      </c>
      <c r="V488" s="14">
        <v>0.17</v>
      </c>
      <c r="W488" s="14">
        <v>0.18</v>
      </c>
      <c r="X488" s="14">
        <v>0.18</v>
      </c>
    </row>
    <row r="489" spans="1:24" hidden="1" x14ac:dyDescent="0.3">
      <c r="A489" s="14" t="s">
        <v>392</v>
      </c>
      <c r="B489" s="14" t="s">
        <v>57</v>
      </c>
      <c r="C489" s="14" t="s">
        <v>373</v>
      </c>
      <c r="D489" s="14" t="s">
        <v>374</v>
      </c>
      <c r="E489" s="14" t="s">
        <v>344</v>
      </c>
      <c r="F489" s="14" t="s">
        <v>343</v>
      </c>
      <c r="G489" s="14" t="s">
        <v>343</v>
      </c>
      <c r="H489" s="14" t="s">
        <v>343</v>
      </c>
      <c r="U489" s="14">
        <v>102</v>
      </c>
      <c r="V489" s="14">
        <v>102</v>
      </c>
      <c r="W489" s="14">
        <v>101</v>
      </c>
      <c r="X489" s="14">
        <v>96</v>
      </c>
    </row>
    <row r="490" spans="1:24" hidden="1" x14ac:dyDescent="0.3">
      <c r="A490" s="14" t="s">
        <v>392</v>
      </c>
      <c r="B490" s="14" t="s">
        <v>57</v>
      </c>
      <c r="C490" s="14" t="s">
        <v>375</v>
      </c>
      <c r="D490" s="14" t="s">
        <v>376</v>
      </c>
      <c r="E490" s="14" t="s">
        <v>342</v>
      </c>
      <c r="F490" s="14" t="s">
        <v>343</v>
      </c>
      <c r="G490" s="14" t="s">
        <v>343</v>
      </c>
      <c r="H490" s="14" t="s">
        <v>343</v>
      </c>
      <c r="U490" s="14">
        <v>0.12</v>
      </c>
      <c r="V490" s="14">
        <v>0.16</v>
      </c>
      <c r="W490" s="14">
        <v>7.0000000000000007E-2</v>
      </c>
      <c r="X490" s="14">
        <v>7.0000000000000007E-2</v>
      </c>
    </row>
    <row r="491" spans="1:24" hidden="1" x14ac:dyDescent="0.3">
      <c r="A491" s="14" t="s">
        <v>392</v>
      </c>
      <c r="B491" s="14" t="s">
        <v>57</v>
      </c>
      <c r="C491" s="14" t="s">
        <v>375</v>
      </c>
      <c r="D491" s="14" t="s">
        <v>376</v>
      </c>
      <c r="E491" s="14" t="s">
        <v>344</v>
      </c>
      <c r="F491" s="14" t="s">
        <v>343</v>
      </c>
      <c r="G491" s="14" t="s">
        <v>343</v>
      </c>
      <c r="H491" s="14" t="s">
        <v>343</v>
      </c>
      <c r="U491" s="14">
        <v>125</v>
      </c>
      <c r="V491" s="14">
        <v>123</v>
      </c>
      <c r="W491" s="14">
        <v>146</v>
      </c>
      <c r="X491" s="14">
        <v>137</v>
      </c>
    </row>
    <row r="492" spans="1:24" hidden="1" x14ac:dyDescent="0.3">
      <c r="A492" s="14" t="s">
        <v>393</v>
      </c>
      <c r="B492" s="14" t="s">
        <v>42</v>
      </c>
      <c r="C492" s="14" t="s">
        <v>340</v>
      </c>
      <c r="D492" s="14" t="s">
        <v>341</v>
      </c>
      <c r="E492" s="14" t="s">
        <v>342</v>
      </c>
      <c r="F492" s="14" t="s">
        <v>343</v>
      </c>
      <c r="G492" s="14" t="s">
        <v>343</v>
      </c>
      <c r="H492" s="14" t="s">
        <v>343</v>
      </c>
      <c r="I492" s="14">
        <v>0.87</v>
      </c>
      <c r="J492" s="14">
        <v>0.87</v>
      </c>
      <c r="K492" s="14">
        <v>0.91</v>
      </c>
      <c r="L492" s="14">
        <v>0.91</v>
      </c>
      <c r="M492" s="14">
        <v>0.91</v>
      </c>
      <c r="N492" s="14">
        <v>0.92</v>
      </c>
      <c r="O492" s="14">
        <v>0.86</v>
      </c>
      <c r="P492" s="14">
        <v>0.88</v>
      </c>
      <c r="Q492" s="14">
        <v>0.94</v>
      </c>
      <c r="R492" s="14">
        <v>0.95</v>
      </c>
      <c r="S492" s="14">
        <v>0.95</v>
      </c>
      <c r="T492" s="14">
        <v>0.95</v>
      </c>
      <c r="U492" s="14">
        <v>0.95</v>
      </c>
      <c r="V492" s="14">
        <v>0.95</v>
      </c>
      <c r="W492" s="14">
        <v>0.95</v>
      </c>
      <c r="X492" s="14">
        <v>0.92</v>
      </c>
    </row>
    <row r="493" spans="1:24" hidden="1" x14ac:dyDescent="0.3">
      <c r="A493" s="14" t="s">
        <v>393</v>
      </c>
      <c r="B493" s="14" t="s">
        <v>42</v>
      </c>
      <c r="C493" s="14" t="s">
        <v>340</v>
      </c>
      <c r="D493" s="14" t="s">
        <v>341</v>
      </c>
      <c r="E493" s="14" t="s">
        <v>344</v>
      </c>
      <c r="F493" s="14" t="s">
        <v>343</v>
      </c>
      <c r="G493" s="14" t="s">
        <v>343</v>
      </c>
      <c r="H493" s="14" t="s">
        <v>343</v>
      </c>
      <c r="I493" s="14">
        <v>95</v>
      </c>
      <c r="J493" s="14">
        <v>105</v>
      </c>
      <c r="K493" s="14">
        <v>104</v>
      </c>
      <c r="L493" s="14">
        <v>105</v>
      </c>
      <c r="M493" s="14">
        <v>108</v>
      </c>
      <c r="N493" s="14">
        <v>108</v>
      </c>
      <c r="O493" s="14">
        <v>118</v>
      </c>
      <c r="P493" s="14">
        <v>115</v>
      </c>
      <c r="Q493" s="14">
        <v>111</v>
      </c>
      <c r="R493" s="14">
        <v>109</v>
      </c>
      <c r="S493" s="14">
        <v>114</v>
      </c>
      <c r="T493" s="14">
        <v>111</v>
      </c>
      <c r="U493" s="14">
        <v>116</v>
      </c>
      <c r="V493" s="14">
        <v>120</v>
      </c>
      <c r="W493" s="14">
        <v>121</v>
      </c>
      <c r="X493" s="14">
        <v>123</v>
      </c>
    </row>
    <row r="494" spans="1:24" hidden="1" x14ac:dyDescent="0.3">
      <c r="A494" s="14" t="s">
        <v>393</v>
      </c>
      <c r="B494" s="14" t="s">
        <v>42</v>
      </c>
      <c r="C494" s="14" t="s">
        <v>345</v>
      </c>
      <c r="D494" s="14" t="s">
        <v>346</v>
      </c>
      <c r="E494" s="14" t="s">
        <v>342</v>
      </c>
      <c r="F494" s="14" t="s">
        <v>343</v>
      </c>
      <c r="G494" s="14" t="s">
        <v>343</v>
      </c>
      <c r="H494" s="14" t="s">
        <v>343</v>
      </c>
      <c r="U494" s="14">
        <v>0.49</v>
      </c>
      <c r="V494" s="14">
        <v>0.41</v>
      </c>
      <c r="W494" s="14">
        <v>0.4</v>
      </c>
      <c r="X494" s="14">
        <v>0.41</v>
      </c>
    </row>
    <row r="495" spans="1:24" hidden="1" x14ac:dyDescent="0.3">
      <c r="A495" s="14" t="s">
        <v>393</v>
      </c>
      <c r="B495" s="14" t="s">
        <v>42</v>
      </c>
      <c r="C495" s="14" t="s">
        <v>345</v>
      </c>
      <c r="D495" s="14" t="s">
        <v>346</v>
      </c>
      <c r="E495" s="14" t="s">
        <v>344</v>
      </c>
      <c r="F495" s="14" t="s">
        <v>343</v>
      </c>
      <c r="G495" s="14" t="s">
        <v>343</v>
      </c>
      <c r="H495" s="14" t="s">
        <v>343</v>
      </c>
      <c r="U495" s="14">
        <v>114</v>
      </c>
      <c r="V495" s="14">
        <v>131</v>
      </c>
      <c r="W495" s="14">
        <v>131</v>
      </c>
      <c r="X495" s="14">
        <v>128</v>
      </c>
    </row>
    <row r="496" spans="1:24" hidden="1" x14ac:dyDescent="0.3">
      <c r="A496" s="14" t="s">
        <v>393</v>
      </c>
      <c r="B496" s="14" t="s">
        <v>42</v>
      </c>
      <c r="C496" s="14" t="s">
        <v>347</v>
      </c>
      <c r="D496" s="14" t="s">
        <v>348</v>
      </c>
      <c r="E496" s="14" t="s">
        <v>342</v>
      </c>
      <c r="F496" s="14" t="s">
        <v>343</v>
      </c>
      <c r="G496" s="14" t="s">
        <v>343</v>
      </c>
      <c r="H496" s="14" t="s">
        <v>343</v>
      </c>
      <c r="U496" s="14">
        <v>0.42</v>
      </c>
      <c r="V496" s="14">
        <v>0.45</v>
      </c>
      <c r="W496" s="14">
        <v>0.46</v>
      </c>
      <c r="X496" s="14">
        <v>0.44</v>
      </c>
    </row>
    <row r="497" spans="1:24" hidden="1" x14ac:dyDescent="0.3">
      <c r="A497" s="14" t="s">
        <v>393</v>
      </c>
      <c r="B497" s="14" t="s">
        <v>42</v>
      </c>
      <c r="C497" s="14" t="s">
        <v>347</v>
      </c>
      <c r="D497" s="14" t="s">
        <v>348</v>
      </c>
      <c r="E497" s="14" t="s">
        <v>344</v>
      </c>
      <c r="F497" s="14" t="s">
        <v>343</v>
      </c>
      <c r="G497" s="14" t="s">
        <v>343</v>
      </c>
      <c r="H497" s="14" t="s">
        <v>343</v>
      </c>
      <c r="U497" s="14">
        <v>135</v>
      </c>
      <c r="V497" s="14">
        <v>139</v>
      </c>
      <c r="W497" s="14">
        <v>140</v>
      </c>
      <c r="X497" s="14">
        <v>134</v>
      </c>
    </row>
    <row r="498" spans="1:24" hidden="1" x14ac:dyDescent="0.3">
      <c r="A498" s="14" t="s">
        <v>393</v>
      </c>
      <c r="B498" s="14" t="s">
        <v>42</v>
      </c>
      <c r="C498" s="14" t="s">
        <v>349</v>
      </c>
      <c r="D498" s="14" t="s">
        <v>350</v>
      </c>
      <c r="E498" s="14" t="s">
        <v>342</v>
      </c>
      <c r="F498" s="14" t="s">
        <v>343</v>
      </c>
      <c r="G498" s="14" t="s">
        <v>343</v>
      </c>
      <c r="H498" s="14" t="s">
        <v>343</v>
      </c>
      <c r="U498" s="14">
        <v>0.12</v>
      </c>
      <c r="V498" s="14">
        <v>0.13</v>
      </c>
      <c r="W498" s="14">
        <v>0.12</v>
      </c>
      <c r="X498" s="14">
        <v>0.12</v>
      </c>
    </row>
    <row r="499" spans="1:24" hidden="1" x14ac:dyDescent="0.3">
      <c r="A499" s="14" t="s">
        <v>393</v>
      </c>
      <c r="B499" s="14" t="s">
        <v>42</v>
      </c>
      <c r="C499" s="14" t="s">
        <v>349</v>
      </c>
      <c r="D499" s="14" t="s">
        <v>350</v>
      </c>
      <c r="E499" s="14" t="s">
        <v>344</v>
      </c>
      <c r="F499" s="14" t="s">
        <v>343</v>
      </c>
      <c r="G499" s="14" t="s">
        <v>343</v>
      </c>
      <c r="H499" s="14" t="s">
        <v>343</v>
      </c>
      <c r="U499" s="14">
        <v>135</v>
      </c>
      <c r="V499" s="14">
        <v>139</v>
      </c>
      <c r="W499" s="14">
        <v>145</v>
      </c>
      <c r="X499" s="14">
        <v>133</v>
      </c>
    </row>
    <row r="500" spans="1:24" hidden="1" x14ac:dyDescent="0.3">
      <c r="A500" s="14" t="s">
        <v>393</v>
      </c>
      <c r="B500" s="14" t="s">
        <v>42</v>
      </c>
      <c r="C500" s="14" t="s">
        <v>351</v>
      </c>
      <c r="D500" s="14" t="s">
        <v>352</v>
      </c>
      <c r="E500" s="14" t="s">
        <v>342</v>
      </c>
      <c r="F500" s="14" t="s">
        <v>343</v>
      </c>
      <c r="G500" s="14" t="s">
        <v>343</v>
      </c>
      <c r="H500" s="14" t="s">
        <v>343</v>
      </c>
      <c r="U500" s="14">
        <v>0.42</v>
      </c>
      <c r="V500" s="14">
        <v>0.42</v>
      </c>
      <c r="W500" s="14">
        <v>0.32</v>
      </c>
      <c r="X500" s="14">
        <v>0.42</v>
      </c>
    </row>
    <row r="501" spans="1:24" hidden="1" x14ac:dyDescent="0.3">
      <c r="A501" s="14" t="s">
        <v>393</v>
      </c>
      <c r="B501" s="14" t="s">
        <v>42</v>
      </c>
      <c r="C501" s="14" t="s">
        <v>351</v>
      </c>
      <c r="D501" s="14" t="s">
        <v>352</v>
      </c>
      <c r="E501" s="14" t="s">
        <v>344</v>
      </c>
      <c r="F501" s="14" t="s">
        <v>343</v>
      </c>
      <c r="G501" s="14" t="s">
        <v>343</v>
      </c>
      <c r="H501" s="14" t="s">
        <v>343</v>
      </c>
      <c r="U501" s="14">
        <v>130</v>
      </c>
      <c r="V501" s="14">
        <v>134</v>
      </c>
      <c r="W501" s="14">
        <v>142</v>
      </c>
      <c r="X501" s="14">
        <v>124</v>
      </c>
    </row>
    <row r="502" spans="1:24" hidden="1" x14ac:dyDescent="0.3">
      <c r="A502" s="14" t="s">
        <v>393</v>
      </c>
      <c r="B502" s="14" t="s">
        <v>42</v>
      </c>
      <c r="C502" s="14" t="s">
        <v>378</v>
      </c>
      <c r="D502" s="14" t="s">
        <v>379</v>
      </c>
      <c r="E502" s="14" t="s">
        <v>342</v>
      </c>
      <c r="F502" s="14" t="s">
        <v>343</v>
      </c>
      <c r="G502" s="14" t="s">
        <v>343</v>
      </c>
      <c r="H502" s="14" t="s">
        <v>343</v>
      </c>
      <c r="S502" s="14">
        <v>0.54</v>
      </c>
      <c r="U502" s="14">
        <v>0.57999999999999996</v>
      </c>
      <c r="V502" s="14">
        <v>0.6</v>
      </c>
      <c r="W502" s="14">
        <v>0.57999999999999996</v>
      </c>
      <c r="X502" s="14">
        <v>0.57999999999999996</v>
      </c>
    </row>
    <row r="503" spans="1:24" hidden="1" x14ac:dyDescent="0.3">
      <c r="A503" s="14" t="s">
        <v>393</v>
      </c>
      <c r="B503" s="14" t="s">
        <v>42</v>
      </c>
      <c r="C503" s="14" t="s">
        <v>378</v>
      </c>
      <c r="D503" s="14" t="s">
        <v>379</v>
      </c>
      <c r="E503" s="14" t="s">
        <v>344</v>
      </c>
      <c r="F503" s="14" t="s">
        <v>343</v>
      </c>
      <c r="G503" s="14" t="s">
        <v>343</v>
      </c>
      <c r="H503" s="14" t="s">
        <v>343</v>
      </c>
      <c r="S503" s="14">
        <v>122</v>
      </c>
      <c r="U503" s="14">
        <v>105</v>
      </c>
      <c r="V503" s="14">
        <v>98</v>
      </c>
      <c r="W503" s="14">
        <v>107</v>
      </c>
      <c r="X503" s="14">
        <v>109</v>
      </c>
    </row>
    <row r="504" spans="1:24" hidden="1" x14ac:dyDescent="0.3">
      <c r="A504" s="14" t="s">
        <v>393</v>
      </c>
      <c r="B504" s="14" t="s">
        <v>42</v>
      </c>
      <c r="C504" s="14" t="s">
        <v>353</v>
      </c>
      <c r="D504" s="14" t="s">
        <v>354</v>
      </c>
      <c r="E504" s="14" t="s">
        <v>342</v>
      </c>
      <c r="F504" s="14" t="s">
        <v>343</v>
      </c>
      <c r="G504" s="14" t="s">
        <v>343</v>
      </c>
      <c r="H504" s="14" t="s">
        <v>343</v>
      </c>
      <c r="U504" s="14">
        <v>0.93</v>
      </c>
      <c r="V504" s="14">
        <v>0.93</v>
      </c>
      <c r="W504" s="14">
        <v>0.93</v>
      </c>
      <c r="X504" s="14">
        <v>0.92</v>
      </c>
    </row>
    <row r="505" spans="1:24" hidden="1" x14ac:dyDescent="0.3">
      <c r="A505" s="14" t="s">
        <v>393</v>
      </c>
      <c r="B505" s="14" t="s">
        <v>42</v>
      </c>
      <c r="C505" s="14" t="s">
        <v>353</v>
      </c>
      <c r="D505" s="14" t="s">
        <v>354</v>
      </c>
      <c r="E505" s="14" t="s">
        <v>344</v>
      </c>
      <c r="F505" s="14" t="s">
        <v>343</v>
      </c>
      <c r="G505" s="14" t="s">
        <v>343</v>
      </c>
      <c r="H505" s="14" t="s">
        <v>343</v>
      </c>
      <c r="U505" s="14">
        <v>99</v>
      </c>
      <c r="V505" s="14">
        <v>105</v>
      </c>
      <c r="W505" s="14">
        <v>106</v>
      </c>
      <c r="X505" s="14">
        <v>102</v>
      </c>
    </row>
    <row r="506" spans="1:24" hidden="1" x14ac:dyDescent="0.3">
      <c r="A506" s="14" t="s">
        <v>393</v>
      </c>
      <c r="B506" s="14" t="s">
        <v>42</v>
      </c>
      <c r="C506" s="14" t="s">
        <v>380</v>
      </c>
      <c r="D506" s="14" t="s">
        <v>381</v>
      </c>
      <c r="E506" s="14" t="s">
        <v>342</v>
      </c>
      <c r="F506" s="14" t="s">
        <v>343</v>
      </c>
      <c r="G506" s="14" t="s">
        <v>343</v>
      </c>
      <c r="H506" s="14" t="s">
        <v>343</v>
      </c>
      <c r="U506" s="14">
        <v>1</v>
      </c>
      <c r="V506" s="14">
        <v>1</v>
      </c>
      <c r="W506" s="14">
        <v>1</v>
      </c>
    </row>
    <row r="507" spans="1:24" hidden="1" x14ac:dyDescent="0.3">
      <c r="A507" s="14" t="s">
        <v>393</v>
      </c>
      <c r="B507" s="14" t="s">
        <v>42</v>
      </c>
      <c r="C507" s="14" t="s">
        <v>380</v>
      </c>
      <c r="D507" s="14" t="s">
        <v>381</v>
      </c>
      <c r="E507" s="14" t="s">
        <v>344</v>
      </c>
      <c r="F507" s="14" t="s">
        <v>343</v>
      </c>
      <c r="G507" s="14" t="s">
        <v>343</v>
      </c>
      <c r="H507" s="14" t="s">
        <v>343</v>
      </c>
      <c r="U507" s="14">
        <v>1</v>
      </c>
      <c r="V507" s="14">
        <v>1</v>
      </c>
      <c r="W507" s="14">
        <v>1</v>
      </c>
    </row>
    <row r="508" spans="1:24" hidden="1" x14ac:dyDescent="0.3">
      <c r="A508" s="14" t="s">
        <v>393</v>
      </c>
      <c r="B508" s="14" t="s">
        <v>42</v>
      </c>
      <c r="C508" s="14" t="s">
        <v>355</v>
      </c>
      <c r="D508" s="14" t="s">
        <v>356</v>
      </c>
      <c r="E508" s="14" t="s">
        <v>342</v>
      </c>
      <c r="F508" s="14" t="s">
        <v>343</v>
      </c>
      <c r="G508" s="14" t="s">
        <v>343</v>
      </c>
      <c r="H508" s="14" t="s">
        <v>343</v>
      </c>
      <c r="U508" s="14">
        <v>1</v>
      </c>
      <c r="V508" s="14">
        <v>1</v>
      </c>
      <c r="W508" s="14">
        <v>1</v>
      </c>
      <c r="X508" s="14">
        <v>1</v>
      </c>
    </row>
    <row r="509" spans="1:24" hidden="1" x14ac:dyDescent="0.3">
      <c r="A509" s="14" t="s">
        <v>393</v>
      </c>
      <c r="B509" s="14" t="s">
        <v>42</v>
      </c>
      <c r="C509" s="14" t="s">
        <v>355</v>
      </c>
      <c r="D509" s="14" t="s">
        <v>356</v>
      </c>
      <c r="E509" s="14" t="s">
        <v>344</v>
      </c>
      <c r="F509" s="14" t="s">
        <v>343</v>
      </c>
      <c r="G509" s="14" t="s">
        <v>343</v>
      </c>
      <c r="H509" s="14" t="s">
        <v>343</v>
      </c>
      <c r="U509" s="14">
        <v>1</v>
      </c>
      <c r="V509" s="14">
        <v>1</v>
      </c>
      <c r="W509" s="14">
        <v>1</v>
      </c>
      <c r="X509" s="14">
        <v>1</v>
      </c>
    </row>
    <row r="510" spans="1:24" hidden="1" x14ac:dyDescent="0.3">
      <c r="A510" s="14" t="s">
        <v>393</v>
      </c>
      <c r="B510" s="14" t="s">
        <v>42</v>
      </c>
      <c r="C510" s="14" t="s">
        <v>357</v>
      </c>
      <c r="D510" s="14" t="s">
        <v>358</v>
      </c>
      <c r="E510" s="14" t="s">
        <v>342</v>
      </c>
      <c r="F510" s="14" t="s">
        <v>343</v>
      </c>
      <c r="G510" s="14" t="s">
        <v>343</v>
      </c>
      <c r="H510" s="14" t="s">
        <v>343</v>
      </c>
      <c r="U510" s="14">
        <v>0.7</v>
      </c>
      <c r="V510" s="14">
        <v>0.71</v>
      </c>
      <c r="W510" s="14">
        <v>0.71</v>
      </c>
      <c r="X510" s="14">
        <v>0.77</v>
      </c>
    </row>
    <row r="511" spans="1:24" hidden="1" x14ac:dyDescent="0.3">
      <c r="A511" s="14" t="s">
        <v>393</v>
      </c>
      <c r="B511" s="14" t="s">
        <v>42</v>
      </c>
      <c r="C511" s="14" t="s">
        <v>357</v>
      </c>
      <c r="D511" s="14" t="s">
        <v>358</v>
      </c>
      <c r="E511" s="14" t="s">
        <v>344</v>
      </c>
      <c r="F511" s="14" t="s">
        <v>343</v>
      </c>
      <c r="G511" s="14" t="s">
        <v>343</v>
      </c>
      <c r="H511" s="14" t="s">
        <v>343</v>
      </c>
      <c r="U511" s="14">
        <v>121</v>
      </c>
      <c r="V511" s="14">
        <v>127</v>
      </c>
      <c r="W511" s="14">
        <v>128</v>
      </c>
      <c r="X511" s="14">
        <v>118</v>
      </c>
    </row>
    <row r="512" spans="1:24" hidden="1" x14ac:dyDescent="0.3">
      <c r="A512" s="14" t="s">
        <v>393</v>
      </c>
      <c r="B512" s="14" t="s">
        <v>42</v>
      </c>
      <c r="C512" s="14" t="s">
        <v>359</v>
      </c>
      <c r="D512" s="14" t="s">
        <v>360</v>
      </c>
      <c r="E512" s="14" t="s">
        <v>342</v>
      </c>
      <c r="F512" s="14" t="s">
        <v>343</v>
      </c>
      <c r="G512" s="14" t="s">
        <v>343</v>
      </c>
      <c r="H512" s="14" t="s">
        <v>343</v>
      </c>
      <c r="I512" s="14">
        <v>0.42</v>
      </c>
      <c r="J512" s="14">
        <v>0.44</v>
      </c>
      <c r="K512" s="14">
        <v>0.44</v>
      </c>
      <c r="L512" s="14">
        <v>0.46</v>
      </c>
      <c r="M512" s="14">
        <v>0.47</v>
      </c>
      <c r="N512" s="14">
        <v>0.49</v>
      </c>
      <c r="O512" s="14">
        <v>0.48</v>
      </c>
      <c r="P512" s="14">
        <v>0.5</v>
      </c>
      <c r="Q512" s="14">
        <v>0.48</v>
      </c>
      <c r="R512" s="14">
        <v>0.46</v>
      </c>
      <c r="S512" s="14">
        <v>0.41</v>
      </c>
      <c r="T512" s="14">
        <v>0.46</v>
      </c>
      <c r="U512" s="14">
        <v>0.44</v>
      </c>
      <c r="V512" s="14">
        <v>0.44</v>
      </c>
      <c r="W512" s="14">
        <v>0.42</v>
      </c>
      <c r="X512" s="14">
        <v>0.43</v>
      </c>
    </row>
    <row r="513" spans="1:24" hidden="1" x14ac:dyDescent="0.3">
      <c r="A513" s="14" t="s">
        <v>393</v>
      </c>
      <c r="B513" s="14" t="s">
        <v>42</v>
      </c>
      <c r="C513" s="14" t="s">
        <v>359</v>
      </c>
      <c r="D513" s="14" t="s">
        <v>360</v>
      </c>
      <c r="E513" s="14" t="s">
        <v>344</v>
      </c>
      <c r="F513" s="14" t="s">
        <v>343</v>
      </c>
      <c r="G513" s="14" t="s">
        <v>343</v>
      </c>
      <c r="H513" s="14" t="s">
        <v>343</v>
      </c>
      <c r="I513" s="14">
        <v>107</v>
      </c>
      <c r="J513" s="14">
        <v>116</v>
      </c>
      <c r="K513" s="14">
        <v>119</v>
      </c>
      <c r="L513" s="14">
        <v>121</v>
      </c>
      <c r="M513" s="14">
        <v>117</v>
      </c>
      <c r="N513" s="14">
        <v>118</v>
      </c>
      <c r="O513" s="14">
        <v>121</v>
      </c>
      <c r="P513" s="14">
        <v>121</v>
      </c>
      <c r="Q513" s="14">
        <v>127</v>
      </c>
      <c r="R513" s="14">
        <v>130</v>
      </c>
      <c r="S513" s="14">
        <v>135</v>
      </c>
      <c r="T513" s="14">
        <v>129</v>
      </c>
      <c r="U513" s="14">
        <v>133</v>
      </c>
      <c r="V513" s="14">
        <v>141</v>
      </c>
      <c r="W513" s="14">
        <v>147</v>
      </c>
      <c r="X513" s="14">
        <v>141</v>
      </c>
    </row>
    <row r="514" spans="1:24" x14ac:dyDescent="0.3">
      <c r="A514" s="14" t="s">
        <v>393</v>
      </c>
      <c r="B514" s="14" t="s">
        <v>42</v>
      </c>
      <c r="C514" s="14" t="s">
        <v>361</v>
      </c>
      <c r="D514" s="14" t="s">
        <v>362</v>
      </c>
      <c r="E514" s="14" t="s">
        <v>342</v>
      </c>
      <c r="F514" s="14" t="s">
        <v>343</v>
      </c>
      <c r="G514" s="14" t="s">
        <v>343</v>
      </c>
      <c r="H514" s="14" t="s">
        <v>343</v>
      </c>
      <c r="I514" s="14">
        <v>0.95</v>
      </c>
      <c r="J514" s="14">
        <v>0.95</v>
      </c>
      <c r="K514" s="14">
        <v>0.95</v>
      </c>
      <c r="L514" s="14">
        <v>0.95</v>
      </c>
      <c r="M514" s="14">
        <v>0.96</v>
      </c>
      <c r="N514" s="14">
        <v>0.96</v>
      </c>
      <c r="O514" s="14">
        <v>0.96</v>
      </c>
      <c r="P514" s="14">
        <v>0.96</v>
      </c>
      <c r="Q514" s="14">
        <v>0.97</v>
      </c>
      <c r="R514" s="14">
        <v>0.97</v>
      </c>
      <c r="S514" s="14">
        <v>0.97</v>
      </c>
      <c r="T514" s="14">
        <v>0.97</v>
      </c>
      <c r="U514" s="14">
        <v>0.97</v>
      </c>
      <c r="V514" s="14">
        <v>0.97</v>
      </c>
      <c r="W514" s="14">
        <v>0.96</v>
      </c>
      <c r="X514" s="14">
        <v>0.96</v>
      </c>
    </row>
    <row r="515" spans="1:24" hidden="1" x14ac:dyDescent="0.3">
      <c r="A515" s="14" t="s">
        <v>393</v>
      </c>
      <c r="B515" s="14" t="s">
        <v>42</v>
      </c>
      <c r="C515" s="14" t="s">
        <v>361</v>
      </c>
      <c r="D515" s="14" t="s">
        <v>362</v>
      </c>
      <c r="E515" s="14" t="s">
        <v>344</v>
      </c>
      <c r="F515" s="14" t="s">
        <v>343</v>
      </c>
      <c r="G515" s="14" t="s">
        <v>343</v>
      </c>
      <c r="H515" s="14" t="s">
        <v>343</v>
      </c>
      <c r="I515" s="14">
        <v>113</v>
      </c>
      <c r="J515" s="14">
        <v>122</v>
      </c>
      <c r="K515" s="14">
        <v>124</v>
      </c>
      <c r="L515" s="14">
        <v>127</v>
      </c>
      <c r="M515" s="14">
        <v>122</v>
      </c>
      <c r="N515" s="14">
        <v>123</v>
      </c>
      <c r="O515" s="14">
        <v>123</v>
      </c>
      <c r="P515" s="14">
        <v>124</v>
      </c>
      <c r="Q515" s="14">
        <v>122</v>
      </c>
      <c r="R515" s="14">
        <v>95</v>
      </c>
      <c r="S515" s="14">
        <v>93</v>
      </c>
      <c r="T515" s="14">
        <v>125</v>
      </c>
      <c r="U515" s="14">
        <v>117</v>
      </c>
      <c r="V515" s="14">
        <v>119</v>
      </c>
      <c r="W515" s="14">
        <v>134</v>
      </c>
      <c r="X515" s="14">
        <v>129</v>
      </c>
    </row>
    <row r="516" spans="1:24" hidden="1" x14ac:dyDescent="0.3">
      <c r="A516" s="14" t="s">
        <v>393</v>
      </c>
      <c r="B516" s="14" t="s">
        <v>42</v>
      </c>
      <c r="C516" s="14" t="s">
        <v>363</v>
      </c>
      <c r="D516" s="14" t="s">
        <v>364</v>
      </c>
      <c r="E516" s="14" t="s">
        <v>342</v>
      </c>
      <c r="F516" s="14" t="s">
        <v>343</v>
      </c>
      <c r="G516" s="14" t="s">
        <v>343</v>
      </c>
      <c r="H516" s="14" t="s">
        <v>343</v>
      </c>
      <c r="U516" s="14">
        <v>1.02</v>
      </c>
      <c r="V516" s="14">
        <v>1.02</v>
      </c>
      <c r="W516" s="14">
        <v>1</v>
      </c>
      <c r="X516" s="14">
        <v>1</v>
      </c>
    </row>
    <row r="517" spans="1:24" hidden="1" x14ac:dyDescent="0.3">
      <c r="A517" s="14" t="s">
        <v>393</v>
      </c>
      <c r="B517" s="14" t="s">
        <v>42</v>
      </c>
      <c r="C517" s="14" t="s">
        <v>363</v>
      </c>
      <c r="D517" s="14" t="s">
        <v>364</v>
      </c>
      <c r="E517" s="14" t="s">
        <v>344</v>
      </c>
      <c r="F517" s="14" t="s">
        <v>343</v>
      </c>
      <c r="G517" s="14" t="s">
        <v>343</v>
      </c>
      <c r="H517" s="14" t="s">
        <v>343</v>
      </c>
      <c r="U517" s="14">
        <v>125</v>
      </c>
      <c r="V517" s="14">
        <v>129</v>
      </c>
      <c r="W517" s="14">
        <v>142</v>
      </c>
      <c r="X517" s="14">
        <v>136</v>
      </c>
    </row>
    <row r="518" spans="1:24" hidden="1" x14ac:dyDescent="0.3">
      <c r="A518" s="14" t="s">
        <v>393</v>
      </c>
      <c r="B518" s="14" t="s">
        <v>42</v>
      </c>
      <c r="C518" s="14" t="s">
        <v>365</v>
      </c>
      <c r="D518" s="14" t="s">
        <v>366</v>
      </c>
      <c r="E518" s="14" t="s">
        <v>342</v>
      </c>
      <c r="F518" s="14" t="s">
        <v>343</v>
      </c>
      <c r="G518" s="14" t="s">
        <v>343</v>
      </c>
      <c r="H518" s="14" t="s">
        <v>343</v>
      </c>
      <c r="U518" s="14">
        <v>0.94</v>
      </c>
      <c r="V518" s="14">
        <v>0.94</v>
      </c>
      <c r="W518" s="14">
        <v>0.94</v>
      </c>
      <c r="X518" s="14">
        <v>0.94</v>
      </c>
    </row>
    <row r="519" spans="1:24" hidden="1" x14ac:dyDescent="0.3">
      <c r="A519" s="14" t="s">
        <v>393</v>
      </c>
      <c r="B519" s="14" t="s">
        <v>42</v>
      </c>
      <c r="C519" s="14" t="s">
        <v>365</v>
      </c>
      <c r="D519" s="14" t="s">
        <v>366</v>
      </c>
      <c r="E519" s="14" t="s">
        <v>344</v>
      </c>
      <c r="F519" s="14" t="s">
        <v>343</v>
      </c>
      <c r="G519" s="14" t="s">
        <v>343</v>
      </c>
      <c r="H519" s="14" t="s">
        <v>343</v>
      </c>
      <c r="U519" s="14">
        <v>1</v>
      </c>
      <c r="V519" s="14">
        <v>1</v>
      </c>
      <c r="W519" s="14">
        <v>1</v>
      </c>
      <c r="X519" s="14">
        <v>1</v>
      </c>
    </row>
    <row r="520" spans="1:24" hidden="1" x14ac:dyDescent="0.3">
      <c r="A520" s="14" t="s">
        <v>393</v>
      </c>
      <c r="B520" s="14" t="s">
        <v>42</v>
      </c>
      <c r="C520" s="14" t="s">
        <v>367</v>
      </c>
      <c r="D520" s="14" t="s">
        <v>368</v>
      </c>
      <c r="E520" s="14" t="s">
        <v>342</v>
      </c>
      <c r="F520" s="14" t="s">
        <v>343</v>
      </c>
      <c r="G520" s="14" t="s">
        <v>343</v>
      </c>
      <c r="H520" s="14" t="s">
        <v>343</v>
      </c>
      <c r="I520" s="14">
        <v>0.63</v>
      </c>
      <c r="J520" s="14">
        <v>0.63</v>
      </c>
      <c r="K520" s="14">
        <v>0.65</v>
      </c>
      <c r="L520" s="14">
        <v>0.65</v>
      </c>
      <c r="M520" s="14">
        <v>0.67</v>
      </c>
      <c r="N520" s="14">
        <v>0.68</v>
      </c>
      <c r="O520" s="14">
        <v>0.67</v>
      </c>
      <c r="P520" s="14">
        <v>0.68</v>
      </c>
      <c r="Q520" s="14">
        <v>0.7</v>
      </c>
      <c r="R520" s="14">
        <v>0.7</v>
      </c>
      <c r="S520" s="14">
        <v>0.7</v>
      </c>
      <c r="T520" s="14">
        <v>0.72</v>
      </c>
      <c r="U520" s="14">
        <v>0.72</v>
      </c>
      <c r="V520" s="14">
        <v>0.73</v>
      </c>
      <c r="W520" s="14">
        <v>0.72</v>
      </c>
      <c r="X520" s="14">
        <v>0.71</v>
      </c>
    </row>
    <row r="521" spans="1:24" hidden="1" x14ac:dyDescent="0.3">
      <c r="A521" s="14" t="s">
        <v>393</v>
      </c>
      <c r="B521" s="14" t="s">
        <v>42</v>
      </c>
      <c r="C521" s="14" t="s">
        <v>367</v>
      </c>
      <c r="D521" s="14" t="s">
        <v>368</v>
      </c>
      <c r="E521" s="14" t="s">
        <v>344</v>
      </c>
      <c r="F521" s="14" t="s">
        <v>343</v>
      </c>
      <c r="G521" s="14" t="s">
        <v>343</v>
      </c>
      <c r="H521" s="14" t="s">
        <v>343</v>
      </c>
      <c r="I521" s="14">
        <v>91</v>
      </c>
      <c r="J521" s="14">
        <v>100</v>
      </c>
      <c r="K521" s="14">
        <v>90</v>
      </c>
      <c r="L521" s="14">
        <v>93</v>
      </c>
      <c r="M521" s="14">
        <v>82</v>
      </c>
      <c r="N521" s="14">
        <v>69</v>
      </c>
      <c r="O521" s="14">
        <v>86</v>
      </c>
      <c r="P521" s="14">
        <v>75</v>
      </c>
      <c r="Q521" s="14">
        <v>68</v>
      </c>
      <c r="R521" s="14">
        <v>64</v>
      </c>
      <c r="S521" s="14">
        <v>72</v>
      </c>
      <c r="T521" s="14">
        <v>47</v>
      </c>
      <c r="U521" s="14">
        <v>48</v>
      </c>
      <c r="V521" s="14">
        <v>50</v>
      </c>
      <c r="W521" s="14">
        <v>65</v>
      </c>
      <c r="X521" s="14">
        <v>71</v>
      </c>
    </row>
    <row r="522" spans="1:24" hidden="1" x14ac:dyDescent="0.3">
      <c r="A522" s="14" t="s">
        <v>393</v>
      </c>
      <c r="B522" s="14" t="s">
        <v>42</v>
      </c>
      <c r="C522" s="14" t="s">
        <v>369</v>
      </c>
      <c r="D522" s="14" t="s">
        <v>370</v>
      </c>
      <c r="E522" s="14" t="s">
        <v>342</v>
      </c>
      <c r="F522" s="14" t="s">
        <v>343</v>
      </c>
      <c r="G522" s="14" t="s">
        <v>343</v>
      </c>
      <c r="H522" s="14" t="s">
        <v>343</v>
      </c>
      <c r="I522" s="14">
        <v>0.27</v>
      </c>
      <c r="J522" s="14">
        <v>0.27</v>
      </c>
      <c r="K522" s="14">
        <v>0.31</v>
      </c>
      <c r="L522" s="14">
        <v>0.28999999999999998</v>
      </c>
      <c r="M522" s="14">
        <v>0.34</v>
      </c>
      <c r="N522" s="14">
        <v>0.36</v>
      </c>
      <c r="O522" s="14">
        <v>0.38</v>
      </c>
      <c r="P522" s="14">
        <v>0.4</v>
      </c>
      <c r="Q522" s="14">
        <v>0.41</v>
      </c>
      <c r="R522" s="14">
        <v>0.43</v>
      </c>
      <c r="S522" s="14">
        <v>0.46</v>
      </c>
      <c r="T522" s="14">
        <v>0.49</v>
      </c>
      <c r="U522" s="14">
        <v>0.53</v>
      </c>
      <c r="V522" s="14">
        <v>0.55000000000000004</v>
      </c>
      <c r="W522" s="14">
        <v>0.55000000000000004</v>
      </c>
      <c r="X522" s="14">
        <v>0.55000000000000004</v>
      </c>
    </row>
    <row r="523" spans="1:24" hidden="1" x14ac:dyDescent="0.3">
      <c r="A523" s="14" t="s">
        <v>393</v>
      </c>
      <c r="B523" s="14" t="s">
        <v>42</v>
      </c>
      <c r="C523" s="14" t="s">
        <v>369</v>
      </c>
      <c r="D523" s="14" t="s">
        <v>370</v>
      </c>
      <c r="E523" s="14" t="s">
        <v>344</v>
      </c>
      <c r="F523" s="14" t="s">
        <v>343</v>
      </c>
      <c r="G523" s="14" t="s">
        <v>343</v>
      </c>
      <c r="H523" s="14" t="s">
        <v>343</v>
      </c>
      <c r="I523" s="14">
        <v>17</v>
      </c>
      <c r="J523" s="14">
        <v>17</v>
      </c>
      <c r="K523" s="14">
        <v>13</v>
      </c>
      <c r="L523" s="14">
        <v>17</v>
      </c>
      <c r="M523" s="14">
        <v>12</v>
      </c>
      <c r="N523" s="14">
        <v>11</v>
      </c>
      <c r="O523" s="14">
        <v>8</v>
      </c>
      <c r="P523" s="14">
        <v>7</v>
      </c>
      <c r="Q523" s="14">
        <v>10</v>
      </c>
      <c r="S523" s="14">
        <v>7</v>
      </c>
      <c r="T523" s="14">
        <v>7</v>
      </c>
      <c r="U523" s="14">
        <v>5</v>
      </c>
      <c r="V523" s="14">
        <v>7</v>
      </c>
      <c r="W523" s="14">
        <v>7</v>
      </c>
      <c r="X523" s="14">
        <v>9</v>
      </c>
    </row>
    <row r="524" spans="1:24" hidden="1" x14ac:dyDescent="0.3">
      <c r="A524" s="14" t="s">
        <v>393</v>
      </c>
      <c r="B524" s="14" t="s">
        <v>42</v>
      </c>
      <c r="C524" s="14" t="s">
        <v>371</v>
      </c>
      <c r="D524" s="14" t="s">
        <v>372</v>
      </c>
      <c r="E524" s="14" t="s">
        <v>342</v>
      </c>
      <c r="F524" s="14" t="s">
        <v>343</v>
      </c>
      <c r="G524" s="14" t="s">
        <v>343</v>
      </c>
      <c r="H524" s="14" t="s">
        <v>343</v>
      </c>
      <c r="U524" s="14">
        <v>0.97</v>
      </c>
      <c r="V524" s="14">
        <v>1</v>
      </c>
      <c r="W524" s="14">
        <v>1</v>
      </c>
      <c r="X524" s="14">
        <v>1</v>
      </c>
    </row>
    <row r="525" spans="1:24" hidden="1" x14ac:dyDescent="0.3">
      <c r="A525" s="14" t="s">
        <v>393</v>
      </c>
      <c r="B525" s="14" t="s">
        <v>42</v>
      </c>
      <c r="C525" s="14" t="s">
        <v>371</v>
      </c>
      <c r="D525" s="14" t="s">
        <v>372</v>
      </c>
      <c r="E525" s="14" t="s">
        <v>344</v>
      </c>
      <c r="F525" s="14" t="s">
        <v>343</v>
      </c>
      <c r="G525" s="14" t="s">
        <v>343</v>
      </c>
      <c r="H525" s="14" t="s">
        <v>343</v>
      </c>
      <c r="U525" s="14">
        <v>1</v>
      </c>
      <c r="V525" s="14">
        <v>1</v>
      </c>
      <c r="W525" s="14">
        <v>1</v>
      </c>
      <c r="X525" s="14">
        <v>1</v>
      </c>
    </row>
    <row r="526" spans="1:24" hidden="1" x14ac:dyDescent="0.3">
      <c r="A526" s="14" t="s">
        <v>393</v>
      </c>
      <c r="B526" s="14" t="s">
        <v>42</v>
      </c>
      <c r="C526" s="14" t="s">
        <v>373</v>
      </c>
      <c r="D526" s="14" t="s">
        <v>374</v>
      </c>
      <c r="E526" s="14" t="s">
        <v>342</v>
      </c>
      <c r="F526" s="14" t="s">
        <v>343</v>
      </c>
      <c r="G526" s="14" t="s">
        <v>343</v>
      </c>
      <c r="H526" s="14" t="s">
        <v>343</v>
      </c>
      <c r="U526" s="14">
        <v>7.0000000000000007E-2</v>
      </c>
      <c r="V526" s="14">
        <v>0.09</v>
      </c>
      <c r="W526" s="14">
        <v>0.08</v>
      </c>
      <c r="X526" s="14">
        <v>0.08</v>
      </c>
    </row>
    <row r="527" spans="1:24" hidden="1" x14ac:dyDescent="0.3">
      <c r="A527" s="14" t="s">
        <v>393</v>
      </c>
      <c r="B527" s="14" t="s">
        <v>42</v>
      </c>
      <c r="C527" s="14" t="s">
        <v>373</v>
      </c>
      <c r="D527" s="14" t="s">
        <v>374</v>
      </c>
      <c r="E527" s="14" t="s">
        <v>344</v>
      </c>
      <c r="F527" s="14" t="s">
        <v>343</v>
      </c>
      <c r="G527" s="14" t="s">
        <v>343</v>
      </c>
      <c r="H527" s="14" t="s">
        <v>343</v>
      </c>
      <c r="U527" s="14">
        <v>126</v>
      </c>
      <c r="V527" s="14">
        <v>124</v>
      </c>
      <c r="W527" s="14">
        <v>134</v>
      </c>
      <c r="X527" s="14">
        <v>127</v>
      </c>
    </row>
    <row r="528" spans="1:24" hidden="1" x14ac:dyDescent="0.3">
      <c r="A528" s="14" t="s">
        <v>393</v>
      </c>
      <c r="B528" s="14" t="s">
        <v>42</v>
      </c>
      <c r="C528" s="14" t="s">
        <v>375</v>
      </c>
      <c r="D528" s="14" t="s">
        <v>376</v>
      </c>
      <c r="E528" s="14" t="s">
        <v>342</v>
      </c>
      <c r="F528" s="14" t="s">
        <v>343</v>
      </c>
      <c r="G528" s="14" t="s">
        <v>343</v>
      </c>
      <c r="H528" s="14" t="s">
        <v>343</v>
      </c>
      <c r="U528" s="14">
        <v>0.25</v>
      </c>
      <c r="V528" s="14">
        <v>0.26</v>
      </c>
      <c r="W528" s="14">
        <v>0.26</v>
      </c>
      <c r="X528" s="14">
        <v>0.26</v>
      </c>
    </row>
    <row r="529" spans="1:24" hidden="1" x14ac:dyDescent="0.3">
      <c r="A529" s="14" t="s">
        <v>393</v>
      </c>
      <c r="B529" s="14" t="s">
        <v>42</v>
      </c>
      <c r="C529" s="14" t="s">
        <v>375</v>
      </c>
      <c r="D529" s="14" t="s">
        <v>376</v>
      </c>
      <c r="E529" s="14" t="s">
        <v>344</v>
      </c>
      <c r="F529" s="14" t="s">
        <v>343</v>
      </c>
      <c r="G529" s="14" t="s">
        <v>343</v>
      </c>
      <c r="H529" s="14" t="s">
        <v>343</v>
      </c>
      <c r="U529" s="14">
        <v>80</v>
      </c>
      <c r="V529" s="14">
        <v>86</v>
      </c>
      <c r="W529" s="14">
        <v>97</v>
      </c>
      <c r="X529" s="14">
        <v>92</v>
      </c>
    </row>
    <row r="530" spans="1:24" hidden="1" x14ac:dyDescent="0.3">
      <c r="A530" s="14" t="s">
        <v>394</v>
      </c>
      <c r="B530" s="14" t="s">
        <v>56</v>
      </c>
      <c r="C530" s="14" t="s">
        <v>340</v>
      </c>
      <c r="D530" s="14" t="s">
        <v>341</v>
      </c>
      <c r="E530" s="14" t="s">
        <v>342</v>
      </c>
      <c r="F530" s="14" t="s">
        <v>343</v>
      </c>
      <c r="G530" s="14" t="s">
        <v>343</v>
      </c>
      <c r="H530" s="14" t="s">
        <v>343</v>
      </c>
      <c r="I530" s="14">
        <v>0.99</v>
      </c>
      <c r="J530" s="14">
        <v>0.99</v>
      </c>
      <c r="K530" s="14">
        <v>0.99</v>
      </c>
      <c r="L530" s="14">
        <v>0.99</v>
      </c>
      <c r="M530" s="14">
        <v>0.99</v>
      </c>
      <c r="N530" s="14">
        <v>0.99</v>
      </c>
      <c r="O530" s="14">
        <v>0.99</v>
      </c>
      <c r="P530" s="14">
        <v>0.99</v>
      </c>
      <c r="Q530" s="14">
        <v>0.99</v>
      </c>
      <c r="R530" s="14">
        <v>0.99</v>
      </c>
      <c r="S530" s="14">
        <v>0.99</v>
      </c>
      <c r="T530" s="14">
        <v>0.99</v>
      </c>
      <c r="U530" s="14">
        <v>0.99</v>
      </c>
      <c r="V530" s="14">
        <v>0.99</v>
      </c>
      <c r="W530" s="14">
        <v>0.99</v>
      </c>
      <c r="X530" s="14">
        <v>1</v>
      </c>
    </row>
    <row r="531" spans="1:24" hidden="1" x14ac:dyDescent="0.3">
      <c r="A531" s="14" t="s">
        <v>394</v>
      </c>
      <c r="B531" s="14" t="s">
        <v>56</v>
      </c>
      <c r="C531" s="14" t="s">
        <v>340</v>
      </c>
      <c r="D531" s="14" t="s">
        <v>341</v>
      </c>
      <c r="E531" s="14" t="s">
        <v>344</v>
      </c>
      <c r="F531" s="14" t="s">
        <v>343</v>
      </c>
      <c r="G531" s="14" t="s">
        <v>343</v>
      </c>
      <c r="H531" s="14" t="s">
        <v>343</v>
      </c>
      <c r="I531" s="14">
        <v>55</v>
      </c>
      <c r="J531" s="14">
        <v>62</v>
      </c>
      <c r="K531" s="14">
        <v>73</v>
      </c>
      <c r="L531" s="14">
        <v>66</v>
      </c>
      <c r="M531" s="14">
        <v>58</v>
      </c>
      <c r="N531" s="14">
        <v>58</v>
      </c>
      <c r="O531" s="14">
        <v>64</v>
      </c>
      <c r="P531" s="14">
        <v>64</v>
      </c>
      <c r="Q531" s="14">
        <v>66</v>
      </c>
      <c r="R531" s="14">
        <v>72</v>
      </c>
      <c r="S531" s="14">
        <v>65</v>
      </c>
      <c r="T531" s="14">
        <v>80</v>
      </c>
      <c r="U531" s="14">
        <v>87</v>
      </c>
      <c r="V531" s="14">
        <v>85</v>
      </c>
      <c r="W531" s="14">
        <v>82</v>
      </c>
      <c r="X531" s="14">
        <v>58</v>
      </c>
    </row>
    <row r="532" spans="1:24" hidden="1" x14ac:dyDescent="0.3">
      <c r="A532" s="14" t="s">
        <v>394</v>
      </c>
      <c r="B532" s="14" t="s">
        <v>56</v>
      </c>
      <c r="C532" s="14" t="s">
        <v>345</v>
      </c>
      <c r="D532" s="14" t="s">
        <v>346</v>
      </c>
      <c r="E532" s="14" t="s">
        <v>342</v>
      </c>
      <c r="F532" s="14" t="s">
        <v>343</v>
      </c>
      <c r="G532" s="14" t="s">
        <v>343</v>
      </c>
      <c r="H532" s="14" t="s">
        <v>343</v>
      </c>
      <c r="U532" s="14">
        <v>0.66</v>
      </c>
      <c r="V532" s="14">
        <v>0.65</v>
      </c>
      <c r="W532" s="14">
        <v>0.65</v>
      </c>
      <c r="X532" s="14">
        <v>0.64</v>
      </c>
    </row>
    <row r="533" spans="1:24" hidden="1" x14ac:dyDescent="0.3">
      <c r="A533" s="14" t="s">
        <v>394</v>
      </c>
      <c r="B533" s="14" t="s">
        <v>56</v>
      </c>
      <c r="C533" s="14" t="s">
        <v>345</v>
      </c>
      <c r="D533" s="14" t="s">
        <v>346</v>
      </c>
      <c r="E533" s="14" t="s">
        <v>344</v>
      </c>
      <c r="F533" s="14" t="s">
        <v>343</v>
      </c>
      <c r="G533" s="14" t="s">
        <v>343</v>
      </c>
      <c r="H533" s="14" t="s">
        <v>343</v>
      </c>
      <c r="U533" s="14">
        <v>51</v>
      </c>
      <c r="V533" s="14">
        <v>61</v>
      </c>
      <c r="W533" s="14">
        <v>62</v>
      </c>
      <c r="X533" s="14">
        <v>73</v>
      </c>
    </row>
    <row r="534" spans="1:24" hidden="1" x14ac:dyDescent="0.3">
      <c r="A534" s="14" t="s">
        <v>394</v>
      </c>
      <c r="B534" s="14" t="s">
        <v>56</v>
      </c>
      <c r="C534" s="14" t="s">
        <v>347</v>
      </c>
      <c r="D534" s="14" t="s">
        <v>348</v>
      </c>
      <c r="E534" s="14" t="s">
        <v>342</v>
      </c>
      <c r="F534" s="14" t="s">
        <v>343</v>
      </c>
      <c r="G534" s="14" t="s">
        <v>343</v>
      </c>
      <c r="H534" s="14" t="s">
        <v>343</v>
      </c>
      <c r="U534" s="14">
        <v>0.89</v>
      </c>
      <c r="V534" s="14">
        <v>0.89</v>
      </c>
      <c r="W534" s="14">
        <v>0.89</v>
      </c>
      <c r="X534" s="14">
        <v>0.78</v>
      </c>
    </row>
    <row r="535" spans="1:24" hidden="1" x14ac:dyDescent="0.3">
      <c r="A535" s="14" t="s">
        <v>394</v>
      </c>
      <c r="B535" s="14" t="s">
        <v>56</v>
      </c>
      <c r="C535" s="14" t="s">
        <v>347</v>
      </c>
      <c r="D535" s="14" t="s">
        <v>348</v>
      </c>
      <c r="E535" s="14" t="s">
        <v>344</v>
      </c>
      <c r="F535" s="14" t="s">
        <v>343</v>
      </c>
      <c r="G535" s="14" t="s">
        <v>343</v>
      </c>
      <c r="H535" s="14" t="s">
        <v>343</v>
      </c>
      <c r="U535" s="14">
        <v>45</v>
      </c>
      <c r="V535" s="14">
        <v>44</v>
      </c>
      <c r="W535" s="14">
        <v>49</v>
      </c>
      <c r="X535" s="14">
        <v>69</v>
      </c>
    </row>
    <row r="536" spans="1:24" hidden="1" x14ac:dyDescent="0.3">
      <c r="A536" s="14" t="s">
        <v>394</v>
      </c>
      <c r="B536" s="14" t="s">
        <v>56</v>
      </c>
      <c r="C536" s="14" t="s">
        <v>349</v>
      </c>
      <c r="D536" s="14" t="s">
        <v>350</v>
      </c>
      <c r="E536" s="14" t="s">
        <v>342</v>
      </c>
      <c r="F536" s="14" t="s">
        <v>343</v>
      </c>
      <c r="G536" s="14" t="s">
        <v>343</v>
      </c>
      <c r="H536" s="14" t="s">
        <v>343</v>
      </c>
      <c r="U536" s="14">
        <v>0.64</v>
      </c>
      <c r="V536" s="14">
        <v>0.63</v>
      </c>
      <c r="W536" s="14">
        <v>0.64</v>
      </c>
      <c r="X536" s="14">
        <v>0.7</v>
      </c>
    </row>
    <row r="537" spans="1:24" hidden="1" x14ac:dyDescent="0.3">
      <c r="A537" s="14" t="s">
        <v>394</v>
      </c>
      <c r="B537" s="14" t="s">
        <v>56</v>
      </c>
      <c r="C537" s="14" t="s">
        <v>349</v>
      </c>
      <c r="D537" s="14" t="s">
        <v>350</v>
      </c>
      <c r="E537" s="14" t="s">
        <v>344</v>
      </c>
      <c r="F537" s="14" t="s">
        <v>343</v>
      </c>
      <c r="G537" s="14" t="s">
        <v>343</v>
      </c>
      <c r="H537" s="14" t="s">
        <v>343</v>
      </c>
      <c r="U537" s="14">
        <v>30</v>
      </c>
      <c r="V537" s="14">
        <v>36</v>
      </c>
      <c r="W537" s="14">
        <v>40</v>
      </c>
      <c r="X537" s="14">
        <v>30</v>
      </c>
    </row>
    <row r="538" spans="1:24" hidden="1" x14ac:dyDescent="0.3">
      <c r="A538" s="14" t="s">
        <v>394</v>
      </c>
      <c r="B538" s="14" t="s">
        <v>56</v>
      </c>
      <c r="C538" s="14" t="s">
        <v>351</v>
      </c>
      <c r="D538" s="14" t="s">
        <v>352</v>
      </c>
      <c r="E538" s="14" t="s">
        <v>342</v>
      </c>
      <c r="F538" s="14" t="s">
        <v>343</v>
      </c>
      <c r="G538" s="14" t="s">
        <v>343</v>
      </c>
      <c r="H538" s="14" t="s">
        <v>343</v>
      </c>
      <c r="U538" s="14">
        <v>1</v>
      </c>
      <c r="V538" s="14">
        <v>1</v>
      </c>
      <c r="W538" s="14">
        <v>1</v>
      </c>
      <c r="X538" s="14">
        <v>1</v>
      </c>
    </row>
    <row r="539" spans="1:24" hidden="1" x14ac:dyDescent="0.3">
      <c r="A539" s="14" t="s">
        <v>394</v>
      </c>
      <c r="B539" s="14" t="s">
        <v>56</v>
      </c>
      <c r="C539" s="14" t="s">
        <v>351</v>
      </c>
      <c r="D539" s="14" t="s">
        <v>352</v>
      </c>
      <c r="E539" s="14" t="s">
        <v>344</v>
      </c>
      <c r="F539" s="14" t="s">
        <v>343</v>
      </c>
      <c r="G539" s="14" t="s">
        <v>343</v>
      </c>
      <c r="H539" s="14" t="s">
        <v>343</v>
      </c>
      <c r="U539" s="14">
        <v>1</v>
      </c>
      <c r="V539" s="14">
        <v>1</v>
      </c>
      <c r="W539" s="14">
        <v>1</v>
      </c>
      <c r="X539" s="14">
        <v>1</v>
      </c>
    </row>
    <row r="540" spans="1:24" hidden="1" x14ac:dyDescent="0.3">
      <c r="A540" s="14" t="s">
        <v>394</v>
      </c>
      <c r="B540" s="14" t="s">
        <v>56</v>
      </c>
      <c r="C540" s="14" t="s">
        <v>378</v>
      </c>
      <c r="D540" s="14" t="s">
        <v>379</v>
      </c>
      <c r="E540" s="14" t="s">
        <v>342</v>
      </c>
      <c r="F540" s="14" t="s">
        <v>343</v>
      </c>
      <c r="G540" s="14" t="s">
        <v>343</v>
      </c>
      <c r="H540" s="14" t="s">
        <v>343</v>
      </c>
      <c r="S540" s="14">
        <v>0.6</v>
      </c>
      <c r="U540" s="14">
        <v>0.54</v>
      </c>
      <c r="V540" s="14">
        <v>0.56999999999999995</v>
      </c>
      <c r="W540" s="14">
        <v>0.65</v>
      </c>
      <c r="X540" s="14">
        <v>0.69</v>
      </c>
    </row>
    <row r="541" spans="1:24" hidden="1" x14ac:dyDescent="0.3">
      <c r="A541" s="14" t="s">
        <v>394</v>
      </c>
      <c r="B541" s="14" t="s">
        <v>56</v>
      </c>
      <c r="C541" s="14" t="s">
        <v>378</v>
      </c>
      <c r="D541" s="14" t="s">
        <v>379</v>
      </c>
      <c r="E541" s="14" t="s">
        <v>344</v>
      </c>
      <c r="F541" s="14" t="s">
        <v>343</v>
      </c>
      <c r="G541" s="14" t="s">
        <v>343</v>
      </c>
      <c r="H541" s="14" t="s">
        <v>343</v>
      </c>
      <c r="S541" s="14">
        <v>92</v>
      </c>
      <c r="U541" s="14">
        <v>116</v>
      </c>
      <c r="V541" s="14">
        <v>109</v>
      </c>
      <c r="W541" s="14">
        <v>82</v>
      </c>
      <c r="X541" s="14">
        <v>55</v>
      </c>
    </row>
    <row r="542" spans="1:24" hidden="1" x14ac:dyDescent="0.3">
      <c r="A542" s="14" t="s">
        <v>394</v>
      </c>
      <c r="B542" s="14" t="s">
        <v>56</v>
      </c>
      <c r="C542" s="14" t="s">
        <v>353</v>
      </c>
      <c r="D542" s="14" t="s">
        <v>354</v>
      </c>
      <c r="E542" s="14" t="s">
        <v>342</v>
      </c>
      <c r="F542" s="14" t="s">
        <v>343</v>
      </c>
      <c r="G542" s="14" t="s">
        <v>343</v>
      </c>
      <c r="H542" s="14" t="s">
        <v>343</v>
      </c>
      <c r="U542" s="14">
        <v>0.99</v>
      </c>
      <c r="V542" s="14">
        <v>0.99</v>
      </c>
      <c r="W542" s="14">
        <v>0.99</v>
      </c>
    </row>
    <row r="543" spans="1:24" hidden="1" x14ac:dyDescent="0.3">
      <c r="A543" s="14" t="s">
        <v>394</v>
      </c>
      <c r="B543" s="14" t="s">
        <v>56</v>
      </c>
      <c r="C543" s="14" t="s">
        <v>353</v>
      </c>
      <c r="D543" s="14" t="s">
        <v>354</v>
      </c>
      <c r="E543" s="14" t="s">
        <v>344</v>
      </c>
      <c r="F543" s="14" t="s">
        <v>343</v>
      </c>
      <c r="G543" s="14" t="s">
        <v>343</v>
      </c>
      <c r="H543" s="14" t="s">
        <v>343</v>
      </c>
      <c r="U543" s="14">
        <v>62</v>
      </c>
      <c r="V543" s="14">
        <v>66</v>
      </c>
      <c r="W543" s="14">
        <v>66</v>
      </c>
    </row>
    <row r="544" spans="1:24" hidden="1" x14ac:dyDescent="0.3">
      <c r="A544" s="14" t="s">
        <v>394</v>
      </c>
      <c r="B544" s="14" t="s">
        <v>56</v>
      </c>
      <c r="C544" s="14" t="s">
        <v>380</v>
      </c>
      <c r="D544" s="14" t="s">
        <v>381</v>
      </c>
      <c r="E544" s="14" t="s">
        <v>342</v>
      </c>
      <c r="F544" s="14" t="s">
        <v>343</v>
      </c>
      <c r="G544" s="14" t="s">
        <v>343</v>
      </c>
      <c r="H544" s="14" t="s">
        <v>343</v>
      </c>
      <c r="U544" s="14">
        <v>0.99</v>
      </c>
      <c r="V544" s="14">
        <v>0.99</v>
      </c>
      <c r="W544" s="14">
        <v>1</v>
      </c>
      <c r="X544" s="14">
        <v>1</v>
      </c>
    </row>
    <row r="545" spans="1:24" hidden="1" x14ac:dyDescent="0.3">
      <c r="A545" s="14" t="s">
        <v>394</v>
      </c>
      <c r="B545" s="14" t="s">
        <v>56</v>
      </c>
      <c r="C545" s="14" t="s">
        <v>380</v>
      </c>
      <c r="D545" s="14" t="s">
        <v>381</v>
      </c>
      <c r="E545" s="14" t="s">
        <v>344</v>
      </c>
      <c r="F545" s="14" t="s">
        <v>343</v>
      </c>
      <c r="G545" s="14" t="s">
        <v>343</v>
      </c>
      <c r="H545" s="14" t="s">
        <v>343</v>
      </c>
      <c r="U545" s="14">
        <v>92</v>
      </c>
      <c r="V545" s="14">
        <v>105</v>
      </c>
      <c r="W545" s="14">
        <v>92</v>
      </c>
      <c r="X545" s="14">
        <v>66</v>
      </c>
    </row>
    <row r="546" spans="1:24" hidden="1" x14ac:dyDescent="0.3">
      <c r="A546" s="14" t="s">
        <v>394</v>
      </c>
      <c r="B546" s="14" t="s">
        <v>56</v>
      </c>
      <c r="C546" s="14" t="s">
        <v>355</v>
      </c>
      <c r="D546" s="14" t="s">
        <v>356</v>
      </c>
      <c r="E546" s="14" t="s">
        <v>342</v>
      </c>
      <c r="F546" s="14" t="s">
        <v>343</v>
      </c>
      <c r="G546" s="14" t="s">
        <v>343</v>
      </c>
      <c r="H546" s="14" t="s">
        <v>343</v>
      </c>
      <c r="U546" s="14">
        <v>0.97</v>
      </c>
      <c r="V546" s="14">
        <v>0.97</v>
      </c>
      <c r="W546" s="14">
        <v>0.97</v>
      </c>
      <c r="X546" s="14">
        <v>0.98</v>
      </c>
    </row>
    <row r="547" spans="1:24" hidden="1" x14ac:dyDescent="0.3">
      <c r="A547" s="14" t="s">
        <v>394</v>
      </c>
      <c r="B547" s="14" t="s">
        <v>56</v>
      </c>
      <c r="C547" s="14" t="s">
        <v>355</v>
      </c>
      <c r="D547" s="14" t="s">
        <v>356</v>
      </c>
      <c r="E547" s="14" t="s">
        <v>344</v>
      </c>
      <c r="F547" s="14" t="s">
        <v>343</v>
      </c>
      <c r="G547" s="14" t="s">
        <v>343</v>
      </c>
      <c r="H547" s="14" t="s">
        <v>343</v>
      </c>
      <c r="U547" s="14">
        <v>121</v>
      </c>
      <c r="V547" s="14">
        <v>117</v>
      </c>
      <c r="W547" s="14">
        <v>119</v>
      </c>
      <c r="X547" s="14">
        <v>91</v>
      </c>
    </row>
    <row r="548" spans="1:24" hidden="1" x14ac:dyDescent="0.3">
      <c r="A548" s="14" t="s">
        <v>394</v>
      </c>
      <c r="B548" s="14" t="s">
        <v>56</v>
      </c>
      <c r="C548" s="14" t="s">
        <v>357</v>
      </c>
      <c r="D548" s="14" t="s">
        <v>358</v>
      </c>
      <c r="E548" s="14" t="s">
        <v>342</v>
      </c>
      <c r="F548" s="14" t="s">
        <v>343</v>
      </c>
      <c r="G548" s="14" t="s">
        <v>343</v>
      </c>
      <c r="H548" s="14" t="s">
        <v>343</v>
      </c>
      <c r="U548" s="14">
        <v>1</v>
      </c>
      <c r="V548" s="14">
        <v>1</v>
      </c>
      <c r="W548" s="14">
        <v>1</v>
      </c>
      <c r="X548" s="14">
        <v>1</v>
      </c>
    </row>
    <row r="549" spans="1:24" hidden="1" x14ac:dyDescent="0.3">
      <c r="A549" s="14" t="s">
        <v>394</v>
      </c>
      <c r="B549" s="14" t="s">
        <v>56</v>
      </c>
      <c r="C549" s="14" t="s">
        <v>357</v>
      </c>
      <c r="D549" s="14" t="s">
        <v>358</v>
      </c>
      <c r="E549" s="14" t="s">
        <v>344</v>
      </c>
      <c r="F549" s="14" t="s">
        <v>343</v>
      </c>
      <c r="G549" s="14" t="s">
        <v>343</v>
      </c>
      <c r="H549" s="14" t="s">
        <v>343</v>
      </c>
      <c r="U549" s="14">
        <v>1</v>
      </c>
      <c r="V549" s="14">
        <v>1</v>
      </c>
      <c r="W549" s="14">
        <v>1</v>
      </c>
      <c r="X549" s="14">
        <v>1</v>
      </c>
    </row>
    <row r="550" spans="1:24" hidden="1" x14ac:dyDescent="0.3">
      <c r="A550" s="14" t="s">
        <v>394</v>
      </c>
      <c r="B550" s="14" t="s">
        <v>56</v>
      </c>
      <c r="C550" s="14" t="s">
        <v>359</v>
      </c>
      <c r="D550" s="14" t="s">
        <v>360</v>
      </c>
      <c r="E550" s="14" t="s">
        <v>342</v>
      </c>
      <c r="F550" s="14" t="s">
        <v>343</v>
      </c>
      <c r="G550" s="14" t="s">
        <v>343</v>
      </c>
      <c r="H550" s="14" t="s">
        <v>343</v>
      </c>
      <c r="I550" s="14">
        <v>0.61</v>
      </c>
      <c r="J550" s="14">
        <v>0.7</v>
      </c>
      <c r="K550" s="14">
        <v>0.7</v>
      </c>
      <c r="L550" s="14">
        <v>0.69</v>
      </c>
      <c r="M550" s="14">
        <v>0.68</v>
      </c>
      <c r="N550" s="14">
        <v>0.69</v>
      </c>
      <c r="O550" s="14">
        <v>0.7</v>
      </c>
      <c r="P550" s="14">
        <v>0.71</v>
      </c>
      <c r="Q550" s="14">
        <v>0.73</v>
      </c>
      <c r="R550" s="14">
        <v>0.7</v>
      </c>
      <c r="S550" s="14">
        <v>0.72</v>
      </c>
      <c r="T550" s="14">
        <v>0.71</v>
      </c>
      <c r="U550" s="14">
        <v>0.71</v>
      </c>
      <c r="V550" s="14">
        <v>0.72</v>
      </c>
      <c r="W550" s="14">
        <v>0.74</v>
      </c>
      <c r="X550" s="14">
        <v>0.74</v>
      </c>
    </row>
    <row r="551" spans="1:24" hidden="1" x14ac:dyDescent="0.3">
      <c r="A551" s="14" t="s">
        <v>394</v>
      </c>
      <c r="B551" s="14" t="s">
        <v>56</v>
      </c>
      <c r="C551" s="14" t="s">
        <v>359</v>
      </c>
      <c r="D551" s="14" t="s">
        <v>360</v>
      </c>
      <c r="E551" s="14" t="s">
        <v>344</v>
      </c>
      <c r="F551" s="14" t="s">
        <v>343</v>
      </c>
      <c r="G551" s="14" t="s">
        <v>343</v>
      </c>
      <c r="H551" s="14" t="s">
        <v>343</v>
      </c>
      <c r="I551" s="14">
        <v>58</v>
      </c>
      <c r="J551" s="14">
        <v>30</v>
      </c>
      <c r="K551" s="14">
        <v>35</v>
      </c>
      <c r="L551" s="14">
        <v>40</v>
      </c>
      <c r="M551" s="14">
        <v>50</v>
      </c>
      <c r="N551" s="14">
        <v>48</v>
      </c>
      <c r="O551" s="14">
        <v>50</v>
      </c>
      <c r="P551" s="14">
        <v>49</v>
      </c>
      <c r="Q551" s="14">
        <v>39</v>
      </c>
      <c r="R551" s="14">
        <v>55</v>
      </c>
      <c r="S551" s="14">
        <v>43</v>
      </c>
      <c r="T551" s="14">
        <v>51</v>
      </c>
      <c r="U551" s="14">
        <v>50</v>
      </c>
      <c r="V551" s="14">
        <v>52</v>
      </c>
      <c r="W551" s="14">
        <v>41</v>
      </c>
      <c r="X551" s="14">
        <v>42</v>
      </c>
    </row>
    <row r="552" spans="1:24" x14ac:dyDescent="0.3">
      <c r="A552" s="14" t="s">
        <v>394</v>
      </c>
      <c r="B552" s="14" t="s">
        <v>56</v>
      </c>
      <c r="C552" s="14" t="s">
        <v>361</v>
      </c>
      <c r="D552" s="14" t="s">
        <v>362</v>
      </c>
      <c r="E552" s="14" t="s">
        <v>342</v>
      </c>
      <c r="F552" s="14" t="s">
        <v>343</v>
      </c>
      <c r="G552" s="14" t="s">
        <v>343</v>
      </c>
      <c r="H552" s="14" t="s">
        <v>343</v>
      </c>
      <c r="I552" s="14">
        <v>0.98</v>
      </c>
      <c r="J552" s="14">
        <v>0.98</v>
      </c>
      <c r="K552" s="14">
        <v>0.98</v>
      </c>
      <c r="L552" s="14">
        <v>0.98</v>
      </c>
      <c r="M552" s="14">
        <v>0.98</v>
      </c>
      <c r="N552" s="14">
        <v>0.98</v>
      </c>
      <c r="O552" s="14">
        <v>0.98</v>
      </c>
      <c r="P552" s="14">
        <v>0.98</v>
      </c>
      <c r="Q552" s="14">
        <v>0.98</v>
      </c>
      <c r="R552" s="14">
        <v>0.98</v>
      </c>
      <c r="S552" s="14">
        <v>0.98</v>
      </c>
      <c r="T552" s="14">
        <v>0.98</v>
      </c>
      <c r="U552" s="14">
        <v>0.98</v>
      </c>
      <c r="V552" s="14">
        <v>0.98</v>
      </c>
      <c r="W552" s="14">
        <v>0.98</v>
      </c>
      <c r="X552" s="14">
        <v>0.98</v>
      </c>
    </row>
    <row r="553" spans="1:24" hidden="1" x14ac:dyDescent="0.3">
      <c r="A553" s="14" t="s">
        <v>394</v>
      </c>
      <c r="B553" s="14" t="s">
        <v>56</v>
      </c>
      <c r="C553" s="14" t="s">
        <v>361</v>
      </c>
      <c r="D553" s="14" t="s">
        <v>362</v>
      </c>
      <c r="E553" s="14" t="s">
        <v>344</v>
      </c>
      <c r="F553" s="14" t="s">
        <v>343</v>
      </c>
      <c r="G553" s="14" t="s">
        <v>343</v>
      </c>
      <c r="H553" s="14" t="s">
        <v>343</v>
      </c>
      <c r="I553" s="14">
        <v>36</v>
      </c>
      <c r="J553" s="14">
        <v>37</v>
      </c>
      <c r="K553" s="14">
        <v>38</v>
      </c>
      <c r="L553" s="14">
        <v>41</v>
      </c>
      <c r="M553" s="14">
        <v>40</v>
      </c>
      <c r="N553" s="14">
        <v>41</v>
      </c>
      <c r="O553" s="14">
        <v>34</v>
      </c>
      <c r="P553" s="14">
        <v>34</v>
      </c>
      <c r="Q553" s="14">
        <v>37</v>
      </c>
      <c r="R553" s="14">
        <v>42</v>
      </c>
      <c r="S553" s="14">
        <v>40</v>
      </c>
      <c r="T553" s="14">
        <v>36</v>
      </c>
      <c r="U553" s="14">
        <v>42</v>
      </c>
      <c r="V553" s="14">
        <v>41</v>
      </c>
      <c r="W553" s="14">
        <v>34</v>
      </c>
      <c r="X553" s="14">
        <v>30</v>
      </c>
    </row>
    <row r="554" spans="1:24" hidden="1" x14ac:dyDescent="0.3">
      <c r="A554" s="14" t="s">
        <v>394</v>
      </c>
      <c r="B554" s="14" t="s">
        <v>56</v>
      </c>
      <c r="C554" s="14" t="s">
        <v>363</v>
      </c>
      <c r="D554" s="14" t="s">
        <v>364</v>
      </c>
      <c r="E554" s="14" t="s">
        <v>342</v>
      </c>
      <c r="F554" s="14" t="s">
        <v>343</v>
      </c>
      <c r="G554" s="14" t="s">
        <v>343</v>
      </c>
      <c r="H554" s="14" t="s">
        <v>343</v>
      </c>
      <c r="U554" s="14">
        <v>1.06</v>
      </c>
      <c r="V554" s="14">
        <v>1.06</v>
      </c>
      <c r="W554" s="14">
        <v>1.06</v>
      </c>
      <c r="X554" s="14">
        <v>1.06</v>
      </c>
    </row>
    <row r="555" spans="1:24" hidden="1" x14ac:dyDescent="0.3">
      <c r="A555" s="14" t="s">
        <v>394</v>
      </c>
      <c r="B555" s="14" t="s">
        <v>56</v>
      </c>
      <c r="C555" s="14" t="s">
        <v>363</v>
      </c>
      <c r="D555" s="14" t="s">
        <v>364</v>
      </c>
      <c r="E555" s="14" t="s">
        <v>344</v>
      </c>
      <c r="F555" s="14" t="s">
        <v>343</v>
      </c>
      <c r="G555" s="14" t="s">
        <v>343</v>
      </c>
      <c r="H555" s="14" t="s">
        <v>343</v>
      </c>
      <c r="U555" s="14">
        <v>1</v>
      </c>
      <c r="V555" s="14">
        <v>1</v>
      </c>
      <c r="W555" s="14">
        <v>1</v>
      </c>
      <c r="X555" s="14">
        <v>1</v>
      </c>
    </row>
    <row r="556" spans="1:24" hidden="1" x14ac:dyDescent="0.3">
      <c r="A556" s="14" t="s">
        <v>394</v>
      </c>
      <c r="B556" s="14" t="s">
        <v>56</v>
      </c>
      <c r="C556" s="14" t="s">
        <v>365</v>
      </c>
      <c r="D556" s="14" t="s">
        <v>366</v>
      </c>
      <c r="E556" s="14" t="s">
        <v>342</v>
      </c>
      <c r="F556" s="14" t="s">
        <v>343</v>
      </c>
      <c r="G556" s="14" t="s">
        <v>343</v>
      </c>
      <c r="H556" s="14" t="s">
        <v>343</v>
      </c>
      <c r="U556" s="14">
        <v>0.94</v>
      </c>
      <c r="V556" s="14">
        <v>0.94</v>
      </c>
      <c r="W556" s="14">
        <v>0.94</v>
      </c>
      <c r="X556" s="14">
        <v>0.94</v>
      </c>
    </row>
    <row r="557" spans="1:24" hidden="1" x14ac:dyDescent="0.3">
      <c r="A557" s="14" t="s">
        <v>394</v>
      </c>
      <c r="B557" s="14" t="s">
        <v>56</v>
      </c>
      <c r="C557" s="14" t="s">
        <v>365</v>
      </c>
      <c r="D557" s="14" t="s">
        <v>366</v>
      </c>
      <c r="E557" s="14" t="s">
        <v>344</v>
      </c>
      <c r="F557" s="14" t="s">
        <v>343</v>
      </c>
      <c r="G557" s="14" t="s">
        <v>343</v>
      </c>
      <c r="H557" s="14" t="s">
        <v>343</v>
      </c>
      <c r="U557" s="14">
        <v>114</v>
      </c>
      <c r="V557" s="14">
        <v>112</v>
      </c>
      <c r="W557" s="14">
        <v>116</v>
      </c>
      <c r="X557" s="14">
        <v>111</v>
      </c>
    </row>
    <row r="558" spans="1:24" hidden="1" x14ac:dyDescent="0.3">
      <c r="A558" s="14" t="s">
        <v>394</v>
      </c>
      <c r="B558" s="14" t="s">
        <v>56</v>
      </c>
      <c r="C558" s="14" t="s">
        <v>367</v>
      </c>
      <c r="D558" s="14" t="s">
        <v>368</v>
      </c>
      <c r="E558" s="14" t="s">
        <v>342</v>
      </c>
      <c r="F558" s="14" t="s">
        <v>343</v>
      </c>
      <c r="G558" s="14" t="s">
        <v>343</v>
      </c>
      <c r="H558" s="14" t="s">
        <v>343</v>
      </c>
      <c r="I558" s="14">
        <v>0.69</v>
      </c>
      <c r="J558" s="14">
        <v>0.71</v>
      </c>
      <c r="K558" s="14">
        <v>0.71</v>
      </c>
      <c r="L558" s="14">
        <v>0.71</v>
      </c>
      <c r="M558" s="14">
        <v>0.7</v>
      </c>
      <c r="N558" s="14">
        <v>0.7</v>
      </c>
      <c r="O558" s="14">
        <v>0.7</v>
      </c>
      <c r="P558" s="14">
        <v>0.71</v>
      </c>
      <c r="Q558" s="14">
        <v>0.74</v>
      </c>
      <c r="R558" s="14">
        <v>0.72</v>
      </c>
      <c r="S558" s="14">
        <v>0.73</v>
      </c>
      <c r="T558" s="14">
        <v>0.76</v>
      </c>
      <c r="U558" s="14">
        <v>0.76</v>
      </c>
      <c r="V558" s="14">
        <v>0.73</v>
      </c>
      <c r="W558" s="14">
        <v>0.75</v>
      </c>
      <c r="X558" s="14">
        <v>0.74</v>
      </c>
    </row>
    <row r="559" spans="1:24" hidden="1" x14ac:dyDescent="0.3">
      <c r="A559" s="14" t="s">
        <v>394</v>
      </c>
      <c r="B559" s="14" t="s">
        <v>56</v>
      </c>
      <c r="C559" s="14" t="s">
        <v>367</v>
      </c>
      <c r="D559" s="14" t="s">
        <v>368</v>
      </c>
      <c r="E559" s="14" t="s">
        <v>344</v>
      </c>
      <c r="F559" s="14" t="s">
        <v>343</v>
      </c>
      <c r="G559" s="14" t="s">
        <v>343</v>
      </c>
      <c r="H559" s="14" t="s">
        <v>343</v>
      </c>
      <c r="I559" s="14">
        <v>37</v>
      </c>
      <c r="J559" s="14">
        <v>25</v>
      </c>
      <c r="K559" s="14">
        <v>36</v>
      </c>
      <c r="L559" s="14">
        <v>38</v>
      </c>
      <c r="M559" s="14">
        <v>50</v>
      </c>
      <c r="N559" s="14">
        <v>51</v>
      </c>
      <c r="O559" s="14">
        <v>52</v>
      </c>
      <c r="P559" s="14">
        <v>43</v>
      </c>
      <c r="Q559" s="14">
        <v>22</v>
      </c>
      <c r="R559" s="14">
        <v>43</v>
      </c>
      <c r="S559" s="14">
        <v>41</v>
      </c>
      <c r="T559" s="14">
        <v>18</v>
      </c>
      <c r="U559" s="14">
        <v>18</v>
      </c>
      <c r="V559" s="14">
        <v>49</v>
      </c>
      <c r="W559" s="14">
        <v>38</v>
      </c>
      <c r="X559" s="14">
        <v>42</v>
      </c>
    </row>
    <row r="560" spans="1:24" hidden="1" x14ac:dyDescent="0.3">
      <c r="A560" s="14" t="s">
        <v>394</v>
      </c>
      <c r="B560" s="14" t="s">
        <v>56</v>
      </c>
      <c r="C560" s="14" t="s">
        <v>369</v>
      </c>
      <c r="D560" s="14" t="s">
        <v>370</v>
      </c>
      <c r="E560" s="14" t="s">
        <v>342</v>
      </c>
      <c r="F560" s="14" t="s">
        <v>343</v>
      </c>
      <c r="G560" s="14" t="s">
        <v>343</v>
      </c>
      <c r="H560" s="14" t="s">
        <v>343</v>
      </c>
      <c r="I560" s="14">
        <v>0.17</v>
      </c>
      <c r="J560" s="14">
        <v>0.17</v>
      </c>
      <c r="K560" s="14">
        <v>0.16</v>
      </c>
      <c r="L560" s="14">
        <v>0.16</v>
      </c>
      <c r="M560" s="14">
        <v>0.14000000000000001</v>
      </c>
      <c r="N560" s="14">
        <v>0.14000000000000001</v>
      </c>
      <c r="O560" s="14">
        <v>0.14000000000000001</v>
      </c>
      <c r="P560" s="14">
        <v>0.16</v>
      </c>
      <c r="Q560" s="14">
        <v>0.28000000000000003</v>
      </c>
      <c r="R560" s="14">
        <v>0.22</v>
      </c>
      <c r="S560" s="14">
        <v>0.22</v>
      </c>
      <c r="T560" s="14">
        <v>0.35</v>
      </c>
      <c r="U560" s="14">
        <v>0.35</v>
      </c>
      <c r="V560" s="14">
        <v>0.22</v>
      </c>
      <c r="W560" s="14">
        <v>0.28000000000000003</v>
      </c>
      <c r="X560" s="14">
        <v>0.25</v>
      </c>
    </row>
    <row r="561" spans="1:24" hidden="1" x14ac:dyDescent="0.3">
      <c r="A561" s="14" t="s">
        <v>394</v>
      </c>
      <c r="B561" s="14" t="s">
        <v>56</v>
      </c>
      <c r="C561" s="14" t="s">
        <v>369</v>
      </c>
      <c r="D561" s="14" t="s">
        <v>370</v>
      </c>
      <c r="E561" s="14" t="s">
        <v>344</v>
      </c>
      <c r="F561" s="14" t="s">
        <v>343</v>
      </c>
      <c r="G561" s="14" t="s">
        <v>343</v>
      </c>
      <c r="H561" s="14" t="s">
        <v>343</v>
      </c>
      <c r="I561" s="14">
        <v>30</v>
      </c>
      <c r="J561" s="14">
        <v>32</v>
      </c>
      <c r="K561" s="14">
        <v>43</v>
      </c>
      <c r="L561" s="14">
        <v>42</v>
      </c>
      <c r="M561" s="14">
        <v>64</v>
      </c>
      <c r="N561" s="14">
        <v>67</v>
      </c>
      <c r="O561" s="14">
        <v>67</v>
      </c>
      <c r="P561" s="14">
        <v>58</v>
      </c>
      <c r="Q561" s="14">
        <v>31</v>
      </c>
      <c r="R561" s="14">
        <v>48</v>
      </c>
      <c r="S561" s="14">
        <v>51</v>
      </c>
      <c r="T561" s="14">
        <v>23</v>
      </c>
      <c r="U561" s="14">
        <v>25</v>
      </c>
      <c r="V561" s="14">
        <v>60</v>
      </c>
      <c r="W561" s="14">
        <v>52</v>
      </c>
      <c r="X561" s="14">
        <v>56</v>
      </c>
    </row>
    <row r="562" spans="1:24" hidden="1" x14ac:dyDescent="0.3">
      <c r="A562" s="14" t="s">
        <v>394</v>
      </c>
      <c r="B562" s="14" t="s">
        <v>56</v>
      </c>
      <c r="C562" s="14" t="s">
        <v>371</v>
      </c>
      <c r="D562" s="14" t="s">
        <v>372</v>
      </c>
      <c r="E562" s="14" t="s">
        <v>342</v>
      </c>
      <c r="F562" s="14" t="s">
        <v>343</v>
      </c>
      <c r="G562" s="14" t="s">
        <v>343</v>
      </c>
      <c r="H562" s="14" t="s">
        <v>343</v>
      </c>
      <c r="U562" s="14">
        <v>0.01</v>
      </c>
      <c r="V562" s="14">
        <v>0.01</v>
      </c>
      <c r="W562" s="14">
        <v>0.01</v>
      </c>
      <c r="X562" s="14">
        <v>0.01</v>
      </c>
    </row>
    <row r="563" spans="1:24" hidden="1" x14ac:dyDescent="0.3">
      <c r="A563" s="14" t="s">
        <v>394</v>
      </c>
      <c r="B563" s="14" t="s">
        <v>56</v>
      </c>
      <c r="C563" s="14" t="s">
        <v>371</v>
      </c>
      <c r="D563" s="14" t="s">
        <v>372</v>
      </c>
      <c r="E563" s="14" t="s">
        <v>344</v>
      </c>
      <c r="F563" s="14" t="s">
        <v>343</v>
      </c>
      <c r="G563" s="14" t="s">
        <v>343</v>
      </c>
      <c r="H563" s="14" t="s">
        <v>343</v>
      </c>
      <c r="U563" s="14">
        <v>63</v>
      </c>
      <c r="V563" s="14">
        <v>65</v>
      </c>
      <c r="W563" s="14">
        <v>69</v>
      </c>
      <c r="X563" s="14">
        <v>70</v>
      </c>
    </row>
    <row r="564" spans="1:24" hidden="1" x14ac:dyDescent="0.3">
      <c r="A564" s="14" t="s">
        <v>394</v>
      </c>
      <c r="B564" s="14" t="s">
        <v>56</v>
      </c>
      <c r="C564" s="14" t="s">
        <v>373</v>
      </c>
      <c r="D564" s="14" t="s">
        <v>374</v>
      </c>
      <c r="E564" s="14" t="s">
        <v>342</v>
      </c>
      <c r="F564" s="14" t="s">
        <v>343</v>
      </c>
      <c r="G564" s="14" t="s">
        <v>343</v>
      </c>
      <c r="H564" s="14" t="s">
        <v>343</v>
      </c>
      <c r="U564" s="14">
        <v>1</v>
      </c>
      <c r="V564" s="14">
        <v>0.46</v>
      </c>
      <c r="W564" s="14">
        <v>0.64</v>
      </c>
      <c r="X564" s="14">
        <v>0.64</v>
      </c>
    </row>
    <row r="565" spans="1:24" hidden="1" x14ac:dyDescent="0.3">
      <c r="A565" s="14" t="s">
        <v>394</v>
      </c>
      <c r="B565" s="14" t="s">
        <v>56</v>
      </c>
      <c r="C565" s="14" t="s">
        <v>373</v>
      </c>
      <c r="D565" s="14" t="s">
        <v>374</v>
      </c>
      <c r="E565" s="14" t="s">
        <v>344</v>
      </c>
      <c r="F565" s="14" t="s">
        <v>343</v>
      </c>
      <c r="G565" s="14" t="s">
        <v>343</v>
      </c>
      <c r="H565" s="14" t="s">
        <v>343</v>
      </c>
      <c r="U565" s="14">
        <v>1</v>
      </c>
      <c r="V565" s="14">
        <v>33</v>
      </c>
      <c r="W565" s="14">
        <v>29</v>
      </c>
      <c r="X565" s="14">
        <v>29</v>
      </c>
    </row>
    <row r="566" spans="1:24" hidden="1" x14ac:dyDescent="0.3">
      <c r="A566" s="14" t="s">
        <v>394</v>
      </c>
      <c r="B566" s="14" t="s">
        <v>56</v>
      </c>
      <c r="C566" s="14" t="s">
        <v>375</v>
      </c>
      <c r="D566" s="14" t="s">
        <v>376</v>
      </c>
      <c r="E566" s="14" t="s">
        <v>342</v>
      </c>
      <c r="F566" s="14" t="s">
        <v>343</v>
      </c>
      <c r="G566" s="14" t="s">
        <v>343</v>
      </c>
      <c r="H566" s="14" t="s">
        <v>343</v>
      </c>
      <c r="U566" s="14">
        <v>0.31</v>
      </c>
      <c r="V566" s="14">
        <v>0.35</v>
      </c>
      <c r="W566" s="14">
        <v>0.37</v>
      </c>
      <c r="X566" s="14">
        <v>0.28999999999999998</v>
      </c>
    </row>
    <row r="567" spans="1:24" hidden="1" x14ac:dyDescent="0.3">
      <c r="A567" s="14" t="s">
        <v>394</v>
      </c>
      <c r="B567" s="14" t="s">
        <v>56</v>
      </c>
      <c r="C567" s="14" t="s">
        <v>375</v>
      </c>
      <c r="D567" s="14" t="s">
        <v>376</v>
      </c>
      <c r="E567" s="14" t="s">
        <v>344</v>
      </c>
      <c r="F567" s="14" t="s">
        <v>343</v>
      </c>
      <c r="G567" s="14" t="s">
        <v>343</v>
      </c>
      <c r="H567" s="14" t="s">
        <v>343</v>
      </c>
      <c r="U567" s="14">
        <v>61</v>
      </c>
      <c r="V567" s="14">
        <v>57</v>
      </c>
      <c r="W567" s="14">
        <v>62</v>
      </c>
      <c r="X567" s="14">
        <v>85</v>
      </c>
    </row>
    <row r="568" spans="1:24" hidden="1" x14ac:dyDescent="0.3">
      <c r="A568" s="14" t="s">
        <v>395</v>
      </c>
      <c r="B568" s="14" t="s">
        <v>41</v>
      </c>
      <c r="C568" s="14" t="s">
        <v>340</v>
      </c>
      <c r="D568" s="14" t="s">
        <v>341</v>
      </c>
      <c r="E568" s="14" t="s">
        <v>342</v>
      </c>
      <c r="F568" s="14" t="s">
        <v>343</v>
      </c>
      <c r="G568" s="14" t="s">
        <v>343</v>
      </c>
      <c r="H568" s="14" t="s">
        <v>343</v>
      </c>
      <c r="I568" s="14">
        <v>0.99</v>
      </c>
      <c r="J568" s="14">
        <v>0.99</v>
      </c>
      <c r="K568" s="14">
        <v>0.99</v>
      </c>
      <c r="L568" s="14">
        <v>0.99</v>
      </c>
      <c r="M568" s="14">
        <v>0.99</v>
      </c>
      <c r="N568" s="14">
        <v>0.99</v>
      </c>
      <c r="O568" s="14">
        <v>0.99</v>
      </c>
      <c r="P568" s="14">
        <v>0.99</v>
      </c>
      <c r="Q568" s="14">
        <v>0.99</v>
      </c>
      <c r="R568" s="14">
        <v>0.98</v>
      </c>
      <c r="S568" s="14">
        <v>0.99</v>
      </c>
      <c r="T568" s="14">
        <v>0.99</v>
      </c>
      <c r="U568" s="14">
        <v>1</v>
      </c>
      <c r="V568" s="14">
        <v>0.98</v>
      </c>
      <c r="W568" s="14">
        <v>0.98</v>
      </c>
      <c r="X568" s="14">
        <v>1</v>
      </c>
    </row>
    <row r="569" spans="1:24" hidden="1" x14ac:dyDescent="0.3">
      <c r="A569" s="14" t="s">
        <v>395</v>
      </c>
      <c r="B569" s="14" t="s">
        <v>41</v>
      </c>
      <c r="C569" s="14" t="s">
        <v>340</v>
      </c>
      <c r="D569" s="14" t="s">
        <v>341</v>
      </c>
      <c r="E569" s="14" t="s">
        <v>344</v>
      </c>
      <c r="F569" s="14" t="s">
        <v>343</v>
      </c>
      <c r="G569" s="14" t="s">
        <v>343</v>
      </c>
      <c r="H569" s="14" t="s">
        <v>343</v>
      </c>
      <c r="I569" s="14">
        <v>53</v>
      </c>
      <c r="J569" s="14">
        <v>59</v>
      </c>
      <c r="K569" s="14">
        <v>66</v>
      </c>
      <c r="L569" s="14">
        <v>69</v>
      </c>
      <c r="M569" s="14">
        <v>60</v>
      </c>
      <c r="N569" s="14">
        <v>81</v>
      </c>
      <c r="O569" s="14">
        <v>47</v>
      </c>
      <c r="P569" s="14">
        <v>71</v>
      </c>
      <c r="Q569" s="14">
        <v>90</v>
      </c>
      <c r="R569" s="14">
        <v>94</v>
      </c>
      <c r="S569" s="14">
        <v>84</v>
      </c>
      <c r="T569" s="14">
        <v>75</v>
      </c>
      <c r="U569" s="14">
        <v>43</v>
      </c>
      <c r="V569" s="14">
        <v>90</v>
      </c>
      <c r="W569" s="14">
        <v>90</v>
      </c>
      <c r="X569" s="14">
        <v>54</v>
      </c>
    </row>
    <row r="570" spans="1:24" hidden="1" x14ac:dyDescent="0.3">
      <c r="A570" s="14" t="s">
        <v>395</v>
      </c>
      <c r="B570" s="14" t="s">
        <v>41</v>
      </c>
      <c r="C570" s="14" t="s">
        <v>345</v>
      </c>
      <c r="D570" s="14" t="s">
        <v>346</v>
      </c>
      <c r="E570" s="14" t="s">
        <v>342</v>
      </c>
      <c r="F570" s="14" t="s">
        <v>343</v>
      </c>
      <c r="G570" s="14" t="s">
        <v>343</v>
      </c>
      <c r="H570" s="14" t="s">
        <v>343</v>
      </c>
      <c r="U570" s="14">
        <v>0.31</v>
      </c>
      <c r="V570" s="14">
        <v>0.34</v>
      </c>
      <c r="W570" s="14">
        <v>0.34</v>
      </c>
      <c r="X570" s="14">
        <v>0.34</v>
      </c>
    </row>
    <row r="571" spans="1:24" hidden="1" x14ac:dyDescent="0.3">
      <c r="A571" s="14" t="s">
        <v>395</v>
      </c>
      <c r="B571" s="14" t="s">
        <v>41</v>
      </c>
      <c r="C571" s="14" t="s">
        <v>345</v>
      </c>
      <c r="D571" s="14" t="s">
        <v>346</v>
      </c>
      <c r="E571" s="14" t="s">
        <v>344</v>
      </c>
      <c r="F571" s="14" t="s">
        <v>343</v>
      </c>
      <c r="G571" s="14" t="s">
        <v>343</v>
      </c>
      <c r="H571" s="14" t="s">
        <v>343</v>
      </c>
      <c r="U571" s="14">
        <v>130</v>
      </c>
      <c r="V571" s="14">
        <v>135</v>
      </c>
      <c r="W571" s="14">
        <v>139</v>
      </c>
      <c r="X571" s="14">
        <v>134</v>
      </c>
    </row>
    <row r="572" spans="1:24" hidden="1" x14ac:dyDescent="0.3">
      <c r="A572" s="14" t="s">
        <v>395</v>
      </c>
      <c r="B572" s="14" t="s">
        <v>41</v>
      </c>
      <c r="C572" s="14" t="s">
        <v>347</v>
      </c>
      <c r="D572" s="14" t="s">
        <v>348</v>
      </c>
      <c r="E572" s="14" t="s">
        <v>342</v>
      </c>
      <c r="F572" s="14" t="s">
        <v>343</v>
      </c>
      <c r="G572" s="14" t="s">
        <v>343</v>
      </c>
      <c r="H572" s="14" t="s">
        <v>343</v>
      </c>
      <c r="U572" s="14">
        <v>0.52</v>
      </c>
      <c r="V572" s="14">
        <v>0.52</v>
      </c>
      <c r="W572" s="14">
        <v>0.53</v>
      </c>
      <c r="X572" s="14">
        <v>0.51</v>
      </c>
    </row>
    <row r="573" spans="1:24" hidden="1" x14ac:dyDescent="0.3">
      <c r="A573" s="14" t="s">
        <v>395</v>
      </c>
      <c r="B573" s="14" t="s">
        <v>41</v>
      </c>
      <c r="C573" s="14" t="s">
        <v>347</v>
      </c>
      <c r="D573" s="14" t="s">
        <v>348</v>
      </c>
      <c r="E573" s="14" t="s">
        <v>344</v>
      </c>
      <c r="F573" s="14" t="s">
        <v>343</v>
      </c>
      <c r="G573" s="14" t="s">
        <v>343</v>
      </c>
      <c r="H573" s="14" t="s">
        <v>343</v>
      </c>
      <c r="U573" s="14">
        <v>128</v>
      </c>
      <c r="V573" s="14">
        <v>130</v>
      </c>
      <c r="W573" s="14">
        <v>134</v>
      </c>
      <c r="X573" s="14">
        <v>129</v>
      </c>
    </row>
    <row r="574" spans="1:24" hidden="1" x14ac:dyDescent="0.3">
      <c r="A574" s="14" t="s">
        <v>395</v>
      </c>
      <c r="B574" s="14" t="s">
        <v>41</v>
      </c>
      <c r="C574" s="14" t="s">
        <v>349</v>
      </c>
      <c r="D574" s="14" t="s">
        <v>350</v>
      </c>
      <c r="E574" s="14" t="s">
        <v>342</v>
      </c>
      <c r="F574" s="14" t="s">
        <v>343</v>
      </c>
      <c r="G574" s="14" t="s">
        <v>343</v>
      </c>
      <c r="H574" s="14" t="s">
        <v>343</v>
      </c>
      <c r="U574" s="14">
        <v>0.27</v>
      </c>
      <c r="V574" s="14">
        <v>0.28000000000000003</v>
      </c>
      <c r="W574" s="14">
        <v>0.28000000000000003</v>
      </c>
      <c r="X574" s="14">
        <v>0.28000000000000003</v>
      </c>
    </row>
    <row r="575" spans="1:24" hidden="1" x14ac:dyDescent="0.3">
      <c r="A575" s="14" t="s">
        <v>395</v>
      </c>
      <c r="B575" s="14" t="s">
        <v>41</v>
      </c>
      <c r="C575" s="14" t="s">
        <v>349</v>
      </c>
      <c r="D575" s="14" t="s">
        <v>350</v>
      </c>
      <c r="E575" s="14" t="s">
        <v>344</v>
      </c>
      <c r="F575" s="14" t="s">
        <v>343</v>
      </c>
      <c r="G575" s="14" t="s">
        <v>343</v>
      </c>
      <c r="H575" s="14" t="s">
        <v>343</v>
      </c>
      <c r="U575" s="14">
        <v>110</v>
      </c>
      <c r="V575" s="14">
        <v>114</v>
      </c>
      <c r="W575" s="14">
        <v>119</v>
      </c>
      <c r="X575" s="14">
        <v>112</v>
      </c>
    </row>
    <row r="576" spans="1:24" hidden="1" x14ac:dyDescent="0.3">
      <c r="A576" s="14" t="s">
        <v>395</v>
      </c>
      <c r="B576" s="14" t="s">
        <v>41</v>
      </c>
      <c r="C576" s="14" t="s">
        <v>351</v>
      </c>
      <c r="D576" s="14" t="s">
        <v>352</v>
      </c>
      <c r="E576" s="14" t="s">
        <v>342</v>
      </c>
      <c r="F576" s="14" t="s">
        <v>343</v>
      </c>
      <c r="G576" s="14" t="s">
        <v>343</v>
      </c>
      <c r="H576" s="14" t="s">
        <v>343</v>
      </c>
      <c r="U576" s="14">
        <v>0.48</v>
      </c>
      <c r="V576" s="14">
        <v>0.48</v>
      </c>
      <c r="W576" s="14">
        <v>0.48</v>
      </c>
      <c r="X576" s="14">
        <v>0.48</v>
      </c>
    </row>
    <row r="577" spans="1:24" hidden="1" x14ac:dyDescent="0.3">
      <c r="A577" s="14" t="s">
        <v>395</v>
      </c>
      <c r="B577" s="14" t="s">
        <v>41</v>
      </c>
      <c r="C577" s="14" t="s">
        <v>351</v>
      </c>
      <c r="D577" s="14" t="s">
        <v>352</v>
      </c>
      <c r="E577" s="14" t="s">
        <v>344</v>
      </c>
      <c r="F577" s="14" t="s">
        <v>343</v>
      </c>
      <c r="G577" s="14" t="s">
        <v>343</v>
      </c>
      <c r="H577" s="14" t="s">
        <v>343</v>
      </c>
      <c r="U577" s="14">
        <v>125</v>
      </c>
      <c r="V577" s="14">
        <v>130</v>
      </c>
      <c r="W577" s="14">
        <v>131</v>
      </c>
      <c r="X577" s="14">
        <v>121</v>
      </c>
    </row>
    <row r="578" spans="1:24" hidden="1" x14ac:dyDescent="0.3">
      <c r="A578" s="14" t="s">
        <v>395</v>
      </c>
      <c r="B578" s="14" t="s">
        <v>41</v>
      </c>
      <c r="C578" s="14" t="s">
        <v>378</v>
      </c>
      <c r="D578" s="14" t="s">
        <v>379</v>
      </c>
      <c r="E578" s="14" t="s">
        <v>342</v>
      </c>
      <c r="F578" s="14" t="s">
        <v>343</v>
      </c>
      <c r="G578" s="14" t="s">
        <v>343</v>
      </c>
      <c r="H578" s="14" t="s">
        <v>343</v>
      </c>
      <c r="S578" s="14">
        <v>0.79</v>
      </c>
      <c r="U578" s="14">
        <v>0.79</v>
      </c>
      <c r="V578" s="14">
        <v>0.74</v>
      </c>
      <c r="W578" s="14">
        <v>0.77</v>
      </c>
      <c r="X578" s="14">
        <v>0.75</v>
      </c>
    </row>
    <row r="579" spans="1:24" hidden="1" x14ac:dyDescent="0.3">
      <c r="A579" s="14" t="s">
        <v>395</v>
      </c>
      <c r="B579" s="14" t="s">
        <v>41</v>
      </c>
      <c r="C579" s="14" t="s">
        <v>378</v>
      </c>
      <c r="D579" s="14" t="s">
        <v>379</v>
      </c>
      <c r="E579" s="14" t="s">
        <v>344</v>
      </c>
      <c r="F579" s="14" t="s">
        <v>343</v>
      </c>
      <c r="G579" s="14" t="s">
        <v>343</v>
      </c>
      <c r="H579" s="14" t="s">
        <v>343</v>
      </c>
      <c r="S579" s="14">
        <v>12</v>
      </c>
      <c r="U579" s="14">
        <v>12</v>
      </c>
      <c r="V579" s="14">
        <v>21</v>
      </c>
      <c r="W579" s="14">
        <v>16</v>
      </c>
      <c r="X579" s="14">
        <v>20</v>
      </c>
    </row>
    <row r="580" spans="1:24" hidden="1" x14ac:dyDescent="0.3">
      <c r="A580" s="14" t="s">
        <v>395</v>
      </c>
      <c r="B580" s="14" t="s">
        <v>41</v>
      </c>
      <c r="C580" s="14" t="s">
        <v>353</v>
      </c>
      <c r="D580" s="14" t="s">
        <v>354</v>
      </c>
      <c r="E580" s="14" t="s">
        <v>342</v>
      </c>
      <c r="F580" s="14" t="s">
        <v>343</v>
      </c>
      <c r="G580" s="14" t="s">
        <v>343</v>
      </c>
      <c r="H580" s="14" t="s">
        <v>343</v>
      </c>
      <c r="V580" s="14">
        <v>0.96</v>
      </c>
      <c r="W580" s="14">
        <v>0.96</v>
      </c>
      <c r="X580" s="14">
        <v>1</v>
      </c>
    </row>
    <row r="581" spans="1:24" hidden="1" x14ac:dyDescent="0.3">
      <c r="A581" s="14" t="s">
        <v>395</v>
      </c>
      <c r="B581" s="14" t="s">
        <v>41</v>
      </c>
      <c r="C581" s="14" t="s">
        <v>353</v>
      </c>
      <c r="D581" s="14" t="s">
        <v>354</v>
      </c>
      <c r="E581" s="14" t="s">
        <v>344</v>
      </c>
      <c r="F581" s="14" t="s">
        <v>343</v>
      </c>
      <c r="G581" s="14" t="s">
        <v>343</v>
      </c>
      <c r="H581" s="14" t="s">
        <v>343</v>
      </c>
      <c r="V581" s="14">
        <v>95</v>
      </c>
      <c r="W581" s="14">
        <v>97</v>
      </c>
      <c r="X581" s="14">
        <v>1</v>
      </c>
    </row>
    <row r="582" spans="1:24" hidden="1" x14ac:dyDescent="0.3">
      <c r="A582" s="14" t="s">
        <v>395</v>
      </c>
      <c r="B582" s="14" t="s">
        <v>41</v>
      </c>
      <c r="C582" s="14" t="s">
        <v>380</v>
      </c>
      <c r="D582" s="14" t="s">
        <v>381</v>
      </c>
      <c r="E582" s="14" t="s">
        <v>342</v>
      </c>
      <c r="F582" s="14" t="s">
        <v>343</v>
      </c>
      <c r="G582" s="14" t="s">
        <v>343</v>
      </c>
      <c r="H582" s="14" t="s">
        <v>343</v>
      </c>
      <c r="U582" s="14">
        <v>1</v>
      </c>
      <c r="V582" s="14">
        <v>0.98</v>
      </c>
      <c r="W582" s="14">
        <v>0.98</v>
      </c>
      <c r="X582" s="14">
        <v>0.99</v>
      </c>
    </row>
    <row r="583" spans="1:24" hidden="1" x14ac:dyDescent="0.3">
      <c r="A583" s="14" t="s">
        <v>395</v>
      </c>
      <c r="B583" s="14" t="s">
        <v>41</v>
      </c>
      <c r="C583" s="14" t="s">
        <v>380</v>
      </c>
      <c r="D583" s="14" t="s">
        <v>381</v>
      </c>
      <c r="E583" s="14" t="s">
        <v>344</v>
      </c>
      <c r="F583" s="14" t="s">
        <v>343</v>
      </c>
      <c r="G583" s="14" t="s">
        <v>343</v>
      </c>
      <c r="H583" s="14" t="s">
        <v>343</v>
      </c>
      <c r="U583" s="14">
        <v>76</v>
      </c>
      <c r="V583" s="14">
        <v>124</v>
      </c>
      <c r="W583" s="14">
        <v>124</v>
      </c>
      <c r="X583" s="14">
        <v>92</v>
      </c>
    </row>
    <row r="584" spans="1:24" hidden="1" x14ac:dyDescent="0.3">
      <c r="A584" s="14" t="s">
        <v>395</v>
      </c>
      <c r="B584" s="14" t="s">
        <v>41</v>
      </c>
      <c r="C584" s="14" t="s">
        <v>355</v>
      </c>
      <c r="D584" s="14" t="s">
        <v>356</v>
      </c>
      <c r="E584" s="14" t="s">
        <v>342</v>
      </c>
      <c r="F584" s="14" t="s">
        <v>343</v>
      </c>
      <c r="G584" s="14" t="s">
        <v>343</v>
      </c>
      <c r="H584" s="14" t="s">
        <v>343</v>
      </c>
      <c r="U584" s="14">
        <v>1</v>
      </c>
      <c r="V584" s="14">
        <v>1</v>
      </c>
      <c r="W584" s="14">
        <v>1</v>
      </c>
      <c r="X584" s="14">
        <v>1</v>
      </c>
    </row>
    <row r="585" spans="1:24" hidden="1" x14ac:dyDescent="0.3">
      <c r="A585" s="14" t="s">
        <v>395</v>
      </c>
      <c r="B585" s="14" t="s">
        <v>41</v>
      </c>
      <c r="C585" s="14" t="s">
        <v>355</v>
      </c>
      <c r="D585" s="14" t="s">
        <v>356</v>
      </c>
      <c r="E585" s="14" t="s">
        <v>344</v>
      </c>
      <c r="F585" s="14" t="s">
        <v>343</v>
      </c>
      <c r="G585" s="14" t="s">
        <v>343</v>
      </c>
      <c r="H585" s="14" t="s">
        <v>343</v>
      </c>
      <c r="U585" s="14">
        <v>1</v>
      </c>
      <c r="V585" s="14">
        <v>1</v>
      </c>
      <c r="W585" s="14">
        <v>1</v>
      </c>
      <c r="X585" s="14">
        <v>1</v>
      </c>
    </row>
    <row r="586" spans="1:24" hidden="1" x14ac:dyDescent="0.3">
      <c r="A586" s="14" t="s">
        <v>395</v>
      </c>
      <c r="B586" s="14" t="s">
        <v>41</v>
      </c>
      <c r="C586" s="14" t="s">
        <v>357</v>
      </c>
      <c r="D586" s="14" t="s">
        <v>358</v>
      </c>
      <c r="E586" s="14" t="s">
        <v>342</v>
      </c>
      <c r="F586" s="14" t="s">
        <v>343</v>
      </c>
      <c r="G586" s="14" t="s">
        <v>343</v>
      </c>
      <c r="H586" s="14" t="s">
        <v>343</v>
      </c>
      <c r="U586" s="14">
        <v>1</v>
      </c>
      <c r="V586" s="14">
        <v>1</v>
      </c>
      <c r="W586" s="14">
        <v>1</v>
      </c>
      <c r="X586" s="14">
        <v>1</v>
      </c>
    </row>
    <row r="587" spans="1:24" hidden="1" x14ac:dyDescent="0.3">
      <c r="A587" s="14" t="s">
        <v>395</v>
      </c>
      <c r="B587" s="14" t="s">
        <v>41</v>
      </c>
      <c r="C587" s="14" t="s">
        <v>357</v>
      </c>
      <c r="D587" s="14" t="s">
        <v>358</v>
      </c>
      <c r="E587" s="14" t="s">
        <v>344</v>
      </c>
      <c r="F587" s="14" t="s">
        <v>343</v>
      </c>
      <c r="G587" s="14" t="s">
        <v>343</v>
      </c>
      <c r="H587" s="14" t="s">
        <v>343</v>
      </c>
      <c r="U587" s="14">
        <v>1</v>
      </c>
      <c r="V587" s="14">
        <v>1</v>
      </c>
      <c r="W587" s="14">
        <v>1</v>
      </c>
      <c r="X587" s="14">
        <v>1</v>
      </c>
    </row>
    <row r="588" spans="1:24" hidden="1" x14ac:dyDescent="0.3">
      <c r="A588" s="14" t="s">
        <v>395</v>
      </c>
      <c r="B588" s="14" t="s">
        <v>41</v>
      </c>
      <c r="C588" s="14" t="s">
        <v>359</v>
      </c>
      <c r="D588" s="14" t="s">
        <v>360</v>
      </c>
      <c r="E588" s="14" t="s">
        <v>342</v>
      </c>
      <c r="F588" s="14" t="s">
        <v>343</v>
      </c>
      <c r="G588" s="14" t="s">
        <v>343</v>
      </c>
      <c r="H588" s="14" t="s">
        <v>343</v>
      </c>
      <c r="I588" s="14">
        <v>0.38</v>
      </c>
      <c r="J588" s="14">
        <v>0.39</v>
      </c>
      <c r="K588" s="14">
        <v>0.4</v>
      </c>
      <c r="L588" s="14">
        <v>0.48</v>
      </c>
      <c r="M588" s="14">
        <v>0.5</v>
      </c>
      <c r="N588" s="14">
        <v>0.51</v>
      </c>
      <c r="O588" s="14">
        <v>0.5</v>
      </c>
      <c r="P588" s="14">
        <v>0.51</v>
      </c>
      <c r="Q588" s="14">
        <v>0.48</v>
      </c>
      <c r="R588" s="14">
        <v>0.6</v>
      </c>
      <c r="S588" s="14">
        <v>0.48</v>
      </c>
      <c r="T588" s="14">
        <v>0.54</v>
      </c>
      <c r="U588" s="14">
        <v>0.52</v>
      </c>
      <c r="V588" s="14">
        <v>0.51</v>
      </c>
      <c r="W588" s="14">
        <v>0.52</v>
      </c>
      <c r="X588" s="14">
        <v>0.51</v>
      </c>
    </row>
    <row r="589" spans="1:24" hidden="1" x14ac:dyDescent="0.3">
      <c r="A589" s="14" t="s">
        <v>395</v>
      </c>
      <c r="B589" s="14" t="s">
        <v>41</v>
      </c>
      <c r="C589" s="14" t="s">
        <v>359</v>
      </c>
      <c r="D589" s="14" t="s">
        <v>360</v>
      </c>
      <c r="E589" s="14" t="s">
        <v>344</v>
      </c>
      <c r="F589" s="14" t="s">
        <v>343</v>
      </c>
      <c r="G589" s="14" t="s">
        <v>343</v>
      </c>
      <c r="H589" s="14" t="s">
        <v>343</v>
      </c>
      <c r="I589" s="14">
        <v>111</v>
      </c>
      <c r="J589" s="14">
        <v>124</v>
      </c>
      <c r="K589" s="14">
        <v>126</v>
      </c>
      <c r="L589" s="14">
        <v>118</v>
      </c>
      <c r="M589" s="14">
        <v>115</v>
      </c>
      <c r="N589" s="14">
        <v>115</v>
      </c>
      <c r="O589" s="14">
        <v>118</v>
      </c>
      <c r="P589" s="14">
        <v>117</v>
      </c>
      <c r="Q589" s="14">
        <v>126</v>
      </c>
      <c r="R589" s="14">
        <v>113</v>
      </c>
      <c r="S589" s="14">
        <v>127</v>
      </c>
      <c r="T589" s="14">
        <v>120</v>
      </c>
      <c r="U589" s="14">
        <v>128</v>
      </c>
      <c r="V589" s="14">
        <v>133</v>
      </c>
      <c r="W589" s="14">
        <v>134</v>
      </c>
      <c r="X589" s="14">
        <v>131</v>
      </c>
    </row>
    <row r="590" spans="1:24" x14ac:dyDescent="0.3">
      <c r="A590" s="14" t="s">
        <v>395</v>
      </c>
      <c r="B590" s="14" t="s">
        <v>41</v>
      </c>
      <c r="C590" s="14" t="s">
        <v>361</v>
      </c>
      <c r="D590" s="14" t="s">
        <v>362</v>
      </c>
      <c r="E590" s="14" t="s">
        <v>342</v>
      </c>
      <c r="F590" s="14" t="s">
        <v>343</v>
      </c>
      <c r="G590" s="14" t="s">
        <v>343</v>
      </c>
      <c r="H590" s="14" t="s">
        <v>343</v>
      </c>
      <c r="I590" s="14">
        <v>0.96</v>
      </c>
      <c r="J590" s="14">
        <v>0.96</v>
      </c>
      <c r="K590" s="14">
        <v>0.96</v>
      </c>
      <c r="L590" s="14">
        <v>0.96</v>
      </c>
      <c r="M590" s="14">
        <v>0.96</v>
      </c>
      <c r="N590" s="14">
        <v>0.96</v>
      </c>
      <c r="O590" s="14">
        <v>0.96</v>
      </c>
      <c r="P590" s="14">
        <v>0.96</v>
      </c>
      <c r="Q590" s="14">
        <v>0.96</v>
      </c>
      <c r="R590" s="14">
        <v>0.96</v>
      </c>
      <c r="S590" s="14">
        <v>0.96</v>
      </c>
      <c r="T590" s="14">
        <v>0.96</v>
      </c>
      <c r="U590" s="14">
        <v>0.96</v>
      </c>
      <c r="V590" s="14">
        <v>0.96</v>
      </c>
      <c r="W590" s="14">
        <v>0.96</v>
      </c>
      <c r="X590" s="14">
        <v>0.96</v>
      </c>
    </row>
    <row r="591" spans="1:24" hidden="1" x14ac:dyDescent="0.3">
      <c r="A591" s="14" t="s">
        <v>395</v>
      </c>
      <c r="B591" s="14" t="s">
        <v>41</v>
      </c>
      <c r="C591" s="14" t="s">
        <v>361</v>
      </c>
      <c r="D591" s="14" t="s">
        <v>362</v>
      </c>
      <c r="E591" s="14" t="s">
        <v>344</v>
      </c>
      <c r="F591" s="14" t="s">
        <v>343</v>
      </c>
      <c r="G591" s="14" t="s">
        <v>343</v>
      </c>
      <c r="H591" s="14" t="s">
        <v>343</v>
      </c>
      <c r="I591" s="14">
        <v>104</v>
      </c>
      <c r="J591" s="14">
        <v>110</v>
      </c>
      <c r="K591" s="14">
        <v>112</v>
      </c>
      <c r="L591" s="14">
        <v>116</v>
      </c>
      <c r="M591" s="14">
        <v>110</v>
      </c>
      <c r="N591" s="14">
        <v>111</v>
      </c>
      <c r="O591" s="14">
        <v>111</v>
      </c>
      <c r="P591" s="14">
        <v>112</v>
      </c>
      <c r="Q591" s="14">
        <v>132</v>
      </c>
      <c r="R591" s="14">
        <v>133</v>
      </c>
      <c r="S591" s="14">
        <v>132</v>
      </c>
      <c r="T591" s="14">
        <v>136</v>
      </c>
      <c r="U591" s="14">
        <v>142</v>
      </c>
      <c r="V591" s="14">
        <v>146</v>
      </c>
      <c r="W591" s="14">
        <v>143</v>
      </c>
      <c r="X591" s="14">
        <v>134</v>
      </c>
    </row>
    <row r="592" spans="1:24" hidden="1" x14ac:dyDescent="0.3">
      <c r="A592" s="14" t="s">
        <v>395</v>
      </c>
      <c r="B592" s="14" t="s">
        <v>41</v>
      </c>
      <c r="C592" s="14" t="s">
        <v>363</v>
      </c>
      <c r="D592" s="14" t="s">
        <v>364</v>
      </c>
      <c r="E592" s="14" t="s">
        <v>342</v>
      </c>
      <c r="F592" s="14" t="s">
        <v>343</v>
      </c>
      <c r="G592" s="14" t="s">
        <v>343</v>
      </c>
      <c r="H592" s="14" t="s">
        <v>343</v>
      </c>
      <c r="U592" s="14">
        <v>0.99</v>
      </c>
      <c r="V592" s="14">
        <v>0.99</v>
      </c>
      <c r="W592" s="14">
        <v>0.99</v>
      </c>
      <c r="X592" s="14">
        <v>0.99</v>
      </c>
    </row>
    <row r="593" spans="1:24" hidden="1" x14ac:dyDescent="0.3">
      <c r="A593" s="14" t="s">
        <v>395</v>
      </c>
      <c r="B593" s="14" t="s">
        <v>41</v>
      </c>
      <c r="C593" s="14" t="s">
        <v>363</v>
      </c>
      <c r="D593" s="14" t="s">
        <v>364</v>
      </c>
      <c r="E593" s="14" t="s">
        <v>344</v>
      </c>
      <c r="F593" s="14" t="s">
        <v>343</v>
      </c>
      <c r="G593" s="14" t="s">
        <v>343</v>
      </c>
      <c r="H593" s="14" t="s">
        <v>343</v>
      </c>
      <c r="U593" s="14">
        <v>149</v>
      </c>
      <c r="V593" s="14">
        <v>153</v>
      </c>
      <c r="W593" s="14">
        <v>151</v>
      </c>
      <c r="X593" s="14">
        <v>142</v>
      </c>
    </row>
    <row r="594" spans="1:24" hidden="1" x14ac:dyDescent="0.3">
      <c r="A594" s="14" t="s">
        <v>395</v>
      </c>
      <c r="B594" s="14" t="s">
        <v>41</v>
      </c>
      <c r="C594" s="14" t="s">
        <v>365</v>
      </c>
      <c r="D594" s="14" t="s">
        <v>366</v>
      </c>
      <c r="E594" s="14" t="s">
        <v>342</v>
      </c>
      <c r="F594" s="14" t="s">
        <v>343</v>
      </c>
      <c r="G594" s="14" t="s">
        <v>343</v>
      </c>
      <c r="H594" s="14" t="s">
        <v>343</v>
      </c>
      <c r="U594" s="14">
        <v>0.94</v>
      </c>
      <c r="V594" s="14">
        <v>0.94</v>
      </c>
      <c r="W594" s="14">
        <v>0.94</v>
      </c>
      <c r="X594" s="14">
        <v>0.94</v>
      </c>
    </row>
    <row r="595" spans="1:24" hidden="1" x14ac:dyDescent="0.3">
      <c r="A595" s="14" t="s">
        <v>395</v>
      </c>
      <c r="B595" s="14" t="s">
        <v>41</v>
      </c>
      <c r="C595" s="14" t="s">
        <v>365</v>
      </c>
      <c r="D595" s="14" t="s">
        <v>366</v>
      </c>
      <c r="E595" s="14" t="s">
        <v>344</v>
      </c>
      <c r="F595" s="14" t="s">
        <v>343</v>
      </c>
      <c r="G595" s="14" t="s">
        <v>343</v>
      </c>
      <c r="H595" s="14" t="s">
        <v>343</v>
      </c>
      <c r="U595" s="14">
        <v>1</v>
      </c>
      <c r="V595" s="14">
        <v>1</v>
      </c>
      <c r="W595" s="14">
        <v>1</v>
      </c>
      <c r="X595" s="14">
        <v>1</v>
      </c>
    </row>
    <row r="596" spans="1:24" hidden="1" x14ac:dyDescent="0.3">
      <c r="A596" s="14" t="s">
        <v>395</v>
      </c>
      <c r="B596" s="14" t="s">
        <v>41</v>
      </c>
      <c r="C596" s="14" t="s">
        <v>367</v>
      </c>
      <c r="D596" s="14" t="s">
        <v>368</v>
      </c>
      <c r="E596" s="14" t="s">
        <v>342</v>
      </c>
      <c r="F596" s="14" t="s">
        <v>343</v>
      </c>
      <c r="G596" s="14" t="s">
        <v>343</v>
      </c>
      <c r="H596" s="14" t="s">
        <v>343</v>
      </c>
      <c r="I596" s="14">
        <v>0.59</v>
      </c>
      <c r="J596" s="14">
        <v>0.59</v>
      </c>
      <c r="K596" s="14">
        <v>0.59</v>
      </c>
      <c r="L596" s="14">
        <v>0.61</v>
      </c>
      <c r="M596" s="14">
        <v>0.62</v>
      </c>
      <c r="N596" s="14">
        <v>0.62</v>
      </c>
      <c r="O596" s="14">
        <v>0.63</v>
      </c>
      <c r="P596" s="14">
        <v>0.63</v>
      </c>
      <c r="Q596" s="14">
        <v>0.63</v>
      </c>
      <c r="R596" s="14">
        <v>0.64</v>
      </c>
      <c r="S596" s="14">
        <v>0.62</v>
      </c>
      <c r="T596" s="14">
        <v>0.63</v>
      </c>
      <c r="U596" s="14">
        <v>0.63</v>
      </c>
      <c r="V596" s="14">
        <v>0.63</v>
      </c>
      <c r="W596" s="14">
        <v>0.63</v>
      </c>
      <c r="X596" s="14">
        <v>0.63</v>
      </c>
    </row>
    <row r="597" spans="1:24" hidden="1" x14ac:dyDescent="0.3">
      <c r="A597" s="14" t="s">
        <v>395</v>
      </c>
      <c r="B597" s="14" t="s">
        <v>41</v>
      </c>
      <c r="C597" s="14" t="s">
        <v>367</v>
      </c>
      <c r="D597" s="14" t="s">
        <v>368</v>
      </c>
      <c r="E597" s="14" t="s">
        <v>344</v>
      </c>
      <c r="F597" s="14" t="s">
        <v>343</v>
      </c>
      <c r="G597" s="14" t="s">
        <v>343</v>
      </c>
      <c r="H597" s="14" t="s">
        <v>343</v>
      </c>
      <c r="I597" s="14">
        <v>102</v>
      </c>
      <c r="J597" s="14">
        <v>115</v>
      </c>
      <c r="K597" s="14">
        <v>121</v>
      </c>
      <c r="L597" s="14">
        <v>116</v>
      </c>
      <c r="M597" s="14">
        <v>110</v>
      </c>
      <c r="N597" s="14">
        <v>110</v>
      </c>
      <c r="O597" s="14">
        <v>111</v>
      </c>
      <c r="P597" s="14">
        <v>112</v>
      </c>
      <c r="Q597" s="14">
        <v>124</v>
      </c>
      <c r="R597" s="14">
        <v>123</v>
      </c>
      <c r="S597" s="14">
        <v>131</v>
      </c>
      <c r="T597" s="14">
        <v>126</v>
      </c>
      <c r="U597" s="14">
        <v>132</v>
      </c>
      <c r="V597" s="14">
        <v>133</v>
      </c>
      <c r="W597" s="14">
        <v>137</v>
      </c>
      <c r="X597" s="14">
        <v>131</v>
      </c>
    </row>
    <row r="598" spans="1:24" hidden="1" x14ac:dyDescent="0.3">
      <c r="A598" s="14" t="s">
        <v>395</v>
      </c>
      <c r="B598" s="14" t="s">
        <v>41</v>
      </c>
      <c r="C598" s="14" t="s">
        <v>369</v>
      </c>
      <c r="D598" s="14" t="s">
        <v>370</v>
      </c>
      <c r="E598" s="14" t="s">
        <v>342</v>
      </c>
      <c r="F598" s="14" t="s">
        <v>343</v>
      </c>
      <c r="G598" s="14" t="s">
        <v>343</v>
      </c>
      <c r="H598" s="14" t="s">
        <v>343</v>
      </c>
      <c r="I598" s="14">
        <v>0.02</v>
      </c>
      <c r="J598" s="14">
        <v>0.03</v>
      </c>
      <c r="K598" s="14">
        <v>0.02</v>
      </c>
      <c r="L598" s="14">
        <v>0.02</v>
      </c>
      <c r="M598" s="14">
        <v>0.04</v>
      </c>
      <c r="N598" s="14">
        <v>0.04</v>
      </c>
      <c r="O598" s="14">
        <v>7.0000000000000007E-2</v>
      </c>
      <c r="P598" s="14">
        <v>7.0000000000000007E-2</v>
      </c>
      <c r="Q598" s="14">
        <v>0.08</v>
      </c>
      <c r="R598" s="14">
        <v>0.04</v>
      </c>
      <c r="S598" s="14">
        <v>0.04</v>
      </c>
      <c r="T598" s="14">
        <v>0.04</v>
      </c>
      <c r="V598" s="14">
        <v>7.0000000000000007E-2</v>
      </c>
      <c r="W598" s="14">
        <v>7.0000000000000007E-2</v>
      </c>
      <c r="X598" s="14">
        <v>7.0000000000000007E-2</v>
      </c>
    </row>
    <row r="599" spans="1:24" hidden="1" x14ac:dyDescent="0.3">
      <c r="A599" s="14" t="s">
        <v>395</v>
      </c>
      <c r="B599" s="14" t="s">
        <v>41</v>
      </c>
      <c r="C599" s="14" t="s">
        <v>369</v>
      </c>
      <c r="D599" s="14" t="s">
        <v>370</v>
      </c>
      <c r="E599" s="14" t="s">
        <v>344</v>
      </c>
      <c r="F599" s="14" t="s">
        <v>343</v>
      </c>
      <c r="G599" s="14" t="s">
        <v>343</v>
      </c>
      <c r="H599" s="14" t="s">
        <v>343</v>
      </c>
      <c r="I599" s="14">
        <v>110</v>
      </c>
      <c r="J599" s="14">
        <v>121</v>
      </c>
      <c r="K599" s="14">
        <v>127</v>
      </c>
      <c r="L599" s="14">
        <v>131</v>
      </c>
      <c r="M599" s="14">
        <v>120</v>
      </c>
      <c r="N599" s="14">
        <v>122</v>
      </c>
      <c r="O599" s="14">
        <v>112</v>
      </c>
      <c r="P599" s="14">
        <v>113</v>
      </c>
      <c r="Q599" s="14">
        <v>116</v>
      </c>
      <c r="R599" s="14">
        <v>138</v>
      </c>
      <c r="S599" s="14">
        <v>137</v>
      </c>
      <c r="T599" s="14">
        <v>137</v>
      </c>
      <c r="U599" s="14">
        <v>143</v>
      </c>
      <c r="V599" s="14">
        <v>138</v>
      </c>
      <c r="W599" s="14">
        <v>143</v>
      </c>
      <c r="X599" s="14">
        <v>137</v>
      </c>
    </row>
    <row r="600" spans="1:24" hidden="1" x14ac:dyDescent="0.3">
      <c r="A600" s="14" t="s">
        <v>395</v>
      </c>
      <c r="B600" s="14" t="s">
        <v>41</v>
      </c>
      <c r="C600" s="14" t="s">
        <v>371</v>
      </c>
      <c r="D600" s="14" t="s">
        <v>372</v>
      </c>
      <c r="E600" s="14" t="s">
        <v>342</v>
      </c>
      <c r="F600" s="14" t="s">
        <v>343</v>
      </c>
      <c r="G600" s="14" t="s">
        <v>343</v>
      </c>
      <c r="H600" s="14" t="s">
        <v>343</v>
      </c>
      <c r="U600" s="14">
        <v>0</v>
      </c>
      <c r="V600" s="14">
        <v>0</v>
      </c>
      <c r="W600" s="14">
        <v>0</v>
      </c>
      <c r="X600" s="14">
        <v>0</v>
      </c>
    </row>
    <row r="601" spans="1:24" hidden="1" x14ac:dyDescent="0.3">
      <c r="A601" s="14" t="s">
        <v>395</v>
      </c>
      <c r="B601" s="14" t="s">
        <v>41</v>
      </c>
      <c r="C601" s="14" t="s">
        <v>371</v>
      </c>
      <c r="D601" s="14" t="s">
        <v>372</v>
      </c>
      <c r="E601" s="14" t="s">
        <v>344</v>
      </c>
      <c r="F601" s="14" t="s">
        <v>343</v>
      </c>
      <c r="G601" s="14" t="s">
        <v>343</v>
      </c>
      <c r="H601" s="14" t="s">
        <v>343</v>
      </c>
      <c r="U601" s="14">
        <v>71</v>
      </c>
      <c r="V601" s="14">
        <v>73</v>
      </c>
      <c r="W601" s="14">
        <v>76</v>
      </c>
      <c r="X601" s="14">
        <v>78</v>
      </c>
    </row>
    <row r="602" spans="1:24" hidden="1" x14ac:dyDescent="0.3">
      <c r="A602" s="14" t="s">
        <v>395</v>
      </c>
      <c r="B602" s="14" t="s">
        <v>41</v>
      </c>
      <c r="C602" s="14" t="s">
        <v>373</v>
      </c>
      <c r="D602" s="14" t="s">
        <v>374</v>
      </c>
      <c r="E602" s="14" t="s">
        <v>342</v>
      </c>
      <c r="F602" s="14" t="s">
        <v>343</v>
      </c>
      <c r="G602" s="14" t="s">
        <v>343</v>
      </c>
      <c r="H602" s="14" t="s">
        <v>343</v>
      </c>
      <c r="U602" s="14">
        <v>0.05</v>
      </c>
      <c r="V602" s="14">
        <v>0.04</v>
      </c>
      <c r="W602" s="14">
        <v>0.05</v>
      </c>
      <c r="X602" s="14">
        <v>0.05</v>
      </c>
    </row>
    <row r="603" spans="1:24" hidden="1" x14ac:dyDescent="0.3">
      <c r="A603" s="14" t="s">
        <v>395</v>
      </c>
      <c r="B603" s="14" t="s">
        <v>41</v>
      </c>
      <c r="C603" s="14" t="s">
        <v>373</v>
      </c>
      <c r="D603" s="14" t="s">
        <v>374</v>
      </c>
      <c r="E603" s="14" t="s">
        <v>344</v>
      </c>
      <c r="F603" s="14" t="s">
        <v>343</v>
      </c>
      <c r="G603" s="14" t="s">
        <v>343</v>
      </c>
      <c r="H603" s="14" t="s">
        <v>343</v>
      </c>
      <c r="U603" s="14">
        <v>136</v>
      </c>
      <c r="V603" s="14">
        <v>140</v>
      </c>
      <c r="W603" s="14">
        <v>143</v>
      </c>
      <c r="X603" s="14">
        <v>135</v>
      </c>
    </row>
    <row r="604" spans="1:24" hidden="1" x14ac:dyDescent="0.3">
      <c r="A604" s="14" t="s">
        <v>395</v>
      </c>
      <c r="B604" s="14" t="s">
        <v>41</v>
      </c>
      <c r="C604" s="14" t="s">
        <v>375</v>
      </c>
      <c r="D604" s="14" t="s">
        <v>376</v>
      </c>
      <c r="E604" s="14" t="s">
        <v>342</v>
      </c>
      <c r="F604" s="14" t="s">
        <v>343</v>
      </c>
      <c r="G604" s="14" t="s">
        <v>343</v>
      </c>
      <c r="H604" s="14" t="s">
        <v>343</v>
      </c>
      <c r="U604" s="14">
        <v>0.08</v>
      </c>
      <c r="V604" s="14">
        <v>0.18</v>
      </c>
      <c r="W604" s="14">
        <v>0.18</v>
      </c>
      <c r="X604" s="14">
        <v>0.18</v>
      </c>
    </row>
    <row r="605" spans="1:24" hidden="1" x14ac:dyDescent="0.3">
      <c r="A605" s="14" t="s">
        <v>395</v>
      </c>
      <c r="B605" s="14" t="s">
        <v>41</v>
      </c>
      <c r="C605" s="14" t="s">
        <v>375</v>
      </c>
      <c r="D605" s="14" t="s">
        <v>376</v>
      </c>
      <c r="E605" s="14" t="s">
        <v>344</v>
      </c>
      <c r="F605" s="14" t="s">
        <v>343</v>
      </c>
      <c r="G605" s="14" t="s">
        <v>343</v>
      </c>
      <c r="H605" s="14" t="s">
        <v>343</v>
      </c>
      <c r="U605" s="14">
        <v>138</v>
      </c>
      <c r="V605" s="14">
        <v>115</v>
      </c>
      <c r="W605" s="14">
        <v>123</v>
      </c>
      <c r="X605" s="14">
        <v>116</v>
      </c>
    </row>
    <row r="606" spans="1:24" hidden="1" x14ac:dyDescent="0.3">
      <c r="A606" s="14" t="s">
        <v>396</v>
      </c>
      <c r="B606" s="14" t="s">
        <v>397</v>
      </c>
      <c r="C606" s="14" t="s">
        <v>340</v>
      </c>
      <c r="D606" s="14" t="s">
        <v>341</v>
      </c>
      <c r="E606" s="14" t="s">
        <v>342</v>
      </c>
      <c r="F606" s="14" t="s">
        <v>343</v>
      </c>
      <c r="G606" s="14" t="s">
        <v>343</v>
      </c>
      <c r="H606" s="14" t="s">
        <v>343</v>
      </c>
      <c r="L606" s="14">
        <v>1</v>
      </c>
      <c r="M606" s="14">
        <v>1</v>
      </c>
      <c r="N606" s="14">
        <v>1</v>
      </c>
      <c r="O606" s="14">
        <v>1</v>
      </c>
      <c r="P606" s="14">
        <v>1</v>
      </c>
      <c r="Q606" s="14">
        <v>1</v>
      </c>
      <c r="R606" s="14">
        <v>1</v>
      </c>
      <c r="S606" s="14">
        <v>1</v>
      </c>
      <c r="T606" s="14">
        <v>1</v>
      </c>
      <c r="U606" s="14">
        <v>1</v>
      </c>
      <c r="V606" s="14">
        <v>1</v>
      </c>
      <c r="W606" s="14">
        <v>1</v>
      </c>
    </row>
    <row r="607" spans="1:24" hidden="1" x14ac:dyDescent="0.3">
      <c r="A607" s="14" t="s">
        <v>396</v>
      </c>
      <c r="B607" s="14" t="s">
        <v>397</v>
      </c>
      <c r="C607" s="14" t="s">
        <v>340</v>
      </c>
      <c r="D607" s="14" t="s">
        <v>341</v>
      </c>
      <c r="E607" s="14" t="s">
        <v>344</v>
      </c>
      <c r="F607" s="14" t="s">
        <v>343</v>
      </c>
      <c r="G607" s="14" t="s">
        <v>343</v>
      </c>
      <c r="H607" s="14" t="s">
        <v>343</v>
      </c>
      <c r="L607" s="14">
        <v>1</v>
      </c>
      <c r="M607" s="14">
        <v>1</v>
      </c>
      <c r="N607" s="14">
        <v>1</v>
      </c>
      <c r="O607" s="14">
        <v>1</v>
      </c>
      <c r="P607" s="14">
        <v>1</v>
      </c>
      <c r="Q607" s="14">
        <v>1</v>
      </c>
      <c r="R607" s="14">
        <v>1</v>
      </c>
      <c r="S607" s="14">
        <v>1</v>
      </c>
      <c r="T607" s="14">
        <v>1</v>
      </c>
      <c r="U607" s="14">
        <v>1</v>
      </c>
      <c r="V607" s="14">
        <v>1</v>
      </c>
      <c r="W607" s="14">
        <v>1</v>
      </c>
    </row>
    <row r="608" spans="1:24" hidden="1" x14ac:dyDescent="0.3">
      <c r="A608" s="14" t="s">
        <v>396</v>
      </c>
      <c r="B608" s="14" t="s">
        <v>397</v>
      </c>
      <c r="C608" s="14" t="s">
        <v>345</v>
      </c>
      <c r="D608" s="14" t="s">
        <v>346</v>
      </c>
      <c r="E608" s="14" t="s">
        <v>342</v>
      </c>
      <c r="F608" s="14" t="s">
        <v>343</v>
      </c>
      <c r="G608" s="14" t="s">
        <v>343</v>
      </c>
      <c r="H608" s="14" t="s">
        <v>343</v>
      </c>
      <c r="U608" s="14">
        <v>0.67</v>
      </c>
      <c r="V608" s="14">
        <v>0.62</v>
      </c>
      <c r="W608" s="14">
        <v>0.66</v>
      </c>
    </row>
    <row r="609" spans="1:23" hidden="1" x14ac:dyDescent="0.3">
      <c r="A609" s="14" t="s">
        <v>396</v>
      </c>
      <c r="B609" s="14" t="s">
        <v>397</v>
      </c>
      <c r="C609" s="14" t="s">
        <v>345</v>
      </c>
      <c r="D609" s="14" t="s">
        <v>346</v>
      </c>
      <c r="E609" s="14" t="s">
        <v>344</v>
      </c>
      <c r="F609" s="14" t="s">
        <v>343</v>
      </c>
      <c r="G609" s="14" t="s">
        <v>343</v>
      </c>
      <c r="H609" s="14" t="s">
        <v>343</v>
      </c>
      <c r="U609" s="14">
        <v>43</v>
      </c>
      <c r="V609" s="14">
        <v>69</v>
      </c>
      <c r="W609" s="14">
        <v>57</v>
      </c>
    </row>
    <row r="610" spans="1:23" hidden="1" x14ac:dyDescent="0.3">
      <c r="A610" s="14" t="s">
        <v>396</v>
      </c>
      <c r="B610" s="14" t="s">
        <v>397</v>
      </c>
      <c r="C610" s="14" t="s">
        <v>347</v>
      </c>
      <c r="D610" s="14" t="s">
        <v>348</v>
      </c>
      <c r="E610" s="14" t="s">
        <v>342</v>
      </c>
      <c r="F610" s="14" t="s">
        <v>343</v>
      </c>
      <c r="G610" s="14" t="s">
        <v>343</v>
      </c>
      <c r="H610" s="14" t="s">
        <v>343</v>
      </c>
      <c r="U610" s="14">
        <v>0.89</v>
      </c>
      <c r="V610" s="14">
        <v>0.86</v>
      </c>
      <c r="W610" s="14">
        <v>0.88</v>
      </c>
    </row>
    <row r="611" spans="1:23" hidden="1" x14ac:dyDescent="0.3">
      <c r="A611" s="14" t="s">
        <v>396</v>
      </c>
      <c r="B611" s="14" t="s">
        <v>397</v>
      </c>
      <c r="C611" s="14" t="s">
        <v>347</v>
      </c>
      <c r="D611" s="14" t="s">
        <v>348</v>
      </c>
      <c r="E611" s="14" t="s">
        <v>344</v>
      </c>
      <c r="F611" s="14" t="s">
        <v>343</v>
      </c>
      <c r="G611" s="14" t="s">
        <v>343</v>
      </c>
      <c r="H611" s="14" t="s">
        <v>343</v>
      </c>
      <c r="U611" s="14">
        <v>47</v>
      </c>
      <c r="V611" s="14">
        <v>63</v>
      </c>
      <c r="W611" s="14">
        <v>54</v>
      </c>
    </row>
    <row r="612" spans="1:23" hidden="1" x14ac:dyDescent="0.3">
      <c r="A612" s="14" t="s">
        <v>396</v>
      </c>
      <c r="B612" s="14" t="s">
        <v>397</v>
      </c>
      <c r="C612" s="14" t="s">
        <v>349</v>
      </c>
      <c r="D612" s="14" t="s">
        <v>350</v>
      </c>
      <c r="E612" s="14" t="s">
        <v>342</v>
      </c>
      <c r="F612" s="14" t="s">
        <v>343</v>
      </c>
      <c r="G612" s="14" t="s">
        <v>343</v>
      </c>
      <c r="H612" s="14" t="s">
        <v>343</v>
      </c>
      <c r="U612" s="14">
        <v>1</v>
      </c>
      <c r="V612" s="14">
        <v>1</v>
      </c>
      <c r="W612" s="14">
        <v>1</v>
      </c>
    </row>
    <row r="613" spans="1:23" hidden="1" x14ac:dyDescent="0.3">
      <c r="A613" s="14" t="s">
        <v>396</v>
      </c>
      <c r="B613" s="14" t="s">
        <v>397</v>
      </c>
      <c r="C613" s="14" t="s">
        <v>349</v>
      </c>
      <c r="D613" s="14" t="s">
        <v>350</v>
      </c>
      <c r="E613" s="14" t="s">
        <v>344</v>
      </c>
      <c r="F613" s="14" t="s">
        <v>343</v>
      </c>
      <c r="G613" s="14" t="s">
        <v>343</v>
      </c>
      <c r="H613" s="14" t="s">
        <v>343</v>
      </c>
      <c r="U613" s="14">
        <v>1</v>
      </c>
      <c r="V613" s="14">
        <v>1</v>
      </c>
      <c r="W613" s="14">
        <v>1</v>
      </c>
    </row>
    <row r="614" spans="1:23" hidden="1" x14ac:dyDescent="0.3">
      <c r="A614" s="14" t="s">
        <v>396</v>
      </c>
      <c r="B614" s="14" t="s">
        <v>397</v>
      </c>
      <c r="C614" s="14" t="s">
        <v>351</v>
      </c>
      <c r="D614" s="14" t="s">
        <v>352</v>
      </c>
      <c r="E614" s="14" t="s">
        <v>342</v>
      </c>
      <c r="F614" s="14" t="s">
        <v>343</v>
      </c>
      <c r="G614" s="14" t="s">
        <v>343</v>
      </c>
      <c r="H614" s="14" t="s">
        <v>343</v>
      </c>
      <c r="U614" s="14">
        <v>1</v>
      </c>
      <c r="V614" s="14">
        <v>1</v>
      </c>
      <c r="W614" s="14">
        <v>1</v>
      </c>
    </row>
    <row r="615" spans="1:23" hidden="1" x14ac:dyDescent="0.3">
      <c r="A615" s="14" t="s">
        <v>396</v>
      </c>
      <c r="B615" s="14" t="s">
        <v>397</v>
      </c>
      <c r="C615" s="14" t="s">
        <v>351</v>
      </c>
      <c r="D615" s="14" t="s">
        <v>352</v>
      </c>
      <c r="E615" s="14" t="s">
        <v>344</v>
      </c>
      <c r="F615" s="14" t="s">
        <v>343</v>
      </c>
      <c r="G615" s="14" t="s">
        <v>343</v>
      </c>
      <c r="H615" s="14" t="s">
        <v>343</v>
      </c>
      <c r="U615" s="14">
        <v>1</v>
      </c>
      <c r="V615" s="14">
        <v>1</v>
      </c>
      <c r="W615" s="14">
        <v>1</v>
      </c>
    </row>
    <row r="616" spans="1:23" hidden="1" x14ac:dyDescent="0.3">
      <c r="A616" s="14" t="s">
        <v>396</v>
      </c>
      <c r="B616" s="14" t="s">
        <v>397</v>
      </c>
      <c r="C616" s="14" t="s">
        <v>353</v>
      </c>
      <c r="D616" s="14" t="s">
        <v>354</v>
      </c>
      <c r="E616" s="14" t="s">
        <v>342</v>
      </c>
      <c r="F616" s="14" t="s">
        <v>343</v>
      </c>
      <c r="G616" s="14" t="s">
        <v>343</v>
      </c>
      <c r="H616" s="14" t="s">
        <v>343</v>
      </c>
      <c r="U616" s="14">
        <v>1</v>
      </c>
      <c r="V616" s="14">
        <v>1</v>
      </c>
      <c r="W616" s="14">
        <v>1</v>
      </c>
    </row>
    <row r="617" spans="1:23" hidden="1" x14ac:dyDescent="0.3">
      <c r="A617" s="14" t="s">
        <v>396</v>
      </c>
      <c r="B617" s="14" t="s">
        <v>397</v>
      </c>
      <c r="C617" s="14" t="s">
        <v>353</v>
      </c>
      <c r="D617" s="14" t="s">
        <v>354</v>
      </c>
      <c r="E617" s="14" t="s">
        <v>344</v>
      </c>
      <c r="F617" s="14" t="s">
        <v>343</v>
      </c>
      <c r="G617" s="14" t="s">
        <v>343</v>
      </c>
      <c r="H617" s="14" t="s">
        <v>343</v>
      </c>
      <c r="U617" s="14">
        <v>1</v>
      </c>
      <c r="V617" s="14">
        <v>1</v>
      </c>
      <c r="W617" s="14">
        <v>1</v>
      </c>
    </row>
    <row r="618" spans="1:23" hidden="1" x14ac:dyDescent="0.3">
      <c r="A618" s="14" t="s">
        <v>396</v>
      </c>
      <c r="B618" s="14" t="s">
        <v>397</v>
      </c>
      <c r="C618" s="14" t="s">
        <v>380</v>
      </c>
      <c r="D618" s="14" t="s">
        <v>381</v>
      </c>
      <c r="E618" s="14" t="s">
        <v>342</v>
      </c>
      <c r="F618" s="14" t="s">
        <v>343</v>
      </c>
      <c r="G618" s="14" t="s">
        <v>343</v>
      </c>
      <c r="H618" s="14" t="s">
        <v>343</v>
      </c>
      <c r="U618" s="14">
        <v>1</v>
      </c>
      <c r="V618" s="14">
        <v>1</v>
      </c>
      <c r="W618" s="14">
        <v>1</v>
      </c>
    </row>
    <row r="619" spans="1:23" hidden="1" x14ac:dyDescent="0.3">
      <c r="A619" s="14" t="s">
        <v>396</v>
      </c>
      <c r="B619" s="14" t="s">
        <v>397</v>
      </c>
      <c r="C619" s="14" t="s">
        <v>380</v>
      </c>
      <c r="D619" s="14" t="s">
        <v>381</v>
      </c>
      <c r="E619" s="14" t="s">
        <v>344</v>
      </c>
      <c r="F619" s="14" t="s">
        <v>343</v>
      </c>
      <c r="G619" s="14" t="s">
        <v>343</v>
      </c>
      <c r="H619" s="14" t="s">
        <v>343</v>
      </c>
      <c r="U619" s="14">
        <v>1</v>
      </c>
      <c r="V619" s="14">
        <v>1</v>
      </c>
      <c r="W619" s="14">
        <v>1</v>
      </c>
    </row>
    <row r="620" spans="1:23" hidden="1" x14ac:dyDescent="0.3">
      <c r="A620" s="14" t="s">
        <v>396</v>
      </c>
      <c r="B620" s="14" t="s">
        <v>397</v>
      </c>
      <c r="C620" s="14" t="s">
        <v>355</v>
      </c>
      <c r="D620" s="14" t="s">
        <v>356</v>
      </c>
      <c r="E620" s="14" t="s">
        <v>342</v>
      </c>
      <c r="F620" s="14" t="s">
        <v>343</v>
      </c>
      <c r="G620" s="14" t="s">
        <v>343</v>
      </c>
      <c r="H620" s="14" t="s">
        <v>343</v>
      </c>
      <c r="U620" s="14">
        <v>1</v>
      </c>
      <c r="V620" s="14">
        <v>1</v>
      </c>
      <c r="W620" s="14">
        <v>1</v>
      </c>
    </row>
    <row r="621" spans="1:23" hidden="1" x14ac:dyDescent="0.3">
      <c r="A621" s="14" t="s">
        <v>396</v>
      </c>
      <c r="B621" s="14" t="s">
        <v>397</v>
      </c>
      <c r="C621" s="14" t="s">
        <v>355</v>
      </c>
      <c r="D621" s="14" t="s">
        <v>356</v>
      </c>
      <c r="E621" s="14" t="s">
        <v>344</v>
      </c>
      <c r="F621" s="14" t="s">
        <v>343</v>
      </c>
      <c r="G621" s="14" t="s">
        <v>343</v>
      </c>
      <c r="H621" s="14" t="s">
        <v>343</v>
      </c>
      <c r="U621" s="14">
        <v>1</v>
      </c>
      <c r="V621" s="14">
        <v>1</v>
      </c>
      <c r="W621" s="14">
        <v>1</v>
      </c>
    </row>
    <row r="622" spans="1:23" hidden="1" x14ac:dyDescent="0.3">
      <c r="A622" s="14" t="s">
        <v>396</v>
      </c>
      <c r="B622" s="14" t="s">
        <v>397</v>
      </c>
      <c r="C622" s="14" t="s">
        <v>359</v>
      </c>
      <c r="D622" s="14" t="s">
        <v>360</v>
      </c>
      <c r="E622" s="14" t="s">
        <v>342</v>
      </c>
      <c r="F622" s="14" t="s">
        <v>343</v>
      </c>
      <c r="G622" s="14" t="s">
        <v>343</v>
      </c>
      <c r="H622" s="14" t="s">
        <v>343</v>
      </c>
      <c r="L622" s="14">
        <v>0.83</v>
      </c>
      <c r="M622" s="14">
        <v>0.83</v>
      </c>
      <c r="N622" s="14">
        <v>0.91</v>
      </c>
      <c r="O622" s="14">
        <v>0.84</v>
      </c>
      <c r="P622" s="14">
        <v>0.82</v>
      </c>
      <c r="Q622" s="14">
        <v>0.82</v>
      </c>
      <c r="R622" s="14">
        <v>0.82</v>
      </c>
      <c r="S622" s="14">
        <v>0.83</v>
      </c>
      <c r="T622" s="14">
        <v>0.87</v>
      </c>
      <c r="U622" s="14">
        <v>0.86</v>
      </c>
      <c r="V622" s="14">
        <v>0.84</v>
      </c>
      <c r="W622" s="14">
        <v>0.86</v>
      </c>
    </row>
    <row r="623" spans="1:23" hidden="1" x14ac:dyDescent="0.3">
      <c r="A623" s="14" t="s">
        <v>396</v>
      </c>
      <c r="B623" s="14" t="s">
        <v>397</v>
      </c>
      <c r="C623" s="14" t="s">
        <v>359</v>
      </c>
      <c r="D623" s="14" t="s">
        <v>360</v>
      </c>
      <c r="E623" s="14" t="s">
        <v>344</v>
      </c>
      <c r="F623" s="14" t="s">
        <v>343</v>
      </c>
      <c r="G623" s="14" t="s">
        <v>343</v>
      </c>
      <c r="H623" s="14" t="s">
        <v>343</v>
      </c>
      <c r="L623" s="14">
        <v>2</v>
      </c>
      <c r="M623" s="14">
        <v>4</v>
      </c>
      <c r="N623" s="14">
        <v>1</v>
      </c>
      <c r="O623" s="14">
        <v>2</v>
      </c>
      <c r="P623" s="14">
        <v>5</v>
      </c>
      <c r="Q623" s="14">
        <v>5</v>
      </c>
      <c r="R623" s="14">
        <v>7</v>
      </c>
      <c r="S623" s="14">
        <v>3</v>
      </c>
      <c r="T623" s="14">
        <v>3</v>
      </c>
      <c r="U623" s="14">
        <v>3</v>
      </c>
      <c r="V623" s="14">
        <v>4</v>
      </c>
      <c r="W623" s="14">
        <v>2</v>
      </c>
    </row>
    <row r="624" spans="1:23" x14ac:dyDescent="0.3">
      <c r="A624" s="14" t="s">
        <v>396</v>
      </c>
      <c r="B624" s="14" t="s">
        <v>397</v>
      </c>
      <c r="C624" s="14" t="s">
        <v>361</v>
      </c>
      <c r="D624" s="14" t="s">
        <v>362</v>
      </c>
      <c r="E624" s="14" t="s">
        <v>342</v>
      </c>
      <c r="F624" s="14" t="s">
        <v>343</v>
      </c>
      <c r="G624" s="14" t="s">
        <v>343</v>
      </c>
      <c r="H624" s="14" t="s">
        <v>343</v>
      </c>
      <c r="L624" s="14">
        <v>0.98</v>
      </c>
      <c r="M624" s="14">
        <v>0.98</v>
      </c>
      <c r="N624" s="14">
        <v>0.98</v>
      </c>
      <c r="O624" s="14">
        <v>0.98</v>
      </c>
      <c r="P624" s="14">
        <v>0.98</v>
      </c>
      <c r="Q624" s="14">
        <v>0.98</v>
      </c>
      <c r="R624" s="14">
        <v>0.98</v>
      </c>
      <c r="S624" s="14">
        <v>0.98</v>
      </c>
      <c r="T624" s="14">
        <v>0.98</v>
      </c>
      <c r="U624" s="14">
        <v>0.98</v>
      </c>
      <c r="V624" s="14">
        <v>0.98</v>
      </c>
      <c r="W624" s="14">
        <v>0.98</v>
      </c>
    </row>
    <row r="625" spans="1:24" hidden="1" x14ac:dyDescent="0.3">
      <c r="A625" s="14" t="s">
        <v>396</v>
      </c>
      <c r="B625" s="14" t="s">
        <v>397</v>
      </c>
      <c r="C625" s="14" t="s">
        <v>361</v>
      </c>
      <c r="D625" s="14" t="s">
        <v>362</v>
      </c>
      <c r="E625" s="14" t="s">
        <v>344</v>
      </c>
      <c r="F625" s="14" t="s">
        <v>343</v>
      </c>
      <c r="G625" s="14" t="s">
        <v>343</v>
      </c>
      <c r="H625" s="14" t="s">
        <v>343</v>
      </c>
      <c r="L625" s="14">
        <v>1</v>
      </c>
      <c r="M625" s="14">
        <v>1</v>
      </c>
      <c r="N625" s="14">
        <v>1</v>
      </c>
      <c r="O625" s="14">
        <v>1</v>
      </c>
      <c r="P625" s="14">
        <v>1</v>
      </c>
      <c r="Q625" s="14">
        <v>1</v>
      </c>
      <c r="R625" s="14">
        <v>1</v>
      </c>
      <c r="S625" s="14">
        <v>1</v>
      </c>
      <c r="T625" s="14">
        <v>50</v>
      </c>
      <c r="U625" s="14">
        <v>1</v>
      </c>
      <c r="V625" s="14">
        <v>1</v>
      </c>
      <c r="W625" s="14">
        <v>1</v>
      </c>
    </row>
    <row r="626" spans="1:24" hidden="1" x14ac:dyDescent="0.3">
      <c r="A626" s="14" t="s">
        <v>396</v>
      </c>
      <c r="B626" s="14" t="s">
        <v>397</v>
      </c>
      <c r="C626" s="14" t="s">
        <v>363</v>
      </c>
      <c r="D626" s="14" t="s">
        <v>364</v>
      </c>
      <c r="E626" s="14" t="s">
        <v>342</v>
      </c>
      <c r="F626" s="14" t="s">
        <v>343</v>
      </c>
      <c r="G626" s="14" t="s">
        <v>343</v>
      </c>
      <c r="H626" s="14" t="s">
        <v>343</v>
      </c>
      <c r="U626" s="14">
        <v>1.06</v>
      </c>
      <c r="V626" s="14">
        <v>1.06</v>
      </c>
      <c r="W626" s="14">
        <v>1.06</v>
      </c>
    </row>
    <row r="627" spans="1:24" hidden="1" x14ac:dyDescent="0.3">
      <c r="A627" s="14" t="s">
        <v>396</v>
      </c>
      <c r="B627" s="14" t="s">
        <v>397</v>
      </c>
      <c r="C627" s="14" t="s">
        <v>363</v>
      </c>
      <c r="D627" s="14" t="s">
        <v>364</v>
      </c>
      <c r="E627" s="14" t="s">
        <v>344</v>
      </c>
      <c r="F627" s="14" t="s">
        <v>343</v>
      </c>
      <c r="G627" s="14" t="s">
        <v>343</v>
      </c>
      <c r="H627" s="14" t="s">
        <v>343</v>
      </c>
      <c r="U627" s="14">
        <v>1</v>
      </c>
      <c r="V627" s="14">
        <v>1</v>
      </c>
      <c r="W627" s="14">
        <v>1</v>
      </c>
    </row>
    <row r="628" spans="1:24" hidden="1" x14ac:dyDescent="0.3">
      <c r="A628" s="14" t="s">
        <v>396</v>
      </c>
      <c r="B628" s="14" t="s">
        <v>397</v>
      </c>
      <c r="C628" s="14" t="s">
        <v>365</v>
      </c>
      <c r="D628" s="14" t="s">
        <v>366</v>
      </c>
      <c r="E628" s="14" t="s">
        <v>342</v>
      </c>
      <c r="F628" s="14" t="s">
        <v>343</v>
      </c>
      <c r="G628" s="14" t="s">
        <v>343</v>
      </c>
      <c r="H628" s="14" t="s">
        <v>343</v>
      </c>
      <c r="U628" s="14">
        <v>0.94</v>
      </c>
      <c r="V628" s="14">
        <v>0.94</v>
      </c>
      <c r="W628" s="14">
        <v>0.94</v>
      </c>
    </row>
    <row r="629" spans="1:24" hidden="1" x14ac:dyDescent="0.3">
      <c r="A629" s="14" t="s">
        <v>396</v>
      </c>
      <c r="B629" s="14" t="s">
        <v>397</v>
      </c>
      <c r="C629" s="14" t="s">
        <v>365</v>
      </c>
      <c r="D629" s="14" t="s">
        <v>366</v>
      </c>
      <c r="E629" s="14" t="s">
        <v>344</v>
      </c>
      <c r="F629" s="14" t="s">
        <v>343</v>
      </c>
      <c r="G629" s="14" t="s">
        <v>343</v>
      </c>
      <c r="H629" s="14" t="s">
        <v>343</v>
      </c>
      <c r="U629" s="14">
        <v>1</v>
      </c>
      <c r="V629" s="14">
        <v>1</v>
      </c>
      <c r="W629" s="14">
        <v>1</v>
      </c>
    </row>
    <row r="630" spans="1:24" hidden="1" x14ac:dyDescent="0.3">
      <c r="A630" s="14" t="s">
        <v>396</v>
      </c>
      <c r="B630" s="14" t="s">
        <v>397</v>
      </c>
      <c r="C630" s="14" t="s">
        <v>367</v>
      </c>
      <c r="D630" s="14" t="s">
        <v>368</v>
      </c>
      <c r="E630" s="14" t="s">
        <v>342</v>
      </c>
      <c r="F630" s="14" t="s">
        <v>343</v>
      </c>
      <c r="G630" s="14" t="s">
        <v>343</v>
      </c>
      <c r="H630" s="14" t="s">
        <v>343</v>
      </c>
      <c r="L630" s="14">
        <v>0.72</v>
      </c>
      <c r="M630" s="14">
        <v>0.71</v>
      </c>
      <c r="N630" s="14">
        <v>0.73</v>
      </c>
      <c r="O630" s="14">
        <v>0.72</v>
      </c>
      <c r="P630" s="14">
        <v>0.71</v>
      </c>
      <c r="Q630" s="14">
        <v>0.73</v>
      </c>
      <c r="R630" s="14">
        <v>0.73</v>
      </c>
      <c r="S630" s="14">
        <v>0.73</v>
      </c>
      <c r="T630" s="14">
        <v>0.74</v>
      </c>
      <c r="U630" s="14">
        <v>0.74</v>
      </c>
      <c r="V630" s="14">
        <v>0.72</v>
      </c>
      <c r="W630" s="14">
        <v>0.72</v>
      </c>
    </row>
    <row r="631" spans="1:24" hidden="1" x14ac:dyDescent="0.3">
      <c r="A631" s="14" t="s">
        <v>396</v>
      </c>
      <c r="B631" s="14" t="s">
        <v>397</v>
      </c>
      <c r="C631" s="14" t="s">
        <v>367</v>
      </c>
      <c r="D631" s="14" t="s">
        <v>368</v>
      </c>
      <c r="E631" s="14" t="s">
        <v>344</v>
      </c>
      <c r="F631" s="14" t="s">
        <v>343</v>
      </c>
      <c r="G631" s="14" t="s">
        <v>343</v>
      </c>
      <c r="H631" s="14" t="s">
        <v>343</v>
      </c>
      <c r="L631" s="14">
        <v>28</v>
      </c>
      <c r="M631" s="14">
        <v>36</v>
      </c>
      <c r="N631" s="14">
        <v>22</v>
      </c>
      <c r="O631" s="14">
        <v>37</v>
      </c>
      <c r="P631" s="14">
        <v>40</v>
      </c>
      <c r="Q631" s="14">
        <v>35</v>
      </c>
      <c r="R631" s="14">
        <v>40</v>
      </c>
      <c r="S631" s="14">
        <v>37</v>
      </c>
      <c r="T631" s="14">
        <v>27</v>
      </c>
      <c r="U631" s="14">
        <v>30</v>
      </c>
      <c r="V631" s="14">
        <v>61</v>
      </c>
      <c r="W631" s="14">
        <v>58</v>
      </c>
    </row>
    <row r="632" spans="1:24" hidden="1" x14ac:dyDescent="0.3">
      <c r="A632" s="14" t="s">
        <v>396</v>
      </c>
      <c r="B632" s="14" t="s">
        <v>397</v>
      </c>
      <c r="C632" s="14" t="s">
        <v>369</v>
      </c>
      <c r="D632" s="14" t="s">
        <v>370</v>
      </c>
      <c r="E632" s="14" t="s">
        <v>342</v>
      </c>
      <c r="F632" s="14" t="s">
        <v>343</v>
      </c>
      <c r="G632" s="14" t="s">
        <v>343</v>
      </c>
      <c r="H632" s="14" t="s">
        <v>343</v>
      </c>
      <c r="L632" s="14">
        <v>7.0000000000000007E-2</v>
      </c>
      <c r="M632" s="14">
        <v>0.04</v>
      </c>
      <c r="N632" s="14">
        <v>0.04</v>
      </c>
      <c r="O632" s="14">
        <v>0.05</v>
      </c>
      <c r="P632" s="14">
        <v>0.05</v>
      </c>
      <c r="Q632" s="14">
        <v>0.11</v>
      </c>
      <c r="R632" s="14">
        <v>0.11</v>
      </c>
      <c r="S632" s="14">
        <v>0.11</v>
      </c>
      <c r="T632" s="14">
        <v>0.12</v>
      </c>
      <c r="U632" s="14">
        <v>0.12</v>
      </c>
      <c r="V632" s="14">
        <v>0.06</v>
      </c>
      <c r="W632" s="14">
        <v>0.06</v>
      </c>
    </row>
    <row r="633" spans="1:24" hidden="1" x14ac:dyDescent="0.3">
      <c r="A633" s="14" t="s">
        <v>396</v>
      </c>
      <c r="B633" s="14" t="s">
        <v>397</v>
      </c>
      <c r="C633" s="14" t="s">
        <v>369</v>
      </c>
      <c r="D633" s="14" t="s">
        <v>370</v>
      </c>
      <c r="E633" s="14" t="s">
        <v>344</v>
      </c>
      <c r="F633" s="14" t="s">
        <v>343</v>
      </c>
      <c r="G633" s="14" t="s">
        <v>343</v>
      </c>
      <c r="H633" s="14" t="s">
        <v>343</v>
      </c>
      <c r="L633" s="14">
        <v>109</v>
      </c>
      <c r="M633" s="14">
        <v>115</v>
      </c>
      <c r="N633" s="14">
        <v>117</v>
      </c>
      <c r="O633" s="14">
        <v>122</v>
      </c>
      <c r="P633" s="14">
        <v>124</v>
      </c>
      <c r="Q633" s="14">
        <v>101</v>
      </c>
      <c r="R633" s="14">
        <v>98</v>
      </c>
      <c r="S633" s="14">
        <v>99</v>
      </c>
      <c r="T633" s="14">
        <v>98</v>
      </c>
      <c r="U633" s="14">
        <v>100</v>
      </c>
      <c r="V633" s="14">
        <v>141</v>
      </c>
      <c r="W633" s="14">
        <v>146</v>
      </c>
    </row>
    <row r="634" spans="1:24" hidden="1" x14ac:dyDescent="0.3">
      <c r="A634" s="14" t="s">
        <v>396</v>
      </c>
      <c r="B634" s="14" t="s">
        <v>397</v>
      </c>
      <c r="C634" s="14" t="s">
        <v>371</v>
      </c>
      <c r="D634" s="14" t="s">
        <v>372</v>
      </c>
      <c r="E634" s="14" t="s">
        <v>342</v>
      </c>
      <c r="F634" s="14" t="s">
        <v>343</v>
      </c>
      <c r="G634" s="14" t="s">
        <v>343</v>
      </c>
      <c r="H634" s="14" t="s">
        <v>343</v>
      </c>
      <c r="U634" s="14">
        <v>0</v>
      </c>
      <c r="V634" s="14">
        <v>0</v>
      </c>
      <c r="W634" s="14">
        <v>0</v>
      </c>
    </row>
    <row r="635" spans="1:24" hidden="1" x14ac:dyDescent="0.3">
      <c r="A635" s="14" t="s">
        <v>396</v>
      </c>
      <c r="B635" s="14" t="s">
        <v>397</v>
      </c>
      <c r="C635" s="14" t="s">
        <v>371</v>
      </c>
      <c r="D635" s="14" t="s">
        <v>372</v>
      </c>
      <c r="E635" s="14" t="s">
        <v>344</v>
      </c>
      <c r="F635" s="14" t="s">
        <v>343</v>
      </c>
      <c r="G635" s="14" t="s">
        <v>343</v>
      </c>
      <c r="H635" s="14" t="s">
        <v>343</v>
      </c>
      <c r="U635" s="14">
        <v>65</v>
      </c>
      <c r="V635" s="14">
        <v>67</v>
      </c>
      <c r="W635" s="14">
        <v>71</v>
      </c>
    </row>
    <row r="636" spans="1:24" hidden="1" x14ac:dyDescent="0.3">
      <c r="A636" s="14" t="s">
        <v>396</v>
      </c>
      <c r="B636" s="14" t="s">
        <v>397</v>
      </c>
      <c r="C636" s="14" t="s">
        <v>373</v>
      </c>
      <c r="D636" s="14" t="s">
        <v>374</v>
      </c>
      <c r="E636" s="14" t="s">
        <v>342</v>
      </c>
      <c r="F636" s="14" t="s">
        <v>343</v>
      </c>
      <c r="G636" s="14" t="s">
        <v>343</v>
      </c>
      <c r="H636" s="14" t="s">
        <v>343</v>
      </c>
      <c r="U636" s="14">
        <v>0.31</v>
      </c>
      <c r="V636" s="14">
        <v>0.06</v>
      </c>
      <c r="W636" s="14">
        <v>7.0000000000000007E-2</v>
      </c>
    </row>
    <row r="637" spans="1:24" hidden="1" x14ac:dyDescent="0.3">
      <c r="A637" s="14" t="s">
        <v>396</v>
      </c>
      <c r="B637" s="14" t="s">
        <v>397</v>
      </c>
      <c r="C637" s="14" t="s">
        <v>373</v>
      </c>
      <c r="D637" s="14" t="s">
        <v>374</v>
      </c>
      <c r="E637" s="14" t="s">
        <v>344</v>
      </c>
      <c r="F637" s="14" t="s">
        <v>343</v>
      </c>
      <c r="G637" s="14" t="s">
        <v>343</v>
      </c>
      <c r="H637" s="14" t="s">
        <v>343</v>
      </c>
      <c r="U637" s="14">
        <v>47</v>
      </c>
      <c r="V637" s="14">
        <v>136</v>
      </c>
      <c r="W637" s="14">
        <v>136</v>
      </c>
    </row>
    <row r="638" spans="1:24" hidden="1" x14ac:dyDescent="0.3">
      <c r="A638" s="14" t="s">
        <v>396</v>
      </c>
      <c r="B638" s="14" t="s">
        <v>397</v>
      </c>
      <c r="C638" s="14" t="s">
        <v>375</v>
      </c>
      <c r="D638" s="14" t="s">
        <v>376</v>
      </c>
      <c r="E638" s="14" t="s">
        <v>342</v>
      </c>
      <c r="F638" s="14" t="s">
        <v>343</v>
      </c>
      <c r="G638" s="14" t="s">
        <v>343</v>
      </c>
      <c r="H638" s="14" t="s">
        <v>343</v>
      </c>
      <c r="U638" s="14">
        <v>0.15</v>
      </c>
      <c r="V638" s="14">
        <v>0.15</v>
      </c>
      <c r="W638" s="14">
        <v>0.15</v>
      </c>
    </row>
    <row r="639" spans="1:24" hidden="1" x14ac:dyDescent="0.3">
      <c r="A639" s="14" t="s">
        <v>396</v>
      </c>
      <c r="B639" s="14" t="s">
        <v>397</v>
      </c>
      <c r="C639" s="14" t="s">
        <v>375</v>
      </c>
      <c r="D639" s="14" t="s">
        <v>376</v>
      </c>
      <c r="E639" s="14" t="s">
        <v>344</v>
      </c>
      <c r="F639" s="14" t="s">
        <v>343</v>
      </c>
      <c r="G639" s="14" t="s">
        <v>343</v>
      </c>
      <c r="H639" s="14" t="s">
        <v>343</v>
      </c>
      <c r="U639" s="14">
        <v>115</v>
      </c>
      <c r="V639" s="14">
        <v>126</v>
      </c>
      <c r="W639" s="14">
        <v>130</v>
      </c>
    </row>
    <row r="640" spans="1:24" hidden="1" x14ac:dyDescent="0.3">
      <c r="A640" s="14" t="s">
        <v>398</v>
      </c>
      <c r="B640" s="14" t="s">
        <v>51</v>
      </c>
      <c r="C640" s="14" t="s">
        <v>340</v>
      </c>
      <c r="D640" s="14" t="s">
        <v>341</v>
      </c>
      <c r="E640" s="14" t="s">
        <v>342</v>
      </c>
      <c r="F640" s="14" t="s">
        <v>343</v>
      </c>
      <c r="G640" s="14" t="s">
        <v>343</v>
      </c>
      <c r="H640" s="14" t="s">
        <v>343</v>
      </c>
      <c r="S640" s="14">
        <v>1</v>
      </c>
      <c r="T640" s="14">
        <v>0.98</v>
      </c>
      <c r="U640" s="14">
        <v>0.98</v>
      </c>
      <c r="V640" s="14">
        <v>0.97</v>
      </c>
      <c r="W640" s="14">
        <v>0.97</v>
      </c>
      <c r="X640" s="14">
        <v>0.97</v>
      </c>
    </row>
    <row r="641" spans="1:24" hidden="1" x14ac:dyDescent="0.3">
      <c r="A641" s="14" t="s">
        <v>398</v>
      </c>
      <c r="B641" s="14" t="s">
        <v>51</v>
      </c>
      <c r="C641" s="14" t="s">
        <v>340</v>
      </c>
      <c r="D641" s="14" t="s">
        <v>341</v>
      </c>
      <c r="E641" s="14" t="s">
        <v>344</v>
      </c>
      <c r="F641" s="14" t="s">
        <v>343</v>
      </c>
      <c r="G641" s="14" t="s">
        <v>343</v>
      </c>
      <c r="H641" s="14" t="s">
        <v>343</v>
      </c>
      <c r="S641" s="14">
        <v>50</v>
      </c>
      <c r="T641" s="14">
        <v>92</v>
      </c>
      <c r="U641" s="14">
        <v>94</v>
      </c>
      <c r="V641" s="14">
        <v>108</v>
      </c>
      <c r="W641" s="14">
        <v>110</v>
      </c>
      <c r="X641" s="14">
        <v>100</v>
      </c>
    </row>
    <row r="642" spans="1:24" hidden="1" x14ac:dyDescent="0.3">
      <c r="A642" s="14" t="s">
        <v>398</v>
      </c>
      <c r="B642" s="14" t="s">
        <v>51</v>
      </c>
      <c r="C642" s="14" t="s">
        <v>345</v>
      </c>
      <c r="D642" s="14" t="s">
        <v>346</v>
      </c>
      <c r="E642" s="14" t="s">
        <v>342</v>
      </c>
      <c r="F642" s="14" t="s">
        <v>343</v>
      </c>
      <c r="G642" s="14" t="s">
        <v>343</v>
      </c>
      <c r="H642" s="14" t="s">
        <v>343</v>
      </c>
      <c r="U642" s="14">
        <v>0.52</v>
      </c>
      <c r="V642" s="14">
        <v>0.54</v>
      </c>
      <c r="W642" s="14">
        <v>0.56000000000000005</v>
      </c>
      <c r="X642" s="14">
        <v>0.53</v>
      </c>
    </row>
    <row r="643" spans="1:24" hidden="1" x14ac:dyDescent="0.3">
      <c r="A643" s="14" t="s">
        <v>398</v>
      </c>
      <c r="B643" s="14" t="s">
        <v>51</v>
      </c>
      <c r="C643" s="14" t="s">
        <v>345</v>
      </c>
      <c r="D643" s="14" t="s">
        <v>346</v>
      </c>
      <c r="E643" s="14" t="s">
        <v>344</v>
      </c>
      <c r="F643" s="14" t="s">
        <v>343</v>
      </c>
      <c r="G643" s="14" t="s">
        <v>343</v>
      </c>
      <c r="H643" s="14" t="s">
        <v>343</v>
      </c>
      <c r="U643" s="14">
        <v>105</v>
      </c>
      <c r="V643" s="14">
        <v>106</v>
      </c>
      <c r="W643" s="14">
        <v>103</v>
      </c>
      <c r="X643" s="14">
        <v>112</v>
      </c>
    </row>
    <row r="644" spans="1:24" hidden="1" x14ac:dyDescent="0.3">
      <c r="A644" s="14" t="s">
        <v>398</v>
      </c>
      <c r="B644" s="14" t="s">
        <v>51</v>
      </c>
      <c r="C644" s="14" t="s">
        <v>347</v>
      </c>
      <c r="D644" s="14" t="s">
        <v>348</v>
      </c>
      <c r="E644" s="14" t="s">
        <v>342</v>
      </c>
      <c r="F644" s="14" t="s">
        <v>343</v>
      </c>
      <c r="G644" s="14" t="s">
        <v>343</v>
      </c>
      <c r="H644" s="14" t="s">
        <v>343</v>
      </c>
      <c r="U644" s="14">
        <v>0.64</v>
      </c>
      <c r="V644" s="14">
        <v>0.65</v>
      </c>
      <c r="W644" s="14">
        <v>0.68</v>
      </c>
      <c r="X644" s="14">
        <v>0.62</v>
      </c>
    </row>
    <row r="645" spans="1:24" hidden="1" x14ac:dyDescent="0.3">
      <c r="A645" s="14" t="s">
        <v>398</v>
      </c>
      <c r="B645" s="14" t="s">
        <v>51</v>
      </c>
      <c r="C645" s="14" t="s">
        <v>347</v>
      </c>
      <c r="D645" s="14" t="s">
        <v>348</v>
      </c>
      <c r="E645" s="14" t="s">
        <v>344</v>
      </c>
      <c r="F645" s="14" t="s">
        <v>343</v>
      </c>
      <c r="G645" s="14" t="s">
        <v>343</v>
      </c>
      <c r="H645" s="14" t="s">
        <v>343</v>
      </c>
      <c r="U645" s="14">
        <v>115</v>
      </c>
      <c r="V645" s="14">
        <v>113</v>
      </c>
      <c r="W645" s="14">
        <v>114</v>
      </c>
      <c r="X645" s="14">
        <v>113</v>
      </c>
    </row>
    <row r="646" spans="1:24" hidden="1" x14ac:dyDescent="0.3">
      <c r="A646" s="14" t="s">
        <v>398</v>
      </c>
      <c r="B646" s="14" t="s">
        <v>51</v>
      </c>
      <c r="C646" s="14" t="s">
        <v>349</v>
      </c>
      <c r="D646" s="14" t="s">
        <v>350</v>
      </c>
      <c r="E646" s="14" t="s">
        <v>342</v>
      </c>
      <c r="F646" s="14" t="s">
        <v>343</v>
      </c>
      <c r="G646" s="14" t="s">
        <v>343</v>
      </c>
      <c r="H646" s="14" t="s">
        <v>343</v>
      </c>
      <c r="U646" s="14">
        <v>0.28000000000000003</v>
      </c>
      <c r="V646" s="14">
        <v>0.35</v>
      </c>
      <c r="W646" s="14">
        <v>0.32</v>
      </c>
      <c r="X646" s="14">
        <v>0.34</v>
      </c>
    </row>
    <row r="647" spans="1:24" hidden="1" x14ac:dyDescent="0.3">
      <c r="A647" s="14" t="s">
        <v>398</v>
      </c>
      <c r="B647" s="14" t="s">
        <v>51</v>
      </c>
      <c r="C647" s="14" t="s">
        <v>349</v>
      </c>
      <c r="D647" s="14" t="s">
        <v>350</v>
      </c>
      <c r="E647" s="14" t="s">
        <v>344</v>
      </c>
      <c r="F647" s="14" t="s">
        <v>343</v>
      </c>
      <c r="G647" s="14" t="s">
        <v>343</v>
      </c>
      <c r="H647" s="14" t="s">
        <v>343</v>
      </c>
      <c r="U647" s="14">
        <v>107</v>
      </c>
      <c r="V647" s="14">
        <v>104</v>
      </c>
      <c r="W647" s="14">
        <v>112</v>
      </c>
      <c r="X647" s="14">
        <v>105</v>
      </c>
    </row>
    <row r="648" spans="1:24" hidden="1" x14ac:dyDescent="0.3">
      <c r="A648" s="14" t="s">
        <v>398</v>
      </c>
      <c r="B648" s="14" t="s">
        <v>51</v>
      </c>
      <c r="C648" s="14" t="s">
        <v>351</v>
      </c>
      <c r="D648" s="14" t="s">
        <v>352</v>
      </c>
      <c r="E648" s="14" t="s">
        <v>342</v>
      </c>
      <c r="F648" s="14" t="s">
        <v>343</v>
      </c>
      <c r="G648" s="14" t="s">
        <v>343</v>
      </c>
      <c r="H648" s="14" t="s">
        <v>343</v>
      </c>
      <c r="U648" s="14">
        <v>0.97</v>
      </c>
      <c r="V648" s="14">
        <v>1</v>
      </c>
      <c r="W648" s="14">
        <v>0.99</v>
      </c>
      <c r="X648" s="14">
        <v>1</v>
      </c>
    </row>
    <row r="649" spans="1:24" hidden="1" x14ac:dyDescent="0.3">
      <c r="A649" s="14" t="s">
        <v>398</v>
      </c>
      <c r="B649" s="14" t="s">
        <v>51</v>
      </c>
      <c r="C649" s="14" t="s">
        <v>351</v>
      </c>
      <c r="D649" s="14" t="s">
        <v>352</v>
      </c>
      <c r="E649" s="14" t="s">
        <v>344</v>
      </c>
      <c r="F649" s="14" t="s">
        <v>343</v>
      </c>
      <c r="G649" s="14" t="s">
        <v>343</v>
      </c>
      <c r="H649" s="14" t="s">
        <v>343</v>
      </c>
      <c r="U649" s="14">
        <v>72</v>
      </c>
      <c r="V649" s="14">
        <v>1</v>
      </c>
      <c r="W649" s="14">
        <v>76</v>
      </c>
      <c r="X649" s="14">
        <v>1</v>
      </c>
    </row>
    <row r="650" spans="1:24" hidden="1" x14ac:dyDescent="0.3">
      <c r="A650" s="14" t="s">
        <v>398</v>
      </c>
      <c r="B650" s="14" t="s">
        <v>51</v>
      </c>
      <c r="C650" s="14" t="s">
        <v>378</v>
      </c>
      <c r="D650" s="14" t="s">
        <v>379</v>
      </c>
      <c r="E650" s="14" t="s">
        <v>342</v>
      </c>
      <c r="F650" s="14" t="s">
        <v>343</v>
      </c>
      <c r="G650" s="14" t="s">
        <v>343</v>
      </c>
      <c r="H650" s="14" t="s">
        <v>343</v>
      </c>
      <c r="S650" s="14">
        <v>0.6</v>
      </c>
      <c r="U650" s="14">
        <v>0.64</v>
      </c>
      <c r="V650" s="14">
        <v>0.61</v>
      </c>
      <c r="W650" s="14">
        <v>0.57999999999999996</v>
      </c>
      <c r="X650" s="14">
        <v>0.56999999999999995</v>
      </c>
    </row>
    <row r="651" spans="1:24" hidden="1" x14ac:dyDescent="0.3">
      <c r="A651" s="14" t="s">
        <v>398</v>
      </c>
      <c r="B651" s="14" t="s">
        <v>51</v>
      </c>
      <c r="C651" s="14" t="s">
        <v>378</v>
      </c>
      <c r="D651" s="14" t="s">
        <v>379</v>
      </c>
      <c r="E651" s="14" t="s">
        <v>344</v>
      </c>
      <c r="F651" s="14" t="s">
        <v>343</v>
      </c>
      <c r="G651" s="14" t="s">
        <v>343</v>
      </c>
      <c r="H651" s="14" t="s">
        <v>343</v>
      </c>
      <c r="S651" s="14">
        <v>93</v>
      </c>
      <c r="U651" s="14">
        <v>77</v>
      </c>
      <c r="V651" s="14">
        <v>94</v>
      </c>
      <c r="W651" s="14">
        <v>108</v>
      </c>
      <c r="X651" s="14">
        <v>113</v>
      </c>
    </row>
    <row r="652" spans="1:24" hidden="1" x14ac:dyDescent="0.3">
      <c r="A652" s="14" t="s">
        <v>398</v>
      </c>
      <c r="B652" s="14" t="s">
        <v>51</v>
      </c>
      <c r="C652" s="14" t="s">
        <v>353</v>
      </c>
      <c r="D652" s="14" t="s">
        <v>354</v>
      </c>
      <c r="E652" s="14" t="s">
        <v>342</v>
      </c>
      <c r="F652" s="14" t="s">
        <v>343</v>
      </c>
      <c r="G652" s="14" t="s">
        <v>343</v>
      </c>
      <c r="H652" s="14" t="s">
        <v>343</v>
      </c>
      <c r="U652" s="14">
        <v>0.96</v>
      </c>
      <c r="V652" s="14">
        <v>0.96</v>
      </c>
      <c r="W652" s="14">
        <v>0.96</v>
      </c>
      <c r="X652" s="14">
        <v>0.96</v>
      </c>
    </row>
    <row r="653" spans="1:24" hidden="1" x14ac:dyDescent="0.3">
      <c r="A653" s="14" t="s">
        <v>398</v>
      </c>
      <c r="B653" s="14" t="s">
        <v>51</v>
      </c>
      <c r="C653" s="14" t="s">
        <v>353</v>
      </c>
      <c r="D653" s="14" t="s">
        <v>354</v>
      </c>
      <c r="E653" s="14" t="s">
        <v>344</v>
      </c>
      <c r="F653" s="14" t="s">
        <v>343</v>
      </c>
      <c r="G653" s="14" t="s">
        <v>343</v>
      </c>
      <c r="H653" s="14" t="s">
        <v>343</v>
      </c>
      <c r="U653" s="14">
        <v>90</v>
      </c>
      <c r="V653" s="14">
        <v>97</v>
      </c>
      <c r="W653" s="14">
        <v>100</v>
      </c>
      <c r="X653" s="14">
        <v>94</v>
      </c>
    </row>
    <row r="654" spans="1:24" hidden="1" x14ac:dyDescent="0.3">
      <c r="A654" s="14" t="s">
        <v>398</v>
      </c>
      <c r="B654" s="14" t="s">
        <v>51</v>
      </c>
      <c r="C654" s="14" t="s">
        <v>355</v>
      </c>
      <c r="D654" s="14" t="s">
        <v>356</v>
      </c>
      <c r="E654" s="14" t="s">
        <v>342</v>
      </c>
      <c r="F654" s="14" t="s">
        <v>343</v>
      </c>
      <c r="G654" s="14" t="s">
        <v>343</v>
      </c>
      <c r="H654" s="14" t="s">
        <v>343</v>
      </c>
      <c r="U654" s="14">
        <v>1</v>
      </c>
      <c r="V654" s="14">
        <v>0.98</v>
      </c>
      <c r="W654" s="14">
        <v>0.98</v>
      </c>
      <c r="X654" s="14">
        <v>0.97</v>
      </c>
    </row>
    <row r="655" spans="1:24" hidden="1" x14ac:dyDescent="0.3">
      <c r="A655" s="14" t="s">
        <v>398</v>
      </c>
      <c r="B655" s="14" t="s">
        <v>51</v>
      </c>
      <c r="C655" s="14" t="s">
        <v>355</v>
      </c>
      <c r="D655" s="14" t="s">
        <v>356</v>
      </c>
      <c r="E655" s="14" t="s">
        <v>344</v>
      </c>
      <c r="F655" s="14" t="s">
        <v>343</v>
      </c>
      <c r="G655" s="14" t="s">
        <v>343</v>
      </c>
      <c r="H655" s="14" t="s">
        <v>343</v>
      </c>
      <c r="U655" s="14">
        <v>1</v>
      </c>
      <c r="V655" s="14">
        <v>116</v>
      </c>
      <c r="W655" s="14">
        <v>118</v>
      </c>
      <c r="X655" s="14">
        <v>98</v>
      </c>
    </row>
    <row r="656" spans="1:24" hidden="1" x14ac:dyDescent="0.3">
      <c r="A656" s="14" t="s">
        <v>398</v>
      </c>
      <c r="B656" s="14" t="s">
        <v>51</v>
      </c>
      <c r="C656" s="14" t="s">
        <v>357</v>
      </c>
      <c r="D656" s="14" t="s">
        <v>358</v>
      </c>
      <c r="E656" s="14" t="s">
        <v>342</v>
      </c>
      <c r="F656" s="14" t="s">
        <v>343</v>
      </c>
      <c r="G656" s="14" t="s">
        <v>343</v>
      </c>
      <c r="H656" s="14" t="s">
        <v>343</v>
      </c>
      <c r="X656" s="14">
        <v>1</v>
      </c>
    </row>
    <row r="657" spans="1:24" hidden="1" x14ac:dyDescent="0.3">
      <c r="A657" s="14" t="s">
        <v>398</v>
      </c>
      <c r="B657" s="14" t="s">
        <v>51</v>
      </c>
      <c r="C657" s="14" t="s">
        <v>357</v>
      </c>
      <c r="D657" s="14" t="s">
        <v>358</v>
      </c>
      <c r="E657" s="14" t="s">
        <v>344</v>
      </c>
      <c r="F657" s="14" t="s">
        <v>343</v>
      </c>
      <c r="G657" s="14" t="s">
        <v>343</v>
      </c>
      <c r="H657" s="14" t="s">
        <v>343</v>
      </c>
      <c r="X657" s="14">
        <v>1</v>
      </c>
    </row>
    <row r="658" spans="1:24" hidden="1" x14ac:dyDescent="0.3">
      <c r="A658" s="14" t="s">
        <v>398</v>
      </c>
      <c r="B658" s="14" t="s">
        <v>51</v>
      </c>
      <c r="C658" s="14" t="s">
        <v>359</v>
      </c>
      <c r="D658" s="14" t="s">
        <v>360</v>
      </c>
      <c r="E658" s="14" t="s">
        <v>342</v>
      </c>
      <c r="F658" s="14" t="s">
        <v>343</v>
      </c>
      <c r="G658" s="14" t="s">
        <v>343</v>
      </c>
      <c r="H658" s="14" t="s">
        <v>343</v>
      </c>
      <c r="S658" s="14">
        <v>0.57999999999999996</v>
      </c>
      <c r="T658" s="14">
        <v>0.56999999999999995</v>
      </c>
      <c r="U658" s="14">
        <v>0.6</v>
      </c>
      <c r="V658" s="14">
        <v>0.61</v>
      </c>
      <c r="W658" s="14">
        <v>0.61</v>
      </c>
      <c r="X658" s="14">
        <v>0.59</v>
      </c>
    </row>
    <row r="659" spans="1:24" hidden="1" x14ac:dyDescent="0.3">
      <c r="A659" s="14" t="s">
        <v>398</v>
      </c>
      <c r="B659" s="14" t="s">
        <v>51</v>
      </c>
      <c r="C659" s="14" t="s">
        <v>359</v>
      </c>
      <c r="D659" s="14" t="s">
        <v>360</v>
      </c>
      <c r="E659" s="14" t="s">
        <v>344</v>
      </c>
      <c r="F659" s="14" t="s">
        <v>343</v>
      </c>
      <c r="G659" s="14" t="s">
        <v>343</v>
      </c>
      <c r="H659" s="14" t="s">
        <v>343</v>
      </c>
      <c r="S659" s="14">
        <v>113</v>
      </c>
      <c r="T659" s="14">
        <v>116</v>
      </c>
      <c r="U659" s="14">
        <v>115</v>
      </c>
      <c r="V659" s="14">
        <v>109</v>
      </c>
      <c r="W659" s="14">
        <v>115</v>
      </c>
      <c r="X659" s="14">
        <v>116</v>
      </c>
    </row>
    <row r="660" spans="1:24" hidden="1" x14ac:dyDescent="0.3">
      <c r="A660" s="14" t="s">
        <v>398</v>
      </c>
      <c r="B660" s="14" t="s">
        <v>51</v>
      </c>
      <c r="C660" s="14" t="s">
        <v>361</v>
      </c>
      <c r="D660" s="14" t="s">
        <v>362</v>
      </c>
      <c r="E660" s="14" t="s">
        <v>342</v>
      </c>
      <c r="F660" s="14" t="s">
        <v>343</v>
      </c>
      <c r="G660" s="14" t="s">
        <v>343</v>
      </c>
      <c r="H660" s="14" t="s">
        <v>343</v>
      </c>
      <c r="S660" s="14">
        <v>0.97</v>
      </c>
      <c r="T660" s="14">
        <v>0.98</v>
      </c>
      <c r="U660" s="14">
        <v>0.98</v>
      </c>
      <c r="V660" s="14">
        <v>0.98</v>
      </c>
      <c r="W660" s="14">
        <v>0.97</v>
      </c>
      <c r="X660" s="14">
        <v>0.98</v>
      </c>
    </row>
    <row r="661" spans="1:24" hidden="1" x14ac:dyDescent="0.3">
      <c r="A661" s="14" t="s">
        <v>398</v>
      </c>
      <c r="B661" s="14" t="s">
        <v>51</v>
      </c>
      <c r="C661" s="14" t="s">
        <v>361</v>
      </c>
      <c r="D661" s="14" t="s">
        <v>362</v>
      </c>
      <c r="E661" s="14" t="s">
        <v>344</v>
      </c>
      <c r="F661" s="14" t="s">
        <v>343</v>
      </c>
      <c r="G661" s="14" t="s">
        <v>343</v>
      </c>
      <c r="H661" s="14" t="s">
        <v>343</v>
      </c>
      <c r="S661" s="14">
        <v>76</v>
      </c>
      <c r="T661" s="14">
        <v>42</v>
      </c>
      <c r="U661" s="14">
        <v>1</v>
      </c>
      <c r="V661" s="14">
        <v>68</v>
      </c>
      <c r="W661" s="14">
        <v>64</v>
      </c>
      <c r="X661" s="14">
        <v>53</v>
      </c>
    </row>
    <row r="662" spans="1:24" hidden="1" x14ac:dyDescent="0.3">
      <c r="A662" s="14" t="s">
        <v>398</v>
      </c>
      <c r="B662" s="14" t="s">
        <v>51</v>
      </c>
      <c r="C662" s="14" t="s">
        <v>363</v>
      </c>
      <c r="D662" s="14" t="s">
        <v>364</v>
      </c>
      <c r="E662" s="14" t="s">
        <v>342</v>
      </c>
      <c r="F662" s="14" t="s">
        <v>343</v>
      </c>
      <c r="G662" s="14" t="s">
        <v>343</v>
      </c>
      <c r="H662" s="14" t="s">
        <v>343</v>
      </c>
      <c r="U662" s="14">
        <v>1.06</v>
      </c>
      <c r="V662" s="14">
        <v>1.06</v>
      </c>
      <c r="W662" s="14">
        <v>1.05</v>
      </c>
      <c r="X662" s="14">
        <v>1.05</v>
      </c>
    </row>
    <row r="663" spans="1:24" hidden="1" x14ac:dyDescent="0.3">
      <c r="A663" s="14" t="s">
        <v>398</v>
      </c>
      <c r="B663" s="14" t="s">
        <v>51</v>
      </c>
      <c r="C663" s="14" t="s">
        <v>363</v>
      </c>
      <c r="D663" s="14" t="s">
        <v>364</v>
      </c>
      <c r="E663" s="14" t="s">
        <v>344</v>
      </c>
      <c r="F663" s="14" t="s">
        <v>343</v>
      </c>
      <c r="G663" s="14" t="s">
        <v>343</v>
      </c>
      <c r="H663" s="14" t="s">
        <v>343</v>
      </c>
      <c r="U663" s="14">
        <v>1</v>
      </c>
      <c r="V663" s="14">
        <v>1</v>
      </c>
      <c r="W663" s="14">
        <v>65</v>
      </c>
      <c r="X663" s="14">
        <v>59</v>
      </c>
    </row>
    <row r="664" spans="1:24" hidden="1" x14ac:dyDescent="0.3">
      <c r="A664" s="14" t="s">
        <v>398</v>
      </c>
      <c r="B664" s="14" t="s">
        <v>51</v>
      </c>
      <c r="C664" s="14" t="s">
        <v>365</v>
      </c>
      <c r="D664" s="14" t="s">
        <v>366</v>
      </c>
      <c r="E664" s="14" t="s">
        <v>342</v>
      </c>
      <c r="F664" s="14" t="s">
        <v>343</v>
      </c>
      <c r="G664" s="14" t="s">
        <v>343</v>
      </c>
      <c r="H664" s="14" t="s">
        <v>343</v>
      </c>
      <c r="U664" s="14">
        <v>0.94</v>
      </c>
      <c r="V664" s="14">
        <v>0.94</v>
      </c>
      <c r="W664" s="14">
        <v>0.94</v>
      </c>
      <c r="X664" s="14">
        <v>0.94</v>
      </c>
    </row>
    <row r="665" spans="1:24" hidden="1" x14ac:dyDescent="0.3">
      <c r="A665" s="14" t="s">
        <v>398</v>
      </c>
      <c r="B665" s="14" t="s">
        <v>51</v>
      </c>
      <c r="C665" s="14" t="s">
        <v>365</v>
      </c>
      <c r="D665" s="14" t="s">
        <v>366</v>
      </c>
      <c r="E665" s="14" t="s">
        <v>344</v>
      </c>
      <c r="F665" s="14" t="s">
        <v>343</v>
      </c>
      <c r="G665" s="14" t="s">
        <v>343</v>
      </c>
      <c r="H665" s="14" t="s">
        <v>343</v>
      </c>
      <c r="U665" s="14">
        <v>1</v>
      </c>
      <c r="V665" s="14">
        <v>130</v>
      </c>
      <c r="W665" s="14">
        <v>127</v>
      </c>
      <c r="X665" s="14">
        <v>1</v>
      </c>
    </row>
    <row r="666" spans="1:24" hidden="1" x14ac:dyDescent="0.3">
      <c r="A666" s="14" t="s">
        <v>398</v>
      </c>
      <c r="B666" s="14" t="s">
        <v>51</v>
      </c>
      <c r="C666" s="14" t="s">
        <v>367</v>
      </c>
      <c r="D666" s="14" t="s">
        <v>368</v>
      </c>
      <c r="E666" s="14" t="s">
        <v>342</v>
      </c>
      <c r="F666" s="14" t="s">
        <v>343</v>
      </c>
      <c r="G666" s="14" t="s">
        <v>343</v>
      </c>
      <c r="H666" s="14" t="s">
        <v>343</v>
      </c>
      <c r="S666" s="14">
        <v>0.68</v>
      </c>
      <c r="T666" s="14">
        <v>0.7</v>
      </c>
      <c r="U666" s="14">
        <v>0.71</v>
      </c>
      <c r="V666" s="14">
        <v>0.71</v>
      </c>
      <c r="W666" s="14">
        <v>0.71</v>
      </c>
      <c r="X666" s="14">
        <v>0.71</v>
      </c>
    </row>
    <row r="667" spans="1:24" hidden="1" x14ac:dyDescent="0.3">
      <c r="A667" s="14" t="s">
        <v>398</v>
      </c>
      <c r="B667" s="14" t="s">
        <v>51</v>
      </c>
      <c r="C667" s="14" t="s">
        <v>367</v>
      </c>
      <c r="D667" s="14" t="s">
        <v>368</v>
      </c>
      <c r="E667" s="14" t="s">
        <v>344</v>
      </c>
      <c r="F667" s="14" t="s">
        <v>343</v>
      </c>
      <c r="G667" s="14" t="s">
        <v>343</v>
      </c>
      <c r="H667" s="14" t="s">
        <v>343</v>
      </c>
      <c r="S667" s="14">
        <v>83</v>
      </c>
      <c r="T667" s="14">
        <v>66</v>
      </c>
      <c r="U667" s="14">
        <v>62</v>
      </c>
      <c r="V667" s="14">
        <v>69</v>
      </c>
      <c r="W667" s="14">
        <v>76</v>
      </c>
      <c r="X667" s="14">
        <v>73</v>
      </c>
    </row>
    <row r="668" spans="1:24" hidden="1" x14ac:dyDescent="0.3">
      <c r="A668" s="14" t="s">
        <v>398</v>
      </c>
      <c r="B668" s="14" t="s">
        <v>51</v>
      </c>
      <c r="C668" s="14" t="s">
        <v>369</v>
      </c>
      <c r="D668" s="14" t="s">
        <v>370</v>
      </c>
      <c r="E668" s="14" t="s">
        <v>342</v>
      </c>
      <c r="F668" s="14" t="s">
        <v>343</v>
      </c>
      <c r="G668" s="14" t="s">
        <v>343</v>
      </c>
      <c r="H668" s="14" t="s">
        <v>343</v>
      </c>
      <c r="S668" s="14">
        <v>0.19</v>
      </c>
      <c r="T668" s="14">
        <v>0.28000000000000003</v>
      </c>
      <c r="U668" s="14">
        <v>0.28999999999999998</v>
      </c>
      <c r="V668" s="14">
        <v>0.28999999999999998</v>
      </c>
      <c r="W668" s="14">
        <v>0.3</v>
      </c>
      <c r="X668" s="14">
        <v>0.3</v>
      </c>
    </row>
    <row r="669" spans="1:24" hidden="1" x14ac:dyDescent="0.3">
      <c r="A669" s="14" t="s">
        <v>398</v>
      </c>
      <c r="B669" s="14" t="s">
        <v>51</v>
      </c>
      <c r="C669" s="14" t="s">
        <v>369</v>
      </c>
      <c r="D669" s="14" t="s">
        <v>370</v>
      </c>
      <c r="E669" s="14" t="s">
        <v>344</v>
      </c>
      <c r="F669" s="14" t="s">
        <v>343</v>
      </c>
      <c r="G669" s="14" t="s">
        <v>343</v>
      </c>
      <c r="H669" s="14" t="s">
        <v>343</v>
      </c>
      <c r="S669" s="14">
        <v>62</v>
      </c>
      <c r="T669" s="14">
        <v>35</v>
      </c>
      <c r="U669" s="14">
        <v>33</v>
      </c>
      <c r="V669" s="14">
        <v>38</v>
      </c>
      <c r="W669" s="14">
        <v>45</v>
      </c>
      <c r="X669" s="14">
        <v>44</v>
      </c>
    </row>
    <row r="670" spans="1:24" hidden="1" x14ac:dyDescent="0.3">
      <c r="A670" s="14" t="s">
        <v>398</v>
      </c>
      <c r="B670" s="14" t="s">
        <v>51</v>
      </c>
      <c r="C670" s="14" t="s">
        <v>371</v>
      </c>
      <c r="D670" s="14" t="s">
        <v>372</v>
      </c>
      <c r="E670" s="14" t="s">
        <v>342</v>
      </c>
      <c r="F670" s="14" t="s">
        <v>343</v>
      </c>
      <c r="G670" s="14" t="s">
        <v>343</v>
      </c>
      <c r="H670" s="14" t="s">
        <v>343</v>
      </c>
      <c r="U670" s="14">
        <v>0.3</v>
      </c>
      <c r="V670" s="14">
        <v>0.3</v>
      </c>
      <c r="W670" s="14">
        <v>0.3</v>
      </c>
      <c r="X670" s="14">
        <v>0.3</v>
      </c>
    </row>
    <row r="671" spans="1:24" hidden="1" x14ac:dyDescent="0.3">
      <c r="A671" s="14" t="s">
        <v>398</v>
      </c>
      <c r="B671" s="14" t="s">
        <v>51</v>
      </c>
      <c r="C671" s="14" t="s">
        <v>371</v>
      </c>
      <c r="D671" s="14" t="s">
        <v>372</v>
      </c>
      <c r="E671" s="14" t="s">
        <v>344</v>
      </c>
      <c r="F671" s="14" t="s">
        <v>343</v>
      </c>
      <c r="G671" s="14" t="s">
        <v>343</v>
      </c>
      <c r="H671" s="14" t="s">
        <v>343</v>
      </c>
      <c r="U671" s="14">
        <v>12</v>
      </c>
      <c r="V671" s="14">
        <v>13</v>
      </c>
      <c r="W671" s="14">
        <v>13</v>
      </c>
      <c r="X671" s="14">
        <v>13</v>
      </c>
    </row>
    <row r="672" spans="1:24" hidden="1" x14ac:dyDescent="0.3">
      <c r="A672" s="14" t="s">
        <v>398</v>
      </c>
      <c r="B672" s="14" t="s">
        <v>51</v>
      </c>
      <c r="C672" s="14" t="s">
        <v>373</v>
      </c>
      <c r="D672" s="14" t="s">
        <v>374</v>
      </c>
      <c r="E672" s="14" t="s">
        <v>342</v>
      </c>
      <c r="F672" s="14" t="s">
        <v>343</v>
      </c>
      <c r="G672" s="14" t="s">
        <v>343</v>
      </c>
      <c r="H672" s="14" t="s">
        <v>343</v>
      </c>
      <c r="U672" s="14">
        <v>0.28999999999999998</v>
      </c>
      <c r="V672" s="14">
        <v>0.28000000000000003</v>
      </c>
      <c r="W672" s="14">
        <v>0.23</v>
      </c>
      <c r="X672" s="14">
        <v>0.23</v>
      </c>
    </row>
    <row r="673" spans="1:24" hidden="1" x14ac:dyDescent="0.3">
      <c r="A673" s="14" t="s">
        <v>398</v>
      </c>
      <c r="B673" s="14" t="s">
        <v>51</v>
      </c>
      <c r="C673" s="14" t="s">
        <v>373</v>
      </c>
      <c r="D673" s="14" t="s">
        <v>374</v>
      </c>
      <c r="E673" s="14" t="s">
        <v>344</v>
      </c>
      <c r="F673" s="14" t="s">
        <v>343</v>
      </c>
      <c r="G673" s="14" t="s">
        <v>343</v>
      </c>
      <c r="H673" s="14" t="s">
        <v>343</v>
      </c>
      <c r="U673" s="14">
        <v>56</v>
      </c>
      <c r="V673" s="14">
        <v>73</v>
      </c>
      <c r="W673" s="14">
        <v>85</v>
      </c>
      <c r="X673" s="14">
        <v>80</v>
      </c>
    </row>
    <row r="674" spans="1:24" hidden="1" x14ac:dyDescent="0.3">
      <c r="A674" s="14" t="s">
        <v>398</v>
      </c>
      <c r="B674" s="14" t="s">
        <v>51</v>
      </c>
      <c r="C674" s="14" t="s">
        <v>375</v>
      </c>
      <c r="D674" s="14" t="s">
        <v>376</v>
      </c>
      <c r="E674" s="14" t="s">
        <v>342</v>
      </c>
      <c r="F674" s="14" t="s">
        <v>343</v>
      </c>
      <c r="G674" s="14" t="s">
        <v>343</v>
      </c>
      <c r="H674" s="14" t="s">
        <v>343</v>
      </c>
      <c r="U674" s="14">
        <v>0.27</v>
      </c>
      <c r="V674" s="14">
        <v>0.27</v>
      </c>
      <c r="W674" s="14">
        <v>0.36</v>
      </c>
      <c r="X674" s="14">
        <v>0.36</v>
      </c>
    </row>
    <row r="675" spans="1:24" hidden="1" x14ac:dyDescent="0.3">
      <c r="A675" s="14" t="s">
        <v>398</v>
      </c>
      <c r="B675" s="14" t="s">
        <v>51</v>
      </c>
      <c r="C675" s="14" t="s">
        <v>375</v>
      </c>
      <c r="D675" s="14" t="s">
        <v>376</v>
      </c>
      <c r="E675" s="14" t="s">
        <v>344</v>
      </c>
      <c r="F675" s="14" t="s">
        <v>343</v>
      </c>
      <c r="G675" s="14" t="s">
        <v>343</v>
      </c>
      <c r="H675" s="14" t="s">
        <v>343</v>
      </c>
      <c r="U675" s="14">
        <v>74</v>
      </c>
      <c r="V675" s="14">
        <v>80</v>
      </c>
      <c r="W675" s="14">
        <v>71</v>
      </c>
      <c r="X675" s="14">
        <v>75</v>
      </c>
    </row>
    <row r="676" spans="1:24" hidden="1" x14ac:dyDescent="0.3">
      <c r="A676" s="14" t="s">
        <v>399</v>
      </c>
      <c r="B676" s="14" t="s">
        <v>44</v>
      </c>
      <c r="C676" s="14" t="s">
        <v>340</v>
      </c>
      <c r="D676" s="14" t="s">
        <v>341</v>
      </c>
      <c r="E676" s="14" t="s">
        <v>342</v>
      </c>
      <c r="F676" s="14" t="s">
        <v>343</v>
      </c>
      <c r="G676" s="14" t="s">
        <v>343</v>
      </c>
      <c r="H676" s="14" t="s">
        <v>343</v>
      </c>
      <c r="J676" s="14">
        <v>0.98</v>
      </c>
      <c r="K676" s="14">
        <v>0.99</v>
      </c>
      <c r="L676" s="14">
        <v>0.99</v>
      </c>
      <c r="Q676" s="14">
        <v>1</v>
      </c>
      <c r="R676" s="14">
        <v>1</v>
      </c>
      <c r="S676" s="14">
        <v>1</v>
      </c>
      <c r="T676" s="14">
        <v>1</v>
      </c>
      <c r="U676" s="14">
        <v>1</v>
      </c>
      <c r="V676" s="14">
        <v>1</v>
      </c>
      <c r="W676" s="14">
        <v>1</v>
      </c>
      <c r="X676" s="14">
        <v>0.99</v>
      </c>
    </row>
    <row r="677" spans="1:24" hidden="1" x14ac:dyDescent="0.3">
      <c r="A677" s="14" t="s">
        <v>399</v>
      </c>
      <c r="B677" s="14" t="s">
        <v>44</v>
      </c>
      <c r="C677" s="14" t="s">
        <v>340</v>
      </c>
      <c r="D677" s="14" t="s">
        <v>341</v>
      </c>
      <c r="E677" s="14" t="s">
        <v>344</v>
      </c>
      <c r="F677" s="14" t="s">
        <v>343</v>
      </c>
      <c r="G677" s="14" t="s">
        <v>343</v>
      </c>
      <c r="H677" s="14" t="s">
        <v>343</v>
      </c>
      <c r="J677" s="14">
        <v>74</v>
      </c>
      <c r="K677" s="14">
        <v>72</v>
      </c>
      <c r="L677" s="14">
        <v>75</v>
      </c>
      <c r="Q677" s="14">
        <v>35</v>
      </c>
      <c r="R677" s="14">
        <v>33</v>
      </c>
      <c r="S677" s="14">
        <v>29</v>
      </c>
      <c r="T677" s="14">
        <v>35</v>
      </c>
      <c r="U677" s="14">
        <v>49</v>
      </c>
      <c r="V677" s="14">
        <v>39</v>
      </c>
      <c r="W677" s="14">
        <v>41</v>
      </c>
      <c r="X677" s="14">
        <v>77</v>
      </c>
    </row>
    <row r="678" spans="1:24" hidden="1" x14ac:dyDescent="0.3">
      <c r="A678" s="14" t="s">
        <v>399</v>
      </c>
      <c r="B678" s="14" t="s">
        <v>44</v>
      </c>
      <c r="C678" s="14" t="s">
        <v>345</v>
      </c>
      <c r="D678" s="14" t="s">
        <v>346</v>
      </c>
      <c r="E678" s="14" t="s">
        <v>342</v>
      </c>
      <c r="F678" s="14" t="s">
        <v>343</v>
      </c>
      <c r="G678" s="14" t="s">
        <v>343</v>
      </c>
      <c r="H678" s="14" t="s">
        <v>343</v>
      </c>
      <c r="U678" s="14">
        <v>0.62</v>
      </c>
      <c r="V678" s="14">
        <v>0.63</v>
      </c>
      <c r="W678" s="14">
        <v>0.61</v>
      </c>
      <c r="X678" s="14">
        <v>0.61</v>
      </c>
    </row>
    <row r="679" spans="1:24" hidden="1" x14ac:dyDescent="0.3">
      <c r="A679" s="14" t="s">
        <v>399</v>
      </c>
      <c r="B679" s="14" t="s">
        <v>44</v>
      </c>
      <c r="C679" s="14" t="s">
        <v>345</v>
      </c>
      <c r="D679" s="14" t="s">
        <v>346</v>
      </c>
      <c r="E679" s="14" t="s">
        <v>344</v>
      </c>
      <c r="F679" s="14" t="s">
        <v>343</v>
      </c>
      <c r="G679" s="14" t="s">
        <v>343</v>
      </c>
      <c r="H679" s="14" t="s">
        <v>343</v>
      </c>
      <c r="U679" s="14">
        <v>75</v>
      </c>
      <c r="V679" s="14">
        <v>68</v>
      </c>
      <c r="W679" s="14">
        <v>77</v>
      </c>
      <c r="X679" s="14">
        <v>89</v>
      </c>
    </row>
    <row r="680" spans="1:24" hidden="1" x14ac:dyDescent="0.3">
      <c r="A680" s="14" t="s">
        <v>399</v>
      </c>
      <c r="B680" s="14" t="s">
        <v>44</v>
      </c>
      <c r="C680" s="14" t="s">
        <v>347</v>
      </c>
      <c r="D680" s="14" t="s">
        <v>348</v>
      </c>
      <c r="E680" s="14" t="s">
        <v>342</v>
      </c>
      <c r="F680" s="14" t="s">
        <v>343</v>
      </c>
      <c r="G680" s="14" t="s">
        <v>343</v>
      </c>
      <c r="H680" s="14" t="s">
        <v>343</v>
      </c>
      <c r="U680" s="14">
        <v>0.93</v>
      </c>
      <c r="V680" s="14">
        <v>0.93</v>
      </c>
      <c r="W680" s="14">
        <v>0.9</v>
      </c>
      <c r="X680" s="14">
        <v>0.8</v>
      </c>
    </row>
    <row r="681" spans="1:24" hidden="1" x14ac:dyDescent="0.3">
      <c r="A681" s="14" t="s">
        <v>399</v>
      </c>
      <c r="B681" s="14" t="s">
        <v>44</v>
      </c>
      <c r="C681" s="14" t="s">
        <v>347</v>
      </c>
      <c r="D681" s="14" t="s">
        <v>348</v>
      </c>
      <c r="E681" s="14" t="s">
        <v>344</v>
      </c>
      <c r="F681" s="14" t="s">
        <v>343</v>
      </c>
      <c r="G681" s="14" t="s">
        <v>343</v>
      </c>
      <c r="H681" s="14" t="s">
        <v>343</v>
      </c>
      <c r="U681" s="14">
        <v>25</v>
      </c>
      <c r="V681" s="14">
        <v>23</v>
      </c>
      <c r="W681" s="14">
        <v>36</v>
      </c>
      <c r="X681" s="14">
        <v>63</v>
      </c>
    </row>
    <row r="682" spans="1:24" hidden="1" x14ac:dyDescent="0.3">
      <c r="A682" s="14" t="s">
        <v>399</v>
      </c>
      <c r="B682" s="14" t="s">
        <v>44</v>
      </c>
      <c r="C682" s="14" t="s">
        <v>349</v>
      </c>
      <c r="D682" s="14" t="s">
        <v>350</v>
      </c>
      <c r="E682" s="14" t="s">
        <v>342</v>
      </c>
      <c r="F682" s="14" t="s">
        <v>343</v>
      </c>
      <c r="G682" s="14" t="s">
        <v>343</v>
      </c>
      <c r="H682" s="14" t="s">
        <v>343</v>
      </c>
      <c r="U682" s="14">
        <v>0.91</v>
      </c>
      <c r="V682" s="14">
        <v>0.9</v>
      </c>
      <c r="W682" s="14">
        <v>0.96</v>
      </c>
      <c r="X682" s="14">
        <v>1</v>
      </c>
    </row>
    <row r="683" spans="1:24" hidden="1" x14ac:dyDescent="0.3">
      <c r="A683" s="14" t="s">
        <v>399</v>
      </c>
      <c r="B683" s="14" t="s">
        <v>44</v>
      </c>
      <c r="C683" s="14" t="s">
        <v>349</v>
      </c>
      <c r="D683" s="14" t="s">
        <v>350</v>
      </c>
      <c r="E683" s="14" t="s">
        <v>344</v>
      </c>
      <c r="F683" s="14" t="s">
        <v>343</v>
      </c>
      <c r="G683" s="14" t="s">
        <v>343</v>
      </c>
      <c r="H683" s="14" t="s">
        <v>343</v>
      </c>
      <c r="U683" s="14">
        <v>9</v>
      </c>
      <c r="V683" s="14">
        <v>10</v>
      </c>
      <c r="W683" s="14">
        <v>15</v>
      </c>
      <c r="X683" s="14">
        <v>1</v>
      </c>
    </row>
    <row r="684" spans="1:24" hidden="1" x14ac:dyDescent="0.3">
      <c r="A684" s="14" t="s">
        <v>399</v>
      </c>
      <c r="B684" s="14" t="s">
        <v>44</v>
      </c>
      <c r="C684" s="14" t="s">
        <v>351</v>
      </c>
      <c r="D684" s="14" t="s">
        <v>352</v>
      </c>
      <c r="E684" s="14" t="s">
        <v>342</v>
      </c>
      <c r="F684" s="14" t="s">
        <v>343</v>
      </c>
      <c r="G684" s="14" t="s">
        <v>343</v>
      </c>
      <c r="H684" s="14" t="s">
        <v>343</v>
      </c>
      <c r="U684" s="14">
        <v>1</v>
      </c>
      <c r="V684" s="14">
        <v>1</v>
      </c>
      <c r="W684" s="14">
        <v>1</v>
      </c>
      <c r="X684" s="14">
        <v>1</v>
      </c>
    </row>
    <row r="685" spans="1:24" hidden="1" x14ac:dyDescent="0.3">
      <c r="A685" s="14" t="s">
        <v>399</v>
      </c>
      <c r="B685" s="14" t="s">
        <v>44</v>
      </c>
      <c r="C685" s="14" t="s">
        <v>351</v>
      </c>
      <c r="D685" s="14" t="s">
        <v>352</v>
      </c>
      <c r="E685" s="14" t="s">
        <v>344</v>
      </c>
      <c r="F685" s="14" t="s">
        <v>343</v>
      </c>
      <c r="G685" s="14" t="s">
        <v>343</v>
      </c>
      <c r="H685" s="14" t="s">
        <v>343</v>
      </c>
      <c r="U685" s="14">
        <v>1</v>
      </c>
      <c r="V685" s="14">
        <v>1</v>
      </c>
      <c r="W685" s="14">
        <v>1</v>
      </c>
      <c r="X685" s="14">
        <v>1</v>
      </c>
    </row>
    <row r="686" spans="1:24" hidden="1" x14ac:dyDescent="0.3">
      <c r="A686" s="14" t="s">
        <v>399</v>
      </c>
      <c r="B686" s="14" t="s">
        <v>44</v>
      </c>
      <c r="C686" s="14" t="s">
        <v>353</v>
      </c>
      <c r="D686" s="14" t="s">
        <v>354</v>
      </c>
      <c r="E686" s="14" t="s">
        <v>342</v>
      </c>
      <c r="F686" s="14" t="s">
        <v>343</v>
      </c>
      <c r="G686" s="14" t="s">
        <v>343</v>
      </c>
      <c r="H686" s="14" t="s">
        <v>343</v>
      </c>
      <c r="U686" s="14">
        <v>1</v>
      </c>
      <c r="V686" s="14">
        <v>1</v>
      </c>
      <c r="W686" s="14">
        <v>1</v>
      </c>
      <c r="X686" s="14">
        <v>1</v>
      </c>
    </row>
    <row r="687" spans="1:24" hidden="1" x14ac:dyDescent="0.3">
      <c r="A687" s="14" t="s">
        <v>399</v>
      </c>
      <c r="B687" s="14" t="s">
        <v>44</v>
      </c>
      <c r="C687" s="14" t="s">
        <v>353</v>
      </c>
      <c r="D687" s="14" t="s">
        <v>354</v>
      </c>
      <c r="E687" s="14" t="s">
        <v>344</v>
      </c>
      <c r="F687" s="14" t="s">
        <v>343</v>
      </c>
      <c r="G687" s="14" t="s">
        <v>343</v>
      </c>
      <c r="H687" s="14" t="s">
        <v>343</v>
      </c>
      <c r="U687" s="14">
        <v>55</v>
      </c>
      <c r="V687" s="14">
        <v>52</v>
      </c>
      <c r="W687" s="14">
        <v>52</v>
      </c>
      <c r="X687" s="14">
        <v>1</v>
      </c>
    </row>
    <row r="688" spans="1:24" hidden="1" x14ac:dyDescent="0.3">
      <c r="A688" s="14" t="s">
        <v>399</v>
      </c>
      <c r="B688" s="14" t="s">
        <v>44</v>
      </c>
      <c r="C688" s="14" t="s">
        <v>380</v>
      </c>
      <c r="D688" s="14" t="s">
        <v>381</v>
      </c>
      <c r="E688" s="14" t="s">
        <v>342</v>
      </c>
      <c r="F688" s="14" t="s">
        <v>343</v>
      </c>
      <c r="G688" s="14" t="s">
        <v>343</v>
      </c>
      <c r="H688" s="14" t="s">
        <v>343</v>
      </c>
      <c r="U688" s="14">
        <v>1</v>
      </c>
      <c r="V688" s="14">
        <v>1</v>
      </c>
      <c r="W688" s="14">
        <v>1</v>
      </c>
      <c r="X688" s="14">
        <v>0.98</v>
      </c>
    </row>
    <row r="689" spans="1:24" hidden="1" x14ac:dyDescent="0.3">
      <c r="A689" s="14" t="s">
        <v>399</v>
      </c>
      <c r="B689" s="14" t="s">
        <v>44</v>
      </c>
      <c r="C689" s="14" t="s">
        <v>380</v>
      </c>
      <c r="D689" s="14" t="s">
        <v>381</v>
      </c>
      <c r="E689" s="14" t="s">
        <v>344</v>
      </c>
      <c r="F689" s="14" t="s">
        <v>343</v>
      </c>
      <c r="G689" s="14" t="s">
        <v>343</v>
      </c>
      <c r="H689" s="14" t="s">
        <v>343</v>
      </c>
      <c r="U689" s="14">
        <v>79</v>
      </c>
      <c r="V689" s="14">
        <v>85</v>
      </c>
      <c r="W689" s="14">
        <v>87</v>
      </c>
      <c r="X689" s="14">
        <v>101</v>
      </c>
    </row>
    <row r="690" spans="1:24" hidden="1" x14ac:dyDescent="0.3">
      <c r="A690" s="14" t="s">
        <v>399</v>
      </c>
      <c r="B690" s="14" t="s">
        <v>44</v>
      </c>
      <c r="C690" s="14" t="s">
        <v>355</v>
      </c>
      <c r="D690" s="14" t="s">
        <v>356</v>
      </c>
      <c r="E690" s="14" t="s">
        <v>342</v>
      </c>
      <c r="F690" s="14" t="s">
        <v>343</v>
      </c>
      <c r="G690" s="14" t="s">
        <v>343</v>
      </c>
      <c r="H690" s="14" t="s">
        <v>343</v>
      </c>
      <c r="U690" s="14">
        <v>1</v>
      </c>
      <c r="V690" s="14">
        <v>1</v>
      </c>
      <c r="W690" s="14">
        <v>1</v>
      </c>
      <c r="X690" s="14">
        <v>0.99</v>
      </c>
    </row>
    <row r="691" spans="1:24" hidden="1" x14ac:dyDescent="0.3">
      <c r="A691" s="14" t="s">
        <v>399</v>
      </c>
      <c r="B691" s="14" t="s">
        <v>44</v>
      </c>
      <c r="C691" s="14" t="s">
        <v>355</v>
      </c>
      <c r="D691" s="14" t="s">
        <v>356</v>
      </c>
      <c r="E691" s="14" t="s">
        <v>344</v>
      </c>
      <c r="F691" s="14" t="s">
        <v>343</v>
      </c>
      <c r="G691" s="14" t="s">
        <v>343</v>
      </c>
      <c r="H691" s="14" t="s">
        <v>343</v>
      </c>
      <c r="U691" s="14">
        <v>1</v>
      </c>
      <c r="V691" s="14">
        <v>1</v>
      </c>
      <c r="W691" s="14">
        <v>1</v>
      </c>
      <c r="X691" s="14">
        <v>87</v>
      </c>
    </row>
    <row r="692" spans="1:24" hidden="1" x14ac:dyDescent="0.3">
      <c r="A692" s="14" t="s">
        <v>399</v>
      </c>
      <c r="B692" s="14" t="s">
        <v>44</v>
      </c>
      <c r="C692" s="14" t="s">
        <v>357</v>
      </c>
      <c r="D692" s="14" t="s">
        <v>358</v>
      </c>
      <c r="E692" s="14" t="s">
        <v>342</v>
      </c>
      <c r="F692" s="14" t="s">
        <v>343</v>
      </c>
      <c r="G692" s="14" t="s">
        <v>343</v>
      </c>
      <c r="H692" s="14" t="s">
        <v>343</v>
      </c>
      <c r="U692" s="14">
        <v>1</v>
      </c>
      <c r="V692" s="14">
        <v>1</v>
      </c>
      <c r="W692" s="14">
        <v>1</v>
      </c>
      <c r="X692" s="14">
        <v>1</v>
      </c>
    </row>
    <row r="693" spans="1:24" hidden="1" x14ac:dyDescent="0.3">
      <c r="A693" s="14" t="s">
        <v>399</v>
      </c>
      <c r="B693" s="14" t="s">
        <v>44</v>
      </c>
      <c r="C693" s="14" t="s">
        <v>357</v>
      </c>
      <c r="D693" s="14" t="s">
        <v>358</v>
      </c>
      <c r="E693" s="14" t="s">
        <v>344</v>
      </c>
      <c r="F693" s="14" t="s">
        <v>343</v>
      </c>
      <c r="G693" s="14" t="s">
        <v>343</v>
      </c>
      <c r="H693" s="14" t="s">
        <v>343</v>
      </c>
      <c r="U693" s="14">
        <v>1</v>
      </c>
      <c r="V693" s="14">
        <v>1</v>
      </c>
      <c r="W693" s="14">
        <v>1</v>
      </c>
      <c r="X693" s="14">
        <v>1</v>
      </c>
    </row>
    <row r="694" spans="1:24" hidden="1" x14ac:dyDescent="0.3">
      <c r="A694" s="14" t="s">
        <v>399</v>
      </c>
      <c r="B694" s="14" t="s">
        <v>44</v>
      </c>
      <c r="C694" s="14" t="s">
        <v>359</v>
      </c>
      <c r="D694" s="14" t="s">
        <v>360</v>
      </c>
      <c r="E694" s="14" t="s">
        <v>342</v>
      </c>
      <c r="F694" s="14" t="s">
        <v>343</v>
      </c>
      <c r="G694" s="14" t="s">
        <v>343</v>
      </c>
      <c r="H694" s="14" t="s">
        <v>343</v>
      </c>
      <c r="J694" s="14">
        <v>0.73</v>
      </c>
      <c r="K694" s="14">
        <v>0.73</v>
      </c>
      <c r="L694" s="14">
        <v>0.73</v>
      </c>
      <c r="Q694" s="14">
        <v>0.82</v>
      </c>
      <c r="R694" s="14">
        <v>0.81</v>
      </c>
      <c r="S694" s="14">
        <v>0.82</v>
      </c>
      <c r="T694" s="14">
        <v>0.83</v>
      </c>
      <c r="U694" s="14">
        <v>0.84</v>
      </c>
      <c r="V694" s="14">
        <v>0.84</v>
      </c>
      <c r="W694" s="14">
        <v>0.84</v>
      </c>
      <c r="X694" s="14">
        <v>0.82</v>
      </c>
    </row>
    <row r="695" spans="1:24" hidden="1" x14ac:dyDescent="0.3">
      <c r="A695" s="14" t="s">
        <v>399</v>
      </c>
      <c r="B695" s="14" t="s">
        <v>44</v>
      </c>
      <c r="C695" s="14" t="s">
        <v>359</v>
      </c>
      <c r="D695" s="14" t="s">
        <v>360</v>
      </c>
      <c r="E695" s="14" t="s">
        <v>344</v>
      </c>
      <c r="F695" s="14" t="s">
        <v>343</v>
      </c>
      <c r="G695" s="14" t="s">
        <v>343</v>
      </c>
      <c r="H695" s="14" t="s">
        <v>343</v>
      </c>
      <c r="J695" s="14">
        <v>20</v>
      </c>
      <c r="K695" s="14">
        <v>26</v>
      </c>
      <c r="L695" s="14">
        <v>29</v>
      </c>
      <c r="Q695" s="14">
        <v>6</v>
      </c>
      <c r="R695" s="14">
        <v>10</v>
      </c>
      <c r="S695" s="14">
        <v>5</v>
      </c>
      <c r="T695" s="14">
        <v>5</v>
      </c>
      <c r="U695" s="14">
        <v>6</v>
      </c>
      <c r="V695" s="14">
        <v>5</v>
      </c>
      <c r="W695" s="14">
        <v>5</v>
      </c>
      <c r="X695" s="14">
        <v>4</v>
      </c>
    </row>
    <row r="696" spans="1:24" x14ac:dyDescent="0.3">
      <c r="A696" s="14" t="s">
        <v>399</v>
      </c>
      <c r="B696" s="14" t="s">
        <v>44</v>
      </c>
      <c r="C696" s="14" t="s">
        <v>361</v>
      </c>
      <c r="D696" s="14" t="s">
        <v>362</v>
      </c>
      <c r="E696" s="14" t="s">
        <v>342</v>
      </c>
      <c r="F696" s="14" t="s">
        <v>343</v>
      </c>
      <c r="G696" s="14" t="s">
        <v>343</v>
      </c>
      <c r="H696" s="14" t="s">
        <v>343</v>
      </c>
      <c r="J696" s="14">
        <v>0.98</v>
      </c>
      <c r="K696" s="14">
        <v>0.98</v>
      </c>
      <c r="L696" s="14">
        <v>0.98</v>
      </c>
      <c r="Q696" s="14">
        <v>0.98</v>
      </c>
      <c r="R696" s="14">
        <v>0.98</v>
      </c>
      <c r="S696" s="14">
        <v>0.98</v>
      </c>
      <c r="T696" s="14">
        <v>0.98</v>
      </c>
      <c r="U696" s="14">
        <v>0.98</v>
      </c>
      <c r="V696" s="14">
        <v>0.98</v>
      </c>
      <c r="W696" s="14">
        <v>0.98</v>
      </c>
      <c r="X696" s="14">
        <v>0.98</v>
      </c>
    </row>
    <row r="697" spans="1:24" hidden="1" x14ac:dyDescent="0.3">
      <c r="A697" s="14" t="s">
        <v>399</v>
      </c>
      <c r="B697" s="14" t="s">
        <v>44</v>
      </c>
      <c r="C697" s="14" t="s">
        <v>361</v>
      </c>
      <c r="D697" s="14" t="s">
        <v>362</v>
      </c>
      <c r="E697" s="14" t="s">
        <v>344</v>
      </c>
      <c r="F697" s="14" t="s">
        <v>343</v>
      </c>
      <c r="G697" s="14" t="s">
        <v>343</v>
      </c>
      <c r="H697" s="14" t="s">
        <v>343</v>
      </c>
      <c r="J697" s="14">
        <v>37</v>
      </c>
      <c r="K697" s="14">
        <v>38</v>
      </c>
      <c r="L697" s="14">
        <v>41</v>
      </c>
      <c r="Q697" s="14">
        <v>37</v>
      </c>
      <c r="R697" s="14">
        <v>42</v>
      </c>
      <c r="S697" s="14">
        <v>40</v>
      </c>
      <c r="T697" s="14">
        <v>45</v>
      </c>
      <c r="U697" s="14">
        <v>52</v>
      </c>
      <c r="V697" s="14">
        <v>58</v>
      </c>
      <c r="W697" s="14">
        <v>47</v>
      </c>
      <c r="X697" s="14">
        <v>44</v>
      </c>
    </row>
    <row r="698" spans="1:24" hidden="1" x14ac:dyDescent="0.3">
      <c r="A698" s="14" t="s">
        <v>399</v>
      </c>
      <c r="B698" s="14" t="s">
        <v>44</v>
      </c>
      <c r="C698" s="14" t="s">
        <v>363</v>
      </c>
      <c r="D698" s="14" t="s">
        <v>364</v>
      </c>
      <c r="E698" s="14" t="s">
        <v>342</v>
      </c>
      <c r="F698" s="14" t="s">
        <v>343</v>
      </c>
      <c r="G698" s="14" t="s">
        <v>343</v>
      </c>
      <c r="H698" s="14" t="s">
        <v>343</v>
      </c>
      <c r="U698" s="14">
        <v>1.06</v>
      </c>
      <c r="V698" s="14">
        <v>1.06</v>
      </c>
      <c r="W698" s="14">
        <v>1.06</v>
      </c>
      <c r="X698" s="14">
        <v>1.06</v>
      </c>
    </row>
    <row r="699" spans="1:24" hidden="1" x14ac:dyDescent="0.3">
      <c r="A699" s="14" t="s">
        <v>399</v>
      </c>
      <c r="B699" s="14" t="s">
        <v>44</v>
      </c>
      <c r="C699" s="14" t="s">
        <v>363</v>
      </c>
      <c r="D699" s="14" t="s">
        <v>364</v>
      </c>
      <c r="E699" s="14" t="s">
        <v>344</v>
      </c>
      <c r="F699" s="14" t="s">
        <v>343</v>
      </c>
      <c r="G699" s="14" t="s">
        <v>343</v>
      </c>
      <c r="H699" s="14" t="s">
        <v>343</v>
      </c>
      <c r="U699" s="14">
        <v>1</v>
      </c>
      <c r="V699" s="14">
        <v>1</v>
      </c>
      <c r="W699" s="14">
        <v>1</v>
      </c>
      <c r="X699" s="14">
        <v>1</v>
      </c>
    </row>
    <row r="700" spans="1:24" hidden="1" x14ac:dyDescent="0.3">
      <c r="A700" s="14" t="s">
        <v>399</v>
      </c>
      <c r="B700" s="14" t="s">
        <v>44</v>
      </c>
      <c r="C700" s="14" t="s">
        <v>365</v>
      </c>
      <c r="D700" s="14" t="s">
        <v>366</v>
      </c>
      <c r="E700" s="14" t="s">
        <v>342</v>
      </c>
      <c r="F700" s="14" t="s">
        <v>343</v>
      </c>
      <c r="G700" s="14" t="s">
        <v>343</v>
      </c>
      <c r="H700" s="14" t="s">
        <v>343</v>
      </c>
      <c r="U700" s="14">
        <v>0.94</v>
      </c>
      <c r="V700" s="14">
        <v>0.94</v>
      </c>
      <c r="W700" s="14">
        <v>0.94</v>
      </c>
      <c r="X700" s="14">
        <v>0.94</v>
      </c>
    </row>
    <row r="701" spans="1:24" hidden="1" x14ac:dyDescent="0.3">
      <c r="A701" s="14" t="s">
        <v>399</v>
      </c>
      <c r="B701" s="14" t="s">
        <v>44</v>
      </c>
      <c r="C701" s="14" t="s">
        <v>365</v>
      </c>
      <c r="D701" s="14" t="s">
        <v>366</v>
      </c>
      <c r="E701" s="14" t="s">
        <v>344</v>
      </c>
      <c r="F701" s="14" t="s">
        <v>343</v>
      </c>
      <c r="G701" s="14" t="s">
        <v>343</v>
      </c>
      <c r="H701" s="14" t="s">
        <v>343</v>
      </c>
      <c r="U701" s="14">
        <v>128</v>
      </c>
      <c r="V701" s="14">
        <v>126</v>
      </c>
      <c r="W701" s="14">
        <v>131</v>
      </c>
      <c r="X701" s="14">
        <v>126</v>
      </c>
    </row>
    <row r="702" spans="1:24" hidden="1" x14ac:dyDescent="0.3">
      <c r="A702" s="14" t="s">
        <v>399</v>
      </c>
      <c r="B702" s="14" t="s">
        <v>44</v>
      </c>
      <c r="C702" s="14" t="s">
        <v>367</v>
      </c>
      <c r="D702" s="14" t="s">
        <v>368</v>
      </c>
      <c r="E702" s="14" t="s">
        <v>342</v>
      </c>
      <c r="F702" s="14" t="s">
        <v>343</v>
      </c>
      <c r="G702" s="14" t="s">
        <v>343</v>
      </c>
      <c r="H702" s="14" t="s">
        <v>343</v>
      </c>
      <c r="J702" s="14">
        <v>0.71</v>
      </c>
      <c r="K702" s="14">
        <v>0.71</v>
      </c>
      <c r="L702" s="14">
        <v>0.71</v>
      </c>
      <c r="Q702" s="14">
        <v>0.73</v>
      </c>
      <c r="R702" s="14">
        <v>0.73</v>
      </c>
      <c r="S702" s="14">
        <v>0.74</v>
      </c>
      <c r="T702" s="14">
        <v>0.74</v>
      </c>
      <c r="U702" s="14">
        <v>0.75</v>
      </c>
      <c r="V702" s="14">
        <v>0.75</v>
      </c>
      <c r="W702" s="14">
        <v>0.76</v>
      </c>
      <c r="X702" s="14">
        <v>0.75</v>
      </c>
    </row>
    <row r="703" spans="1:24" hidden="1" x14ac:dyDescent="0.3">
      <c r="A703" s="14" t="s">
        <v>399</v>
      </c>
      <c r="B703" s="14" t="s">
        <v>44</v>
      </c>
      <c r="C703" s="14" t="s">
        <v>367</v>
      </c>
      <c r="D703" s="14" t="s">
        <v>368</v>
      </c>
      <c r="E703" s="14" t="s">
        <v>344</v>
      </c>
      <c r="F703" s="14" t="s">
        <v>343</v>
      </c>
      <c r="G703" s="14" t="s">
        <v>343</v>
      </c>
      <c r="H703" s="14" t="s">
        <v>343</v>
      </c>
      <c r="J703" s="14">
        <v>23</v>
      </c>
      <c r="K703" s="14">
        <v>33</v>
      </c>
      <c r="L703" s="14">
        <v>34</v>
      </c>
      <c r="Q703" s="14">
        <v>32</v>
      </c>
      <c r="R703" s="14">
        <v>34</v>
      </c>
      <c r="S703" s="14">
        <v>30</v>
      </c>
      <c r="T703" s="14">
        <v>26</v>
      </c>
      <c r="U703" s="14">
        <v>28</v>
      </c>
      <c r="V703" s="14">
        <v>29</v>
      </c>
      <c r="W703" s="14">
        <v>33</v>
      </c>
      <c r="X703" s="14">
        <v>36</v>
      </c>
    </row>
    <row r="704" spans="1:24" hidden="1" x14ac:dyDescent="0.3">
      <c r="A704" s="14" t="s">
        <v>399</v>
      </c>
      <c r="B704" s="14" t="s">
        <v>44</v>
      </c>
      <c r="C704" s="14" t="s">
        <v>369</v>
      </c>
      <c r="D704" s="14" t="s">
        <v>370</v>
      </c>
      <c r="E704" s="14" t="s">
        <v>342</v>
      </c>
      <c r="F704" s="14" t="s">
        <v>343</v>
      </c>
      <c r="G704" s="14" t="s">
        <v>343</v>
      </c>
      <c r="H704" s="14" t="s">
        <v>343</v>
      </c>
      <c r="J704" s="14">
        <v>0.15</v>
      </c>
      <c r="K704" s="14">
        <v>0.14000000000000001</v>
      </c>
      <c r="L704" s="14">
        <v>0.16</v>
      </c>
      <c r="Q704" s="14">
        <v>0.12</v>
      </c>
      <c r="R704" s="14">
        <v>0.15</v>
      </c>
      <c r="S704" s="14">
        <v>0.15</v>
      </c>
      <c r="T704" s="14">
        <v>0.17</v>
      </c>
      <c r="U704" s="14">
        <v>0.17</v>
      </c>
      <c r="V704" s="14">
        <v>0.17</v>
      </c>
      <c r="W704" s="14">
        <v>0.22</v>
      </c>
      <c r="X704" s="14">
        <v>0.22</v>
      </c>
    </row>
    <row r="705" spans="1:24" hidden="1" x14ac:dyDescent="0.3">
      <c r="A705" s="14" t="s">
        <v>399</v>
      </c>
      <c r="B705" s="14" t="s">
        <v>44</v>
      </c>
      <c r="C705" s="14" t="s">
        <v>369</v>
      </c>
      <c r="D705" s="14" t="s">
        <v>370</v>
      </c>
      <c r="E705" s="14" t="s">
        <v>344</v>
      </c>
      <c r="F705" s="14" t="s">
        <v>343</v>
      </c>
      <c r="G705" s="14" t="s">
        <v>343</v>
      </c>
      <c r="H705" s="14" t="s">
        <v>343</v>
      </c>
      <c r="J705" s="14">
        <v>39</v>
      </c>
      <c r="K705" s="14">
        <v>52</v>
      </c>
      <c r="L705" s="14">
        <v>46</v>
      </c>
      <c r="Q705" s="14">
        <v>89</v>
      </c>
      <c r="R705" s="14">
        <v>79</v>
      </c>
      <c r="S705" s="14">
        <v>80</v>
      </c>
      <c r="T705" s="14">
        <v>73</v>
      </c>
      <c r="U705" s="14">
        <v>74</v>
      </c>
      <c r="V705" s="14">
        <v>81</v>
      </c>
      <c r="W705" s="14">
        <v>66</v>
      </c>
      <c r="X705" s="14">
        <v>69</v>
      </c>
    </row>
    <row r="706" spans="1:24" hidden="1" x14ac:dyDescent="0.3">
      <c r="A706" s="14" t="s">
        <v>399</v>
      </c>
      <c r="B706" s="14" t="s">
        <v>44</v>
      </c>
      <c r="C706" s="14" t="s">
        <v>371</v>
      </c>
      <c r="D706" s="14" t="s">
        <v>372</v>
      </c>
      <c r="E706" s="14" t="s">
        <v>342</v>
      </c>
      <c r="F706" s="14" t="s">
        <v>343</v>
      </c>
      <c r="G706" s="14" t="s">
        <v>343</v>
      </c>
      <c r="H706" s="14" t="s">
        <v>343</v>
      </c>
      <c r="U706" s="14">
        <v>0</v>
      </c>
      <c r="V706" s="14">
        <v>0</v>
      </c>
      <c r="W706" s="14">
        <v>0</v>
      </c>
      <c r="X706" s="14">
        <v>0</v>
      </c>
    </row>
    <row r="707" spans="1:24" hidden="1" x14ac:dyDescent="0.3">
      <c r="A707" s="14" t="s">
        <v>399</v>
      </c>
      <c r="B707" s="14" t="s">
        <v>44</v>
      </c>
      <c r="C707" s="14" t="s">
        <v>371</v>
      </c>
      <c r="D707" s="14" t="s">
        <v>372</v>
      </c>
      <c r="E707" s="14" t="s">
        <v>344</v>
      </c>
      <c r="F707" s="14" t="s">
        <v>343</v>
      </c>
      <c r="G707" s="14" t="s">
        <v>343</v>
      </c>
      <c r="H707" s="14" t="s">
        <v>343</v>
      </c>
      <c r="U707" s="14">
        <v>71</v>
      </c>
      <c r="V707" s="14">
        <v>73</v>
      </c>
      <c r="W707" s="14">
        <v>76</v>
      </c>
      <c r="X707" s="14">
        <v>78</v>
      </c>
    </row>
    <row r="708" spans="1:24" hidden="1" x14ac:dyDescent="0.3">
      <c r="A708" s="14" t="s">
        <v>399</v>
      </c>
      <c r="B708" s="14" t="s">
        <v>44</v>
      </c>
      <c r="C708" s="14" t="s">
        <v>373</v>
      </c>
      <c r="D708" s="14" t="s">
        <v>374</v>
      </c>
      <c r="E708" s="14" t="s">
        <v>342</v>
      </c>
      <c r="F708" s="14" t="s">
        <v>343</v>
      </c>
      <c r="G708" s="14" t="s">
        <v>343</v>
      </c>
      <c r="H708" s="14" t="s">
        <v>343</v>
      </c>
      <c r="U708" s="14">
        <v>0.04</v>
      </c>
      <c r="V708" s="14">
        <v>0.04</v>
      </c>
      <c r="W708" s="14">
        <v>0.04</v>
      </c>
      <c r="X708" s="14">
        <v>0.04</v>
      </c>
    </row>
    <row r="709" spans="1:24" hidden="1" x14ac:dyDescent="0.3">
      <c r="A709" s="14" t="s">
        <v>399</v>
      </c>
      <c r="B709" s="14" t="s">
        <v>44</v>
      </c>
      <c r="C709" s="14" t="s">
        <v>373</v>
      </c>
      <c r="D709" s="14" t="s">
        <v>374</v>
      </c>
      <c r="E709" s="14" t="s">
        <v>344</v>
      </c>
      <c r="F709" s="14" t="s">
        <v>343</v>
      </c>
      <c r="G709" s="14" t="s">
        <v>343</v>
      </c>
      <c r="H709" s="14" t="s">
        <v>343</v>
      </c>
      <c r="U709" s="14">
        <v>142</v>
      </c>
      <c r="V709" s="14">
        <v>143</v>
      </c>
      <c r="W709" s="14">
        <v>146</v>
      </c>
      <c r="X709" s="14">
        <v>138</v>
      </c>
    </row>
    <row r="710" spans="1:24" hidden="1" x14ac:dyDescent="0.3">
      <c r="A710" s="14" t="s">
        <v>399</v>
      </c>
      <c r="B710" s="14" t="s">
        <v>44</v>
      </c>
      <c r="C710" s="14" t="s">
        <v>375</v>
      </c>
      <c r="D710" s="14" t="s">
        <v>376</v>
      </c>
      <c r="E710" s="14" t="s">
        <v>342</v>
      </c>
      <c r="F710" s="14" t="s">
        <v>343</v>
      </c>
      <c r="G710" s="14" t="s">
        <v>343</v>
      </c>
      <c r="H710" s="14" t="s">
        <v>343</v>
      </c>
      <c r="U710" s="14">
        <v>0.53</v>
      </c>
      <c r="V710" s="14">
        <v>0.53</v>
      </c>
      <c r="W710" s="14">
        <v>0.67</v>
      </c>
      <c r="X710" s="14">
        <v>0.67</v>
      </c>
    </row>
    <row r="711" spans="1:24" hidden="1" x14ac:dyDescent="0.3">
      <c r="A711" s="14" t="s">
        <v>399</v>
      </c>
      <c r="B711" s="14" t="s">
        <v>44</v>
      </c>
      <c r="C711" s="14" t="s">
        <v>375</v>
      </c>
      <c r="D711" s="14" t="s">
        <v>376</v>
      </c>
      <c r="E711" s="14" t="s">
        <v>344</v>
      </c>
      <c r="F711" s="14" t="s">
        <v>343</v>
      </c>
      <c r="G711" s="14" t="s">
        <v>343</v>
      </c>
      <c r="H711" s="14" t="s">
        <v>343</v>
      </c>
      <c r="U711" s="14">
        <v>29</v>
      </c>
      <c r="V711" s="14">
        <v>33</v>
      </c>
      <c r="W711" s="14">
        <v>20</v>
      </c>
      <c r="X711" s="14">
        <v>25</v>
      </c>
    </row>
    <row r="712" spans="1:24" hidden="1" x14ac:dyDescent="0.3">
      <c r="A712" s="14" t="s">
        <v>400</v>
      </c>
      <c r="B712" s="14" t="s">
        <v>46</v>
      </c>
      <c r="C712" s="14" t="s">
        <v>340</v>
      </c>
      <c r="D712" s="14" t="s">
        <v>341</v>
      </c>
      <c r="E712" s="14" t="s">
        <v>342</v>
      </c>
      <c r="F712" s="14" t="s">
        <v>343</v>
      </c>
      <c r="G712" s="14" t="s">
        <v>343</v>
      </c>
      <c r="H712" s="14" t="s">
        <v>343</v>
      </c>
      <c r="J712" s="14">
        <v>1</v>
      </c>
      <c r="K712" s="14">
        <v>1</v>
      </c>
      <c r="L712" s="14">
        <v>1</v>
      </c>
      <c r="M712" s="14">
        <v>1</v>
      </c>
      <c r="N712" s="14">
        <v>1</v>
      </c>
      <c r="O712" s="14">
        <v>0.96</v>
      </c>
      <c r="P712" s="14">
        <v>0.94</v>
      </c>
      <c r="Q712" s="14">
        <v>1</v>
      </c>
      <c r="R712" s="14">
        <v>0.99</v>
      </c>
      <c r="S712" s="14">
        <v>0.99</v>
      </c>
      <c r="T712" s="14">
        <v>0.99</v>
      </c>
      <c r="U712" s="14">
        <v>0.99</v>
      </c>
      <c r="V712" s="14">
        <v>0.99</v>
      </c>
      <c r="W712" s="14">
        <v>0.99</v>
      </c>
      <c r="X712" s="14">
        <v>1</v>
      </c>
    </row>
    <row r="713" spans="1:24" hidden="1" x14ac:dyDescent="0.3">
      <c r="A713" s="14" t="s">
        <v>400</v>
      </c>
      <c r="B713" s="14" t="s">
        <v>46</v>
      </c>
      <c r="C713" s="14" t="s">
        <v>340</v>
      </c>
      <c r="D713" s="14" t="s">
        <v>341</v>
      </c>
      <c r="E713" s="14" t="s">
        <v>344</v>
      </c>
      <c r="F713" s="14" t="s">
        <v>343</v>
      </c>
      <c r="G713" s="14" t="s">
        <v>343</v>
      </c>
      <c r="H713" s="14" t="s">
        <v>343</v>
      </c>
      <c r="J713" s="14">
        <v>1</v>
      </c>
      <c r="K713" s="14">
        <v>1</v>
      </c>
      <c r="L713" s="14">
        <v>35</v>
      </c>
      <c r="M713" s="14">
        <v>32</v>
      </c>
      <c r="N713" s="14">
        <v>1</v>
      </c>
      <c r="O713" s="14">
        <v>100</v>
      </c>
      <c r="P713" s="14">
        <v>103</v>
      </c>
      <c r="Q713" s="14">
        <v>1</v>
      </c>
      <c r="R713" s="14">
        <v>68</v>
      </c>
      <c r="S713" s="14">
        <v>75</v>
      </c>
      <c r="T713" s="14">
        <v>85</v>
      </c>
      <c r="U713" s="14">
        <v>85</v>
      </c>
      <c r="V713" s="14">
        <v>78</v>
      </c>
      <c r="W713" s="14">
        <v>81</v>
      </c>
      <c r="X713" s="14">
        <v>45</v>
      </c>
    </row>
    <row r="714" spans="1:24" hidden="1" x14ac:dyDescent="0.3">
      <c r="A714" s="14" t="s">
        <v>400</v>
      </c>
      <c r="B714" s="14" t="s">
        <v>46</v>
      </c>
      <c r="C714" s="14" t="s">
        <v>345</v>
      </c>
      <c r="D714" s="14" t="s">
        <v>346</v>
      </c>
      <c r="E714" s="14" t="s">
        <v>342</v>
      </c>
      <c r="F714" s="14" t="s">
        <v>343</v>
      </c>
      <c r="G714" s="14" t="s">
        <v>343</v>
      </c>
      <c r="H714" s="14" t="s">
        <v>343</v>
      </c>
      <c r="U714" s="14">
        <v>0.66</v>
      </c>
      <c r="V714" s="14">
        <v>0.61</v>
      </c>
      <c r="W714" s="14">
        <v>0.56000000000000005</v>
      </c>
      <c r="X714" s="14">
        <v>0.55000000000000004</v>
      </c>
    </row>
    <row r="715" spans="1:24" hidden="1" x14ac:dyDescent="0.3">
      <c r="A715" s="14" t="s">
        <v>400</v>
      </c>
      <c r="B715" s="14" t="s">
        <v>46</v>
      </c>
      <c r="C715" s="14" t="s">
        <v>345</v>
      </c>
      <c r="D715" s="14" t="s">
        <v>346</v>
      </c>
      <c r="E715" s="14" t="s">
        <v>344</v>
      </c>
      <c r="F715" s="14" t="s">
        <v>343</v>
      </c>
      <c r="G715" s="14" t="s">
        <v>343</v>
      </c>
      <c r="H715" s="14" t="s">
        <v>343</v>
      </c>
      <c r="U715" s="14">
        <v>52</v>
      </c>
      <c r="V715" s="14">
        <v>82</v>
      </c>
      <c r="W715" s="14">
        <v>102</v>
      </c>
      <c r="X715" s="14">
        <v>107</v>
      </c>
    </row>
    <row r="716" spans="1:24" hidden="1" x14ac:dyDescent="0.3">
      <c r="A716" s="14" t="s">
        <v>400</v>
      </c>
      <c r="B716" s="14" t="s">
        <v>46</v>
      </c>
      <c r="C716" s="14" t="s">
        <v>347</v>
      </c>
      <c r="D716" s="14" t="s">
        <v>348</v>
      </c>
      <c r="E716" s="14" t="s">
        <v>342</v>
      </c>
      <c r="F716" s="14" t="s">
        <v>343</v>
      </c>
      <c r="G716" s="14" t="s">
        <v>343</v>
      </c>
      <c r="H716" s="14" t="s">
        <v>343</v>
      </c>
      <c r="U716" s="14">
        <v>0.66</v>
      </c>
      <c r="V716" s="14">
        <v>0.66</v>
      </c>
      <c r="W716" s="14">
        <v>0.62</v>
      </c>
      <c r="X716" s="14">
        <v>0.61</v>
      </c>
    </row>
    <row r="717" spans="1:24" hidden="1" x14ac:dyDescent="0.3">
      <c r="A717" s="14" t="s">
        <v>400</v>
      </c>
      <c r="B717" s="14" t="s">
        <v>46</v>
      </c>
      <c r="C717" s="14" t="s">
        <v>347</v>
      </c>
      <c r="D717" s="14" t="s">
        <v>348</v>
      </c>
      <c r="E717" s="14" t="s">
        <v>344</v>
      </c>
      <c r="F717" s="14" t="s">
        <v>343</v>
      </c>
      <c r="G717" s="14" t="s">
        <v>343</v>
      </c>
      <c r="H717" s="14" t="s">
        <v>343</v>
      </c>
      <c r="U717" s="14">
        <v>107</v>
      </c>
      <c r="V717" s="14">
        <v>110</v>
      </c>
      <c r="W717" s="14">
        <v>122</v>
      </c>
      <c r="X717" s="14">
        <v>115</v>
      </c>
    </row>
    <row r="718" spans="1:24" hidden="1" x14ac:dyDescent="0.3">
      <c r="A718" s="14" t="s">
        <v>400</v>
      </c>
      <c r="B718" s="14" t="s">
        <v>46</v>
      </c>
      <c r="C718" s="14" t="s">
        <v>349</v>
      </c>
      <c r="D718" s="14" t="s">
        <v>350</v>
      </c>
      <c r="E718" s="14" t="s">
        <v>342</v>
      </c>
      <c r="F718" s="14" t="s">
        <v>343</v>
      </c>
      <c r="G718" s="14" t="s">
        <v>343</v>
      </c>
      <c r="H718" s="14" t="s">
        <v>343</v>
      </c>
      <c r="U718" s="14">
        <v>0.33</v>
      </c>
      <c r="V718" s="14">
        <v>0.63</v>
      </c>
      <c r="W718" s="14">
        <v>1</v>
      </c>
      <c r="X718" s="14">
        <v>1</v>
      </c>
    </row>
    <row r="719" spans="1:24" hidden="1" x14ac:dyDescent="0.3">
      <c r="A719" s="14" t="s">
        <v>400</v>
      </c>
      <c r="B719" s="14" t="s">
        <v>46</v>
      </c>
      <c r="C719" s="14" t="s">
        <v>349</v>
      </c>
      <c r="D719" s="14" t="s">
        <v>350</v>
      </c>
      <c r="E719" s="14" t="s">
        <v>344</v>
      </c>
      <c r="F719" s="14" t="s">
        <v>343</v>
      </c>
      <c r="G719" s="14" t="s">
        <v>343</v>
      </c>
      <c r="H719" s="14" t="s">
        <v>343</v>
      </c>
      <c r="U719" s="14">
        <v>99</v>
      </c>
      <c r="V719" s="14">
        <v>32</v>
      </c>
      <c r="W719" s="14">
        <v>1</v>
      </c>
      <c r="X719" s="14">
        <v>1</v>
      </c>
    </row>
    <row r="720" spans="1:24" hidden="1" x14ac:dyDescent="0.3">
      <c r="A720" s="14" t="s">
        <v>400</v>
      </c>
      <c r="B720" s="14" t="s">
        <v>46</v>
      </c>
      <c r="C720" s="14" t="s">
        <v>351</v>
      </c>
      <c r="D720" s="14" t="s">
        <v>352</v>
      </c>
      <c r="E720" s="14" t="s">
        <v>342</v>
      </c>
      <c r="F720" s="14" t="s">
        <v>343</v>
      </c>
      <c r="G720" s="14" t="s">
        <v>343</v>
      </c>
      <c r="H720" s="14" t="s">
        <v>343</v>
      </c>
      <c r="U720" s="14">
        <v>1</v>
      </c>
      <c r="V720" s="14">
        <v>0.9</v>
      </c>
      <c r="W720" s="14">
        <v>0.99</v>
      </c>
      <c r="X720" s="14">
        <v>0.91</v>
      </c>
    </row>
    <row r="721" spans="1:24" hidden="1" x14ac:dyDescent="0.3">
      <c r="A721" s="14" t="s">
        <v>400</v>
      </c>
      <c r="B721" s="14" t="s">
        <v>46</v>
      </c>
      <c r="C721" s="14" t="s">
        <v>351</v>
      </c>
      <c r="D721" s="14" t="s">
        <v>352</v>
      </c>
      <c r="E721" s="14" t="s">
        <v>344</v>
      </c>
      <c r="F721" s="14" t="s">
        <v>343</v>
      </c>
      <c r="G721" s="14" t="s">
        <v>343</v>
      </c>
      <c r="H721" s="14" t="s">
        <v>343</v>
      </c>
      <c r="U721" s="14">
        <v>1</v>
      </c>
      <c r="V721" s="14">
        <v>93</v>
      </c>
      <c r="W721" s="14">
        <v>78</v>
      </c>
      <c r="X721" s="14">
        <v>83</v>
      </c>
    </row>
    <row r="722" spans="1:24" hidden="1" x14ac:dyDescent="0.3">
      <c r="A722" s="14" t="s">
        <v>400</v>
      </c>
      <c r="B722" s="14" t="s">
        <v>46</v>
      </c>
      <c r="C722" s="14" t="s">
        <v>380</v>
      </c>
      <c r="D722" s="14" t="s">
        <v>381</v>
      </c>
      <c r="E722" s="14" t="s">
        <v>342</v>
      </c>
      <c r="F722" s="14" t="s">
        <v>343</v>
      </c>
      <c r="G722" s="14" t="s">
        <v>343</v>
      </c>
      <c r="H722" s="14" t="s">
        <v>343</v>
      </c>
      <c r="U722" s="14">
        <v>0.98</v>
      </c>
      <c r="V722" s="14">
        <v>0.98</v>
      </c>
      <c r="W722" s="14">
        <v>0.98</v>
      </c>
      <c r="X722" s="14">
        <v>1</v>
      </c>
    </row>
    <row r="723" spans="1:24" hidden="1" x14ac:dyDescent="0.3">
      <c r="A723" s="14" t="s">
        <v>400</v>
      </c>
      <c r="B723" s="14" t="s">
        <v>46</v>
      </c>
      <c r="C723" s="14" t="s">
        <v>380</v>
      </c>
      <c r="D723" s="14" t="s">
        <v>381</v>
      </c>
      <c r="E723" s="14" t="s">
        <v>344</v>
      </c>
      <c r="F723" s="14" t="s">
        <v>343</v>
      </c>
      <c r="G723" s="14" t="s">
        <v>343</v>
      </c>
      <c r="H723" s="14" t="s">
        <v>343</v>
      </c>
      <c r="U723" s="14">
        <v>114</v>
      </c>
      <c r="V723" s="14">
        <v>116</v>
      </c>
      <c r="W723" s="14">
        <v>116</v>
      </c>
      <c r="X723" s="14">
        <v>86</v>
      </c>
    </row>
    <row r="724" spans="1:24" hidden="1" x14ac:dyDescent="0.3">
      <c r="A724" s="14" t="s">
        <v>400</v>
      </c>
      <c r="B724" s="14" t="s">
        <v>46</v>
      </c>
      <c r="C724" s="14" t="s">
        <v>355</v>
      </c>
      <c r="D724" s="14" t="s">
        <v>356</v>
      </c>
      <c r="E724" s="14" t="s">
        <v>342</v>
      </c>
      <c r="F724" s="14" t="s">
        <v>343</v>
      </c>
      <c r="G724" s="14" t="s">
        <v>343</v>
      </c>
      <c r="H724" s="14" t="s">
        <v>343</v>
      </c>
      <c r="U724" s="14">
        <v>1</v>
      </c>
      <c r="V724" s="14">
        <v>1</v>
      </c>
      <c r="W724" s="14">
        <v>1</v>
      </c>
      <c r="X724" s="14">
        <v>1</v>
      </c>
    </row>
    <row r="725" spans="1:24" hidden="1" x14ac:dyDescent="0.3">
      <c r="A725" s="14" t="s">
        <v>400</v>
      </c>
      <c r="B725" s="14" t="s">
        <v>46</v>
      </c>
      <c r="C725" s="14" t="s">
        <v>355</v>
      </c>
      <c r="D725" s="14" t="s">
        <v>356</v>
      </c>
      <c r="E725" s="14" t="s">
        <v>344</v>
      </c>
      <c r="F725" s="14" t="s">
        <v>343</v>
      </c>
      <c r="G725" s="14" t="s">
        <v>343</v>
      </c>
      <c r="H725" s="14" t="s">
        <v>343</v>
      </c>
      <c r="U725" s="14">
        <v>1</v>
      </c>
      <c r="V725" s="14">
        <v>1</v>
      </c>
      <c r="W725" s="14">
        <v>1</v>
      </c>
      <c r="X725" s="14">
        <v>1</v>
      </c>
    </row>
    <row r="726" spans="1:24" hidden="1" x14ac:dyDescent="0.3">
      <c r="A726" s="14" t="s">
        <v>400</v>
      </c>
      <c r="B726" s="14" t="s">
        <v>46</v>
      </c>
      <c r="C726" s="14" t="s">
        <v>357</v>
      </c>
      <c r="D726" s="14" t="s">
        <v>358</v>
      </c>
      <c r="E726" s="14" t="s">
        <v>342</v>
      </c>
      <c r="F726" s="14" t="s">
        <v>343</v>
      </c>
      <c r="G726" s="14" t="s">
        <v>343</v>
      </c>
      <c r="H726" s="14" t="s">
        <v>343</v>
      </c>
      <c r="U726" s="14">
        <v>1</v>
      </c>
      <c r="V726" s="14">
        <v>1</v>
      </c>
      <c r="W726" s="14">
        <v>1</v>
      </c>
      <c r="X726" s="14">
        <v>1</v>
      </c>
    </row>
    <row r="727" spans="1:24" hidden="1" x14ac:dyDescent="0.3">
      <c r="A727" s="14" t="s">
        <v>400</v>
      </c>
      <c r="B727" s="14" t="s">
        <v>46</v>
      </c>
      <c r="C727" s="14" t="s">
        <v>357</v>
      </c>
      <c r="D727" s="14" t="s">
        <v>358</v>
      </c>
      <c r="E727" s="14" t="s">
        <v>344</v>
      </c>
      <c r="F727" s="14" t="s">
        <v>343</v>
      </c>
      <c r="G727" s="14" t="s">
        <v>343</v>
      </c>
      <c r="H727" s="14" t="s">
        <v>343</v>
      </c>
      <c r="U727" s="14">
        <v>1</v>
      </c>
      <c r="V727" s="14">
        <v>1</v>
      </c>
      <c r="W727" s="14">
        <v>1</v>
      </c>
      <c r="X727" s="14">
        <v>1</v>
      </c>
    </row>
    <row r="728" spans="1:24" hidden="1" x14ac:dyDescent="0.3">
      <c r="A728" s="14" t="s">
        <v>400</v>
      </c>
      <c r="B728" s="14" t="s">
        <v>46</v>
      </c>
      <c r="C728" s="14" t="s">
        <v>359</v>
      </c>
      <c r="D728" s="14" t="s">
        <v>360</v>
      </c>
      <c r="E728" s="14" t="s">
        <v>342</v>
      </c>
      <c r="F728" s="14" t="s">
        <v>343</v>
      </c>
      <c r="G728" s="14" t="s">
        <v>343</v>
      </c>
      <c r="H728" s="14" t="s">
        <v>343</v>
      </c>
      <c r="J728" s="14">
        <v>0.55000000000000004</v>
      </c>
      <c r="K728" s="14">
        <v>0.61</v>
      </c>
      <c r="L728" s="14">
        <v>0.62</v>
      </c>
      <c r="M728" s="14">
        <v>0.64</v>
      </c>
      <c r="N728" s="14">
        <v>0.62</v>
      </c>
      <c r="O728" s="14">
        <v>0.64</v>
      </c>
      <c r="P728" s="14">
        <v>0.65</v>
      </c>
      <c r="Q728" s="14">
        <v>0.65</v>
      </c>
      <c r="R728" s="14">
        <v>0.65</v>
      </c>
      <c r="S728" s="14">
        <v>0.69</v>
      </c>
      <c r="T728" s="14">
        <v>0.77</v>
      </c>
      <c r="U728" s="14">
        <v>0.65</v>
      </c>
      <c r="V728" s="14">
        <v>0.68</v>
      </c>
      <c r="W728" s="14">
        <v>0.75</v>
      </c>
      <c r="X728" s="14">
        <v>0.73</v>
      </c>
    </row>
    <row r="729" spans="1:24" hidden="1" x14ac:dyDescent="0.3">
      <c r="A729" s="14" t="s">
        <v>400</v>
      </c>
      <c r="B729" s="14" t="s">
        <v>46</v>
      </c>
      <c r="C729" s="14" t="s">
        <v>359</v>
      </c>
      <c r="D729" s="14" t="s">
        <v>360</v>
      </c>
      <c r="E729" s="14" t="s">
        <v>344</v>
      </c>
      <c r="F729" s="14" t="s">
        <v>343</v>
      </c>
      <c r="G729" s="14" t="s">
        <v>343</v>
      </c>
      <c r="H729" s="14" t="s">
        <v>343</v>
      </c>
      <c r="J729" s="14">
        <v>96</v>
      </c>
      <c r="K729" s="14">
        <v>79</v>
      </c>
      <c r="L729" s="14">
        <v>79</v>
      </c>
      <c r="M729" s="14">
        <v>72</v>
      </c>
      <c r="N729" s="14">
        <v>81</v>
      </c>
      <c r="O729" s="14">
        <v>77</v>
      </c>
      <c r="P729" s="14">
        <v>80</v>
      </c>
      <c r="Q729" s="14">
        <v>79</v>
      </c>
      <c r="R729" s="14">
        <v>85</v>
      </c>
      <c r="S729" s="14">
        <v>59</v>
      </c>
      <c r="T729" s="14">
        <v>21</v>
      </c>
      <c r="U729" s="14">
        <v>90</v>
      </c>
      <c r="V729" s="14">
        <v>75</v>
      </c>
      <c r="W729" s="14">
        <v>34</v>
      </c>
      <c r="X729" s="14">
        <v>48</v>
      </c>
    </row>
    <row r="730" spans="1:24" x14ac:dyDescent="0.3">
      <c r="A730" s="14" t="s">
        <v>400</v>
      </c>
      <c r="B730" s="14" t="s">
        <v>46</v>
      </c>
      <c r="C730" s="14" t="s">
        <v>361</v>
      </c>
      <c r="D730" s="14" t="s">
        <v>362</v>
      </c>
      <c r="E730" s="14" t="s">
        <v>342</v>
      </c>
      <c r="F730" s="14" t="s">
        <v>343</v>
      </c>
      <c r="G730" s="14" t="s">
        <v>343</v>
      </c>
      <c r="H730" s="14" t="s">
        <v>343</v>
      </c>
      <c r="J730" s="14">
        <v>0.98</v>
      </c>
      <c r="K730" s="14">
        <v>0.98</v>
      </c>
      <c r="L730" s="14">
        <v>0.98</v>
      </c>
      <c r="M730" s="14">
        <v>0.98</v>
      </c>
      <c r="N730" s="14">
        <v>0.98</v>
      </c>
      <c r="O730" s="14">
        <v>0.98</v>
      </c>
      <c r="P730" s="14">
        <v>0.98</v>
      </c>
      <c r="Q730" s="14">
        <v>0.98</v>
      </c>
      <c r="R730" s="14">
        <v>0.98</v>
      </c>
      <c r="S730" s="14">
        <v>0.98</v>
      </c>
      <c r="T730" s="14">
        <v>0.98</v>
      </c>
      <c r="U730" s="14">
        <v>0.98</v>
      </c>
      <c r="V730" s="14">
        <v>0.98</v>
      </c>
      <c r="W730" s="14">
        <v>0.98</v>
      </c>
      <c r="X730" s="14">
        <v>0.98</v>
      </c>
    </row>
    <row r="731" spans="1:24" hidden="1" x14ac:dyDescent="0.3">
      <c r="A731" s="14" t="s">
        <v>400</v>
      </c>
      <c r="B731" s="14" t="s">
        <v>46</v>
      </c>
      <c r="C731" s="14" t="s">
        <v>361</v>
      </c>
      <c r="D731" s="14" t="s">
        <v>362</v>
      </c>
      <c r="E731" s="14" t="s">
        <v>344</v>
      </c>
      <c r="F731" s="14" t="s">
        <v>343</v>
      </c>
      <c r="G731" s="14" t="s">
        <v>343</v>
      </c>
      <c r="H731" s="14" t="s">
        <v>343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>
        <v>1</v>
      </c>
      <c r="P731" s="14">
        <v>1</v>
      </c>
      <c r="Q731" s="14">
        <v>1</v>
      </c>
      <c r="R731" s="14">
        <v>1</v>
      </c>
      <c r="S731" s="14">
        <v>1</v>
      </c>
      <c r="T731" s="14">
        <v>61</v>
      </c>
      <c r="U731" s="14">
        <v>1</v>
      </c>
      <c r="V731" s="14">
        <v>1</v>
      </c>
      <c r="W731" s="14">
        <v>31</v>
      </c>
      <c r="X731" s="14">
        <v>1</v>
      </c>
    </row>
    <row r="732" spans="1:24" hidden="1" x14ac:dyDescent="0.3">
      <c r="A732" s="14" t="s">
        <v>400</v>
      </c>
      <c r="B732" s="14" t="s">
        <v>46</v>
      </c>
      <c r="C732" s="14" t="s">
        <v>363</v>
      </c>
      <c r="D732" s="14" t="s">
        <v>364</v>
      </c>
      <c r="E732" s="14" t="s">
        <v>342</v>
      </c>
      <c r="F732" s="14" t="s">
        <v>343</v>
      </c>
      <c r="G732" s="14" t="s">
        <v>343</v>
      </c>
      <c r="H732" s="14" t="s">
        <v>343</v>
      </c>
      <c r="U732" s="14">
        <v>1.06</v>
      </c>
      <c r="V732" s="14">
        <v>1.06</v>
      </c>
      <c r="W732" s="14">
        <v>1.06</v>
      </c>
      <c r="X732" s="14">
        <v>1.06</v>
      </c>
    </row>
    <row r="733" spans="1:24" hidden="1" x14ac:dyDescent="0.3">
      <c r="A733" s="14" t="s">
        <v>400</v>
      </c>
      <c r="B733" s="14" t="s">
        <v>46</v>
      </c>
      <c r="C733" s="14" t="s">
        <v>363</v>
      </c>
      <c r="D733" s="14" t="s">
        <v>364</v>
      </c>
      <c r="E733" s="14" t="s">
        <v>344</v>
      </c>
      <c r="F733" s="14" t="s">
        <v>343</v>
      </c>
      <c r="G733" s="14" t="s">
        <v>343</v>
      </c>
      <c r="H733" s="14" t="s">
        <v>343</v>
      </c>
      <c r="U733" s="14">
        <v>1</v>
      </c>
      <c r="V733" s="14">
        <v>1</v>
      </c>
      <c r="W733" s="14">
        <v>42</v>
      </c>
      <c r="X733" s="14">
        <v>1</v>
      </c>
    </row>
    <row r="734" spans="1:24" hidden="1" x14ac:dyDescent="0.3">
      <c r="A734" s="14" t="s">
        <v>400</v>
      </c>
      <c r="B734" s="14" t="s">
        <v>46</v>
      </c>
      <c r="C734" s="14" t="s">
        <v>365</v>
      </c>
      <c r="D734" s="14" t="s">
        <v>366</v>
      </c>
      <c r="E734" s="14" t="s">
        <v>342</v>
      </c>
      <c r="F734" s="14" t="s">
        <v>343</v>
      </c>
      <c r="G734" s="14" t="s">
        <v>343</v>
      </c>
      <c r="H734" s="14" t="s">
        <v>343</v>
      </c>
      <c r="U734" s="14">
        <v>0.94</v>
      </c>
      <c r="V734" s="14">
        <v>0.94</v>
      </c>
      <c r="W734" s="14">
        <v>0.94</v>
      </c>
      <c r="X734" s="14">
        <v>0.94</v>
      </c>
    </row>
    <row r="735" spans="1:24" hidden="1" x14ac:dyDescent="0.3">
      <c r="A735" s="14" t="s">
        <v>400</v>
      </c>
      <c r="B735" s="14" t="s">
        <v>46</v>
      </c>
      <c r="C735" s="14" t="s">
        <v>365</v>
      </c>
      <c r="D735" s="14" t="s">
        <v>366</v>
      </c>
      <c r="E735" s="14" t="s">
        <v>344</v>
      </c>
      <c r="F735" s="14" t="s">
        <v>343</v>
      </c>
      <c r="G735" s="14" t="s">
        <v>343</v>
      </c>
      <c r="H735" s="14" t="s">
        <v>343</v>
      </c>
      <c r="U735" s="14">
        <v>1</v>
      </c>
      <c r="V735" s="14">
        <v>1</v>
      </c>
      <c r="W735" s="14">
        <v>1</v>
      </c>
      <c r="X735" s="14">
        <v>1</v>
      </c>
    </row>
    <row r="736" spans="1:24" hidden="1" x14ac:dyDescent="0.3">
      <c r="A736" s="14" t="s">
        <v>400</v>
      </c>
      <c r="B736" s="14" t="s">
        <v>46</v>
      </c>
      <c r="C736" s="14" t="s">
        <v>367</v>
      </c>
      <c r="D736" s="14" t="s">
        <v>368</v>
      </c>
      <c r="E736" s="14" t="s">
        <v>342</v>
      </c>
      <c r="F736" s="14" t="s">
        <v>343</v>
      </c>
      <c r="G736" s="14" t="s">
        <v>343</v>
      </c>
      <c r="H736" s="14" t="s">
        <v>343</v>
      </c>
      <c r="J736" s="14">
        <v>0.64</v>
      </c>
      <c r="K736" s="14">
        <v>0.66</v>
      </c>
      <c r="L736" s="14">
        <v>0.66</v>
      </c>
      <c r="M736" s="14">
        <v>0.65</v>
      </c>
      <c r="N736" s="14">
        <v>0.65</v>
      </c>
      <c r="O736" s="14">
        <v>0.65</v>
      </c>
      <c r="P736" s="14">
        <v>0.64</v>
      </c>
      <c r="Q736" s="14">
        <v>0.67</v>
      </c>
      <c r="R736" s="14">
        <v>0.67</v>
      </c>
      <c r="S736" s="14">
        <v>0.68</v>
      </c>
      <c r="T736" s="14">
        <v>0.69</v>
      </c>
      <c r="U736" s="14">
        <v>0.66</v>
      </c>
      <c r="V736" s="14">
        <v>0.67</v>
      </c>
      <c r="W736" s="14">
        <v>0.7</v>
      </c>
      <c r="X736" s="14">
        <v>0.7</v>
      </c>
    </row>
    <row r="737" spans="1:24" hidden="1" x14ac:dyDescent="0.3">
      <c r="A737" s="14" t="s">
        <v>400</v>
      </c>
      <c r="B737" s="14" t="s">
        <v>46</v>
      </c>
      <c r="C737" s="14" t="s">
        <v>367</v>
      </c>
      <c r="D737" s="14" t="s">
        <v>368</v>
      </c>
      <c r="E737" s="14" t="s">
        <v>344</v>
      </c>
      <c r="F737" s="14" t="s">
        <v>343</v>
      </c>
      <c r="G737" s="14" t="s">
        <v>343</v>
      </c>
      <c r="H737" s="14" t="s">
        <v>343</v>
      </c>
      <c r="J737" s="14">
        <v>94</v>
      </c>
      <c r="K737" s="14">
        <v>86</v>
      </c>
      <c r="L737" s="14">
        <v>87</v>
      </c>
      <c r="M737" s="14">
        <v>93</v>
      </c>
      <c r="N737" s="14">
        <v>100</v>
      </c>
      <c r="O737" s="14">
        <v>102</v>
      </c>
      <c r="P737" s="14">
        <v>107</v>
      </c>
      <c r="Q737" s="14">
        <v>100</v>
      </c>
      <c r="R737" s="14">
        <v>103</v>
      </c>
      <c r="S737" s="14">
        <v>98</v>
      </c>
      <c r="T737" s="14">
        <v>79</v>
      </c>
      <c r="U737" s="14">
        <v>111</v>
      </c>
      <c r="V737" s="14">
        <v>110</v>
      </c>
      <c r="W737" s="14">
        <v>90</v>
      </c>
      <c r="X737" s="14">
        <v>95</v>
      </c>
    </row>
    <row r="738" spans="1:24" hidden="1" x14ac:dyDescent="0.3">
      <c r="A738" s="14" t="s">
        <v>400</v>
      </c>
      <c r="B738" s="14" t="s">
        <v>46</v>
      </c>
      <c r="C738" s="14" t="s">
        <v>369</v>
      </c>
      <c r="D738" s="14" t="s">
        <v>370</v>
      </c>
      <c r="E738" s="14" t="s">
        <v>342</v>
      </c>
      <c r="F738" s="14" t="s">
        <v>343</v>
      </c>
      <c r="G738" s="14" t="s">
        <v>343</v>
      </c>
      <c r="H738" s="14" t="s">
        <v>343</v>
      </c>
      <c r="J738" s="14">
        <v>0.04</v>
      </c>
      <c r="K738" s="14">
        <v>0.05</v>
      </c>
      <c r="L738" s="14">
        <v>0.05</v>
      </c>
      <c r="M738" s="14">
        <v>0</v>
      </c>
      <c r="N738" s="14">
        <v>0</v>
      </c>
      <c r="O738" s="14">
        <v>0.01</v>
      </c>
      <c r="P738" s="14">
        <v>0.01</v>
      </c>
      <c r="Q738" s="14">
        <v>0.05</v>
      </c>
      <c r="R738" s="14">
        <v>0.05</v>
      </c>
      <c r="S738" s="14">
        <v>0.05</v>
      </c>
      <c r="T738" s="14">
        <v>0.03</v>
      </c>
      <c r="U738" s="14">
        <v>0.03</v>
      </c>
      <c r="V738" s="14">
        <v>0.03</v>
      </c>
      <c r="W738" s="14">
        <v>0.08</v>
      </c>
      <c r="X738" s="14">
        <v>0.08</v>
      </c>
    </row>
    <row r="739" spans="1:24" hidden="1" x14ac:dyDescent="0.3">
      <c r="A739" s="14" t="s">
        <v>400</v>
      </c>
      <c r="B739" s="14" t="s">
        <v>46</v>
      </c>
      <c r="C739" s="14" t="s">
        <v>369</v>
      </c>
      <c r="D739" s="14" t="s">
        <v>370</v>
      </c>
      <c r="E739" s="14" t="s">
        <v>344</v>
      </c>
      <c r="F739" s="14" t="s">
        <v>343</v>
      </c>
      <c r="G739" s="14" t="s">
        <v>343</v>
      </c>
      <c r="H739" s="14" t="s">
        <v>343</v>
      </c>
      <c r="J739" s="14">
        <v>114</v>
      </c>
      <c r="K739" s="14">
        <v>116</v>
      </c>
      <c r="L739" s="14">
        <v>121</v>
      </c>
      <c r="M739" s="14">
        <v>131</v>
      </c>
      <c r="N739" s="14">
        <v>132</v>
      </c>
      <c r="O739" s="14">
        <v>131</v>
      </c>
      <c r="P739" s="14">
        <v>133</v>
      </c>
      <c r="Q739" s="14">
        <v>133</v>
      </c>
      <c r="R739" s="14">
        <v>135</v>
      </c>
      <c r="S739" s="14">
        <v>135</v>
      </c>
      <c r="T739" s="14">
        <v>139</v>
      </c>
      <c r="U739" s="14">
        <v>144</v>
      </c>
      <c r="V739" s="14">
        <v>147</v>
      </c>
      <c r="W739" s="14">
        <v>140</v>
      </c>
      <c r="X739" s="14">
        <v>133</v>
      </c>
    </row>
    <row r="740" spans="1:24" hidden="1" x14ac:dyDescent="0.3">
      <c r="A740" s="14" t="s">
        <v>400</v>
      </c>
      <c r="B740" s="14" t="s">
        <v>46</v>
      </c>
      <c r="C740" s="14" t="s">
        <v>371</v>
      </c>
      <c r="D740" s="14" t="s">
        <v>372</v>
      </c>
      <c r="E740" s="14" t="s">
        <v>342</v>
      </c>
      <c r="F740" s="14" t="s">
        <v>343</v>
      </c>
      <c r="G740" s="14" t="s">
        <v>343</v>
      </c>
      <c r="H740" s="14" t="s">
        <v>343</v>
      </c>
      <c r="U740" s="14">
        <v>0</v>
      </c>
      <c r="V740" s="14">
        <v>0</v>
      </c>
      <c r="W740" s="14">
        <v>0</v>
      </c>
      <c r="X740" s="14">
        <v>0</v>
      </c>
    </row>
    <row r="741" spans="1:24" hidden="1" x14ac:dyDescent="0.3">
      <c r="A741" s="14" t="s">
        <v>400</v>
      </c>
      <c r="B741" s="14" t="s">
        <v>46</v>
      </c>
      <c r="C741" s="14" t="s">
        <v>371</v>
      </c>
      <c r="D741" s="14" t="s">
        <v>372</v>
      </c>
      <c r="E741" s="14" t="s">
        <v>344</v>
      </c>
      <c r="F741" s="14" t="s">
        <v>343</v>
      </c>
      <c r="G741" s="14" t="s">
        <v>343</v>
      </c>
      <c r="H741" s="14" t="s">
        <v>343</v>
      </c>
      <c r="U741" s="14">
        <v>71</v>
      </c>
      <c r="V741" s="14">
        <v>73</v>
      </c>
      <c r="W741" s="14">
        <v>76</v>
      </c>
      <c r="X741" s="14">
        <v>78</v>
      </c>
    </row>
    <row r="742" spans="1:24" hidden="1" x14ac:dyDescent="0.3">
      <c r="A742" s="14" t="s">
        <v>400</v>
      </c>
      <c r="B742" s="14" t="s">
        <v>46</v>
      </c>
      <c r="C742" s="14" t="s">
        <v>373</v>
      </c>
      <c r="D742" s="14" t="s">
        <v>374</v>
      </c>
      <c r="E742" s="14" t="s">
        <v>342</v>
      </c>
      <c r="F742" s="14" t="s">
        <v>343</v>
      </c>
      <c r="G742" s="14" t="s">
        <v>343</v>
      </c>
      <c r="H742" s="14" t="s">
        <v>343</v>
      </c>
      <c r="U742" s="14">
        <v>0</v>
      </c>
      <c r="V742" s="14">
        <v>0</v>
      </c>
      <c r="W742" s="14">
        <v>0.12</v>
      </c>
      <c r="X742" s="14">
        <v>0.12</v>
      </c>
    </row>
    <row r="743" spans="1:24" hidden="1" x14ac:dyDescent="0.3">
      <c r="A743" s="14" t="s">
        <v>400</v>
      </c>
      <c r="B743" s="14" t="s">
        <v>46</v>
      </c>
      <c r="C743" s="14" t="s">
        <v>373</v>
      </c>
      <c r="D743" s="14" t="s">
        <v>374</v>
      </c>
      <c r="E743" s="14" t="s">
        <v>344</v>
      </c>
      <c r="F743" s="14" t="s">
        <v>343</v>
      </c>
      <c r="G743" s="14" t="s">
        <v>343</v>
      </c>
      <c r="H743" s="14" t="s">
        <v>343</v>
      </c>
      <c r="U743" s="14">
        <v>144</v>
      </c>
      <c r="V743" s="14">
        <v>145</v>
      </c>
      <c r="W743" s="14">
        <v>118</v>
      </c>
      <c r="X743" s="14">
        <v>113</v>
      </c>
    </row>
    <row r="744" spans="1:24" hidden="1" x14ac:dyDescent="0.3">
      <c r="A744" s="14" t="s">
        <v>400</v>
      </c>
      <c r="B744" s="14" t="s">
        <v>46</v>
      </c>
      <c r="C744" s="14" t="s">
        <v>375</v>
      </c>
      <c r="D744" s="14" t="s">
        <v>376</v>
      </c>
      <c r="E744" s="14" t="s">
        <v>342</v>
      </c>
      <c r="F744" s="14" t="s">
        <v>343</v>
      </c>
      <c r="G744" s="14" t="s">
        <v>343</v>
      </c>
      <c r="H744" s="14" t="s">
        <v>343</v>
      </c>
      <c r="U744" s="14">
        <v>0.1</v>
      </c>
      <c r="V744" s="14">
        <v>0.1</v>
      </c>
      <c r="W744" s="14">
        <v>0.14000000000000001</v>
      </c>
      <c r="X744" s="14">
        <v>0.14000000000000001</v>
      </c>
    </row>
    <row r="745" spans="1:24" hidden="1" x14ac:dyDescent="0.3">
      <c r="A745" s="14" t="s">
        <v>400</v>
      </c>
      <c r="B745" s="14" t="s">
        <v>46</v>
      </c>
      <c r="C745" s="14" t="s">
        <v>375</v>
      </c>
      <c r="D745" s="14" t="s">
        <v>376</v>
      </c>
      <c r="E745" s="14" t="s">
        <v>344</v>
      </c>
      <c r="F745" s="14" t="s">
        <v>343</v>
      </c>
      <c r="G745" s="14" t="s">
        <v>343</v>
      </c>
      <c r="H745" s="14" t="s">
        <v>343</v>
      </c>
      <c r="U745" s="14">
        <v>133</v>
      </c>
      <c r="V745" s="14">
        <v>140</v>
      </c>
      <c r="W745" s="14">
        <v>133</v>
      </c>
      <c r="X745" s="14">
        <v>126</v>
      </c>
    </row>
    <row r="746" spans="1:24" hidden="1" x14ac:dyDescent="0.3">
      <c r="A746" s="14" t="s">
        <v>401</v>
      </c>
      <c r="B746" s="14" t="s">
        <v>305</v>
      </c>
      <c r="C746" s="14" t="s">
        <v>340</v>
      </c>
      <c r="D746" s="14" t="s">
        <v>341</v>
      </c>
      <c r="E746" s="14" t="s">
        <v>342</v>
      </c>
      <c r="F746" s="14" t="s">
        <v>343</v>
      </c>
      <c r="G746" s="14" t="s">
        <v>343</v>
      </c>
      <c r="H746" s="14" t="s">
        <v>343</v>
      </c>
      <c r="I746" s="14">
        <v>0.92</v>
      </c>
      <c r="J746" s="14">
        <v>0.97</v>
      </c>
      <c r="K746" s="14">
        <v>0.97</v>
      </c>
      <c r="L746" s="14">
        <v>0.97</v>
      </c>
      <c r="M746" s="14">
        <v>0.96</v>
      </c>
      <c r="N746" s="14">
        <v>0.96</v>
      </c>
      <c r="O746" s="14">
        <v>0.96</v>
      </c>
      <c r="P746" s="14">
        <v>0.96</v>
      </c>
      <c r="Q746" s="14">
        <v>0.97</v>
      </c>
      <c r="R746" s="14">
        <v>0.97</v>
      </c>
      <c r="S746" s="14">
        <v>0.97</v>
      </c>
      <c r="T746" s="14">
        <v>0.96</v>
      </c>
      <c r="U746" s="14">
        <v>0.98</v>
      </c>
      <c r="V746" s="14">
        <v>0.98</v>
      </c>
      <c r="W746" s="14">
        <v>0.98</v>
      </c>
      <c r="X746" s="14">
        <v>0.98</v>
      </c>
    </row>
    <row r="747" spans="1:24" hidden="1" x14ac:dyDescent="0.3">
      <c r="A747" s="14" t="s">
        <v>401</v>
      </c>
      <c r="B747" s="14" t="s">
        <v>305</v>
      </c>
      <c r="C747" s="14" t="s">
        <v>340</v>
      </c>
      <c r="D747" s="14" t="s">
        <v>341</v>
      </c>
      <c r="E747" s="14" t="s">
        <v>344</v>
      </c>
      <c r="F747" s="14" t="s">
        <v>343</v>
      </c>
      <c r="G747" s="14" t="s">
        <v>343</v>
      </c>
      <c r="H747" s="14" t="s">
        <v>343</v>
      </c>
      <c r="I747" s="14">
        <v>89</v>
      </c>
      <c r="J747" s="14">
        <v>85</v>
      </c>
      <c r="K747" s="14">
        <v>90</v>
      </c>
      <c r="L747" s="14">
        <v>91</v>
      </c>
      <c r="M747" s="14">
        <v>97</v>
      </c>
      <c r="N747" s="14">
        <v>95</v>
      </c>
      <c r="O747" s="14">
        <v>98</v>
      </c>
      <c r="P747" s="14">
        <v>99</v>
      </c>
      <c r="Q747" s="14">
        <v>99</v>
      </c>
      <c r="R747" s="14">
        <v>101</v>
      </c>
      <c r="S747" s="14">
        <v>98</v>
      </c>
      <c r="T747" s="14">
        <v>108</v>
      </c>
      <c r="U747" s="14">
        <v>96</v>
      </c>
      <c r="V747" s="14">
        <v>96</v>
      </c>
      <c r="W747" s="14">
        <v>96</v>
      </c>
      <c r="X747" s="14">
        <v>91</v>
      </c>
    </row>
    <row r="748" spans="1:24" hidden="1" x14ac:dyDescent="0.3">
      <c r="A748" s="14" t="s">
        <v>401</v>
      </c>
      <c r="B748" s="14" t="s">
        <v>305</v>
      </c>
      <c r="C748" s="14" t="s">
        <v>345</v>
      </c>
      <c r="D748" s="14" t="s">
        <v>346</v>
      </c>
      <c r="E748" s="14" t="s">
        <v>342</v>
      </c>
      <c r="F748" s="14" t="s">
        <v>343</v>
      </c>
      <c r="G748" s="14" t="s">
        <v>343</v>
      </c>
      <c r="H748" s="14" t="s">
        <v>343</v>
      </c>
      <c r="U748" s="14">
        <v>0.63</v>
      </c>
      <c r="V748" s="14">
        <v>0.57999999999999996</v>
      </c>
      <c r="W748" s="14">
        <v>0.67</v>
      </c>
      <c r="X748" s="14">
        <v>0.73</v>
      </c>
    </row>
    <row r="749" spans="1:24" hidden="1" x14ac:dyDescent="0.3">
      <c r="A749" s="14" t="s">
        <v>401</v>
      </c>
      <c r="B749" s="14" t="s">
        <v>305</v>
      </c>
      <c r="C749" s="14" t="s">
        <v>345</v>
      </c>
      <c r="D749" s="14" t="s">
        <v>346</v>
      </c>
      <c r="E749" s="14" t="s">
        <v>344</v>
      </c>
      <c r="F749" s="14" t="s">
        <v>343</v>
      </c>
      <c r="G749" s="14" t="s">
        <v>343</v>
      </c>
      <c r="H749" s="14" t="s">
        <v>343</v>
      </c>
      <c r="U749" s="14">
        <v>67</v>
      </c>
      <c r="V749" s="14">
        <v>94</v>
      </c>
      <c r="W749" s="14">
        <v>53</v>
      </c>
      <c r="X749" s="14">
        <v>30</v>
      </c>
    </row>
    <row r="750" spans="1:24" hidden="1" x14ac:dyDescent="0.3">
      <c r="A750" s="14" t="s">
        <v>401</v>
      </c>
      <c r="B750" s="14" t="s">
        <v>305</v>
      </c>
      <c r="C750" s="14" t="s">
        <v>347</v>
      </c>
      <c r="D750" s="14" t="s">
        <v>348</v>
      </c>
      <c r="E750" s="14" t="s">
        <v>342</v>
      </c>
      <c r="F750" s="14" t="s">
        <v>343</v>
      </c>
      <c r="G750" s="14" t="s">
        <v>343</v>
      </c>
      <c r="H750" s="14" t="s">
        <v>343</v>
      </c>
      <c r="U750" s="14">
        <v>0.69</v>
      </c>
      <c r="V750" s="14">
        <v>0.72</v>
      </c>
      <c r="W750" s="14">
        <v>0.8</v>
      </c>
      <c r="X750" s="14">
        <v>0.82</v>
      </c>
    </row>
    <row r="751" spans="1:24" hidden="1" x14ac:dyDescent="0.3">
      <c r="A751" s="14" t="s">
        <v>401</v>
      </c>
      <c r="B751" s="14" t="s">
        <v>305</v>
      </c>
      <c r="C751" s="14" t="s">
        <v>347</v>
      </c>
      <c r="D751" s="14" t="s">
        <v>348</v>
      </c>
      <c r="E751" s="14" t="s">
        <v>344</v>
      </c>
      <c r="F751" s="14" t="s">
        <v>343</v>
      </c>
      <c r="G751" s="14" t="s">
        <v>343</v>
      </c>
      <c r="H751" s="14" t="s">
        <v>343</v>
      </c>
      <c r="U751" s="14">
        <v>99</v>
      </c>
      <c r="V751" s="14">
        <v>101</v>
      </c>
      <c r="W751" s="14">
        <v>84</v>
      </c>
      <c r="X751" s="14">
        <v>60</v>
      </c>
    </row>
    <row r="752" spans="1:24" hidden="1" x14ac:dyDescent="0.3">
      <c r="A752" s="14" t="s">
        <v>401</v>
      </c>
      <c r="B752" s="14" t="s">
        <v>305</v>
      </c>
      <c r="C752" s="14" t="s">
        <v>349</v>
      </c>
      <c r="D752" s="14" t="s">
        <v>350</v>
      </c>
      <c r="E752" s="14" t="s">
        <v>342</v>
      </c>
      <c r="F752" s="14" t="s">
        <v>343</v>
      </c>
      <c r="G752" s="14" t="s">
        <v>343</v>
      </c>
      <c r="H752" s="14" t="s">
        <v>343</v>
      </c>
      <c r="U752" s="14">
        <v>0.64</v>
      </c>
      <c r="V752" s="14">
        <v>0.64</v>
      </c>
      <c r="W752" s="14">
        <v>0.41</v>
      </c>
      <c r="X752" s="14">
        <v>0.43</v>
      </c>
    </row>
    <row r="753" spans="1:24" hidden="1" x14ac:dyDescent="0.3">
      <c r="A753" s="14" t="s">
        <v>401</v>
      </c>
      <c r="B753" s="14" t="s">
        <v>305</v>
      </c>
      <c r="C753" s="14" t="s">
        <v>349</v>
      </c>
      <c r="D753" s="14" t="s">
        <v>350</v>
      </c>
      <c r="E753" s="14" t="s">
        <v>344</v>
      </c>
      <c r="F753" s="14" t="s">
        <v>343</v>
      </c>
      <c r="G753" s="14" t="s">
        <v>343</v>
      </c>
      <c r="H753" s="14" t="s">
        <v>343</v>
      </c>
      <c r="U753" s="14">
        <v>33</v>
      </c>
      <c r="V753" s="14">
        <v>31</v>
      </c>
      <c r="W753" s="14">
        <v>95</v>
      </c>
      <c r="X753" s="14">
        <v>91</v>
      </c>
    </row>
    <row r="754" spans="1:24" hidden="1" x14ac:dyDescent="0.3">
      <c r="A754" s="14" t="s">
        <v>401</v>
      </c>
      <c r="B754" s="14" t="s">
        <v>305</v>
      </c>
      <c r="C754" s="14" t="s">
        <v>351</v>
      </c>
      <c r="D754" s="14" t="s">
        <v>352</v>
      </c>
      <c r="E754" s="14" t="s">
        <v>342</v>
      </c>
      <c r="F754" s="14" t="s">
        <v>343</v>
      </c>
      <c r="G754" s="14" t="s">
        <v>343</v>
      </c>
      <c r="H754" s="14" t="s">
        <v>343</v>
      </c>
      <c r="U754" s="14">
        <v>0.85</v>
      </c>
      <c r="V754" s="14">
        <v>0.88</v>
      </c>
      <c r="W754" s="14">
        <v>0.68</v>
      </c>
      <c r="X754" s="14">
        <v>0.85</v>
      </c>
    </row>
    <row r="755" spans="1:24" hidden="1" x14ac:dyDescent="0.3">
      <c r="A755" s="14" t="s">
        <v>401</v>
      </c>
      <c r="B755" s="14" t="s">
        <v>305</v>
      </c>
      <c r="C755" s="14" t="s">
        <v>351</v>
      </c>
      <c r="D755" s="14" t="s">
        <v>352</v>
      </c>
      <c r="E755" s="14" t="s">
        <v>344</v>
      </c>
      <c r="F755" s="14" t="s">
        <v>343</v>
      </c>
      <c r="G755" s="14" t="s">
        <v>343</v>
      </c>
      <c r="H755" s="14" t="s">
        <v>343</v>
      </c>
      <c r="U755" s="14">
        <v>94</v>
      </c>
      <c r="V755" s="14">
        <v>95</v>
      </c>
      <c r="W755" s="14">
        <v>109</v>
      </c>
      <c r="X755" s="14">
        <v>88</v>
      </c>
    </row>
    <row r="756" spans="1:24" hidden="1" x14ac:dyDescent="0.3">
      <c r="A756" s="14" t="s">
        <v>401</v>
      </c>
      <c r="B756" s="14" t="s">
        <v>305</v>
      </c>
      <c r="C756" s="14" t="s">
        <v>378</v>
      </c>
      <c r="D756" s="14" t="s">
        <v>379</v>
      </c>
      <c r="E756" s="14" t="s">
        <v>342</v>
      </c>
      <c r="F756" s="14" t="s">
        <v>343</v>
      </c>
      <c r="G756" s="14" t="s">
        <v>343</v>
      </c>
      <c r="H756" s="14" t="s">
        <v>343</v>
      </c>
      <c r="S756" s="14">
        <v>0.49</v>
      </c>
      <c r="U756" s="14">
        <v>0.5</v>
      </c>
      <c r="V756" s="14">
        <v>0.49</v>
      </c>
      <c r="W756" s="14">
        <v>0.47</v>
      </c>
      <c r="X756" s="14">
        <v>0.48</v>
      </c>
    </row>
    <row r="757" spans="1:24" hidden="1" x14ac:dyDescent="0.3">
      <c r="A757" s="14" t="s">
        <v>401</v>
      </c>
      <c r="B757" s="14" t="s">
        <v>305</v>
      </c>
      <c r="C757" s="14" t="s">
        <v>378</v>
      </c>
      <c r="D757" s="14" t="s">
        <v>379</v>
      </c>
      <c r="E757" s="14" t="s">
        <v>344</v>
      </c>
      <c r="F757" s="14" t="s">
        <v>343</v>
      </c>
      <c r="G757" s="14" t="s">
        <v>343</v>
      </c>
      <c r="H757" s="14" t="s">
        <v>343</v>
      </c>
      <c r="S757" s="14">
        <v>132</v>
      </c>
      <c r="U757" s="14">
        <v>130</v>
      </c>
      <c r="V757" s="14">
        <v>134</v>
      </c>
      <c r="W757" s="14">
        <v>137</v>
      </c>
      <c r="X757" s="14">
        <v>125</v>
      </c>
    </row>
    <row r="758" spans="1:24" hidden="1" x14ac:dyDescent="0.3">
      <c r="A758" s="14" t="s">
        <v>401</v>
      </c>
      <c r="B758" s="14" t="s">
        <v>305</v>
      </c>
      <c r="C758" s="14" t="s">
        <v>353</v>
      </c>
      <c r="D758" s="14" t="s">
        <v>354</v>
      </c>
      <c r="E758" s="14" t="s">
        <v>342</v>
      </c>
      <c r="F758" s="14" t="s">
        <v>343</v>
      </c>
      <c r="G758" s="14" t="s">
        <v>343</v>
      </c>
      <c r="H758" s="14" t="s">
        <v>343</v>
      </c>
      <c r="U758" s="14">
        <v>0.92</v>
      </c>
      <c r="V758" s="14">
        <v>0.92</v>
      </c>
      <c r="W758" s="14">
        <v>0.92</v>
      </c>
      <c r="X758" s="14">
        <v>0.93</v>
      </c>
    </row>
    <row r="759" spans="1:24" hidden="1" x14ac:dyDescent="0.3">
      <c r="A759" s="14" t="s">
        <v>401</v>
      </c>
      <c r="B759" s="14" t="s">
        <v>305</v>
      </c>
      <c r="C759" s="14" t="s">
        <v>353</v>
      </c>
      <c r="D759" s="14" t="s">
        <v>354</v>
      </c>
      <c r="E759" s="14" t="s">
        <v>344</v>
      </c>
      <c r="F759" s="14" t="s">
        <v>343</v>
      </c>
      <c r="G759" s="14" t="s">
        <v>343</v>
      </c>
      <c r="H759" s="14" t="s">
        <v>343</v>
      </c>
      <c r="U759" s="14">
        <v>100</v>
      </c>
      <c r="V759" s="14">
        <v>107</v>
      </c>
      <c r="W759" s="14">
        <v>108</v>
      </c>
      <c r="X759" s="14">
        <v>101</v>
      </c>
    </row>
    <row r="760" spans="1:24" hidden="1" x14ac:dyDescent="0.3">
      <c r="A760" s="14" t="s">
        <v>401</v>
      </c>
      <c r="B760" s="14" t="s">
        <v>305</v>
      </c>
      <c r="C760" s="14" t="s">
        <v>380</v>
      </c>
      <c r="D760" s="14" t="s">
        <v>381</v>
      </c>
      <c r="E760" s="14" t="s">
        <v>342</v>
      </c>
      <c r="F760" s="14" t="s">
        <v>343</v>
      </c>
      <c r="G760" s="14" t="s">
        <v>343</v>
      </c>
      <c r="H760" s="14" t="s">
        <v>343</v>
      </c>
      <c r="U760" s="14">
        <v>0.99</v>
      </c>
      <c r="V760" s="14">
        <v>1</v>
      </c>
      <c r="W760" s="14">
        <v>1</v>
      </c>
      <c r="X760" s="14">
        <v>1</v>
      </c>
    </row>
    <row r="761" spans="1:24" hidden="1" x14ac:dyDescent="0.3">
      <c r="A761" s="14" t="s">
        <v>401</v>
      </c>
      <c r="B761" s="14" t="s">
        <v>305</v>
      </c>
      <c r="C761" s="14" t="s">
        <v>380</v>
      </c>
      <c r="D761" s="14" t="s">
        <v>381</v>
      </c>
      <c r="E761" s="14" t="s">
        <v>344</v>
      </c>
      <c r="F761" s="14" t="s">
        <v>343</v>
      </c>
      <c r="G761" s="14" t="s">
        <v>343</v>
      </c>
      <c r="H761" s="14" t="s">
        <v>343</v>
      </c>
      <c r="U761" s="14">
        <v>105</v>
      </c>
      <c r="V761" s="14">
        <v>100</v>
      </c>
      <c r="W761" s="14">
        <v>90</v>
      </c>
      <c r="X761" s="14">
        <v>72</v>
      </c>
    </row>
    <row r="762" spans="1:24" hidden="1" x14ac:dyDescent="0.3">
      <c r="A762" s="14" t="s">
        <v>401</v>
      </c>
      <c r="B762" s="14" t="s">
        <v>305</v>
      </c>
      <c r="C762" s="14" t="s">
        <v>355</v>
      </c>
      <c r="D762" s="14" t="s">
        <v>356</v>
      </c>
      <c r="E762" s="14" t="s">
        <v>342</v>
      </c>
      <c r="F762" s="14" t="s">
        <v>343</v>
      </c>
      <c r="G762" s="14" t="s">
        <v>343</v>
      </c>
      <c r="H762" s="14" t="s">
        <v>343</v>
      </c>
      <c r="U762" s="14">
        <v>1</v>
      </c>
      <c r="V762" s="14">
        <v>1</v>
      </c>
      <c r="W762" s="14">
        <v>1</v>
      </c>
      <c r="X762" s="14">
        <v>0.98</v>
      </c>
    </row>
    <row r="763" spans="1:24" hidden="1" x14ac:dyDescent="0.3">
      <c r="A763" s="14" t="s">
        <v>401</v>
      </c>
      <c r="B763" s="14" t="s">
        <v>305</v>
      </c>
      <c r="C763" s="14" t="s">
        <v>355</v>
      </c>
      <c r="D763" s="14" t="s">
        <v>356</v>
      </c>
      <c r="E763" s="14" t="s">
        <v>344</v>
      </c>
      <c r="F763" s="14" t="s">
        <v>343</v>
      </c>
      <c r="G763" s="14" t="s">
        <v>343</v>
      </c>
      <c r="H763" s="14" t="s">
        <v>343</v>
      </c>
      <c r="U763" s="14">
        <v>1</v>
      </c>
      <c r="V763" s="14">
        <v>1</v>
      </c>
      <c r="W763" s="14">
        <v>1</v>
      </c>
      <c r="X763" s="14">
        <v>90</v>
      </c>
    </row>
    <row r="764" spans="1:24" hidden="1" x14ac:dyDescent="0.3">
      <c r="A764" s="14" t="s">
        <v>401</v>
      </c>
      <c r="B764" s="14" t="s">
        <v>305</v>
      </c>
      <c r="C764" s="14" t="s">
        <v>359</v>
      </c>
      <c r="D764" s="14" t="s">
        <v>360</v>
      </c>
      <c r="E764" s="14" t="s">
        <v>342</v>
      </c>
      <c r="F764" s="14" t="s">
        <v>343</v>
      </c>
      <c r="G764" s="14" t="s">
        <v>343</v>
      </c>
      <c r="H764" s="14" t="s">
        <v>343</v>
      </c>
      <c r="I764" s="14">
        <v>0.56000000000000005</v>
      </c>
      <c r="J764" s="14">
        <v>0.61</v>
      </c>
      <c r="K764" s="14">
        <v>0.57999999999999996</v>
      </c>
      <c r="L764" s="14">
        <v>0.59</v>
      </c>
      <c r="M764" s="14">
        <v>0.6</v>
      </c>
      <c r="N764" s="14">
        <v>0.64</v>
      </c>
      <c r="O764" s="14">
        <v>0.64</v>
      </c>
      <c r="P764" s="14">
        <v>0.68</v>
      </c>
      <c r="Q764" s="14">
        <v>0.64</v>
      </c>
      <c r="R764" s="14">
        <v>0.63</v>
      </c>
      <c r="S764" s="14">
        <v>0.62</v>
      </c>
      <c r="T764" s="14">
        <v>0.69</v>
      </c>
      <c r="U764" s="14">
        <v>0.63</v>
      </c>
      <c r="V764" s="14">
        <v>0.62</v>
      </c>
      <c r="W764" s="14">
        <v>0.6</v>
      </c>
      <c r="X764" s="14">
        <v>0.64</v>
      </c>
    </row>
    <row r="765" spans="1:24" hidden="1" x14ac:dyDescent="0.3">
      <c r="A765" s="14" t="s">
        <v>401</v>
      </c>
      <c r="B765" s="14" t="s">
        <v>305</v>
      </c>
      <c r="C765" s="14" t="s">
        <v>359</v>
      </c>
      <c r="D765" s="14" t="s">
        <v>360</v>
      </c>
      <c r="E765" s="14" t="s">
        <v>344</v>
      </c>
      <c r="F765" s="14" t="s">
        <v>343</v>
      </c>
      <c r="G765" s="14" t="s">
        <v>343</v>
      </c>
      <c r="H765" s="14" t="s">
        <v>343</v>
      </c>
      <c r="I765" s="14">
        <v>77</v>
      </c>
      <c r="J765" s="14">
        <v>77</v>
      </c>
      <c r="K765" s="14">
        <v>88</v>
      </c>
      <c r="L765" s="14">
        <v>94</v>
      </c>
      <c r="M765" s="14">
        <v>91</v>
      </c>
      <c r="N765" s="14">
        <v>72</v>
      </c>
      <c r="O765" s="14">
        <v>79</v>
      </c>
      <c r="P765" s="14">
        <v>57</v>
      </c>
      <c r="Q765" s="14">
        <v>92</v>
      </c>
      <c r="R765" s="14">
        <v>96</v>
      </c>
      <c r="S765" s="14">
        <v>98</v>
      </c>
      <c r="T765" s="14">
        <v>60</v>
      </c>
      <c r="U765" s="14">
        <v>95</v>
      </c>
      <c r="V765" s="14">
        <v>105</v>
      </c>
      <c r="W765" s="14">
        <v>121</v>
      </c>
      <c r="X765" s="14">
        <v>97</v>
      </c>
    </row>
    <row r="766" spans="1:24" x14ac:dyDescent="0.3">
      <c r="A766" s="14" t="s">
        <v>401</v>
      </c>
      <c r="B766" s="14" t="s">
        <v>305</v>
      </c>
      <c r="C766" s="14" t="s">
        <v>361</v>
      </c>
      <c r="D766" s="14" t="s">
        <v>362</v>
      </c>
      <c r="E766" s="14" t="s">
        <v>342</v>
      </c>
      <c r="F766" s="14" t="s">
        <v>343</v>
      </c>
      <c r="G766" s="14" t="s">
        <v>343</v>
      </c>
      <c r="H766" s="14" t="s">
        <v>343</v>
      </c>
      <c r="I766" s="14">
        <v>0.97</v>
      </c>
      <c r="J766" s="14">
        <v>0.97</v>
      </c>
      <c r="K766" s="14">
        <v>0.97</v>
      </c>
      <c r="L766" s="14">
        <v>0.97</v>
      </c>
      <c r="M766" s="14">
        <v>0.97</v>
      </c>
      <c r="N766" s="14">
        <v>0.97</v>
      </c>
      <c r="O766" s="14">
        <v>0.97</v>
      </c>
      <c r="P766" s="14">
        <v>0.97</v>
      </c>
      <c r="Q766" s="14">
        <v>0.98</v>
      </c>
      <c r="R766" s="14">
        <v>0.98</v>
      </c>
      <c r="S766" s="14">
        <v>0.98</v>
      </c>
      <c r="T766" s="14">
        <v>0.98</v>
      </c>
      <c r="U766" s="14">
        <v>0.98</v>
      </c>
      <c r="V766" s="14">
        <v>0.98</v>
      </c>
      <c r="W766" s="14">
        <v>0.96</v>
      </c>
      <c r="X766" s="14">
        <v>0.96</v>
      </c>
    </row>
    <row r="767" spans="1:24" hidden="1" x14ac:dyDescent="0.3">
      <c r="A767" s="14" t="s">
        <v>401</v>
      </c>
      <c r="B767" s="14" t="s">
        <v>305</v>
      </c>
      <c r="C767" s="14" t="s">
        <v>361</v>
      </c>
      <c r="D767" s="14" t="s">
        <v>362</v>
      </c>
      <c r="E767" s="14" t="s">
        <v>344</v>
      </c>
      <c r="F767" s="14" t="s">
        <v>343</v>
      </c>
      <c r="G767" s="14" t="s">
        <v>343</v>
      </c>
      <c r="H767" s="14" t="s">
        <v>343</v>
      </c>
      <c r="I767" s="14">
        <v>79</v>
      </c>
      <c r="J767" s="14">
        <v>107</v>
      </c>
      <c r="K767" s="14">
        <v>108</v>
      </c>
      <c r="L767" s="14">
        <v>112</v>
      </c>
      <c r="M767" s="14">
        <v>82</v>
      </c>
      <c r="N767" s="14">
        <v>84</v>
      </c>
      <c r="O767" s="14">
        <v>84</v>
      </c>
      <c r="P767" s="14">
        <v>84</v>
      </c>
      <c r="Q767" s="14">
        <v>56</v>
      </c>
      <c r="R767" s="14">
        <v>1</v>
      </c>
      <c r="S767" s="14">
        <v>1</v>
      </c>
      <c r="T767" s="14">
        <v>69</v>
      </c>
      <c r="U767" s="14">
        <v>51</v>
      </c>
      <c r="V767" s="14">
        <v>47</v>
      </c>
      <c r="W767" s="14">
        <v>137</v>
      </c>
      <c r="X767" s="14">
        <v>128</v>
      </c>
    </row>
    <row r="768" spans="1:24" hidden="1" x14ac:dyDescent="0.3">
      <c r="A768" s="14" t="s">
        <v>401</v>
      </c>
      <c r="B768" s="14" t="s">
        <v>305</v>
      </c>
      <c r="C768" s="14" t="s">
        <v>363</v>
      </c>
      <c r="D768" s="14" t="s">
        <v>364</v>
      </c>
      <c r="E768" s="14" t="s">
        <v>342</v>
      </c>
      <c r="F768" s="14" t="s">
        <v>343</v>
      </c>
      <c r="G768" s="14" t="s">
        <v>343</v>
      </c>
      <c r="H768" s="14" t="s">
        <v>343</v>
      </c>
      <c r="U768" s="14">
        <v>1.06</v>
      </c>
      <c r="V768" s="14">
        <v>1.06</v>
      </c>
      <c r="W768" s="14">
        <v>1</v>
      </c>
      <c r="X768" s="14">
        <v>1</v>
      </c>
    </row>
    <row r="769" spans="1:24" hidden="1" x14ac:dyDescent="0.3">
      <c r="A769" s="14" t="s">
        <v>401</v>
      </c>
      <c r="B769" s="14" t="s">
        <v>305</v>
      </c>
      <c r="C769" s="14" t="s">
        <v>363</v>
      </c>
      <c r="D769" s="14" t="s">
        <v>364</v>
      </c>
      <c r="E769" s="14" t="s">
        <v>344</v>
      </c>
      <c r="F769" s="14" t="s">
        <v>343</v>
      </c>
      <c r="G769" s="14" t="s">
        <v>343</v>
      </c>
      <c r="H769" s="14" t="s">
        <v>343</v>
      </c>
      <c r="U769" s="14">
        <v>62</v>
      </c>
      <c r="V769" s="14">
        <v>64</v>
      </c>
      <c r="W769" s="14">
        <v>146</v>
      </c>
      <c r="X769" s="14">
        <v>135</v>
      </c>
    </row>
    <row r="770" spans="1:24" hidden="1" x14ac:dyDescent="0.3">
      <c r="A770" s="14" t="s">
        <v>401</v>
      </c>
      <c r="B770" s="14" t="s">
        <v>305</v>
      </c>
      <c r="C770" s="14" t="s">
        <v>365</v>
      </c>
      <c r="D770" s="14" t="s">
        <v>366</v>
      </c>
      <c r="E770" s="14" t="s">
        <v>342</v>
      </c>
      <c r="F770" s="14" t="s">
        <v>343</v>
      </c>
      <c r="G770" s="14" t="s">
        <v>343</v>
      </c>
      <c r="H770" s="14" t="s">
        <v>343</v>
      </c>
      <c r="U770" s="14">
        <v>0.94</v>
      </c>
      <c r="V770" s="14">
        <v>0.94</v>
      </c>
      <c r="W770" s="14">
        <v>0.94</v>
      </c>
      <c r="X770" s="14">
        <v>0.94</v>
      </c>
    </row>
    <row r="771" spans="1:24" hidden="1" x14ac:dyDescent="0.3">
      <c r="A771" s="14" t="s">
        <v>401</v>
      </c>
      <c r="B771" s="14" t="s">
        <v>305</v>
      </c>
      <c r="C771" s="14" t="s">
        <v>365</v>
      </c>
      <c r="D771" s="14" t="s">
        <v>366</v>
      </c>
      <c r="E771" s="14" t="s">
        <v>344</v>
      </c>
      <c r="F771" s="14" t="s">
        <v>343</v>
      </c>
      <c r="G771" s="14" t="s">
        <v>343</v>
      </c>
      <c r="H771" s="14" t="s">
        <v>343</v>
      </c>
      <c r="U771" s="14">
        <v>1</v>
      </c>
      <c r="V771" s="14">
        <v>1</v>
      </c>
      <c r="W771" s="14">
        <v>1</v>
      </c>
      <c r="X771" s="14">
        <v>1</v>
      </c>
    </row>
    <row r="772" spans="1:24" hidden="1" x14ac:dyDescent="0.3">
      <c r="A772" s="14" t="s">
        <v>401</v>
      </c>
      <c r="B772" s="14" t="s">
        <v>305</v>
      </c>
      <c r="C772" s="14" t="s">
        <v>367</v>
      </c>
      <c r="D772" s="14" t="s">
        <v>368</v>
      </c>
      <c r="E772" s="14" t="s">
        <v>342</v>
      </c>
      <c r="F772" s="14" t="s">
        <v>343</v>
      </c>
      <c r="G772" s="14" t="s">
        <v>343</v>
      </c>
      <c r="H772" s="14" t="s">
        <v>343</v>
      </c>
      <c r="I772" s="14">
        <v>0.63</v>
      </c>
      <c r="J772" s="14">
        <v>0.66</v>
      </c>
      <c r="K772" s="14">
        <v>0.67</v>
      </c>
      <c r="L772" s="14">
        <v>0.67</v>
      </c>
      <c r="M772" s="14">
        <v>0.68</v>
      </c>
      <c r="N772" s="14">
        <v>0.69</v>
      </c>
      <c r="O772" s="14">
        <v>0.72</v>
      </c>
      <c r="P772" s="14">
        <v>0.73</v>
      </c>
      <c r="Q772" s="14">
        <v>0.7</v>
      </c>
      <c r="R772" s="14">
        <v>0.75</v>
      </c>
      <c r="S772" s="14">
        <v>0.75</v>
      </c>
      <c r="T772" s="14">
        <v>0.76</v>
      </c>
      <c r="U772" s="14">
        <v>0.75</v>
      </c>
      <c r="V772" s="14">
        <v>0.73</v>
      </c>
      <c r="W772" s="14">
        <v>0.72</v>
      </c>
      <c r="X772" s="14">
        <v>0.73</v>
      </c>
    </row>
    <row r="773" spans="1:24" hidden="1" x14ac:dyDescent="0.3">
      <c r="A773" s="14" t="s">
        <v>401</v>
      </c>
      <c r="B773" s="14" t="s">
        <v>305</v>
      </c>
      <c r="C773" s="14" t="s">
        <v>367</v>
      </c>
      <c r="D773" s="14" t="s">
        <v>368</v>
      </c>
      <c r="E773" s="14" t="s">
        <v>344</v>
      </c>
      <c r="F773" s="14" t="s">
        <v>343</v>
      </c>
      <c r="G773" s="14" t="s">
        <v>343</v>
      </c>
      <c r="H773" s="14" t="s">
        <v>343</v>
      </c>
      <c r="I773" s="14">
        <v>87</v>
      </c>
      <c r="J773" s="14">
        <v>80</v>
      </c>
      <c r="K773" s="14">
        <v>80</v>
      </c>
      <c r="L773" s="14">
        <v>82</v>
      </c>
      <c r="M773" s="14">
        <v>76</v>
      </c>
      <c r="N773" s="14">
        <v>62</v>
      </c>
      <c r="O773" s="14">
        <v>30</v>
      </c>
      <c r="P773" s="14">
        <v>27</v>
      </c>
      <c r="Q773" s="14">
        <v>58</v>
      </c>
      <c r="R773" s="14">
        <v>22</v>
      </c>
      <c r="S773" s="14">
        <v>23</v>
      </c>
      <c r="T773" s="14">
        <v>17</v>
      </c>
      <c r="U773" s="14">
        <v>25</v>
      </c>
      <c r="V773" s="14">
        <v>42</v>
      </c>
      <c r="W773" s="14">
        <v>61</v>
      </c>
      <c r="X773" s="14">
        <v>51</v>
      </c>
    </row>
    <row r="774" spans="1:24" hidden="1" x14ac:dyDescent="0.3">
      <c r="A774" s="14" t="s">
        <v>401</v>
      </c>
      <c r="B774" s="14" t="s">
        <v>305</v>
      </c>
      <c r="C774" s="14" t="s">
        <v>369</v>
      </c>
      <c r="D774" s="14" t="s">
        <v>370</v>
      </c>
      <c r="E774" s="14" t="s">
        <v>342</v>
      </c>
      <c r="F774" s="14" t="s">
        <v>343</v>
      </c>
      <c r="G774" s="14" t="s">
        <v>343</v>
      </c>
      <c r="H774" s="14" t="s">
        <v>343</v>
      </c>
      <c r="I774" s="14">
        <v>0.09</v>
      </c>
      <c r="J774" s="14">
        <v>0.09</v>
      </c>
      <c r="K774" s="14">
        <v>0.14000000000000001</v>
      </c>
      <c r="L774" s="14">
        <v>0.14000000000000001</v>
      </c>
      <c r="M774" s="14">
        <v>0.17</v>
      </c>
      <c r="N774" s="14">
        <v>0.17</v>
      </c>
      <c r="O774" s="14">
        <v>0.32</v>
      </c>
      <c r="P774" s="14">
        <v>0.32</v>
      </c>
      <c r="Q774" s="14">
        <v>0.24</v>
      </c>
      <c r="R774" s="14">
        <v>0.42</v>
      </c>
      <c r="S774" s="14">
        <v>0.42</v>
      </c>
      <c r="T774" s="14">
        <v>0.41</v>
      </c>
      <c r="U774" s="14">
        <v>0.41</v>
      </c>
      <c r="V774" s="14">
        <v>0.36</v>
      </c>
      <c r="W774" s="14">
        <v>0.35</v>
      </c>
      <c r="X774" s="14">
        <v>0.35</v>
      </c>
    </row>
    <row r="775" spans="1:24" hidden="1" x14ac:dyDescent="0.3">
      <c r="A775" s="14" t="s">
        <v>401</v>
      </c>
      <c r="B775" s="14" t="s">
        <v>305</v>
      </c>
      <c r="C775" s="14" t="s">
        <v>369</v>
      </c>
      <c r="D775" s="14" t="s">
        <v>370</v>
      </c>
      <c r="E775" s="14" t="s">
        <v>344</v>
      </c>
      <c r="F775" s="14" t="s">
        <v>343</v>
      </c>
      <c r="G775" s="14" t="s">
        <v>343</v>
      </c>
      <c r="H775" s="14" t="s">
        <v>343</v>
      </c>
      <c r="I775" s="14">
        <v>71</v>
      </c>
      <c r="J775" s="14">
        <v>79</v>
      </c>
      <c r="K775" s="14">
        <v>51</v>
      </c>
      <c r="L775" s="14">
        <v>56</v>
      </c>
      <c r="M775" s="14">
        <v>46</v>
      </c>
      <c r="N775" s="14">
        <v>45</v>
      </c>
      <c r="O775" s="14">
        <v>20</v>
      </c>
      <c r="P775" s="14">
        <v>23</v>
      </c>
      <c r="Q775" s="14">
        <v>40</v>
      </c>
      <c r="R775" s="14">
        <v>10</v>
      </c>
      <c r="S775" s="14">
        <v>11</v>
      </c>
      <c r="T775" s="14">
        <v>14</v>
      </c>
      <c r="U775" s="14">
        <v>14</v>
      </c>
      <c r="V775" s="14">
        <v>27</v>
      </c>
      <c r="W775" s="14">
        <v>34</v>
      </c>
      <c r="X775" s="14">
        <v>36</v>
      </c>
    </row>
    <row r="776" spans="1:24" hidden="1" x14ac:dyDescent="0.3">
      <c r="A776" s="14" t="s">
        <v>401</v>
      </c>
      <c r="B776" s="14" t="s">
        <v>305</v>
      </c>
      <c r="C776" s="14" t="s">
        <v>371</v>
      </c>
      <c r="D776" s="14" t="s">
        <v>372</v>
      </c>
      <c r="E776" s="14" t="s">
        <v>342</v>
      </c>
      <c r="F776" s="14" t="s">
        <v>343</v>
      </c>
      <c r="G776" s="14" t="s">
        <v>343</v>
      </c>
      <c r="H776" s="14" t="s">
        <v>343</v>
      </c>
      <c r="U776" s="14">
        <v>0.01</v>
      </c>
      <c r="V776" s="14">
        <v>0.01</v>
      </c>
      <c r="W776" s="14">
        <v>0.03</v>
      </c>
      <c r="X776" s="14">
        <v>0.03</v>
      </c>
    </row>
    <row r="777" spans="1:24" hidden="1" x14ac:dyDescent="0.3">
      <c r="A777" s="14" t="s">
        <v>401</v>
      </c>
      <c r="B777" s="14" t="s">
        <v>305</v>
      </c>
      <c r="C777" s="14" t="s">
        <v>371</v>
      </c>
      <c r="D777" s="14" t="s">
        <v>372</v>
      </c>
      <c r="E777" s="14" t="s">
        <v>344</v>
      </c>
      <c r="F777" s="14" t="s">
        <v>343</v>
      </c>
      <c r="G777" s="14" t="s">
        <v>343</v>
      </c>
      <c r="H777" s="14" t="s">
        <v>343</v>
      </c>
      <c r="U777" s="14">
        <v>56</v>
      </c>
      <c r="V777" s="14">
        <v>60</v>
      </c>
      <c r="W777" s="14">
        <v>56</v>
      </c>
      <c r="X777" s="14">
        <v>55</v>
      </c>
    </row>
    <row r="778" spans="1:24" hidden="1" x14ac:dyDescent="0.3">
      <c r="A778" s="14" t="s">
        <v>401</v>
      </c>
      <c r="B778" s="14" t="s">
        <v>305</v>
      </c>
      <c r="C778" s="14" t="s">
        <v>373</v>
      </c>
      <c r="D778" s="14" t="s">
        <v>374</v>
      </c>
      <c r="E778" s="14" t="s">
        <v>342</v>
      </c>
      <c r="F778" s="14" t="s">
        <v>343</v>
      </c>
      <c r="G778" s="14" t="s">
        <v>343</v>
      </c>
      <c r="H778" s="14" t="s">
        <v>343</v>
      </c>
      <c r="U778" s="14">
        <v>0.38</v>
      </c>
      <c r="V778" s="14">
        <v>0.17</v>
      </c>
      <c r="W778" s="14">
        <v>0.28000000000000003</v>
      </c>
      <c r="X778" s="14">
        <v>0.28999999999999998</v>
      </c>
    </row>
    <row r="779" spans="1:24" hidden="1" x14ac:dyDescent="0.3">
      <c r="A779" s="14" t="s">
        <v>401</v>
      </c>
      <c r="B779" s="14" t="s">
        <v>305</v>
      </c>
      <c r="C779" s="14" t="s">
        <v>373</v>
      </c>
      <c r="D779" s="14" t="s">
        <v>374</v>
      </c>
      <c r="E779" s="14" t="s">
        <v>344</v>
      </c>
      <c r="F779" s="14" t="s">
        <v>343</v>
      </c>
      <c r="G779" s="14" t="s">
        <v>343</v>
      </c>
      <c r="H779" s="14" t="s">
        <v>343</v>
      </c>
      <c r="U779" s="14">
        <v>31</v>
      </c>
      <c r="V779" s="14">
        <v>102</v>
      </c>
      <c r="W779" s="14">
        <v>74</v>
      </c>
      <c r="X779" s="14">
        <v>70</v>
      </c>
    </row>
    <row r="780" spans="1:24" hidden="1" x14ac:dyDescent="0.3">
      <c r="A780" s="14" t="s">
        <v>401</v>
      </c>
      <c r="B780" s="14" t="s">
        <v>305</v>
      </c>
      <c r="C780" s="14" t="s">
        <v>375</v>
      </c>
      <c r="D780" s="14" t="s">
        <v>376</v>
      </c>
      <c r="E780" s="14" t="s">
        <v>342</v>
      </c>
      <c r="F780" s="14" t="s">
        <v>343</v>
      </c>
      <c r="G780" s="14" t="s">
        <v>343</v>
      </c>
      <c r="H780" s="14" t="s">
        <v>343</v>
      </c>
      <c r="U780" s="14">
        <v>1</v>
      </c>
      <c r="V780" s="14">
        <v>1</v>
      </c>
      <c r="W780" s="14">
        <v>0.86</v>
      </c>
      <c r="X780" s="14">
        <v>0.86</v>
      </c>
    </row>
    <row r="781" spans="1:24" hidden="1" x14ac:dyDescent="0.3">
      <c r="A781" s="14" t="s">
        <v>401</v>
      </c>
      <c r="B781" s="14" t="s">
        <v>305</v>
      </c>
      <c r="C781" s="14" t="s">
        <v>375</v>
      </c>
      <c r="D781" s="14" t="s">
        <v>376</v>
      </c>
      <c r="E781" s="14" t="s">
        <v>344</v>
      </c>
      <c r="F781" s="14" t="s">
        <v>343</v>
      </c>
      <c r="G781" s="14" t="s">
        <v>343</v>
      </c>
      <c r="H781" s="14" t="s">
        <v>343</v>
      </c>
      <c r="U781" s="14">
        <v>1</v>
      </c>
      <c r="V781" s="14">
        <v>1</v>
      </c>
      <c r="W781" s="14">
        <v>8</v>
      </c>
      <c r="X781" s="14">
        <v>9</v>
      </c>
    </row>
    <row r="782" spans="1:24" hidden="1" x14ac:dyDescent="0.3">
      <c r="A782" s="14" t="s">
        <v>402</v>
      </c>
      <c r="B782" s="14" t="s">
        <v>53</v>
      </c>
      <c r="C782" s="14" t="s">
        <v>340</v>
      </c>
      <c r="D782" s="14" t="s">
        <v>341</v>
      </c>
      <c r="E782" s="14" t="s">
        <v>342</v>
      </c>
      <c r="F782" s="14" t="s">
        <v>343</v>
      </c>
      <c r="G782" s="14" t="s">
        <v>343</v>
      </c>
      <c r="H782" s="14" t="s">
        <v>343</v>
      </c>
      <c r="I782" s="14">
        <v>0.97</v>
      </c>
      <c r="J782" s="14">
        <v>0.97</v>
      </c>
      <c r="K782" s="14">
        <v>1</v>
      </c>
      <c r="L782" s="14">
        <v>1</v>
      </c>
      <c r="M782" s="14">
        <v>0.99</v>
      </c>
      <c r="N782" s="14">
        <v>0.99</v>
      </c>
      <c r="O782" s="14">
        <v>1</v>
      </c>
      <c r="P782" s="14">
        <v>1</v>
      </c>
      <c r="Q782" s="14">
        <v>1</v>
      </c>
      <c r="R782" s="14">
        <v>1</v>
      </c>
      <c r="S782" s="14">
        <v>1</v>
      </c>
      <c r="T782" s="14">
        <v>1</v>
      </c>
      <c r="U782" s="14">
        <v>1</v>
      </c>
      <c r="V782" s="14">
        <v>1</v>
      </c>
      <c r="W782" s="14">
        <v>1</v>
      </c>
      <c r="X782" s="14">
        <v>1</v>
      </c>
    </row>
    <row r="783" spans="1:24" hidden="1" x14ac:dyDescent="0.3">
      <c r="A783" s="14" t="s">
        <v>402</v>
      </c>
      <c r="B783" s="14" t="s">
        <v>53</v>
      </c>
      <c r="C783" s="14" t="s">
        <v>340</v>
      </c>
      <c r="D783" s="14" t="s">
        <v>341</v>
      </c>
      <c r="E783" s="14" t="s">
        <v>344</v>
      </c>
      <c r="F783" s="14" t="s">
        <v>343</v>
      </c>
      <c r="G783" s="14" t="s">
        <v>343</v>
      </c>
      <c r="H783" s="14" t="s">
        <v>343</v>
      </c>
      <c r="I783" s="14">
        <v>72</v>
      </c>
      <c r="J783" s="14">
        <v>84</v>
      </c>
      <c r="K783" s="14">
        <v>1</v>
      </c>
      <c r="L783" s="14">
        <v>32</v>
      </c>
      <c r="M783" s="14">
        <v>63</v>
      </c>
      <c r="N783" s="14">
        <v>66</v>
      </c>
      <c r="O783" s="14">
        <v>1</v>
      </c>
      <c r="P783" s="14">
        <v>1</v>
      </c>
      <c r="Q783" s="14">
        <v>1</v>
      </c>
      <c r="R783" s="14">
        <v>1</v>
      </c>
      <c r="S783" s="14">
        <v>42</v>
      </c>
      <c r="T783" s="14">
        <v>1</v>
      </c>
      <c r="U783" s="14">
        <v>1</v>
      </c>
      <c r="V783" s="14">
        <v>35</v>
      </c>
      <c r="W783" s="14">
        <v>37</v>
      </c>
      <c r="X783" s="14">
        <v>1</v>
      </c>
    </row>
    <row r="784" spans="1:24" hidden="1" x14ac:dyDescent="0.3">
      <c r="A784" s="14" t="s">
        <v>402</v>
      </c>
      <c r="B784" s="14" t="s">
        <v>53</v>
      </c>
      <c r="C784" s="14" t="s">
        <v>345</v>
      </c>
      <c r="D784" s="14" t="s">
        <v>346</v>
      </c>
      <c r="E784" s="14" t="s">
        <v>342</v>
      </c>
      <c r="F784" s="14" t="s">
        <v>343</v>
      </c>
      <c r="G784" s="14" t="s">
        <v>343</v>
      </c>
      <c r="H784" s="14" t="s">
        <v>343</v>
      </c>
      <c r="U784" s="14">
        <v>0.56999999999999995</v>
      </c>
      <c r="V784" s="14">
        <v>0.57999999999999996</v>
      </c>
      <c r="W784" s="14">
        <v>0.56999999999999995</v>
      </c>
      <c r="X784" s="14">
        <v>0.62</v>
      </c>
    </row>
    <row r="785" spans="1:24" hidden="1" x14ac:dyDescent="0.3">
      <c r="A785" s="14" t="s">
        <v>402</v>
      </c>
      <c r="B785" s="14" t="s">
        <v>53</v>
      </c>
      <c r="C785" s="14" t="s">
        <v>345</v>
      </c>
      <c r="D785" s="14" t="s">
        <v>346</v>
      </c>
      <c r="E785" s="14" t="s">
        <v>344</v>
      </c>
      <c r="F785" s="14" t="s">
        <v>343</v>
      </c>
      <c r="G785" s="14" t="s">
        <v>343</v>
      </c>
      <c r="H785" s="14" t="s">
        <v>343</v>
      </c>
      <c r="U785" s="14">
        <v>93</v>
      </c>
      <c r="V785" s="14">
        <v>96</v>
      </c>
      <c r="W785" s="14">
        <v>97</v>
      </c>
      <c r="X785" s="14">
        <v>84</v>
      </c>
    </row>
    <row r="786" spans="1:24" hidden="1" x14ac:dyDescent="0.3">
      <c r="A786" s="14" t="s">
        <v>402</v>
      </c>
      <c r="B786" s="14" t="s">
        <v>53</v>
      </c>
      <c r="C786" s="14" t="s">
        <v>347</v>
      </c>
      <c r="D786" s="14" t="s">
        <v>348</v>
      </c>
      <c r="E786" s="14" t="s">
        <v>342</v>
      </c>
      <c r="F786" s="14" t="s">
        <v>343</v>
      </c>
      <c r="G786" s="14" t="s">
        <v>343</v>
      </c>
      <c r="H786" s="14" t="s">
        <v>343</v>
      </c>
      <c r="U786" s="14">
        <v>0.74</v>
      </c>
      <c r="V786" s="14">
        <v>0.76</v>
      </c>
      <c r="W786" s="14">
        <v>0.77</v>
      </c>
      <c r="X786" s="14">
        <v>0.72</v>
      </c>
    </row>
    <row r="787" spans="1:24" hidden="1" x14ac:dyDescent="0.3">
      <c r="A787" s="14" t="s">
        <v>402</v>
      </c>
      <c r="B787" s="14" t="s">
        <v>53</v>
      </c>
      <c r="C787" s="14" t="s">
        <v>347</v>
      </c>
      <c r="D787" s="14" t="s">
        <v>348</v>
      </c>
      <c r="E787" s="14" t="s">
        <v>344</v>
      </c>
      <c r="F787" s="14" t="s">
        <v>343</v>
      </c>
      <c r="G787" s="14" t="s">
        <v>343</v>
      </c>
      <c r="H787" s="14" t="s">
        <v>343</v>
      </c>
      <c r="U787" s="14">
        <v>91</v>
      </c>
      <c r="V787" s="14">
        <v>93</v>
      </c>
      <c r="W787" s="14">
        <v>94</v>
      </c>
      <c r="X787" s="14">
        <v>93</v>
      </c>
    </row>
    <row r="788" spans="1:24" hidden="1" x14ac:dyDescent="0.3">
      <c r="A788" s="14" t="s">
        <v>402</v>
      </c>
      <c r="B788" s="14" t="s">
        <v>53</v>
      </c>
      <c r="C788" s="14" t="s">
        <v>349</v>
      </c>
      <c r="D788" s="14" t="s">
        <v>350</v>
      </c>
      <c r="E788" s="14" t="s">
        <v>342</v>
      </c>
      <c r="F788" s="14" t="s">
        <v>343</v>
      </c>
      <c r="G788" s="14" t="s">
        <v>343</v>
      </c>
      <c r="H788" s="14" t="s">
        <v>343</v>
      </c>
      <c r="U788" s="14">
        <v>0.66</v>
      </c>
      <c r="V788" s="14">
        <v>0.66</v>
      </c>
      <c r="W788" s="14">
        <v>0.65</v>
      </c>
      <c r="X788" s="14">
        <v>0.63</v>
      </c>
    </row>
    <row r="789" spans="1:24" hidden="1" x14ac:dyDescent="0.3">
      <c r="A789" s="14" t="s">
        <v>402</v>
      </c>
      <c r="B789" s="14" t="s">
        <v>53</v>
      </c>
      <c r="C789" s="14" t="s">
        <v>349</v>
      </c>
      <c r="D789" s="14" t="s">
        <v>350</v>
      </c>
      <c r="E789" s="14" t="s">
        <v>344</v>
      </c>
      <c r="F789" s="14" t="s">
        <v>343</v>
      </c>
      <c r="G789" s="14" t="s">
        <v>343</v>
      </c>
      <c r="H789" s="14" t="s">
        <v>343</v>
      </c>
      <c r="U789" s="14">
        <v>27</v>
      </c>
      <c r="V789" s="14">
        <v>27</v>
      </c>
      <c r="W789" s="14">
        <v>38</v>
      </c>
      <c r="X789" s="14">
        <v>42</v>
      </c>
    </row>
    <row r="790" spans="1:24" hidden="1" x14ac:dyDescent="0.3">
      <c r="A790" s="14" t="s">
        <v>402</v>
      </c>
      <c r="B790" s="14" t="s">
        <v>53</v>
      </c>
      <c r="C790" s="14" t="s">
        <v>351</v>
      </c>
      <c r="D790" s="14" t="s">
        <v>352</v>
      </c>
      <c r="E790" s="14" t="s">
        <v>342</v>
      </c>
      <c r="F790" s="14" t="s">
        <v>343</v>
      </c>
      <c r="G790" s="14" t="s">
        <v>343</v>
      </c>
      <c r="H790" s="14" t="s">
        <v>343</v>
      </c>
      <c r="U790" s="14">
        <v>1</v>
      </c>
      <c r="V790" s="14">
        <v>1</v>
      </c>
      <c r="W790" s="14">
        <v>1</v>
      </c>
      <c r="X790" s="14">
        <v>1</v>
      </c>
    </row>
    <row r="791" spans="1:24" hidden="1" x14ac:dyDescent="0.3">
      <c r="A791" s="14" t="s">
        <v>402</v>
      </c>
      <c r="B791" s="14" t="s">
        <v>53</v>
      </c>
      <c r="C791" s="14" t="s">
        <v>351</v>
      </c>
      <c r="D791" s="14" t="s">
        <v>352</v>
      </c>
      <c r="E791" s="14" t="s">
        <v>344</v>
      </c>
      <c r="F791" s="14" t="s">
        <v>343</v>
      </c>
      <c r="G791" s="14" t="s">
        <v>343</v>
      </c>
      <c r="H791" s="14" t="s">
        <v>343</v>
      </c>
      <c r="U791" s="14">
        <v>1</v>
      </c>
      <c r="V791" s="14">
        <v>1</v>
      </c>
      <c r="W791" s="14">
        <v>1</v>
      </c>
      <c r="X791" s="14">
        <v>1</v>
      </c>
    </row>
    <row r="792" spans="1:24" hidden="1" x14ac:dyDescent="0.3">
      <c r="A792" s="14" t="s">
        <v>402</v>
      </c>
      <c r="B792" s="14" t="s">
        <v>53</v>
      </c>
      <c r="C792" s="14" t="s">
        <v>378</v>
      </c>
      <c r="D792" s="14" t="s">
        <v>379</v>
      </c>
      <c r="E792" s="14" t="s">
        <v>342</v>
      </c>
      <c r="F792" s="14" t="s">
        <v>343</v>
      </c>
      <c r="G792" s="14" t="s">
        <v>343</v>
      </c>
      <c r="H792" s="14" t="s">
        <v>343</v>
      </c>
      <c r="S792" s="14">
        <v>0.5</v>
      </c>
      <c r="U792" s="14">
        <v>0.49</v>
      </c>
      <c r="V792" s="14">
        <v>0.5</v>
      </c>
      <c r="W792" s="14">
        <v>0.54</v>
      </c>
      <c r="X792" s="14">
        <v>0.56000000000000005</v>
      </c>
    </row>
    <row r="793" spans="1:24" hidden="1" x14ac:dyDescent="0.3">
      <c r="A793" s="14" t="s">
        <v>402</v>
      </c>
      <c r="B793" s="14" t="s">
        <v>53</v>
      </c>
      <c r="C793" s="14" t="s">
        <v>378</v>
      </c>
      <c r="D793" s="14" t="s">
        <v>379</v>
      </c>
      <c r="E793" s="14" t="s">
        <v>344</v>
      </c>
      <c r="F793" s="14" t="s">
        <v>343</v>
      </c>
      <c r="G793" s="14" t="s">
        <v>343</v>
      </c>
      <c r="H793" s="14" t="s">
        <v>343</v>
      </c>
      <c r="S793" s="14">
        <v>129</v>
      </c>
      <c r="U793" s="14">
        <v>132</v>
      </c>
      <c r="V793" s="14">
        <v>130</v>
      </c>
      <c r="W793" s="14">
        <v>126</v>
      </c>
      <c r="X793" s="14">
        <v>117</v>
      </c>
    </row>
    <row r="794" spans="1:24" hidden="1" x14ac:dyDescent="0.3">
      <c r="A794" s="14" t="s">
        <v>402</v>
      </c>
      <c r="B794" s="14" t="s">
        <v>53</v>
      </c>
      <c r="C794" s="14" t="s">
        <v>353</v>
      </c>
      <c r="D794" s="14" t="s">
        <v>354</v>
      </c>
      <c r="E794" s="14" t="s">
        <v>342</v>
      </c>
      <c r="F794" s="14" t="s">
        <v>343</v>
      </c>
      <c r="G794" s="14" t="s">
        <v>343</v>
      </c>
      <c r="H794" s="14" t="s">
        <v>343</v>
      </c>
      <c r="U794" s="14">
        <v>1</v>
      </c>
      <c r="V794" s="14">
        <v>1</v>
      </c>
      <c r="W794" s="14">
        <v>1</v>
      </c>
      <c r="X794" s="14">
        <v>1</v>
      </c>
    </row>
    <row r="795" spans="1:24" hidden="1" x14ac:dyDescent="0.3">
      <c r="A795" s="14" t="s">
        <v>402</v>
      </c>
      <c r="B795" s="14" t="s">
        <v>53</v>
      </c>
      <c r="C795" s="14" t="s">
        <v>353</v>
      </c>
      <c r="D795" s="14" t="s">
        <v>354</v>
      </c>
      <c r="E795" s="14" t="s">
        <v>344</v>
      </c>
      <c r="F795" s="14" t="s">
        <v>343</v>
      </c>
      <c r="G795" s="14" t="s">
        <v>343</v>
      </c>
      <c r="H795" s="14" t="s">
        <v>343</v>
      </c>
      <c r="U795" s="14">
        <v>1</v>
      </c>
      <c r="V795" s="14">
        <v>1</v>
      </c>
      <c r="W795" s="14">
        <v>1</v>
      </c>
      <c r="X795" s="14">
        <v>1</v>
      </c>
    </row>
    <row r="796" spans="1:24" hidden="1" x14ac:dyDescent="0.3">
      <c r="A796" s="14" t="s">
        <v>402</v>
      </c>
      <c r="B796" s="14" t="s">
        <v>53</v>
      </c>
      <c r="C796" s="14" t="s">
        <v>380</v>
      </c>
      <c r="D796" s="14" t="s">
        <v>381</v>
      </c>
      <c r="E796" s="14" t="s">
        <v>342</v>
      </c>
      <c r="F796" s="14" t="s">
        <v>343</v>
      </c>
      <c r="G796" s="14" t="s">
        <v>343</v>
      </c>
      <c r="H796" s="14" t="s">
        <v>343</v>
      </c>
      <c r="U796" s="14">
        <v>1</v>
      </c>
      <c r="V796" s="14">
        <v>1</v>
      </c>
      <c r="W796" s="14">
        <v>1</v>
      </c>
      <c r="X796" s="14">
        <v>1</v>
      </c>
    </row>
    <row r="797" spans="1:24" hidden="1" x14ac:dyDescent="0.3">
      <c r="A797" s="14" t="s">
        <v>402</v>
      </c>
      <c r="B797" s="14" t="s">
        <v>53</v>
      </c>
      <c r="C797" s="14" t="s">
        <v>380</v>
      </c>
      <c r="D797" s="14" t="s">
        <v>381</v>
      </c>
      <c r="E797" s="14" t="s">
        <v>344</v>
      </c>
      <c r="F797" s="14" t="s">
        <v>343</v>
      </c>
      <c r="G797" s="14" t="s">
        <v>343</v>
      </c>
      <c r="H797" s="14" t="s">
        <v>343</v>
      </c>
      <c r="U797" s="14">
        <v>1</v>
      </c>
      <c r="V797" s="14">
        <v>79</v>
      </c>
      <c r="W797" s="14">
        <v>80</v>
      </c>
      <c r="X797" s="14">
        <v>1</v>
      </c>
    </row>
    <row r="798" spans="1:24" hidden="1" x14ac:dyDescent="0.3">
      <c r="A798" s="14" t="s">
        <v>402</v>
      </c>
      <c r="B798" s="14" t="s">
        <v>53</v>
      </c>
      <c r="C798" s="14" t="s">
        <v>355</v>
      </c>
      <c r="D798" s="14" t="s">
        <v>356</v>
      </c>
      <c r="E798" s="14" t="s">
        <v>342</v>
      </c>
      <c r="F798" s="14" t="s">
        <v>343</v>
      </c>
      <c r="G798" s="14" t="s">
        <v>343</v>
      </c>
      <c r="H798" s="14" t="s">
        <v>343</v>
      </c>
      <c r="U798" s="14">
        <v>1</v>
      </c>
      <c r="V798" s="14">
        <v>1</v>
      </c>
      <c r="W798" s="14">
        <v>1</v>
      </c>
      <c r="X798" s="14">
        <v>1</v>
      </c>
    </row>
    <row r="799" spans="1:24" hidden="1" x14ac:dyDescent="0.3">
      <c r="A799" s="14" t="s">
        <v>402</v>
      </c>
      <c r="B799" s="14" t="s">
        <v>53</v>
      </c>
      <c r="C799" s="14" t="s">
        <v>355</v>
      </c>
      <c r="D799" s="14" t="s">
        <v>356</v>
      </c>
      <c r="E799" s="14" t="s">
        <v>344</v>
      </c>
      <c r="F799" s="14" t="s">
        <v>343</v>
      </c>
      <c r="G799" s="14" t="s">
        <v>343</v>
      </c>
      <c r="H799" s="14" t="s">
        <v>343</v>
      </c>
      <c r="U799" s="14">
        <v>1</v>
      </c>
      <c r="V799" s="14">
        <v>1</v>
      </c>
      <c r="W799" s="14">
        <v>1</v>
      </c>
      <c r="X799" s="14">
        <v>1</v>
      </c>
    </row>
    <row r="800" spans="1:24" hidden="1" x14ac:dyDescent="0.3">
      <c r="A800" s="14" t="s">
        <v>402</v>
      </c>
      <c r="B800" s="14" t="s">
        <v>53</v>
      </c>
      <c r="C800" s="14" t="s">
        <v>357</v>
      </c>
      <c r="D800" s="14" t="s">
        <v>358</v>
      </c>
      <c r="E800" s="14" t="s">
        <v>342</v>
      </c>
      <c r="F800" s="14" t="s">
        <v>343</v>
      </c>
      <c r="G800" s="14" t="s">
        <v>343</v>
      </c>
      <c r="H800" s="14" t="s">
        <v>343</v>
      </c>
      <c r="U800" s="14">
        <v>1</v>
      </c>
      <c r="V800" s="14">
        <v>1</v>
      </c>
      <c r="W800" s="14">
        <v>1</v>
      </c>
      <c r="X800" s="14">
        <v>1</v>
      </c>
    </row>
    <row r="801" spans="1:24" hidden="1" x14ac:dyDescent="0.3">
      <c r="A801" s="14" t="s">
        <v>402</v>
      </c>
      <c r="B801" s="14" t="s">
        <v>53</v>
      </c>
      <c r="C801" s="14" t="s">
        <v>357</v>
      </c>
      <c r="D801" s="14" t="s">
        <v>358</v>
      </c>
      <c r="E801" s="14" t="s">
        <v>344</v>
      </c>
      <c r="F801" s="14" t="s">
        <v>343</v>
      </c>
      <c r="G801" s="14" t="s">
        <v>343</v>
      </c>
      <c r="H801" s="14" t="s">
        <v>343</v>
      </c>
      <c r="U801" s="14">
        <v>1</v>
      </c>
      <c r="V801" s="14">
        <v>1</v>
      </c>
      <c r="W801" s="14">
        <v>1</v>
      </c>
      <c r="X801" s="14">
        <v>1</v>
      </c>
    </row>
    <row r="802" spans="1:24" hidden="1" x14ac:dyDescent="0.3">
      <c r="A802" s="14" t="s">
        <v>402</v>
      </c>
      <c r="B802" s="14" t="s">
        <v>53</v>
      </c>
      <c r="C802" s="14" t="s">
        <v>359</v>
      </c>
      <c r="D802" s="14" t="s">
        <v>360</v>
      </c>
      <c r="E802" s="14" t="s">
        <v>342</v>
      </c>
      <c r="F802" s="14" t="s">
        <v>343</v>
      </c>
      <c r="G802" s="14" t="s">
        <v>343</v>
      </c>
      <c r="H802" s="14" t="s">
        <v>343</v>
      </c>
      <c r="I802" s="14">
        <v>0.6</v>
      </c>
      <c r="J802" s="14">
        <v>0.64</v>
      </c>
      <c r="K802" s="14">
        <v>0.65</v>
      </c>
      <c r="L802" s="14">
        <v>0.64</v>
      </c>
      <c r="M802" s="14">
        <v>0.64</v>
      </c>
      <c r="N802" s="14">
        <v>0.65</v>
      </c>
      <c r="O802" s="14">
        <v>0.65</v>
      </c>
      <c r="P802" s="14">
        <v>0.66</v>
      </c>
      <c r="Q802" s="14">
        <v>0.65</v>
      </c>
      <c r="R802" s="14">
        <v>0.64</v>
      </c>
      <c r="S802" s="14">
        <v>0.64</v>
      </c>
      <c r="T802" s="14">
        <v>0.66</v>
      </c>
      <c r="U802" s="14">
        <v>0.64</v>
      </c>
      <c r="V802" s="14">
        <v>0.65</v>
      </c>
      <c r="W802" s="14">
        <v>0.66</v>
      </c>
      <c r="X802" s="14">
        <v>0.67</v>
      </c>
    </row>
    <row r="803" spans="1:24" hidden="1" x14ac:dyDescent="0.3">
      <c r="A803" s="14" t="s">
        <v>402</v>
      </c>
      <c r="B803" s="14" t="s">
        <v>53</v>
      </c>
      <c r="C803" s="14" t="s">
        <v>359</v>
      </c>
      <c r="D803" s="14" t="s">
        <v>360</v>
      </c>
      <c r="E803" s="14" t="s">
        <v>344</v>
      </c>
      <c r="F803" s="14" t="s">
        <v>343</v>
      </c>
      <c r="G803" s="14" t="s">
        <v>343</v>
      </c>
      <c r="H803" s="14" t="s">
        <v>343</v>
      </c>
      <c r="I803" s="14">
        <v>63</v>
      </c>
      <c r="J803" s="14">
        <v>62</v>
      </c>
      <c r="K803" s="14">
        <v>59</v>
      </c>
      <c r="L803" s="14">
        <v>75</v>
      </c>
      <c r="M803" s="14">
        <v>66</v>
      </c>
      <c r="N803" s="14">
        <v>68</v>
      </c>
      <c r="O803" s="14">
        <v>73</v>
      </c>
      <c r="P803" s="14">
        <v>74</v>
      </c>
      <c r="Q803" s="14">
        <v>81</v>
      </c>
      <c r="R803" s="14">
        <v>89</v>
      </c>
      <c r="S803" s="14">
        <v>91</v>
      </c>
      <c r="T803" s="14">
        <v>83</v>
      </c>
      <c r="U803" s="14">
        <v>92</v>
      </c>
      <c r="V803" s="14">
        <v>89</v>
      </c>
      <c r="W803" s="14">
        <v>89</v>
      </c>
      <c r="X803" s="14">
        <v>85</v>
      </c>
    </row>
    <row r="804" spans="1:24" x14ac:dyDescent="0.3">
      <c r="A804" s="14" t="s">
        <v>402</v>
      </c>
      <c r="B804" s="14" t="s">
        <v>53</v>
      </c>
      <c r="C804" s="14" t="s">
        <v>361</v>
      </c>
      <c r="D804" s="14" t="s">
        <v>362</v>
      </c>
      <c r="E804" s="14" t="s">
        <v>342</v>
      </c>
      <c r="F804" s="14" t="s">
        <v>343</v>
      </c>
      <c r="G804" s="14" t="s">
        <v>343</v>
      </c>
      <c r="H804" s="14" t="s">
        <v>343</v>
      </c>
      <c r="I804" s="14">
        <v>0.98</v>
      </c>
      <c r="J804" s="14">
        <v>0.98</v>
      </c>
      <c r="K804" s="14">
        <v>0.98</v>
      </c>
      <c r="L804" s="14">
        <v>0.98</v>
      </c>
      <c r="M804" s="14">
        <v>0.98</v>
      </c>
      <c r="N804" s="14">
        <v>0.98</v>
      </c>
      <c r="O804" s="14">
        <v>0.98</v>
      </c>
      <c r="P804" s="14">
        <v>0.98</v>
      </c>
      <c r="Q804" s="14">
        <v>0.98</v>
      </c>
      <c r="R804" s="14">
        <v>0.98</v>
      </c>
      <c r="S804" s="14">
        <v>0.98</v>
      </c>
      <c r="T804" s="14">
        <v>0.98</v>
      </c>
      <c r="U804" s="14">
        <v>0.98</v>
      </c>
      <c r="V804" s="14">
        <v>0.98</v>
      </c>
      <c r="W804" s="14">
        <v>0.98</v>
      </c>
      <c r="X804" s="14">
        <v>0.98</v>
      </c>
    </row>
    <row r="805" spans="1:24" hidden="1" x14ac:dyDescent="0.3">
      <c r="A805" s="14" t="s">
        <v>402</v>
      </c>
      <c r="B805" s="14" t="s">
        <v>53</v>
      </c>
      <c r="C805" s="14" t="s">
        <v>361</v>
      </c>
      <c r="D805" s="14" t="s">
        <v>362</v>
      </c>
      <c r="E805" s="14" t="s">
        <v>344</v>
      </c>
      <c r="F805" s="14" t="s">
        <v>343</v>
      </c>
      <c r="G805" s="14" t="s">
        <v>343</v>
      </c>
      <c r="H805" s="14" t="s">
        <v>343</v>
      </c>
      <c r="I805" s="14">
        <v>1</v>
      </c>
      <c r="J805" s="14">
        <v>1</v>
      </c>
      <c r="K805" s="14">
        <v>1</v>
      </c>
      <c r="L805" s="14">
        <v>1</v>
      </c>
      <c r="M805" s="14">
        <v>1</v>
      </c>
      <c r="N805" s="14">
        <v>1</v>
      </c>
      <c r="O805" s="14">
        <v>1</v>
      </c>
      <c r="P805" s="14">
        <v>1</v>
      </c>
      <c r="Q805" s="14">
        <v>1</v>
      </c>
      <c r="R805" s="14">
        <v>1</v>
      </c>
      <c r="S805" s="14">
        <v>1</v>
      </c>
      <c r="T805" s="14">
        <v>1</v>
      </c>
      <c r="U805" s="14">
        <v>1</v>
      </c>
      <c r="V805" s="14">
        <v>1</v>
      </c>
      <c r="W805" s="14">
        <v>1</v>
      </c>
      <c r="X805" s="14">
        <v>1</v>
      </c>
    </row>
    <row r="806" spans="1:24" hidden="1" x14ac:dyDescent="0.3">
      <c r="A806" s="14" t="s">
        <v>402</v>
      </c>
      <c r="B806" s="14" t="s">
        <v>53</v>
      </c>
      <c r="C806" s="14" t="s">
        <v>363</v>
      </c>
      <c r="D806" s="14" t="s">
        <v>364</v>
      </c>
      <c r="E806" s="14" t="s">
        <v>342</v>
      </c>
      <c r="F806" s="14" t="s">
        <v>343</v>
      </c>
      <c r="G806" s="14" t="s">
        <v>343</v>
      </c>
      <c r="H806" s="14" t="s">
        <v>343</v>
      </c>
      <c r="U806" s="14">
        <v>1.06</v>
      </c>
      <c r="V806" s="14">
        <v>1.06</v>
      </c>
      <c r="W806" s="14">
        <v>1.06</v>
      </c>
      <c r="X806" s="14">
        <v>1.06</v>
      </c>
    </row>
    <row r="807" spans="1:24" hidden="1" x14ac:dyDescent="0.3">
      <c r="A807" s="14" t="s">
        <v>402</v>
      </c>
      <c r="B807" s="14" t="s">
        <v>53</v>
      </c>
      <c r="C807" s="14" t="s">
        <v>363</v>
      </c>
      <c r="D807" s="14" t="s">
        <v>364</v>
      </c>
      <c r="E807" s="14" t="s">
        <v>344</v>
      </c>
      <c r="F807" s="14" t="s">
        <v>343</v>
      </c>
      <c r="G807" s="14" t="s">
        <v>343</v>
      </c>
      <c r="H807" s="14" t="s">
        <v>343</v>
      </c>
      <c r="U807" s="14">
        <v>1</v>
      </c>
      <c r="V807" s="14">
        <v>1</v>
      </c>
      <c r="W807" s="14">
        <v>1</v>
      </c>
      <c r="X807" s="14">
        <v>1</v>
      </c>
    </row>
    <row r="808" spans="1:24" hidden="1" x14ac:dyDescent="0.3">
      <c r="A808" s="14" t="s">
        <v>402</v>
      </c>
      <c r="B808" s="14" t="s">
        <v>53</v>
      </c>
      <c r="C808" s="14" t="s">
        <v>365</v>
      </c>
      <c r="D808" s="14" t="s">
        <v>366</v>
      </c>
      <c r="E808" s="14" t="s">
        <v>342</v>
      </c>
      <c r="F808" s="14" t="s">
        <v>343</v>
      </c>
      <c r="G808" s="14" t="s">
        <v>343</v>
      </c>
      <c r="H808" s="14" t="s">
        <v>343</v>
      </c>
      <c r="U808" s="14">
        <v>0.94</v>
      </c>
      <c r="V808" s="14">
        <v>0.94</v>
      </c>
      <c r="W808" s="14">
        <v>0.94</v>
      </c>
      <c r="X808" s="14">
        <v>0.94</v>
      </c>
    </row>
    <row r="809" spans="1:24" hidden="1" x14ac:dyDescent="0.3">
      <c r="A809" s="14" t="s">
        <v>402</v>
      </c>
      <c r="B809" s="14" t="s">
        <v>53</v>
      </c>
      <c r="C809" s="14" t="s">
        <v>365</v>
      </c>
      <c r="D809" s="14" t="s">
        <v>366</v>
      </c>
      <c r="E809" s="14" t="s">
        <v>344</v>
      </c>
      <c r="F809" s="14" t="s">
        <v>343</v>
      </c>
      <c r="G809" s="14" t="s">
        <v>343</v>
      </c>
      <c r="H809" s="14" t="s">
        <v>343</v>
      </c>
      <c r="U809" s="14">
        <v>1</v>
      </c>
      <c r="V809" s="14">
        <v>1</v>
      </c>
      <c r="W809" s="14">
        <v>1</v>
      </c>
      <c r="X809" s="14">
        <v>1</v>
      </c>
    </row>
    <row r="810" spans="1:24" hidden="1" x14ac:dyDescent="0.3">
      <c r="A810" s="14" t="s">
        <v>402</v>
      </c>
      <c r="B810" s="14" t="s">
        <v>53</v>
      </c>
      <c r="C810" s="14" t="s">
        <v>367</v>
      </c>
      <c r="D810" s="14" t="s">
        <v>368</v>
      </c>
      <c r="E810" s="14" t="s">
        <v>342</v>
      </c>
      <c r="F810" s="14" t="s">
        <v>343</v>
      </c>
      <c r="G810" s="14" t="s">
        <v>343</v>
      </c>
      <c r="H810" s="14" t="s">
        <v>343</v>
      </c>
      <c r="I810" s="14">
        <v>0.65</v>
      </c>
      <c r="J810" s="14">
        <v>0.66</v>
      </c>
      <c r="K810" s="14">
        <v>0.67</v>
      </c>
      <c r="L810" s="14">
        <v>0.67</v>
      </c>
      <c r="M810" s="14">
        <v>0.67</v>
      </c>
      <c r="N810" s="14">
        <v>0.67</v>
      </c>
      <c r="O810" s="14">
        <v>0.69</v>
      </c>
      <c r="P810" s="14">
        <v>0.69</v>
      </c>
      <c r="Q810" s="14">
        <v>0.69</v>
      </c>
      <c r="R810" s="14">
        <v>0.69</v>
      </c>
      <c r="S810" s="14">
        <v>0.69</v>
      </c>
      <c r="T810" s="14">
        <v>0.68</v>
      </c>
      <c r="U810" s="14">
        <v>0.68</v>
      </c>
      <c r="V810" s="14">
        <v>0.69</v>
      </c>
      <c r="W810" s="14">
        <v>0.7</v>
      </c>
      <c r="X810" s="14">
        <v>0.7</v>
      </c>
    </row>
    <row r="811" spans="1:24" hidden="1" x14ac:dyDescent="0.3">
      <c r="A811" s="14" t="s">
        <v>402</v>
      </c>
      <c r="B811" s="14" t="s">
        <v>53</v>
      </c>
      <c r="C811" s="14" t="s">
        <v>367</v>
      </c>
      <c r="D811" s="14" t="s">
        <v>368</v>
      </c>
      <c r="E811" s="14" t="s">
        <v>344</v>
      </c>
      <c r="F811" s="14" t="s">
        <v>343</v>
      </c>
      <c r="G811" s="14" t="s">
        <v>343</v>
      </c>
      <c r="H811" s="14" t="s">
        <v>343</v>
      </c>
      <c r="I811" s="14">
        <v>67</v>
      </c>
      <c r="J811" s="14">
        <v>74</v>
      </c>
      <c r="K811" s="14">
        <v>73</v>
      </c>
      <c r="L811" s="14">
        <v>81</v>
      </c>
      <c r="M811" s="14">
        <v>85</v>
      </c>
      <c r="N811" s="14">
        <v>82</v>
      </c>
      <c r="O811" s="14">
        <v>62</v>
      </c>
      <c r="P811" s="14">
        <v>62</v>
      </c>
      <c r="Q811" s="14">
        <v>71</v>
      </c>
      <c r="R811" s="14">
        <v>85</v>
      </c>
      <c r="S811" s="14">
        <v>79</v>
      </c>
      <c r="T811" s="14">
        <v>90</v>
      </c>
      <c r="U811" s="14">
        <v>95</v>
      </c>
      <c r="V811" s="14">
        <v>92</v>
      </c>
      <c r="W811" s="14">
        <v>93</v>
      </c>
      <c r="X811" s="14">
        <v>94</v>
      </c>
    </row>
    <row r="812" spans="1:24" hidden="1" x14ac:dyDescent="0.3">
      <c r="A812" s="14" t="s">
        <v>402</v>
      </c>
      <c r="B812" s="14" t="s">
        <v>53</v>
      </c>
      <c r="C812" s="14" t="s">
        <v>369</v>
      </c>
      <c r="D812" s="14" t="s">
        <v>370</v>
      </c>
      <c r="E812" s="14" t="s">
        <v>342</v>
      </c>
      <c r="F812" s="14" t="s">
        <v>343</v>
      </c>
      <c r="G812" s="14" t="s">
        <v>343</v>
      </c>
      <c r="H812" s="14" t="s">
        <v>343</v>
      </c>
      <c r="I812" s="14">
        <v>0.06</v>
      </c>
      <c r="J812" s="14">
        <v>0.06</v>
      </c>
      <c r="K812" s="14">
        <v>0.06</v>
      </c>
      <c r="L812" s="14">
        <v>0.06</v>
      </c>
      <c r="M812" s="14">
        <v>0.05</v>
      </c>
      <c r="N812" s="14">
        <v>0.05</v>
      </c>
      <c r="O812" s="14">
        <v>0.13</v>
      </c>
      <c r="P812" s="14">
        <v>0.14000000000000001</v>
      </c>
      <c r="Q812" s="14">
        <v>0.15</v>
      </c>
      <c r="R812" s="14">
        <v>0.12</v>
      </c>
      <c r="S812" s="14">
        <v>0.13</v>
      </c>
      <c r="T812" s="14">
        <v>0.1</v>
      </c>
      <c r="U812" s="14">
        <v>0.1</v>
      </c>
      <c r="V812" s="14">
        <v>0.13</v>
      </c>
      <c r="W812" s="14">
        <v>0.14000000000000001</v>
      </c>
      <c r="X812" s="14">
        <v>0.14000000000000001</v>
      </c>
    </row>
    <row r="813" spans="1:24" hidden="1" x14ac:dyDescent="0.3">
      <c r="A813" s="14" t="s">
        <v>402</v>
      </c>
      <c r="B813" s="14" t="s">
        <v>53</v>
      </c>
      <c r="C813" s="14" t="s">
        <v>369</v>
      </c>
      <c r="D813" s="14" t="s">
        <v>370</v>
      </c>
      <c r="E813" s="14" t="s">
        <v>344</v>
      </c>
      <c r="F813" s="14" t="s">
        <v>343</v>
      </c>
      <c r="G813" s="14" t="s">
        <v>343</v>
      </c>
      <c r="H813" s="14" t="s">
        <v>343</v>
      </c>
      <c r="I813" s="14">
        <v>86</v>
      </c>
      <c r="J813" s="14">
        <v>96</v>
      </c>
      <c r="K813" s="14">
        <v>110</v>
      </c>
      <c r="L813" s="14">
        <v>114</v>
      </c>
      <c r="M813" s="14">
        <v>112</v>
      </c>
      <c r="N813" s="14">
        <v>114</v>
      </c>
      <c r="O813" s="14">
        <v>72</v>
      </c>
      <c r="P813" s="14">
        <v>68</v>
      </c>
      <c r="Q813" s="14">
        <v>74</v>
      </c>
      <c r="R813" s="14">
        <v>89</v>
      </c>
      <c r="S813" s="14">
        <v>86</v>
      </c>
      <c r="T813" s="14">
        <v>110</v>
      </c>
      <c r="U813" s="14">
        <v>112</v>
      </c>
      <c r="V813" s="14">
        <v>104</v>
      </c>
      <c r="W813" s="14">
        <v>108</v>
      </c>
      <c r="X813" s="14">
        <v>104</v>
      </c>
    </row>
    <row r="814" spans="1:24" hidden="1" x14ac:dyDescent="0.3">
      <c r="A814" s="14" t="s">
        <v>402</v>
      </c>
      <c r="B814" s="14" t="s">
        <v>53</v>
      </c>
      <c r="C814" s="14" t="s">
        <v>371</v>
      </c>
      <c r="D814" s="14" t="s">
        <v>372</v>
      </c>
      <c r="E814" s="14" t="s">
        <v>342</v>
      </c>
      <c r="F814" s="14" t="s">
        <v>343</v>
      </c>
      <c r="G814" s="14" t="s">
        <v>343</v>
      </c>
      <c r="H814" s="14" t="s">
        <v>343</v>
      </c>
      <c r="U814" s="14">
        <v>0.12</v>
      </c>
      <c r="V814" s="14">
        <v>0.12</v>
      </c>
      <c r="W814" s="14">
        <v>0.12</v>
      </c>
      <c r="X814" s="14">
        <v>0.12</v>
      </c>
    </row>
    <row r="815" spans="1:24" hidden="1" x14ac:dyDescent="0.3">
      <c r="A815" s="14" t="s">
        <v>402</v>
      </c>
      <c r="B815" s="14" t="s">
        <v>53</v>
      </c>
      <c r="C815" s="14" t="s">
        <v>371</v>
      </c>
      <c r="D815" s="14" t="s">
        <v>372</v>
      </c>
      <c r="E815" s="14" t="s">
        <v>344</v>
      </c>
      <c r="F815" s="14" t="s">
        <v>343</v>
      </c>
      <c r="G815" s="14" t="s">
        <v>343</v>
      </c>
      <c r="H815" s="14" t="s">
        <v>343</v>
      </c>
      <c r="U815" s="14">
        <v>26</v>
      </c>
      <c r="V815" s="14">
        <v>27</v>
      </c>
      <c r="W815" s="14">
        <v>27</v>
      </c>
      <c r="X815" s="14">
        <v>26</v>
      </c>
    </row>
    <row r="816" spans="1:24" hidden="1" x14ac:dyDescent="0.3">
      <c r="A816" s="14" t="s">
        <v>402</v>
      </c>
      <c r="B816" s="14" t="s">
        <v>53</v>
      </c>
      <c r="C816" s="14" t="s">
        <v>373</v>
      </c>
      <c r="D816" s="14" t="s">
        <v>374</v>
      </c>
      <c r="E816" s="14" t="s">
        <v>342</v>
      </c>
      <c r="F816" s="14" t="s">
        <v>343</v>
      </c>
      <c r="G816" s="14" t="s">
        <v>343</v>
      </c>
      <c r="H816" s="14" t="s">
        <v>343</v>
      </c>
      <c r="U816" s="14">
        <v>0.04</v>
      </c>
      <c r="V816" s="14">
        <v>0.1</v>
      </c>
      <c r="W816" s="14">
        <v>0.12</v>
      </c>
      <c r="X816" s="14">
        <v>0.12</v>
      </c>
    </row>
    <row r="817" spans="1:24" hidden="1" x14ac:dyDescent="0.3">
      <c r="A817" s="14" t="s">
        <v>402</v>
      </c>
      <c r="B817" s="14" t="s">
        <v>53</v>
      </c>
      <c r="C817" s="14" t="s">
        <v>373</v>
      </c>
      <c r="D817" s="14" t="s">
        <v>374</v>
      </c>
      <c r="E817" s="14" t="s">
        <v>344</v>
      </c>
      <c r="F817" s="14" t="s">
        <v>343</v>
      </c>
      <c r="G817" s="14" t="s">
        <v>343</v>
      </c>
      <c r="H817" s="14" t="s">
        <v>343</v>
      </c>
      <c r="U817" s="14">
        <v>139</v>
      </c>
      <c r="V817" s="14">
        <v>122</v>
      </c>
      <c r="W817" s="14">
        <v>120</v>
      </c>
      <c r="X817" s="14">
        <v>115</v>
      </c>
    </row>
    <row r="818" spans="1:24" hidden="1" x14ac:dyDescent="0.3">
      <c r="A818" s="14" t="s">
        <v>402</v>
      </c>
      <c r="B818" s="14" t="s">
        <v>53</v>
      </c>
      <c r="C818" s="14" t="s">
        <v>375</v>
      </c>
      <c r="D818" s="14" t="s">
        <v>376</v>
      </c>
      <c r="E818" s="14" t="s">
        <v>342</v>
      </c>
      <c r="F818" s="14" t="s">
        <v>343</v>
      </c>
      <c r="G818" s="14" t="s">
        <v>343</v>
      </c>
      <c r="H818" s="14" t="s">
        <v>343</v>
      </c>
      <c r="U818" s="14">
        <v>0.12</v>
      </c>
      <c r="V818" s="14">
        <v>0.18</v>
      </c>
      <c r="W818" s="14">
        <v>0.18</v>
      </c>
      <c r="X818" s="14">
        <v>0.17</v>
      </c>
    </row>
    <row r="819" spans="1:24" hidden="1" x14ac:dyDescent="0.3">
      <c r="A819" s="14" t="s">
        <v>402</v>
      </c>
      <c r="B819" s="14" t="s">
        <v>53</v>
      </c>
      <c r="C819" s="14" t="s">
        <v>375</v>
      </c>
      <c r="D819" s="14" t="s">
        <v>376</v>
      </c>
      <c r="E819" s="14" t="s">
        <v>344</v>
      </c>
      <c r="F819" s="14" t="s">
        <v>343</v>
      </c>
      <c r="G819" s="14" t="s">
        <v>343</v>
      </c>
      <c r="H819" s="14" t="s">
        <v>343</v>
      </c>
      <c r="U819" s="14">
        <v>126</v>
      </c>
      <c r="V819" s="14">
        <v>114</v>
      </c>
      <c r="W819" s="14">
        <v>122</v>
      </c>
      <c r="X819" s="14">
        <v>119</v>
      </c>
    </row>
    <row r="820" spans="1:24" hidden="1" x14ac:dyDescent="0.3">
      <c r="A820" s="14" t="s">
        <v>403</v>
      </c>
      <c r="B820" s="14" t="s">
        <v>43</v>
      </c>
      <c r="C820" s="14" t="s">
        <v>340</v>
      </c>
      <c r="D820" s="14" t="s">
        <v>341</v>
      </c>
      <c r="E820" s="14" t="s">
        <v>342</v>
      </c>
      <c r="F820" s="14" t="s">
        <v>343</v>
      </c>
      <c r="G820" s="14" t="s">
        <v>343</v>
      </c>
      <c r="H820" s="14" t="s">
        <v>343</v>
      </c>
      <c r="K820" s="14">
        <v>1</v>
      </c>
      <c r="L820" s="14">
        <v>1</v>
      </c>
      <c r="M820" s="14">
        <v>1</v>
      </c>
      <c r="N820" s="14">
        <v>1</v>
      </c>
      <c r="O820" s="14">
        <v>1</v>
      </c>
      <c r="P820" s="14">
        <v>1</v>
      </c>
      <c r="Q820" s="14">
        <v>1</v>
      </c>
      <c r="R820" s="14">
        <v>1</v>
      </c>
      <c r="S820" s="14">
        <v>1</v>
      </c>
      <c r="T820" s="14">
        <v>1</v>
      </c>
      <c r="U820" s="14">
        <v>1</v>
      </c>
      <c r="V820" s="14">
        <v>0.99</v>
      </c>
      <c r="W820" s="14">
        <v>0.99</v>
      </c>
      <c r="X820" s="14">
        <v>0.99</v>
      </c>
    </row>
    <row r="821" spans="1:24" hidden="1" x14ac:dyDescent="0.3">
      <c r="A821" s="14" t="s">
        <v>403</v>
      </c>
      <c r="B821" s="14" t="s">
        <v>43</v>
      </c>
      <c r="C821" s="14" t="s">
        <v>340</v>
      </c>
      <c r="D821" s="14" t="s">
        <v>341</v>
      </c>
      <c r="E821" s="14" t="s">
        <v>344</v>
      </c>
      <c r="F821" s="14" t="s">
        <v>343</v>
      </c>
      <c r="G821" s="14" t="s">
        <v>343</v>
      </c>
      <c r="H821" s="14" t="s">
        <v>343</v>
      </c>
      <c r="K821" s="14">
        <v>44</v>
      </c>
      <c r="L821" s="14">
        <v>1</v>
      </c>
      <c r="M821" s="14">
        <v>1</v>
      </c>
      <c r="N821" s="14">
        <v>1</v>
      </c>
      <c r="O821" s="14">
        <v>1</v>
      </c>
      <c r="P821" s="14">
        <v>1</v>
      </c>
      <c r="Q821" s="14">
        <v>42</v>
      </c>
      <c r="R821" s="14">
        <v>46</v>
      </c>
      <c r="S821" s="14">
        <v>1</v>
      </c>
      <c r="T821" s="14">
        <v>1</v>
      </c>
      <c r="U821" s="14">
        <v>1</v>
      </c>
      <c r="V821" s="14">
        <v>79</v>
      </c>
      <c r="W821" s="14">
        <v>83</v>
      </c>
      <c r="X821" s="14">
        <v>67</v>
      </c>
    </row>
    <row r="822" spans="1:24" hidden="1" x14ac:dyDescent="0.3">
      <c r="A822" s="14" t="s">
        <v>403</v>
      </c>
      <c r="B822" s="14" t="s">
        <v>43</v>
      </c>
      <c r="C822" s="14" t="s">
        <v>345</v>
      </c>
      <c r="D822" s="14" t="s">
        <v>346</v>
      </c>
      <c r="E822" s="14" t="s">
        <v>342</v>
      </c>
      <c r="F822" s="14" t="s">
        <v>343</v>
      </c>
      <c r="G822" s="14" t="s">
        <v>343</v>
      </c>
      <c r="H822" s="14" t="s">
        <v>343</v>
      </c>
      <c r="U822" s="14">
        <v>0.68</v>
      </c>
      <c r="V822" s="14">
        <v>0.7</v>
      </c>
      <c r="W822" s="14">
        <v>0.87</v>
      </c>
      <c r="X822" s="14">
        <v>0.85</v>
      </c>
    </row>
    <row r="823" spans="1:24" hidden="1" x14ac:dyDescent="0.3">
      <c r="A823" s="14" t="s">
        <v>403</v>
      </c>
      <c r="B823" s="14" t="s">
        <v>43</v>
      </c>
      <c r="C823" s="14" t="s">
        <v>345</v>
      </c>
      <c r="D823" s="14" t="s">
        <v>346</v>
      </c>
      <c r="E823" s="14" t="s">
        <v>344</v>
      </c>
      <c r="F823" s="14" t="s">
        <v>343</v>
      </c>
      <c r="G823" s="14" t="s">
        <v>343</v>
      </c>
      <c r="H823" s="14" t="s">
        <v>343</v>
      </c>
      <c r="U823" s="14">
        <v>39</v>
      </c>
      <c r="V823" s="14">
        <v>39</v>
      </c>
      <c r="W823" s="14">
        <v>6</v>
      </c>
      <c r="X823" s="14">
        <v>5</v>
      </c>
    </row>
    <row r="824" spans="1:24" hidden="1" x14ac:dyDescent="0.3">
      <c r="A824" s="14" t="s">
        <v>403</v>
      </c>
      <c r="B824" s="14" t="s">
        <v>43</v>
      </c>
      <c r="C824" s="14" t="s">
        <v>347</v>
      </c>
      <c r="D824" s="14" t="s">
        <v>348</v>
      </c>
      <c r="E824" s="14" t="s">
        <v>342</v>
      </c>
      <c r="F824" s="14" t="s">
        <v>343</v>
      </c>
      <c r="G824" s="14" t="s">
        <v>343</v>
      </c>
      <c r="H824" s="14" t="s">
        <v>343</v>
      </c>
      <c r="U824" s="14">
        <v>0.93</v>
      </c>
      <c r="V824" s="14">
        <v>0.93</v>
      </c>
      <c r="W824" s="14">
        <v>0.94</v>
      </c>
      <c r="X824" s="14">
        <v>0.88</v>
      </c>
    </row>
    <row r="825" spans="1:24" hidden="1" x14ac:dyDescent="0.3">
      <c r="A825" s="14" t="s">
        <v>403</v>
      </c>
      <c r="B825" s="14" t="s">
        <v>43</v>
      </c>
      <c r="C825" s="14" t="s">
        <v>347</v>
      </c>
      <c r="D825" s="14" t="s">
        <v>348</v>
      </c>
      <c r="E825" s="14" t="s">
        <v>344</v>
      </c>
      <c r="F825" s="14" t="s">
        <v>343</v>
      </c>
      <c r="G825" s="14" t="s">
        <v>343</v>
      </c>
      <c r="H825" s="14" t="s">
        <v>343</v>
      </c>
      <c r="U825" s="14">
        <v>22</v>
      </c>
      <c r="V825" s="14">
        <v>21</v>
      </c>
      <c r="W825" s="14">
        <v>19</v>
      </c>
      <c r="X825" s="14">
        <v>25</v>
      </c>
    </row>
    <row r="826" spans="1:24" hidden="1" x14ac:dyDescent="0.3">
      <c r="A826" s="14" t="s">
        <v>403</v>
      </c>
      <c r="B826" s="14" t="s">
        <v>43</v>
      </c>
      <c r="C826" s="14" t="s">
        <v>349</v>
      </c>
      <c r="D826" s="14" t="s">
        <v>350</v>
      </c>
      <c r="E826" s="14" t="s">
        <v>342</v>
      </c>
      <c r="F826" s="14" t="s">
        <v>343</v>
      </c>
      <c r="G826" s="14" t="s">
        <v>343</v>
      </c>
      <c r="H826" s="14" t="s">
        <v>343</v>
      </c>
      <c r="U826" s="14">
        <v>0.96</v>
      </c>
      <c r="V826" s="14">
        <v>0.96</v>
      </c>
      <c r="W826" s="14">
        <v>0.85</v>
      </c>
      <c r="X826" s="14">
        <v>0.85</v>
      </c>
    </row>
    <row r="827" spans="1:24" hidden="1" x14ac:dyDescent="0.3">
      <c r="A827" s="14" t="s">
        <v>403</v>
      </c>
      <c r="B827" s="14" t="s">
        <v>43</v>
      </c>
      <c r="C827" s="14" t="s">
        <v>349</v>
      </c>
      <c r="D827" s="14" t="s">
        <v>350</v>
      </c>
      <c r="E827" s="14" t="s">
        <v>344</v>
      </c>
      <c r="F827" s="14" t="s">
        <v>343</v>
      </c>
      <c r="G827" s="14" t="s">
        <v>343</v>
      </c>
      <c r="H827" s="14" t="s">
        <v>343</v>
      </c>
      <c r="U827" s="14">
        <v>7</v>
      </c>
      <c r="V827" s="14">
        <v>8</v>
      </c>
      <c r="W827" s="14">
        <v>18</v>
      </c>
      <c r="X827" s="14">
        <v>22</v>
      </c>
    </row>
    <row r="828" spans="1:24" hidden="1" x14ac:dyDescent="0.3">
      <c r="A828" s="14" t="s">
        <v>403</v>
      </c>
      <c r="B828" s="14" t="s">
        <v>43</v>
      </c>
      <c r="C828" s="14" t="s">
        <v>351</v>
      </c>
      <c r="D828" s="14" t="s">
        <v>352</v>
      </c>
      <c r="E828" s="14" t="s">
        <v>342</v>
      </c>
      <c r="F828" s="14" t="s">
        <v>343</v>
      </c>
      <c r="G828" s="14" t="s">
        <v>343</v>
      </c>
      <c r="H828" s="14" t="s">
        <v>343</v>
      </c>
      <c r="U828" s="14">
        <v>1</v>
      </c>
      <c r="V828" s="14">
        <v>1</v>
      </c>
      <c r="W828" s="14">
        <v>1</v>
      </c>
      <c r="X828" s="14">
        <v>1</v>
      </c>
    </row>
    <row r="829" spans="1:24" hidden="1" x14ac:dyDescent="0.3">
      <c r="A829" s="14" t="s">
        <v>403</v>
      </c>
      <c r="B829" s="14" t="s">
        <v>43</v>
      </c>
      <c r="C829" s="14" t="s">
        <v>351</v>
      </c>
      <c r="D829" s="14" t="s">
        <v>352</v>
      </c>
      <c r="E829" s="14" t="s">
        <v>344</v>
      </c>
      <c r="F829" s="14" t="s">
        <v>343</v>
      </c>
      <c r="G829" s="14" t="s">
        <v>343</v>
      </c>
      <c r="H829" s="14" t="s">
        <v>343</v>
      </c>
      <c r="U829" s="14">
        <v>1</v>
      </c>
      <c r="V829" s="14">
        <v>1</v>
      </c>
      <c r="W829" s="14">
        <v>1</v>
      </c>
      <c r="X829" s="14">
        <v>1</v>
      </c>
    </row>
    <row r="830" spans="1:24" hidden="1" x14ac:dyDescent="0.3">
      <c r="A830" s="14" t="s">
        <v>403</v>
      </c>
      <c r="B830" s="14" t="s">
        <v>43</v>
      </c>
      <c r="C830" s="14" t="s">
        <v>378</v>
      </c>
      <c r="D830" s="14" t="s">
        <v>379</v>
      </c>
      <c r="E830" s="14" t="s">
        <v>342</v>
      </c>
      <c r="F830" s="14" t="s">
        <v>343</v>
      </c>
      <c r="G830" s="14" t="s">
        <v>343</v>
      </c>
      <c r="H830" s="14" t="s">
        <v>343</v>
      </c>
      <c r="S830" s="14">
        <v>0.71</v>
      </c>
      <c r="V830" s="14">
        <v>0.66</v>
      </c>
      <c r="W830" s="14">
        <v>0.68</v>
      </c>
      <c r="X830" s="14">
        <v>0.71</v>
      </c>
    </row>
    <row r="831" spans="1:24" hidden="1" x14ac:dyDescent="0.3">
      <c r="A831" s="14" t="s">
        <v>403</v>
      </c>
      <c r="B831" s="14" t="s">
        <v>43</v>
      </c>
      <c r="C831" s="14" t="s">
        <v>378</v>
      </c>
      <c r="D831" s="14" t="s">
        <v>379</v>
      </c>
      <c r="E831" s="14" t="s">
        <v>344</v>
      </c>
      <c r="F831" s="14" t="s">
        <v>343</v>
      </c>
      <c r="G831" s="14" t="s">
        <v>343</v>
      </c>
      <c r="H831" s="14" t="s">
        <v>343</v>
      </c>
      <c r="S831" s="14">
        <v>38</v>
      </c>
      <c r="V831" s="14">
        <v>72</v>
      </c>
      <c r="W831" s="14">
        <v>65</v>
      </c>
      <c r="X831" s="14">
        <v>40</v>
      </c>
    </row>
    <row r="832" spans="1:24" hidden="1" x14ac:dyDescent="0.3">
      <c r="A832" s="14" t="s">
        <v>403</v>
      </c>
      <c r="B832" s="14" t="s">
        <v>43</v>
      </c>
      <c r="C832" s="14" t="s">
        <v>353</v>
      </c>
      <c r="D832" s="14" t="s">
        <v>354</v>
      </c>
      <c r="E832" s="14" t="s">
        <v>342</v>
      </c>
      <c r="F832" s="14" t="s">
        <v>343</v>
      </c>
      <c r="G832" s="14" t="s">
        <v>343</v>
      </c>
      <c r="H832" s="14" t="s">
        <v>343</v>
      </c>
      <c r="U832" s="14">
        <v>1</v>
      </c>
      <c r="V832" s="14">
        <v>1</v>
      </c>
      <c r="W832" s="14">
        <v>1</v>
      </c>
      <c r="X832" s="14">
        <v>1</v>
      </c>
    </row>
    <row r="833" spans="1:24" hidden="1" x14ac:dyDescent="0.3">
      <c r="A833" s="14" t="s">
        <v>403</v>
      </c>
      <c r="B833" s="14" t="s">
        <v>43</v>
      </c>
      <c r="C833" s="14" t="s">
        <v>353</v>
      </c>
      <c r="D833" s="14" t="s">
        <v>354</v>
      </c>
      <c r="E833" s="14" t="s">
        <v>344</v>
      </c>
      <c r="F833" s="14" t="s">
        <v>343</v>
      </c>
      <c r="G833" s="14" t="s">
        <v>343</v>
      </c>
      <c r="H833" s="14" t="s">
        <v>343</v>
      </c>
      <c r="U833" s="14">
        <v>1</v>
      </c>
      <c r="V833" s="14">
        <v>1</v>
      </c>
      <c r="W833" s="14">
        <v>1</v>
      </c>
      <c r="X833" s="14">
        <v>1</v>
      </c>
    </row>
    <row r="834" spans="1:24" hidden="1" x14ac:dyDescent="0.3">
      <c r="A834" s="14" t="s">
        <v>403</v>
      </c>
      <c r="B834" s="14" t="s">
        <v>43</v>
      </c>
      <c r="C834" s="14" t="s">
        <v>380</v>
      </c>
      <c r="D834" s="14" t="s">
        <v>381</v>
      </c>
      <c r="E834" s="14" t="s">
        <v>342</v>
      </c>
      <c r="F834" s="14" t="s">
        <v>343</v>
      </c>
      <c r="G834" s="14" t="s">
        <v>343</v>
      </c>
      <c r="H834" s="14" t="s">
        <v>343</v>
      </c>
      <c r="U834" s="14">
        <v>1</v>
      </c>
      <c r="V834" s="14">
        <v>0.98</v>
      </c>
      <c r="W834" s="14">
        <v>0.98</v>
      </c>
      <c r="X834" s="14">
        <v>0.99</v>
      </c>
    </row>
    <row r="835" spans="1:24" hidden="1" x14ac:dyDescent="0.3">
      <c r="A835" s="14" t="s">
        <v>403</v>
      </c>
      <c r="B835" s="14" t="s">
        <v>43</v>
      </c>
      <c r="C835" s="14" t="s">
        <v>380</v>
      </c>
      <c r="D835" s="14" t="s">
        <v>381</v>
      </c>
      <c r="E835" s="14" t="s">
        <v>344</v>
      </c>
      <c r="F835" s="14" t="s">
        <v>343</v>
      </c>
      <c r="G835" s="14" t="s">
        <v>343</v>
      </c>
      <c r="H835" s="14" t="s">
        <v>343</v>
      </c>
      <c r="U835" s="14">
        <v>1</v>
      </c>
      <c r="V835" s="14">
        <v>127</v>
      </c>
      <c r="W835" s="14">
        <v>127</v>
      </c>
      <c r="X835" s="14">
        <v>98</v>
      </c>
    </row>
    <row r="836" spans="1:24" hidden="1" x14ac:dyDescent="0.3">
      <c r="A836" s="14" t="s">
        <v>403</v>
      </c>
      <c r="B836" s="14" t="s">
        <v>43</v>
      </c>
      <c r="C836" s="14" t="s">
        <v>355</v>
      </c>
      <c r="D836" s="14" t="s">
        <v>356</v>
      </c>
      <c r="E836" s="14" t="s">
        <v>342</v>
      </c>
      <c r="F836" s="14" t="s">
        <v>343</v>
      </c>
      <c r="G836" s="14" t="s">
        <v>343</v>
      </c>
      <c r="H836" s="14" t="s">
        <v>343</v>
      </c>
      <c r="U836" s="14">
        <v>1</v>
      </c>
      <c r="V836" s="14">
        <v>1</v>
      </c>
      <c r="W836" s="14">
        <v>1</v>
      </c>
      <c r="X836" s="14">
        <v>1</v>
      </c>
    </row>
    <row r="837" spans="1:24" hidden="1" x14ac:dyDescent="0.3">
      <c r="A837" s="14" t="s">
        <v>403</v>
      </c>
      <c r="B837" s="14" t="s">
        <v>43</v>
      </c>
      <c r="C837" s="14" t="s">
        <v>355</v>
      </c>
      <c r="D837" s="14" t="s">
        <v>356</v>
      </c>
      <c r="E837" s="14" t="s">
        <v>344</v>
      </c>
      <c r="F837" s="14" t="s">
        <v>343</v>
      </c>
      <c r="G837" s="14" t="s">
        <v>343</v>
      </c>
      <c r="H837" s="14" t="s">
        <v>343</v>
      </c>
      <c r="U837" s="14">
        <v>1</v>
      </c>
      <c r="V837" s="14">
        <v>1</v>
      </c>
      <c r="W837" s="14">
        <v>1</v>
      </c>
      <c r="X837" s="14">
        <v>1</v>
      </c>
    </row>
    <row r="838" spans="1:24" hidden="1" x14ac:dyDescent="0.3">
      <c r="A838" s="14" t="s">
        <v>403</v>
      </c>
      <c r="B838" s="14" t="s">
        <v>43</v>
      </c>
      <c r="C838" s="14" t="s">
        <v>357</v>
      </c>
      <c r="D838" s="14" t="s">
        <v>358</v>
      </c>
      <c r="E838" s="14" t="s">
        <v>342</v>
      </c>
      <c r="F838" s="14" t="s">
        <v>343</v>
      </c>
      <c r="G838" s="14" t="s">
        <v>343</v>
      </c>
      <c r="H838" s="14" t="s">
        <v>343</v>
      </c>
      <c r="U838" s="14">
        <v>1</v>
      </c>
      <c r="V838" s="14">
        <v>1</v>
      </c>
      <c r="W838" s="14">
        <v>1</v>
      </c>
    </row>
    <row r="839" spans="1:24" hidden="1" x14ac:dyDescent="0.3">
      <c r="A839" s="14" t="s">
        <v>403</v>
      </c>
      <c r="B839" s="14" t="s">
        <v>43</v>
      </c>
      <c r="C839" s="14" t="s">
        <v>357</v>
      </c>
      <c r="D839" s="14" t="s">
        <v>358</v>
      </c>
      <c r="E839" s="14" t="s">
        <v>344</v>
      </c>
      <c r="F839" s="14" t="s">
        <v>343</v>
      </c>
      <c r="G839" s="14" t="s">
        <v>343</v>
      </c>
      <c r="H839" s="14" t="s">
        <v>343</v>
      </c>
      <c r="U839" s="14">
        <v>1</v>
      </c>
      <c r="V839" s="14">
        <v>1</v>
      </c>
      <c r="W839" s="14">
        <v>1</v>
      </c>
    </row>
    <row r="840" spans="1:24" hidden="1" x14ac:dyDescent="0.3">
      <c r="A840" s="14" t="s">
        <v>403</v>
      </c>
      <c r="B840" s="14" t="s">
        <v>43</v>
      </c>
      <c r="C840" s="14" t="s">
        <v>359</v>
      </c>
      <c r="D840" s="14" t="s">
        <v>360</v>
      </c>
      <c r="E840" s="14" t="s">
        <v>342</v>
      </c>
      <c r="F840" s="14" t="s">
        <v>343</v>
      </c>
      <c r="G840" s="14" t="s">
        <v>343</v>
      </c>
      <c r="H840" s="14" t="s">
        <v>343</v>
      </c>
      <c r="K840" s="14">
        <v>0.77</v>
      </c>
      <c r="L840" s="14">
        <v>0.79</v>
      </c>
      <c r="M840" s="14">
        <v>0.79</v>
      </c>
      <c r="N840" s="14">
        <v>0.78</v>
      </c>
      <c r="O840" s="14">
        <v>0.79</v>
      </c>
      <c r="P840" s="14">
        <v>0.79</v>
      </c>
      <c r="Q840" s="14">
        <v>0.79</v>
      </c>
      <c r="R840" s="14">
        <v>0.85</v>
      </c>
      <c r="S840" s="14">
        <v>0.82</v>
      </c>
      <c r="T840" s="14">
        <v>0.88</v>
      </c>
      <c r="U840" s="14">
        <v>0.87</v>
      </c>
      <c r="V840" s="14">
        <v>0.81</v>
      </c>
      <c r="W840" s="14">
        <v>0.84</v>
      </c>
      <c r="X840" s="14">
        <v>0.83</v>
      </c>
    </row>
    <row r="841" spans="1:24" hidden="1" x14ac:dyDescent="0.3">
      <c r="A841" s="14" t="s">
        <v>403</v>
      </c>
      <c r="B841" s="14" t="s">
        <v>43</v>
      </c>
      <c r="C841" s="14" t="s">
        <v>359</v>
      </c>
      <c r="D841" s="14" t="s">
        <v>360</v>
      </c>
      <c r="E841" s="14" t="s">
        <v>344</v>
      </c>
      <c r="F841" s="14" t="s">
        <v>343</v>
      </c>
      <c r="G841" s="14" t="s">
        <v>343</v>
      </c>
      <c r="H841" s="14" t="s">
        <v>343</v>
      </c>
      <c r="K841" s="14">
        <v>9</v>
      </c>
      <c r="L841" s="14">
        <v>5</v>
      </c>
      <c r="M841" s="14">
        <v>7</v>
      </c>
      <c r="N841" s="14">
        <v>8</v>
      </c>
      <c r="O841" s="14">
        <v>11</v>
      </c>
      <c r="P841" s="14">
        <v>10</v>
      </c>
      <c r="Q841" s="14">
        <v>20</v>
      </c>
      <c r="R841" s="14">
        <v>2</v>
      </c>
      <c r="S841" s="14">
        <v>4</v>
      </c>
      <c r="T841" s="14">
        <v>2</v>
      </c>
      <c r="U841" s="14">
        <v>2</v>
      </c>
      <c r="V841" s="14">
        <v>9</v>
      </c>
      <c r="W841" s="14">
        <v>7</v>
      </c>
      <c r="X841" s="14">
        <v>3</v>
      </c>
    </row>
    <row r="842" spans="1:24" x14ac:dyDescent="0.3">
      <c r="A842" s="14" t="s">
        <v>403</v>
      </c>
      <c r="B842" s="14" t="s">
        <v>43</v>
      </c>
      <c r="C842" s="14" t="s">
        <v>361</v>
      </c>
      <c r="D842" s="14" t="s">
        <v>362</v>
      </c>
      <c r="E842" s="14" t="s">
        <v>342</v>
      </c>
      <c r="F842" s="14" t="s">
        <v>343</v>
      </c>
      <c r="G842" s="14" t="s">
        <v>343</v>
      </c>
      <c r="H842" s="14" t="s">
        <v>343</v>
      </c>
      <c r="K842" s="14">
        <v>0.98</v>
      </c>
      <c r="L842" s="14">
        <v>0.98</v>
      </c>
      <c r="M842" s="14">
        <v>0.98</v>
      </c>
      <c r="N842" s="14">
        <v>0.98</v>
      </c>
      <c r="O842" s="14">
        <v>0.98</v>
      </c>
      <c r="P842" s="14">
        <v>0.98</v>
      </c>
      <c r="Q842" s="14">
        <v>0.98</v>
      </c>
      <c r="R842" s="14">
        <v>0.98</v>
      </c>
      <c r="S842" s="14">
        <v>0.98</v>
      </c>
      <c r="T842" s="14">
        <v>0.97</v>
      </c>
      <c r="U842" s="14">
        <v>0.98</v>
      </c>
      <c r="V842" s="14">
        <v>0.98</v>
      </c>
      <c r="W842" s="14">
        <v>0.97</v>
      </c>
      <c r="X842" s="14">
        <v>0.97</v>
      </c>
    </row>
    <row r="843" spans="1:24" hidden="1" x14ac:dyDescent="0.3">
      <c r="A843" s="14" t="s">
        <v>403</v>
      </c>
      <c r="B843" s="14" t="s">
        <v>43</v>
      </c>
      <c r="C843" s="14" t="s">
        <v>361</v>
      </c>
      <c r="D843" s="14" t="s">
        <v>362</v>
      </c>
      <c r="E843" s="14" t="s">
        <v>344</v>
      </c>
      <c r="F843" s="14" t="s">
        <v>343</v>
      </c>
      <c r="G843" s="14" t="s">
        <v>343</v>
      </c>
      <c r="H843" s="14" t="s">
        <v>343</v>
      </c>
      <c r="K843" s="14">
        <v>1</v>
      </c>
      <c r="L843" s="14">
        <v>1</v>
      </c>
      <c r="M843" s="14">
        <v>1</v>
      </c>
      <c r="N843" s="14">
        <v>1</v>
      </c>
      <c r="O843" s="14">
        <v>1</v>
      </c>
      <c r="P843" s="14">
        <v>1</v>
      </c>
      <c r="Q843" s="14">
        <v>1</v>
      </c>
      <c r="R843" s="14">
        <v>1</v>
      </c>
      <c r="S843" s="14">
        <v>1</v>
      </c>
      <c r="T843" s="14">
        <v>83</v>
      </c>
      <c r="U843" s="14">
        <v>72</v>
      </c>
      <c r="V843" s="14">
        <v>71</v>
      </c>
      <c r="W843" s="14">
        <v>97</v>
      </c>
      <c r="X843" s="14">
        <v>92</v>
      </c>
    </row>
    <row r="844" spans="1:24" hidden="1" x14ac:dyDescent="0.3">
      <c r="A844" s="14" t="s">
        <v>403</v>
      </c>
      <c r="B844" s="14" t="s">
        <v>43</v>
      </c>
      <c r="C844" s="14" t="s">
        <v>363</v>
      </c>
      <c r="D844" s="14" t="s">
        <v>364</v>
      </c>
      <c r="E844" s="14" t="s">
        <v>342</v>
      </c>
      <c r="F844" s="14" t="s">
        <v>343</v>
      </c>
      <c r="G844" s="14" t="s">
        <v>343</v>
      </c>
      <c r="H844" s="14" t="s">
        <v>343</v>
      </c>
      <c r="U844" s="14">
        <v>1.05</v>
      </c>
      <c r="V844" s="14">
        <v>1.05</v>
      </c>
      <c r="W844" s="14">
        <v>1.02</v>
      </c>
      <c r="X844" s="14">
        <v>1.02</v>
      </c>
    </row>
    <row r="845" spans="1:24" hidden="1" x14ac:dyDescent="0.3">
      <c r="A845" s="14" t="s">
        <v>403</v>
      </c>
      <c r="B845" s="14" t="s">
        <v>43</v>
      </c>
      <c r="C845" s="14" t="s">
        <v>363</v>
      </c>
      <c r="D845" s="14" t="s">
        <v>364</v>
      </c>
      <c r="E845" s="14" t="s">
        <v>344</v>
      </c>
      <c r="F845" s="14" t="s">
        <v>343</v>
      </c>
      <c r="G845" s="14" t="s">
        <v>343</v>
      </c>
      <c r="H845" s="14" t="s">
        <v>343</v>
      </c>
      <c r="U845" s="14">
        <v>80</v>
      </c>
      <c r="V845" s="14">
        <v>83</v>
      </c>
      <c r="W845" s="14">
        <v>106</v>
      </c>
      <c r="X845" s="14">
        <v>102</v>
      </c>
    </row>
    <row r="846" spans="1:24" hidden="1" x14ac:dyDescent="0.3">
      <c r="A846" s="14" t="s">
        <v>403</v>
      </c>
      <c r="B846" s="14" t="s">
        <v>43</v>
      </c>
      <c r="C846" s="14" t="s">
        <v>365</v>
      </c>
      <c r="D846" s="14" t="s">
        <v>366</v>
      </c>
      <c r="E846" s="14" t="s">
        <v>342</v>
      </c>
      <c r="F846" s="14" t="s">
        <v>343</v>
      </c>
      <c r="G846" s="14" t="s">
        <v>343</v>
      </c>
      <c r="H846" s="14" t="s">
        <v>343</v>
      </c>
      <c r="U846" s="14">
        <v>0.94</v>
      </c>
      <c r="V846" s="14">
        <v>0.94</v>
      </c>
      <c r="W846" s="14">
        <v>0.94</v>
      </c>
      <c r="X846" s="14">
        <v>0.94</v>
      </c>
    </row>
    <row r="847" spans="1:24" hidden="1" x14ac:dyDescent="0.3">
      <c r="A847" s="14" t="s">
        <v>403</v>
      </c>
      <c r="B847" s="14" t="s">
        <v>43</v>
      </c>
      <c r="C847" s="14" t="s">
        <v>365</v>
      </c>
      <c r="D847" s="14" t="s">
        <v>366</v>
      </c>
      <c r="E847" s="14" t="s">
        <v>344</v>
      </c>
      <c r="F847" s="14" t="s">
        <v>343</v>
      </c>
      <c r="G847" s="14" t="s">
        <v>343</v>
      </c>
      <c r="H847" s="14" t="s">
        <v>343</v>
      </c>
      <c r="U847" s="14">
        <v>1</v>
      </c>
      <c r="V847" s="14">
        <v>1</v>
      </c>
      <c r="W847" s="14">
        <v>1</v>
      </c>
      <c r="X847" s="14">
        <v>1</v>
      </c>
    </row>
    <row r="848" spans="1:24" hidden="1" x14ac:dyDescent="0.3">
      <c r="A848" s="14" t="s">
        <v>403</v>
      </c>
      <c r="B848" s="14" t="s">
        <v>43</v>
      </c>
      <c r="C848" s="14" t="s">
        <v>367</v>
      </c>
      <c r="D848" s="14" t="s">
        <v>368</v>
      </c>
      <c r="E848" s="14" t="s">
        <v>342</v>
      </c>
      <c r="F848" s="14" t="s">
        <v>343</v>
      </c>
      <c r="G848" s="14" t="s">
        <v>343</v>
      </c>
      <c r="H848" s="14" t="s">
        <v>343</v>
      </c>
      <c r="K848" s="14">
        <v>0.72</v>
      </c>
      <c r="L848" s="14">
        <v>0.72</v>
      </c>
      <c r="M848" s="14">
        <v>0.72</v>
      </c>
      <c r="N848" s="14">
        <v>0.72</v>
      </c>
      <c r="O848" s="14">
        <v>0.72</v>
      </c>
      <c r="P848" s="14">
        <v>0.73</v>
      </c>
      <c r="Q848" s="14">
        <v>0.73</v>
      </c>
      <c r="R848" s="14">
        <v>0.74</v>
      </c>
      <c r="S848" s="14">
        <v>0.74</v>
      </c>
      <c r="T848" s="14">
        <v>0.75</v>
      </c>
      <c r="U848" s="14">
        <v>0.75</v>
      </c>
      <c r="V848" s="14">
        <v>0.75</v>
      </c>
      <c r="W848" s="14">
        <v>0.77</v>
      </c>
      <c r="X848" s="14">
        <v>0.76</v>
      </c>
    </row>
    <row r="849" spans="1:24" hidden="1" x14ac:dyDescent="0.3">
      <c r="A849" s="14" t="s">
        <v>403</v>
      </c>
      <c r="B849" s="14" t="s">
        <v>43</v>
      </c>
      <c r="C849" s="14" t="s">
        <v>367</v>
      </c>
      <c r="D849" s="14" t="s">
        <v>368</v>
      </c>
      <c r="E849" s="14" t="s">
        <v>344</v>
      </c>
      <c r="F849" s="14" t="s">
        <v>343</v>
      </c>
      <c r="G849" s="14" t="s">
        <v>343</v>
      </c>
      <c r="H849" s="14" t="s">
        <v>343</v>
      </c>
      <c r="K849" s="14">
        <v>26</v>
      </c>
      <c r="L849" s="14">
        <v>21</v>
      </c>
      <c r="M849" s="14">
        <v>31</v>
      </c>
      <c r="N849" s="14">
        <v>33</v>
      </c>
      <c r="O849" s="14">
        <v>27</v>
      </c>
      <c r="P849" s="14">
        <v>29</v>
      </c>
      <c r="Q849" s="14">
        <v>33</v>
      </c>
      <c r="R849" s="14">
        <v>24</v>
      </c>
      <c r="S849" s="14">
        <v>28</v>
      </c>
      <c r="T849" s="14">
        <v>23</v>
      </c>
      <c r="U849" s="14">
        <v>21</v>
      </c>
      <c r="V849" s="14">
        <v>28</v>
      </c>
      <c r="W849" s="14">
        <v>27</v>
      </c>
      <c r="X849" s="14">
        <v>30</v>
      </c>
    </row>
    <row r="850" spans="1:24" hidden="1" x14ac:dyDescent="0.3">
      <c r="A850" s="14" t="s">
        <v>403</v>
      </c>
      <c r="B850" s="14" t="s">
        <v>43</v>
      </c>
      <c r="C850" s="14" t="s">
        <v>369</v>
      </c>
      <c r="D850" s="14" t="s">
        <v>370</v>
      </c>
      <c r="E850" s="14" t="s">
        <v>342</v>
      </c>
      <c r="F850" s="14" t="s">
        <v>343</v>
      </c>
      <c r="G850" s="14" t="s">
        <v>343</v>
      </c>
      <c r="H850" s="14" t="s">
        <v>343</v>
      </c>
      <c r="K850" s="14">
        <v>0.13</v>
      </c>
      <c r="L850" s="14">
        <v>0.13</v>
      </c>
      <c r="M850" s="14">
        <v>0.1</v>
      </c>
      <c r="N850" s="14">
        <v>0.1</v>
      </c>
      <c r="O850" s="14">
        <v>0.12</v>
      </c>
      <c r="P850" s="14">
        <v>0.15</v>
      </c>
      <c r="Q850" s="14">
        <v>0.15</v>
      </c>
      <c r="R850" s="14">
        <v>0.15</v>
      </c>
      <c r="S850" s="14">
        <v>0.15</v>
      </c>
      <c r="T850" s="14">
        <v>0.15</v>
      </c>
      <c r="U850" s="14">
        <v>0.17</v>
      </c>
      <c r="V850" s="14">
        <v>0.22</v>
      </c>
      <c r="W850" s="14">
        <v>0.28000000000000003</v>
      </c>
      <c r="X850" s="14">
        <v>0.27</v>
      </c>
    </row>
    <row r="851" spans="1:24" hidden="1" x14ac:dyDescent="0.3">
      <c r="A851" s="14" t="s">
        <v>403</v>
      </c>
      <c r="B851" s="14" t="s">
        <v>43</v>
      </c>
      <c r="C851" s="14" t="s">
        <v>369</v>
      </c>
      <c r="D851" s="14" t="s">
        <v>370</v>
      </c>
      <c r="E851" s="14" t="s">
        <v>344</v>
      </c>
      <c r="F851" s="14" t="s">
        <v>343</v>
      </c>
      <c r="G851" s="14" t="s">
        <v>343</v>
      </c>
      <c r="H851" s="14" t="s">
        <v>343</v>
      </c>
      <c r="K851" s="14">
        <v>62</v>
      </c>
      <c r="L851" s="14">
        <v>67</v>
      </c>
      <c r="M851" s="14">
        <v>80</v>
      </c>
      <c r="N851" s="14">
        <v>82</v>
      </c>
      <c r="O851" s="14">
        <v>79</v>
      </c>
      <c r="P851" s="14">
        <v>63</v>
      </c>
      <c r="Q851" s="14">
        <v>73</v>
      </c>
      <c r="R851" s="14">
        <v>77</v>
      </c>
      <c r="S851" s="14">
        <v>78</v>
      </c>
      <c r="T851" s="14">
        <v>82</v>
      </c>
      <c r="U851" s="14">
        <v>77</v>
      </c>
      <c r="V851" s="14">
        <v>61</v>
      </c>
      <c r="W851" s="14">
        <v>50</v>
      </c>
      <c r="X851" s="14">
        <v>49</v>
      </c>
    </row>
    <row r="852" spans="1:24" hidden="1" x14ac:dyDescent="0.3">
      <c r="A852" s="14" t="s">
        <v>403</v>
      </c>
      <c r="B852" s="14" t="s">
        <v>43</v>
      </c>
      <c r="C852" s="14" t="s">
        <v>371</v>
      </c>
      <c r="D852" s="14" t="s">
        <v>372</v>
      </c>
      <c r="E852" s="14" t="s">
        <v>342</v>
      </c>
      <c r="F852" s="14" t="s">
        <v>343</v>
      </c>
      <c r="G852" s="14" t="s">
        <v>343</v>
      </c>
      <c r="H852" s="14" t="s">
        <v>343</v>
      </c>
      <c r="U852" s="14">
        <v>0.12</v>
      </c>
      <c r="V852" s="14">
        <v>0.15</v>
      </c>
      <c r="W852" s="14">
        <v>0.2</v>
      </c>
      <c r="X852" s="14">
        <v>0.09</v>
      </c>
    </row>
    <row r="853" spans="1:24" hidden="1" x14ac:dyDescent="0.3">
      <c r="A853" s="14" t="s">
        <v>403</v>
      </c>
      <c r="B853" s="14" t="s">
        <v>43</v>
      </c>
      <c r="C853" s="14" t="s">
        <v>371</v>
      </c>
      <c r="D853" s="14" t="s">
        <v>372</v>
      </c>
      <c r="E853" s="14" t="s">
        <v>344</v>
      </c>
      <c r="F853" s="14" t="s">
        <v>343</v>
      </c>
      <c r="G853" s="14" t="s">
        <v>343</v>
      </c>
      <c r="H853" s="14" t="s">
        <v>343</v>
      </c>
      <c r="U853" s="14">
        <v>25</v>
      </c>
      <c r="V853" s="14">
        <v>22</v>
      </c>
      <c r="W853" s="14">
        <v>18</v>
      </c>
      <c r="X853" s="14">
        <v>35</v>
      </c>
    </row>
    <row r="854" spans="1:24" hidden="1" x14ac:dyDescent="0.3">
      <c r="A854" s="14" t="s">
        <v>403</v>
      </c>
      <c r="B854" s="14" t="s">
        <v>43</v>
      </c>
      <c r="C854" s="14" t="s">
        <v>373</v>
      </c>
      <c r="D854" s="14" t="s">
        <v>374</v>
      </c>
      <c r="E854" s="14" t="s">
        <v>342</v>
      </c>
      <c r="F854" s="14" t="s">
        <v>343</v>
      </c>
      <c r="G854" s="14" t="s">
        <v>343</v>
      </c>
      <c r="H854" s="14" t="s">
        <v>343</v>
      </c>
      <c r="U854" s="14">
        <v>0.13</v>
      </c>
      <c r="V854" s="14">
        <v>0.31</v>
      </c>
      <c r="W854" s="14">
        <v>0.46</v>
      </c>
      <c r="X854" s="14">
        <v>0.46</v>
      </c>
    </row>
    <row r="855" spans="1:24" hidden="1" x14ac:dyDescent="0.3">
      <c r="A855" s="14" t="s">
        <v>403</v>
      </c>
      <c r="B855" s="14" t="s">
        <v>43</v>
      </c>
      <c r="C855" s="14" t="s">
        <v>373</v>
      </c>
      <c r="D855" s="14" t="s">
        <v>374</v>
      </c>
      <c r="E855" s="14" t="s">
        <v>344</v>
      </c>
      <c r="F855" s="14" t="s">
        <v>343</v>
      </c>
      <c r="G855" s="14" t="s">
        <v>343</v>
      </c>
      <c r="H855" s="14" t="s">
        <v>343</v>
      </c>
      <c r="U855" s="14">
        <v>106</v>
      </c>
      <c r="V855" s="14">
        <v>66</v>
      </c>
      <c r="W855" s="14">
        <v>43</v>
      </c>
      <c r="X855" s="14">
        <v>42</v>
      </c>
    </row>
    <row r="856" spans="1:24" hidden="1" x14ac:dyDescent="0.3">
      <c r="A856" s="14" t="s">
        <v>403</v>
      </c>
      <c r="B856" s="14" t="s">
        <v>43</v>
      </c>
      <c r="C856" s="14" t="s">
        <v>375</v>
      </c>
      <c r="D856" s="14" t="s">
        <v>376</v>
      </c>
      <c r="E856" s="14" t="s">
        <v>342</v>
      </c>
      <c r="F856" s="14" t="s">
        <v>343</v>
      </c>
      <c r="G856" s="14" t="s">
        <v>343</v>
      </c>
      <c r="H856" s="14" t="s">
        <v>343</v>
      </c>
      <c r="U856" s="14">
        <v>0.25</v>
      </c>
      <c r="V856" s="14">
        <v>0.25</v>
      </c>
      <c r="W856" s="14">
        <v>0.25</v>
      </c>
      <c r="X856" s="14">
        <v>0.36</v>
      </c>
    </row>
    <row r="857" spans="1:24" hidden="1" x14ac:dyDescent="0.3">
      <c r="A857" s="14" t="s">
        <v>403</v>
      </c>
      <c r="B857" s="14" t="s">
        <v>43</v>
      </c>
      <c r="C857" s="14" t="s">
        <v>375</v>
      </c>
      <c r="D857" s="14" t="s">
        <v>376</v>
      </c>
      <c r="E857" s="14" t="s">
        <v>344</v>
      </c>
      <c r="F857" s="14" t="s">
        <v>343</v>
      </c>
      <c r="G857" s="14" t="s">
        <v>343</v>
      </c>
      <c r="H857" s="14" t="s">
        <v>343</v>
      </c>
      <c r="U857" s="14">
        <v>83</v>
      </c>
      <c r="V857" s="14">
        <v>92</v>
      </c>
      <c r="W857" s="14">
        <v>103</v>
      </c>
      <c r="X857" s="14">
        <v>72</v>
      </c>
    </row>
    <row r="858" spans="1:24" hidden="1" x14ac:dyDescent="0.3">
      <c r="A858" s="14" t="s">
        <v>404</v>
      </c>
      <c r="B858" s="14" t="s">
        <v>55</v>
      </c>
      <c r="C858" s="14" t="s">
        <v>340</v>
      </c>
      <c r="D858" s="14" t="s">
        <v>341</v>
      </c>
      <c r="E858" s="14" t="s">
        <v>342</v>
      </c>
      <c r="F858" s="14" t="s">
        <v>343</v>
      </c>
      <c r="G858" s="14" t="s">
        <v>343</v>
      </c>
      <c r="H858" s="14" t="s">
        <v>343</v>
      </c>
      <c r="K858" s="14">
        <v>0.99</v>
      </c>
      <c r="L858" s="14">
        <v>0.99</v>
      </c>
      <c r="M858" s="14">
        <v>0.99</v>
      </c>
      <c r="N858" s="14">
        <v>0.99</v>
      </c>
      <c r="O858" s="14">
        <v>0.99</v>
      </c>
      <c r="P858" s="14">
        <v>0.99</v>
      </c>
      <c r="Q858" s="14">
        <v>0.99</v>
      </c>
      <c r="R858" s="14">
        <v>0.99</v>
      </c>
      <c r="S858" s="14">
        <v>0.99</v>
      </c>
      <c r="T858" s="14">
        <v>0.99</v>
      </c>
      <c r="U858" s="14">
        <v>0.99</v>
      </c>
      <c r="V858" s="14">
        <v>0.99</v>
      </c>
      <c r="W858" s="14">
        <v>0.99</v>
      </c>
      <c r="X858" s="14">
        <v>1</v>
      </c>
    </row>
    <row r="859" spans="1:24" hidden="1" x14ac:dyDescent="0.3">
      <c r="A859" s="14" t="s">
        <v>404</v>
      </c>
      <c r="B859" s="14" t="s">
        <v>55</v>
      </c>
      <c r="C859" s="14" t="s">
        <v>340</v>
      </c>
      <c r="D859" s="14" t="s">
        <v>341</v>
      </c>
      <c r="E859" s="14" t="s">
        <v>344</v>
      </c>
      <c r="F859" s="14" t="s">
        <v>343</v>
      </c>
      <c r="G859" s="14" t="s">
        <v>343</v>
      </c>
      <c r="H859" s="14" t="s">
        <v>343</v>
      </c>
      <c r="K859" s="14">
        <v>62</v>
      </c>
      <c r="L859" s="14">
        <v>65</v>
      </c>
      <c r="M859" s="14">
        <v>56</v>
      </c>
      <c r="N859" s="14">
        <v>52</v>
      </c>
      <c r="O859" s="14">
        <v>56</v>
      </c>
      <c r="P859" s="14">
        <v>76</v>
      </c>
      <c r="Q859" s="14">
        <v>88</v>
      </c>
      <c r="R859" s="14">
        <v>70</v>
      </c>
      <c r="S859" s="14">
        <v>70</v>
      </c>
      <c r="T859" s="14">
        <v>78</v>
      </c>
      <c r="U859" s="14">
        <v>84</v>
      </c>
      <c r="V859" s="14">
        <v>72</v>
      </c>
      <c r="W859" s="14">
        <v>75</v>
      </c>
      <c r="X859" s="14">
        <v>48</v>
      </c>
    </row>
    <row r="860" spans="1:24" hidden="1" x14ac:dyDescent="0.3">
      <c r="A860" s="14" t="s">
        <v>404</v>
      </c>
      <c r="B860" s="14" t="s">
        <v>55</v>
      </c>
      <c r="C860" s="14" t="s">
        <v>345</v>
      </c>
      <c r="D860" s="14" t="s">
        <v>346</v>
      </c>
      <c r="E860" s="14" t="s">
        <v>342</v>
      </c>
      <c r="F860" s="14" t="s">
        <v>343</v>
      </c>
      <c r="G860" s="14" t="s">
        <v>343</v>
      </c>
      <c r="H860" s="14" t="s">
        <v>343</v>
      </c>
      <c r="U860" s="14">
        <v>0.61</v>
      </c>
      <c r="V860" s="14">
        <v>0.75</v>
      </c>
      <c r="W860" s="14">
        <v>0.72</v>
      </c>
      <c r="X860" s="14">
        <v>0.66</v>
      </c>
    </row>
    <row r="861" spans="1:24" hidden="1" x14ac:dyDescent="0.3">
      <c r="A861" s="14" t="s">
        <v>404</v>
      </c>
      <c r="B861" s="14" t="s">
        <v>55</v>
      </c>
      <c r="C861" s="14" t="s">
        <v>345</v>
      </c>
      <c r="D861" s="14" t="s">
        <v>346</v>
      </c>
      <c r="E861" s="14" t="s">
        <v>344</v>
      </c>
      <c r="F861" s="14" t="s">
        <v>343</v>
      </c>
      <c r="G861" s="14" t="s">
        <v>343</v>
      </c>
      <c r="H861" s="14" t="s">
        <v>343</v>
      </c>
      <c r="U861" s="14">
        <v>77</v>
      </c>
      <c r="V861" s="14">
        <v>23</v>
      </c>
      <c r="W861" s="14">
        <v>31</v>
      </c>
      <c r="X861" s="14">
        <v>66</v>
      </c>
    </row>
    <row r="862" spans="1:24" hidden="1" x14ac:dyDescent="0.3">
      <c r="A862" s="14" t="s">
        <v>404</v>
      </c>
      <c r="B862" s="14" t="s">
        <v>55</v>
      </c>
      <c r="C862" s="14" t="s">
        <v>347</v>
      </c>
      <c r="D862" s="14" t="s">
        <v>348</v>
      </c>
      <c r="E862" s="14" t="s">
        <v>342</v>
      </c>
      <c r="F862" s="14" t="s">
        <v>343</v>
      </c>
      <c r="G862" s="14" t="s">
        <v>343</v>
      </c>
      <c r="H862" s="14" t="s">
        <v>343</v>
      </c>
      <c r="U862" s="14">
        <v>0.8</v>
      </c>
      <c r="V862" s="14">
        <v>0.82</v>
      </c>
      <c r="W862" s="14">
        <v>0.78</v>
      </c>
      <c r="X862" s="14">
        <v>0.75</v>
      </c>
    </row>
    <row r="863" spans="1:24" hidden="1" x14ac:dyDescent="0.3">
      <c r="A863" s="14" t="s">
        <v>404</v>
      </c>
      <c r="B863" s="14" t="s">
        <v>55</v>
      </c>
      <c r="C863" s="14" t="s">
        <v>347</v>
      </c>
      <c r="D863" s="14" t="s">
        <v>348</v>
      </c>
      <c r="E863" s="14" t="s">
        <v>344</v>
      </c>
      <c r="F863" s="14" t="s">
        <v>343</v>
      </c>
      <c r="G863" s="14" t="s">
        <v>343</v>
      </c>
      <c r="H863" s="14" t="s">
        <v>343</v>
      </c>
      <c r="U863" s="14">
        <v>77</v>
      </c>
      <c r="V863" s="14">
        <v>75</v>
      </c>
      <c r="W863" s="14">
        <v>90</v>
      </c>
      <c r="X863" s="14">
        <v>86</v>
      </c>
    </row>
    <row r="864" spans="1:24" hidden="1" x14ac:dyDescent="0.3">
      <c r="A864" s="14" t="s">
        <v>404</v>
      </c>
      <c r="B864" s="14" t="s">
        <v>55</v>
      </c>
      <c r="C864" s="14" t="s">
        <v>349</v>
      </c>
      <c r="D864" s="14" t="s">
        <v>350</v>
      </c>
      <c r="E864" s="14" t="s">
        <v>342</v>
      </c>
      <c r="F864" s="14" t="s">
        <v>343</v>
      </c>
      <c r="G864" s="14" t="s">
        <v>343</v>
      </c>
      <c r="H864" s="14" t="s">
        <v>343</v>
      </c>
      <c r="U864" s="14">
        <v>0.7</v>
      </c>
      <c r="V864" s="14">
        <v>0.51</v>
      </c>
      <c r="W864" s="14">
        <v>0.49</v>
      </c>
      <c r="X864" s="14">
        <v>0.56999999999999995</v>
      </c>
    </row>
    <row r="865" spans="1:24" hidden="1" x14ac:dyDescent="0.3">
      <c r="A865" s="14" t="s">
        <v>404</v>
      </c>
      <c r="B865" s="14" t="s">
        <v>55</v>
      </c>
      <c r="C865" s="14" t="s">
        <v>349</v>
      </c>
      <c r="D865" s="14" t="s">
        <v>350</v>
      </c>
      <c r="E865" s="14" t="s">
        <v>344</v>
      </c>
      <c r="F865" s="14" t="s">
        <v>343</v>
      </c>
      <c r="G865" s="14" t="s">
        <v>343</v>
      </c>
      <c r="H865" s="14" t="s">
        <v>343</v>
      </c>
      <c r="U865" s="14">
        <v>19</v>
      </c>
      <c r="V865" s="14">
        <v>68</v>
      </c>
      <c r="W865" s="14">
        <v>77</v>
      </c>
      <c r="X865" s="14">
        <v>54</v>
      </c>
    </row>
    <row r="866" spans="1:24" hidden="1" x14ac:dyDescent="0.3">
      <c r="A866" s="14" t="s">
        <v>404</v>
      </c>
      <c r="B866" s="14" t="s">
        <v>55</v>
      </c>
      <c r="C866" s="14" t="s">
        <v>351</v>
      </c>
      <c r="D866" s="14" t="s">
        <v>352</v>
      </c>
      <c r="E866" s="14" t="s">
        <v>342</v>
      </c>
      <c r="F866" s="14" t="s">
        <v>343</v>
      </c>
      <c r="G866" s="14" t="s">
        <v>343</v>
      </c>
      <c r="H866" s="14" t="s">
        <v>343</v>
      </c>
      <c r="U866" s="14">
        <v>0.94</v>
      </c>
      <c r="V866" s="14">
        <v>0.94</v>
      </c>
      <c r="W866" s="14">
        <v>0.82</v>
      </c>
      <c r="X866" s="14">
        <v>0.92</v>
      </c>
    </row>
    <row r="867" spans="1:24" hidden="1" x14ac:dyDescent="0.3">
      <c r="A867" s="14" t="s">
        <v>404</v>
      </c>
      <c r="B867" s="14" t="s">
        <v>55</v>
      </c>
      <c r="C867" s="14" t="s">
        <v>351</v>
      </c>
      <c r="D867" s="14" t="s">
        <v>352</v>
      </c>
      <c r="E867" s="14" t="s">
        <v>344</v>
      </c>
      <c r="F867" s="14" t="s">
        <v>343</v>
      </c>
      <c r="G867" s="14" t="s">
        <v>343</v>
      </c>
      <c r="H867" s="14" t="s">
        <v>343</v>
      </c>
      <c r="U867" s="14">
        <v>80</v>
      </c>
      <c r="V867" s="14">
        <v>84</v>
      </c>
      <c r="W867" s="14">
        <v>95</v>
      </c>
      <c r="X867" s="14">
        <v>79</v>
      </c>
    </row>
    <row r="868" spans="1:24" hidden="1" x14ac:dyDescent="0.3">
      <c r="A868" s="14" t="s">
        <v>404</v>
      </c>
      <c r="B868" s="14" t="s">
        <v>55</v>
      </c>
      <c r="C868" s="14" t="s">
        <v>378</v>
      </c>
      <c r="D868" s="14" t="s">
        <v>379</v>
      </c>
      <c r="E868" s="14" t="s">
        <v>342</v>
      </c>
      <c r="F868" s="14" t="s">
        <v>343</v>
      </c>
      <c r="G868" s="14" t="s">
        <v>343</v>
      </c>
      <c r="H868" s="14" t="s">
        <v>343</v>
      </c>
      <c r="S868" s="14">
        <v>0.79</v>
      </c>
      <c r="U868" s="14">
        <v>0.77</v>
      </c>
      <c r="V868" s="14">
        <v>0.76</v>
      </c>
      <c r="W868" s="14">
        <v>0.76</v>
      </c>
      <c r="X868" s="14">
        <v>0.76</v>
      </c>
    </row>
    <row r="869" spans="1:24" hidden="1" x14ac:dyDescent="0.3">
      <c r="A869" s="14" t="s">
        <v>404</v>
      </c>
      <c r="B869" s="14" t="s">
        <v>55</v>
      </c>
      <c r="C869" s="14" t="s">
        <v>378</v>
      </c>
      <c r="D869" s="14" t="s">
        <v>379</v>
      </c>
      <c r="E869" s="14" t="s">
        <v>344</v>
      </c>
      <c r="F869" s="14" t="s">
        <v>343</v>
      </c>
      <c r="G869" s="14" t="s">
        <v>343</v>
      </c>
      <c r="H869" s="14" t="s">
        <v>343</v>
      </c>
      <c r="S869" s="14">
        <v>13</v>
      </c>
      <c r="U869" s="14">
        <v>16</v>
      </c>
      <c r="V869" s="14">
        <v>15</v>
      </c>
      <c r="W869" s="14">
        <v>20</v>
      </c>
      <c r="X869" s="14">
        <v>17</v>
      </c>
    </row>
    <row r="870" spans="1:24" hidden="1" x14ac:dyDescent="0.3">
      <c r="A870" s="14" t="s">
        <v>404</v>
      </c>
      <c r="B870" s="14" t="s">
        <v>55</v>
      </c>
      <c r="C870" s="14" t="s">
        <v>353</v>
      </c>
      <c r="D870" s="14" t="s">
        <v>354</v>
      </c>
      <c r="E870" s="14" t="s">
        <v>342</v>
      </c>
      <c r="F870" s="14" t="s">
        <v>343</v>
      </c>
      <c r="G870" s="14" t="s">
        <v>343</v>
      </c>
      <c r="H870" s="14" t="s">
        <v>343</v>
      </c>
      <c r="U870" s="14">
        <v>0.97</v>
      </c>
      <c r="V870" s="14">
        <v>0.98</v>
      </c>
      <c r="W870" s="14">
        <v>0.98</v>
      </c>
      <c r="X870" s="14">
        <v>0.98</v>
      </c>
    </row>
    <row r="871" spans="1:24" hidden="1" x14ac:dyDescent="0.3">
      <c r="A871" s="14" t="s">
        <v>404</v>
      </c>
      <c r="B871" s="14" t="s">
        <v>55</v>
      </c>
      <c r="C871" s="14" t="s">
        <v>353</v>
      </c>
      <c r="D871" s="14" t="s">
        <v>354</v>
      </c>
      <c r="E871" s="14" t="s">
        <v>344</v>
      </c>
      <c r="F871" s="14" t="s">
        <v>343</v>
      </c>
      <c r="G871" s="14" t="s">
        <v>343</v>
      </c>
      <c r="H871" s="14" t="s">
        <v>343</v>
      </c>
      <c r="U871" s="14">
        <v>82</v>
      </c>
      <c r="V871" s="14">
        <v>80</v>
      </c>
      <c r="W871" s="14">
        <v>82</v>
      </c>
      <c r="X871" s="14">
        <v>76</v>
      </c>
    </row>
    <row r="872" spans="1:24" hidden="1" x14ac:dyDescent="0.3">
      <c r="A872" s="14" t="s">
        <v>404</v>
      </c>
      <c r="B872" s="14" t="s">
        <v>55</v>
      </c>
      <c r="C872" s="14" t="s">
        <v>380</v>
      </c>
      <c r="D872" s="14" t="s">
        <v>381</v>
      </c>
      <c r="E872" s="14" t="s">
        <v>342</v>
      </c>
      <c r="F872" s="14" t="s">
        <v>343</v>
      </c>
      <c r="G872" s="14" t="s">
        <v>343</v>
      </c>
      <c r="H872" s="14" t="s">
        <v>343</v>
      </c>
      <c r="U872" s="14">
        <v>0.99</v>
      </c>
      <c r="V872" s="14">
        <v>0.99</v>
      </c>
      <c r="W872" s="14">
        <v>0.99</v>
      </c>
      <c r="X872" s="14">
        <v>1</v>
      </c>
    </row>
    <row r="873" spans="1:24" hidden="1" x14ac:dyDescent="0.3">
      <c r="A873" s="14" t="s">
        <v>404</v>
      </c>
      <c r="B873" s="14" t="s">
        <v>55</v>
      </c>
      <c r="C873" s="14" t="s">
        <v>380</v>
      </c>
      <c r="D873" s="14" t="s">
        <v>381</v>
      </c>
      <c r="E873" s="14" t="s">
        <v>344</v>
      </c>
      <c r="F873" s="14" t="s">
        <v>343</v>
      </c>
      <c r="G873" s="14" t="s">
        <v>343</v>
      </c>
      <c r="H873" s="14" t="s">
        <v>343</v>
      </c>
      <c r="U873" s="14">
        <v>100</v>
      </c>
      <c r="V873" s="14">
        <v>111</v>
      </c>
      <c r="W873" s="14">
        <v>112</v>
      </c>
      <c r="X873" s="14">
        <v>1</v>
      </c>
    </row>
    <row r="874" spans="1:24" hidden="1" x14ac:dyDescent="0.3">
      <c r="A874" s="14" t="s">
        <v>404</v>
      </c>
      <c r="B874" s="14" t="s">
        <v>55</v>
      </c>
      <c r="C874" s="14" t="s">
        <v>355</v>
      </c>
      <c r="D874" s="14" t="s">
        <v>356</v>
      </c>
      <c r="E874" s="14" t="s">
        <v>342</v>
      </c>
      <c r="F874" s="14" t="s">
        <v>343</v>
      </c>
      <c r="G874" s="14" t="s">
        <v>343</v>
      </c>
      <c r="H874" s="14" t="s">
        <v>343</v>
      </c>
      <c r="U874" s="14">
        <v>1</v>
      </c>
      <c r="V874" s="14">
        <v>1</v>
      </c>
      <c r="W874" s="14">
        <v>1</v>
      </c>
      <c r="X874" s="14">
        <v>1</v>
      </c>
    </row>
    <row r="875" spans="1:24" hidden="1" x14ac:dyDescent="0.3">
      <c r="A875" s="14" t="s">
        <v>404</v>
      </c>
      <c r="B875" s="14" t="s">
        <v>55</v>
      </c>
      <c r="C875" s="14" t="s">
        <v>355</v>
      </c>
      <c r="D875" s="14" t="s">
        <v>356</v>
      </c>
      <c r="E875" s="14" t="s">
        <v>344</v>
      </c>
      <c r="F875" s="14" t="s">
        <v>343</v>
      </c>
      <c r="G875" s="14" t="s">
        <v>343</v>
      </c>
      <c r="H875" s="14" t="s">
        <v>343</v>
      </c>
      <c r="U875" s="14">
        <v>1</v>
      </c>
      <c r="V875" s="14">
        <v>1</v>
      </c>
      <c r="W875" s="14">
        <v>1</v>
      </c>
      <c r="X875" s="14">
        <v>1</v>
      </c>
    </row>
    <row r="876" spans="1:24" hidden="1" x14ac:dyDescent="0.3">
      <c r="A876" s="14" t="s">
        <v>404</v>
      </c>
      <c r="B876" s="14" t="s">
        <v>55</v>
      </c>
      <c r="C876" s="14" t="s">
        <v>357</v>
      </c>
      <c r="D876" s="14" t="s">
        <v>358</v>
      </c>
      <c r="E876" s="14" t="s">
        <v>342</v>
      </c>
      <c r="F876" s="14" t="s">
        <v>343</v>
      </c>
      <c r="G876" s="14" t="s">
        <v>343</v>
      </c>
      <c r="H876" s="14" t="s">
        <v>343</v>
      </c>
      <c r="U876" s="14">
        <v>1</v>
      </c>
      <c r="V876" s="14">
        <v>1</v>
      </c>
      <c r="W876" s="14">
        <v>1</v>
      </c>
      <c r="X876" s="14">
        <v>1</v>
      </c>
    </row>
    <row r="877" spans="1:24" hidden="1" x14ac:dyDescent="0.3">
      <c r="A877" s="14" t="s">
        <v>404</v>
      </c>
      <c r="B877" s="14" t="s">
        <v>55</v>
      </c>
      <c r="C877" s="14" t="s">
        <v>357</v>
      </c>
      <c r="D877" s="14" t="s">
        <v>358</v>
      </c>
      <c r="E877" s="14" t="s">
        <v>344</v>
      </c>
      <c r="F877" s="14" t="s">
        <v>343</v>
      </c>
      <c r="G877" s="14" t="s">
        <v>343</v>
      </c>
      <c r="H877" s="14" t="s">
        <v>343</v>
      </c>
      <c r="U877" s="14">
        <v>1</v>
      </c>
      <c r="V877" s="14">
        <v>1</v>
      </c>
      <c r="W877" s="14">
        <v>1</v>
      </c>
      <c r="X877" s="14">
        <v>1</v>
      </c>
    </row>
    <row r="878" spans="1:24" hidden="1" x14ac:dyDescent="0.3">
      <c r="A878" s="14" t="s">
        <v>404</v>
      </c>
      <c r="B878" s="14" t="s">
        <v>55</v>
      </c>
      <c r="C878" s="14" t="s">
        <v>359</v>
      </c>
      <c r="D878" s="14" t="s">
        <v>360</v>
      </c>
      <c r="E878" s="14" t="s">
        <v>342</v>
      </c>
      <c r="F878" s="14" t="s">
        <v>343</v>
      </c>
      <c r="G878" s="14" t="s">
        <v>343</v>
      </c>
      <c r="H878" s="14" t="s">
        <v>343</v>
      </c>
      <c r="K878" s="14">
        <v>0.56999999999999995</v>
      </c>
      <c r="L878" s="14">
        <v>0.62</v>
      </c>
      <c r="M878" s="14">
        <v>0.74</v>
      </c>
      <c r="N878" s="14">
        <v>0.76</v>
      </c>
      <c r="O878" s="14">
        <v>0.74</v>
      </c>
      <c r="P878" s="14">
        <v>0.74</v>
      </c>
      <c r="Q878" s="14">
        <v>0.74</v>
      </c>
      <c r="R878" s="14">
        <v>0.78</v>
      </c>
      <c r="S878" s="14">
        <v>0.7</v>
      </c>
      <c r="T878" s="14">
        <v>0.69</v>
      </c>
      <c r="U878" s="14">
        <v>0.75</v>
      </c>
      <c r="V878" s="14">
        <v>0.75</v>
      </c>
      <c r="W878" s="14">
        <v>0.72</v>
      </c>
      <c r="X878" s="14">
        <v>0.73</v>
      </c>
    </row>
    <row r="879" spans="1:24" hidden="1" x14ac:dyDescent="0.3">
      <c r="A879" s="14" t="s">
        <v>404</v>
      </c>
      <c r="B879" s="14" t="s">
        <v>55</v>
      </c>
      <c r="C879" s="14" t="s">
        <v>359</v>
      </c>
      <c r="D879" s="14" t="s">
        <v>360</v>
      </c>
      <c r="E879" s="14" t="s">
        <v>344</v>
      </c>
      <c r="F879" s="14" t="s">
        <v>343</v>
      </c>
      <c r="G879" s="14" t="s">
        <v>343</v>
      </c>
      <c r="H879" s="14" t="s">
        <v>343</v>
      </c>
      <c r="K879" s="14">
        <v>91</v>
      </c>
      <c r="L879" s="14">
        <v>78</v>
      </c>
      <c r="M879" s="14">
        <v>26</v>
      </c>
      <c r="N879" s="14">
        <v>20</v>
      </c>
      <c r="O879" s="14">
        <v>30</v>
      </c>
      <c r="P879" s="14">
        <v>33</v>
      </c>
      <c r="Q879" s="14">
        <v>36</v>
      </c>
      <c r="R879" s="14">
        <v>23</v>
      </c>
      <c r="S879" s="14">
        <v>56</v>
      </c>
      <c r="T879" s="14">
        <v>61</v>
      </c>
      <c r="U879" s="14">
        <v>26</v>
      </c>
      <c r="V879" s="14">
        <v>28</v>
      </c>
      <c r="W879" s="14">
        <v>51</v>
      </c>
      <c r="X879" s="14">
        <v>49</v>
      </c>
    </row>
    <row r="880" spans="1:24" x14ac:dyDescent="0.3">
      <c r="A880" s="14" t="s">
        <v>404</v>
      </c>
      <c r="B880" s="14" t="s">
        <v>55</v>
      </c>
      <c r="C880" s="14" t="s">
        <v>361</v>
      </c>
      <c r="D880" s="14" t="s">
        <v>362</v>
      </c>
      <c r="E880" s="14" t="s">
        <v>342</v>
      </c>
      <c r="F880" s="14" t="s">
        <v>343</v>
      </c>
      <c r="G880" s="14" t="s">
        <v>343</v>
      </c>
      <c r="H880" s="14" t="s">
        <v>343</v>
      </c>
      <c r="K880" s="14">
        <v>0.97</v>
      </c>
      <c r="L880" s="14">
        <v>0.97</v>
      </c>
      <c r="M880" s="14">
        <v>0.97</v>
      </c>
      <c r="N880" s="14">
        <v>0.97</v>
      </c>
      <c r="O880" s="14">
        <v>0.97</v>
      </c>
      <c r="P880" s="14">
        <v>0.97</v>
      </c>
      <c r="Q880" s="14">
        <v>0.97</v>
      </c>
      <c r="R880" s="14">
        <v>0.97</v>
      </c>
      <c r="S880" s="14">
        <v>0.97</v>
      </c>
      <c r="T880" s="14">
        <v>0.97</v>
      </c>
      <c r="U880" s="14">
        <v>0.97</v>
      </c>
      <c r="V880" s="14">
        <v>0.97</v>
      </c>
      <c r="W880" s="14">
        <v>0.96</v>
      </c>
      <c r="X880" s="14">
        <v>0.97</v>
      </c>
    </row>
    <row r="881" spans="1:24" hidden="1" x14ac:dyDescent="0.3">
      <c r="A881" s="14" t="s">
        <v>404</v>
      </c>
      <c r="B881" s="14" t="s">
        <v>55</v>
      </c>
      <c r="C881" s="14" t="s">
        <v>361</v>
      </c>
      <c r="D881" s="14" t="s">
        <v>362</v>
      </c>
      <c r="E881" s="14" t="s">
        <v>344</v>
      </c>
      <c r="F881" s="14" t="s">
        <v>343</v>
      </c>
      <c r="G881" s="14" t="s">
        <v>343</v>
      </c>
      <c r="H881" s="14" t="s">
        <v>343</v>
      </c>
      <c r="K881" s="14">
        <v>109</v>
      </c>
      <c r="L881" s="14">
        <v>113</v>
      </c>
      <c r="M881" s="14">
        <v>107</v>
      </c>
      <c r="N881" s="14">
        <v>108</v>
      </c>
      <c r="O881" s="14">
        <v>109</v>
      </c>
      <c r="P881" s="14">
        <v>109</v>
      </c>
      <c r="Q881" s="14">
        <v>126</v>
      </c>
      <c r="R881" s="14">
        <v>131</v>
      </c>
      <c r="S881" s="14">
        <v>130</v>
      </c>
      <c r="T881" s="14">
        <v>111</v>
      </c>
      <c r="U881" s="14">
        <v>113</v>
      </c>
      <c r="V881" s="14">
        <v>115</v>
      </c>
      <c r="W881" s="14">
        <v>112</v>
      </c>
      <c r="X881" s="14">
        <v>104</v>
      </c>
    </row>
    <row r="882" spans="1:24" hidden="1" x14ac:dyDescent="0.3">
      <c r="A882" s="14" t="s">
        <v>404</v>
      </c>
      <c r="B882" s="14" t="s">
        <v>55</v>
      </c>
      <c r="C882" s="14" t="s">
        <v>363</v>
      </c>
      <c r="D882" s="14" t="s">
        <v>364</v>
      </c>
      <c r="E882" s="14" t="s">
        <v>342</v>
      </c>
      <c r="F882" s="14" t="s">
        <v>343</v>
      </c>
      <c r="G882" s="14" t="s">
        <v>343</v>
      </c>
      <c r="H882" s="14" t="s">
        <v>343</v>
      </c>
      <c r="U882" s="14">
        <v>1.03</v>
      </c>
      <c r="V882" s="14">
        <v>1.03</v>
      </c>
      <c r="W882" s="14">
        <v>1.01</v>
      </c>
      <c r="X882" s="14">
        <v>1.01</v>
      </c>
    </row>
    <row r="883" spans="1:24" hidden="1" x14ac:dyDescent="0.3">
      <c r="A883" s="14" t="s">
        <v>404</v>
      </c>
      <c r="B883" s="14" t="s">
        <v>55</v>
      </c>
      <c r="C883" s="14" t="s">
        <v>363</v>
      </c>
      <c r="D883" s="14" t="s">
        <v>364</v>
      </c>
      <c r="E883" s="14" t="s">
        <v>344</v>
      </c>
      <c r="F883" s="14" t="s">
        <v>343</v>
      </c>
      <c r="G883" s="14" t="s">
        <v>343</v>
      </c>
      <c r="H883" s="14" t="s">
        <v>343</v>
      </c>
      <c r="U883" s="14">
        <v>122</v>
      </c>
      <c r="V883" s="14">
        <v>126</v>
      </c>
      <c r="W883" s="14">
        <v>124</v>
      </c>
      <c r="X883" s="14">
        <v>115</v>
      </c>
    </row>
    <row r="884" spans="1:24" hidden="1" x14ac:dyDescent="0.3">
      <c r="A884" s="14" t="s">
        <v>404</v>
      </c>
      <c r="B884" s="14" t="s">
        <v>55</v>
      </c>
      <c r="C884" s="14" t="s">
        <v>365</v>
      </c>
      <c r="D884" s="14" t="s">
        <v>366</v>
      </c>
      <c r="E884" s="14" t="s">
        <v>342</v>
      </c>
      <c r="F884" s="14" t="s">
        <v>343</v>
      </c>
      <c r="G884" s="14" t="s">
        <v>343</v>
      </c>
      <c r="H884" s="14" t="s">
        <v>343</v>
      </c>
      <c r="U884" s="14">
        <v>0.94</v>
      </c>
      <c r="V884" s="14">
        <v>0.94</v>
      </c>
      <c r="W884" s="14">
        <v>0.94</v>
      </c>
      <c r="X884" s="14">
        <v>0.94</v>
      </c>
    </row>
    <row r="885" spans="1:24" hidden="1" x14ac:dyDescent="0.3">
      <c r="A885" s="14" t="s">
        <v>404</v>
      </c>
      <c r="B885" s="14" t="s">
        <v>55</v>
      </c>
      <c r="C885" s="14" t="s">
        <v>365</v>
      </c>
      <c r="D885" s="14" t="s">
        <v>366</v>
      </c>
      <c r="E885" s="14" t="s">
        <v>344</v>
      </c>
      <c r="F885" s="14" t="s">
        <v>343</v>
      </c>
      <c r="G885" s="14" t="s">
        <v>343</v>
      </c>
      <c r="H885" s="14" t="s">
        <v>343</v>
      </c>
      <c r="U885" s="14">
        <v>1</v>
      </c>
      <c r="V885" s="14">
        <v>1</v>
      </c>
      <c r="W885" s="14">
        <v>1</v>
      </c>
      <c r="X885" s="14">
        <v>1</v>
      </c>
    </row>
    <row r="886" spans="1:24" hidden="1" x14ac:dyDescent="0.3">
      <c r="A886" s="14" t="s">
        <v>404</v>
      </c>
      <c r="B886" s="14" t="s">
        <v>55</v>
      </c>
      <c r="C886" s="14" t="s">
        <v>367</v>
      </c>
      <c r="D886" s="14" t="s">
        <v>368</v>
      </c>
      <c r="E886" s="14" t="s">
        <v>342</v>
      </c>
      <c r="F886" s="14" t="s">
        <v>343</v>
      </c>
      <c r="G886" s="14" t="s">
        <v>343</v>
      </c>
      <c r="H886" s="14" t="s">
        <v>343</v>
      </c>
      <c r="K886" s="14">
        <v>0.64</v>
      </c>
      <c r="L886" s="14">
        <v>0.65</v>
      </c>
      <c r="M886" s="14">
        <v>0.67</v>
      </c>
      <c r="N886" s="14">
        <v>0.68</v>
      </c>
      <c r="O886" s="14">
        <v>0.68</v>
      </c>
      <c r="P886" s="14">
        <v>0.67</v>
      </c>
      <c r="Q886" s="14">
        <v>0.67</v>
      </c>
      <c r="R886" s="14">
        <v>0.68</v>
      </c>
      <c r="S886" s="14">
        <v>0.67</v>
      </c>
      <c r="T886" s="14">
        <v>0.67</v>
      </c>
      <c r="U886" s="14">
        <v>0.69</v>
      </c>
      <c r="V886" s="14">
        <v>0.69</v>
      </c>
      <c r="W886" s="14">
        <v>0.68</v>
      </c>
      <c r="X886" s="14">
        <v>0.68</v>
      </c>
    </row>
    <row r="887" spans="1:24" hidden="1" x14ac:dyDescent="0.3">
      <c r="A887" s="14" t="s">
        <v>404</v>
      </c>
      <c r="B887" s="14" t="s">
        <v>55</v>
      </c>
      <c r="C887" s="14" t="s">
        <v>367</v>
      </c>
      <c r="D887" s="14" t="s">
        <v>368</v>
      </c>
      <c r="E887" s="14" t="s">
        <v>344</v>
      </c>
      <c r="F887" s="14" t="s">
        <v>343</v>
      </c>
      <c r="G887" s="14" t="s">
        <v>343</v>
      </c>
      <c r="H887" s="14" t="s">
        <v>343</v>
      </c>
      <c r="K887" s="14">
        <v>99</v>
      </c>
      <c r="L887" s="14">
        <v>94</v>
      </c>
      <c r="M887" s="14">
        <v>77</v>
      </c>
      <c r="N887" s="14">
        <v>76</v>
      </c>
      <c r="O887" s="14">
        <v>75</v>
      </c>
      <c r="P887" s="14">
        <v>88</v>
      </c>
      <c r="Q887" s="14">
        <v>98</v>
      </c>
      <c r="R887" s="14">
        <v>88</v>
      </c>
      <c r="S887" s="14">
        <v>103</v>
      </c>
      <c r="T887" s="14">
        <v>102</v>
      </c>
      <c r="U887" s="14">
        <v>90</v>
      </c>
      <c r="V887" s="14">
        <v>95</v>
      </c>
      <c r="W887" s="14">
        <v>111</v>
      </c>
      <c r="X887" s="14">
        <v>104</v>
      </c>
    </row>
    <row r="888" spans="1:24" hidden="1" x14ac:dyDescent="0.3">
      <c r="A888" s="14" t="s">
        <v>404</v>
      </c>
      <c r="B888" s="14" t="s">
        <v>55</v>
      </c>
      <c r="C888" s="14" t="s">
        <v>369</v>
      </c>
      <c r="D888" s="14" t="s">
        <v>370</v>
      </c>
      <c r="E888" s="14" t="s">
        <v>342</v>
      </c>
      <c r="F888" s="14" t="s">
        <v>343</v>
      </c>
      <c r="G888" s="14" t="s">
        <v>343</v>
      </c>
      <c r="H888" s="14" t="s">
        <v>343</v>
      </c>
      <c r="K888" s="14">
        <v>0.03</v>
      </c>
      <c r="L888" s="14">
        <v>0.03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0.02</v>
      </c>
      <c r="T888" s="14">
        <v>0.03</v>
      </c>
      <c r="U888" s="14">
        <v>0.03</v>
      </c>
      <c r="V888" s="14">
        <v>0.03</v>
      </c>
      <c r="W888" s="14">
        <v>0.03</v>
      </c>
      <c r="X888" s="14">
        <v>0.03</v>
      </c>
    </row>
    <row r="889" spans="1:24" hidden="1" x14ac:dyDescent="0.3">
      <c r="A889" s="14" t="s">
        <v>404</v>
      </c>
      <c r="B889" s="14" t="s">
        <v>55</v>
      </c>
      <c r="C889" s="14" t="s">
        <v>369</v>
      </c>
      <c r="D889" s="14" t="s">
        <v>370</v>
      </c>
      <c r="E889" s="14" t="s">
        <v>344</v>
      </c>
      <c r="F889" s="14" t="s">
        <v>343</v>
      </c>
      <c r="G889" s="14" t="s">
        <v>343</v>
      </c>
      <c r="H889" s="14" t="s">
        <v>343</v>
      </c>
      <c r="K889" s="14">
        <v>122</v>
      </c>
      <c r="L889" s="14">
        <v>127</v>
      </c>
      <c r="M889" s="14">
        <v>131</v>
      </c>
      <c r="N889" s="14">
        <v>132</v>
      </c>
      <c r="O889" s="14">
        <v>133</v>
      </c>
      <c r="P889" s="14">
        <v>135</v>
      </c>
      <c r="Q889" s="14">
        <v>142</v>
      </c>
      <c r="R889" s="14">
        <v>145</v>
      </c>
      <c r="S889" s="14">
        <v>141</v>
      </c>
      <c r="T889" s="14">
        <v>140</v>
      </c>
      <c r="U889" s="14">
        <v>145</v>
      </c>
      <c r="V889" s="14">
        <v>148</v>
      </c>
      <c r="W889" s="14">
        <v>152</v>
      </c>
      <c r="X889" s="14">
        <v>144</v>
      </c>
    </row>
    <row r="890" spans="1:24" hidden="1" x14ac:dyDescent="0.3">
      <c r="A890" s="14" t="s">
        <v>404</v>
      </c>
      <c r="B890" s="14" t="s">
        <v>55</v>
      </c>
      <c r="C890" s="14" t="s">
        <v>371</v>
      </c>
      <c r="D890" s="14" t="s">
        <v>372</v>
      </c>
      <c r="E890" s="14" t="s">
        <v>342</v>
      </c>
      <c r="F890" s="14" t="s">
        <v>343</v>
      </c>
      <c r="G890" s="14" t="s">
        <v>343</v>
      </c>
      <c r="H890" s="14" t="s">
        <v>343</v>
      </c>
      <c r="U890" s="14">
        <v>0</v>
      </c>
      <c r="V890" s="14">
        <v>0</v>
      </c>
      <c r="W890" s="14">
        <v>0</v>
      </c>
      <c r="X890" s="14">
        <v>0</v>
      </c>
    </row>
    <row r="891" spans="1:24" hidden="1" x14ac:dyDescent="0.3">
      <c r="A891" s="14" t="s">
        <v>404</v>
      </c>
      <c r="B891" s="14" t="s">
        <v>55</v>
      </c>
      <c r="C891" s="14" t="s">
        <v>371</v>
      </c>
      <c r="D891" s="14" t="s">
        <v>372</v>
      </c>
      <c r="E891" s="14" t="s">
        <v>344</v>
      </c>
      <c r="F891" s="14" t="s">
        <v>343</v>
      </c>
      <c r="G891" s="14" t="s">
        <v>343</v>
      </c>
      <c r="H891" s="14" t="s">
        <v>343</v>
      </c>
      <c r="U891" s="14">
        <v>71</v>
      </c>
      <c r="V891" s="14">
        <v>73</v>
      </c>
      <c r="W891" s="14">
        <v>76</v>
      </c>
      <c r="X891" s="14">
        <v>78</v>
      </c>
    </row>
    <row r="892" spans="1:24" hidden="1" x14ac:dyDescent="0.3">
      <c r="A892" s="14" t="s">
        <v>404</v>
      </c>
      <c r="B892" s="14" t="s">
        <v>55</v>
      </c>
      <c r="C892" s="14" t="s">
        <v>373</v>
      </c>
      <c r="D892" s="14" t="s">
        <v>374</v>
      </c>
      <c r="E892" s="14" t="s">
        <v>342</v>
      </c>
      <c r="F892" s="14" t="s">
        <v>343</v>
      </c>
      <c r="G892" s="14" t="s">
        <v>343</v>
      </c>
      <c r="H892" s="14" t="s">
        <v>343</v>
      </c>
      <c r="U892" s="14">
        <v>0</v>
      </c>
      <c r="V892" s="14">
        <v>0</v>
      </c>
      <c r="W892" s="14">
        <v>0</v>
      </c>
      <c r="X892" s="14">
        <v>0</v>
      </c>
    </row>
    <row r="893" spans="1:24" hidden="1" x14ac:dyDescent="0.3">
      <c r="A893" s="14" t="s">
        <v>404</v>
      </c>
      <c r="B893" s="14" t="s">
        <v>55</v>
      </c>
      <c r="C893" s="14" t="s">
        <v>373</v>
      </c>
      <c r="D893" s="14" t="s">
        <v>374</v>
      </c>
      <c r="E893" s="14" t="s">
        <v>344</v>
      </c>
      <c r="F893" s="14" t="s">
        <v>343</v>
      </c>
      <c r="G893" s="14" t="s">
        <v>343</v>
      </c>
      <c r="H893" s="14" t="s">
        <v>343</v>
      </c>
      <c r="U893" s="14">
        <v>144</v>
      </c>
      <c r="V893" s="14">
        <v>145</v>
      </c>
      <c r="W893" s="14">
        <v>148</v>
      </c>
      <c r="X893" s="14">
        <v>140</v>
      </c>
    </row>
    <row r="894" spans="1:24" hidden="1" x14ac:dyDescent="0.3">
      <c r="A894" s="14" t="s">
        <v>404</v>
      </c>
      <c r="B894" s="14" t="s">
        <v>55</v>
      </c>
      <c r="C894" s="14" t="s">
        <v>375</v>
      </c>
      <c r="D894" s="14" t="s">
        <v>376</v>
      </c>
      <c r="E894" s="14" t="s">
        <v>342</v>
      </c>
      <c r="F894" s="14" t="s">
        <v>343</v>
      </c>
      <c r="G894" s="14" t="s">
        <v>343</v>
      </c>
      <c r="H894" s="14" t="s">
        <v>343</v>
      </c>
      <c r="U894" s="14">
        <v>0.1</v>
      </c>
      <c r="V894" s="14">
        <v>0.1</v>
      </c>
      <c r="W894" s="14">
        <v>0.1</v>
      </c>
      <c r="X894" s="14">
        <v>0.1</v>
      </c>
    </row>
    <row r="895" spans="1:24" hidden="1" x14ac:dyDescent="0.3">
      <c r="A895" s="14" t="s">
        <v>404</v>
      </c>
      <c r="B895" s="14" t="s">
        <v>55</v>
      </c>
      <c r="C895" s="14" t="s">
        <v>375</v>
      </c>
      <c r="D895" s="14" t="s">
        <v>376</v>
      </c>
      <c r="E895" s="14" t="s">
        <v>344</v>
      </c>
      <c r="F895" s="14" t="s">
        <v>343</v>
      </c>
      <c r="G895" s="14" t="s">
        <v>343</v>
      </c>
      <c r="H895" s="14" t="s">
        <v>343</v>
      </c>
      <c r="U895" s="14">
        <v>134</v>
      </c>
      <c r="V895" s="14">
        <v>141</v>
      </c>
      <c r="W895" s="14">
        <v>143</v>
      </c>
      <c r="X895" s="14">
        <v>134</v>
      </c>
    </row>
    <row r="896" spans="1:24" hidden="1" x14ac:dyDescent="0.3">
      <c r="A896" s="14" t="s">
        <v>405</v>
      </c>
      <c r="B896" s="14" t="s">
        <v>49</v>
      </c>
      <c r="C896" s="14" t="s">
        <v>340</v>
      </c>
      <c r="D896" s="14" t="s">
        <v>341</v>
      </c>
      <c r="E896" s="14" t="s">
        <v>342</v>
      </c>
      <c r="F896" s="14" t="s">
        <v>343</v>
      </c>
      <c r="G896" s="14" t="s">
        <v>343</v>
      </c>
      <c r="H896" s="14" t="s">
        <v>343</v>
      </c>
      <c r="P896" s="14">
        <v>0.88</v>
      </c>
      <c r="Q896" s="14">
        <v>0.89</v>
      </c>
      <c r="R896" s="14">
        <v>0.92</v>
      </c>
      <c r="S896" s="14">
        <v>0.92</v>
      </c>
      <c r="T896" s="14">
        <v>0.92</v>
      </c>
      <c r="U896" s="14">
        <v>0.92</v>
      </c>
      <c r="V896" s="14">
        <v>0.95</v>
      </c>
      <c r="W896" s="14">
        <v>0.95</v>
      </c>
      <c r="X896" s="14">
        <v>0.96</v>
      </c>
    </row>
    <row r="897" spans="1:24" hidden="1" x14ac:dyDescent="0.3">
      <c r="A897" s="14" t="s">
        <v>405</v>
      </c>
      <c r="B897" s="14" t="s">
        <v>49</v>
      </c>
      <c r="C897" s="14" t="s">
        <v>340</v>
      </c>
      <c r="D897" s="14" t="s">
        <v>341</v>
      </c>
      <c r="E897" s="14" t="s">
        <v>344</v>
      </c>
      <c r="F897" s="14" t="s">
        <v>343</v>
      </c>
      <c r="G897" s="14" t="s">
        <v>343</v>
      </c>
      <c r="H897" s="14" t="s">
        <v>343</v>
      </c>
      <c r="P897" s="14">
        <v>116</v>
      </c>
      <c r="Q897" s="14">
        <v>123</v>
      </c>
      <c r="R897" s="14">
        <v>121</v>
      </c>
      <c r="S897" s="14">
        <v>121</v>
      </c>
      <c r="T897" s="14">
        <v>123</v>
      </c>
      <c r="U897" s="14">
        <v>125</v>
      </c>
      <c r="V897" s="14">
        <v>116</v>
      </c>
      <c r="W897" s="14">
        <v>117</v>
      </c>
      <c r="X897" s="14">
        <v>111</v>
      </c>
    </row>
    <row r="898" spans="1:24" hidden="1" x14ac:dyDescent="0.3">
      <c r="A898" s="14" t="s">
        <v>405</v>
      </c>
      <c r="B898" s="14" t="s">
        <v>49</v>
      </c>
      <c r="C898" s="14" t="s">
        <v>345</v>
      </c>
      <c r="D898" s="14" t="s">
        <v>346</v>
      </c>
      <c r="E898" s="14" t="s">
        <v>342</v>
      </c>
      <c r="F898" s="14" t="s">
        <v>343</v>
      </c>
      <c r="G898" s="14" t="s">
        <v>343</v>
      </c>
      <c r="H898" s="14" t="s">
        <v>343</v>
      </c>
      <c r="U898" s="14">
        <v>0.56999999999999995</v>
      </c>
      <c r="V898" s="14">
        <v>0.56999999999999995</v>
      </c>
      <c r="W898" s="14">
        <v>0.57999999999999996</v>
      </c>
      <c r="X898" s="14">
        <v>0.56999999999999995</v>
      </c>
    </row>
    <row r="899" spans="1:24" hidden="1" x14ac:dyDescent="0.3">
      <c r="A899" s="14" t="s">
        <v>405</v>
      </c>
      <c r="B899" s="14" t="s">
        <v>49</v>
      </c>
      <c r="C899" s="14" t="s">
        <v>345</v>
      </c>
      <c r="D899" s="14" t="s">
        <v>346</v>
      </c>
      <c r="E899" s="14" t="s">
        <v>344</v>
      </c>
      <c r="F899" s="14" t="s">
        <v>343</v>
      </c>
      <c r="G899" s="14" t="s">
        <v>343</v>
      </c>
      <c r="H899" s="14" t="s">
        <v>343</v>
      </c>
      <c r="U899" s="14">
        <v>94</v>
      </c>
      <c r="V899" s="14">
        <v>100</v>
      </c>
      <c r="W899" s="14">
        <v>89</v>
      </c>
      <c r="X899" s="14">
        <v>99</v>
      </c>
    </row>
    <row r="900" spans="1:24" hidden="1" x14ac:dyDescent="0.3">
      <c r="A900" s="14" t="s">
        <v>405</v>
      </c>
      <c r="B900" s="14" t="s">
        <v>49</v>
      </c>
      <c r="C900" s="14" t="s">
        <v>347</v>
      </c>
      <c r="D900" s="14" t="s">
        <v>348</v>
      </c>
      <c r="E900" s="14" t="s">
        <v>342</v>
      </c>
      <c r="F900" s="14" t="s">
        <v>343</v>
      </c>
      <c r="G900" s="14" t="s">
        <v>343</v>
      </c>
      <c r="H900" s="14" t="s">
        <v>343</v>
      </c>
      <c r="U900" s="14">
        <v>0.79</v>
      </c>
      <c r="V900" s="14">
        <v>0.79</v>
      </c>
      <c r="W900" s="14">
        <v>0.81</v>
      </c>
      <c r="X900" s="14">
        <v>0.77</v>
      </c>
    </row>
    <row r="901" spans="1:24" hidden="1" x14ac:dyDescent="0.3">
      <c r="A901" s="14" t="s">
        <v>405</v>
      </c>
      <c r="B901" s="14" t="s">
        <v>49</v>
      </c>
      <c r="C901" s="14" t="s">
        <v>347</v>
      </c>
      <c r="D901" s="14" t="s">
        <v>348</v>
      </c>
      <c r="E901" s="14" t="s">
        <v>344</v>
      </c>
      <c r="F901" s="14" t="s">
        <v>343</v>
      </c>
      <c r="G901" s="14" t="s">
        <v>343</v>
      </c>
      <c r="H901" s="14" t="s">
        <v>343</v>
      </c>
      <c r="U901" s="14">
        <v>81</v>
      </c>
      <c r="V901" s="14">
        <v>85</v>
      </c>
      <c r="W901" s="14">
        <v>82</v>
      </c>
      <c r="X901" s="14">
        <v>77</v>
      </c>
    </row>
    <row r="902" spans="1:24" hidden="1" x14ac:dyDescent="0.3">
      <c r="A902" s="14" t="s">
        <v>405</v>
      </c>
      <c r="B902" s="14" t="s">
        <v>49</v>
      </c>
      <c r="C902" s="14" t="s">
        <v>349</v>
      </c>
      <c r="D902" s="14" t="s">
        <v>350</v>
      </c>
      <c r="E902" s="14" t="s">
        <v>342</v>
      </c>
      <c r="F902" s="14" t="s">
        <v>343</v>
      </c>
      <c r="G902" s="14" t="s">
        <v>343</v>
      </c>
      <c r="H902" s="14" t="s">
        <v>343</v>
      </c>
      <c r="U902" s="14">
        <v>0.23</v>
      </c>
      <c r="V902" s="14">
        <v>0.23</v>
      </c>
      <c r="W902" s="14">
        <v>0.23</v>
      </c>
      <c r="X902" s="14">
        <v>0.23</v>
      </c>
    </row>
    <row r="903" spans="1:24" hidden="1" x14ac:dyDescent="0.3">
      <c r="A903" s="14" t="s">
        <v>405</v>
      </c>
      <c r="B903" s="14" t="s">
        <v>49</v>
      </c>
      <c r="C903" s="14" t="s">
        <v>349</v>
      </c>
      <c r="D903" s="14" t="s">
        <v>350</v>
      </c>
      <c r="E903" s="14" t="s">
        <v>344</v>
      </c>
      <c r="F903" s="14" t="s">
        <v>343</v>
      </c>
      <c r="G903" s="14" t="s">
        <v>343</v>
      </c>
      <c r="H903" s="14" t="s">
        <v>343</v>
      </c>
      <c r="U903" s="14">
        <v>120</v>
      </c>
      <c r="V903" s="14">
        <v>121</v>
      </c>
      <c r="W903" s="14">
        <v>128</v>
      </c>
      <c r="X903" s="14">
        <v>119</v>
      </c>
    </row>
    <row r="904" spans="1:24" hidden="1" x14ac:dyDescent="0.3">
      <c r="A904" s="14" t="s">
        <v>405</v>
      </c>
      <c r="B904" s="14" t="s">
        <v>49</v>
      </c>
      <c r="C904" s="14" t="s">
        <v>351</v>
      </c>
      <c r="D904" s="14" t="s">
        <v>352</v>
      </c>
      <c r="E904" s="14" t="s">
        <v>342</v>
      </c>
      <c r="F904" s="14" t="s">
        <v>343</v>
      </c>
      <c r="G904" s="14" t="s">
        <v>343</v>
      </c>
      <c r="H904" s="14" t="s">
        <v>343</v>
      </c>
      <c r="U904" s="14">
        <v>0.49</v>
      </c>
      <c r="V904" s="14">
        <v>0.49</v>
      </c>
      <c r="W904" s="14">
        <v>0.49</v>
      </c>
      <c r="X904" s="14">
        <v>0.49</v>
      </c>
    </row>
    <row r="905" spans="1:24" hidden="1" x14ac:dyDescent="0.3">
      <c r="A905" s="14" t="s">
        <v>405</v>
      </c>
      <c r="B905" s="14" t="s">
        <v>49</v>
      </c>
      <c r="C905" s="14" t="s">
        <v>351</v>
      </c>
      <c r="D905" s="14" t="s">
        <v>352</v>
      </c>
      <c r="E905" s="14" t="s">
        <v>344</v>
      </c>
      <c r="F905" s="14" t="s">
        <v>343</v>
      </c>
      <c r="G905" s="14" t="s">
        <v>343</v>
      </c>
      <c r="H905" s="14" t="s">
        <v>343</v>
      </c>
      <c r="U905" s="14">
        <v>123</v>
      </c>
      <c r="V905" s="14">
        <v>128</v>
      </c>
      <c r="W905" s="14">
        <v>130</v>
      </c>
      <c r="X905" s="14">
        <v>119</v>
      </c>
    </row>
    <row r="906" spans="1:24" hidden="1" x14ac:dyDescent="0.3">
      <c r="A906" s="14" t="s">
        <v>405</v>
      </c>
      <c r="B906" s="14" t="s">
        <v>49</v>
      </c>
      <c r="C906" s="14" t="s">
        <v>378</v>
      </c>
      <c r="D906" s="14" t="s">
        <v>379</v>
      </c>
      <c r="E906" s="14" t="s">
        <v>342</v>
      </c>
      <c r="F906" s="14" t="s">
        <v>343</v>
      </c>
      <c r="G906" s="14" t="s">
        <v>343</v>
      </c>
      <c r="H906" s="14" t="s">
        <v>343</v>
      </c>
      <c r="S906" s="14">
        <v>0.78</v>
      </c>
      <c r="U906" s="14">
        <v>0.79</v>
      </c>
    </row>
    <row r="907" spans="1:24" hidden="1" x14ac:dyDescent="0.3">
      <c r="A907" s="14" t="s">
        <v>405</v>
      </c>
      <c r="B907" s="14" t="s">
        <v>49</v>
      </c>
      <c r="C907" s="14" t="s">
        <v>378</v>
      </c>
      <c r="D907" s="14" t="s">
        <v>379</v>
      </c>
      <c r="E907" s="14" t="s">
        <v>344</v>
      </c>
      <c r="F907" s="14" t="s">
        <v>343</v>
      </c>
      <c r="G907" s="14" t="s">
        <v>343</v>
      </c>
      <c r="H907" s="14" t="s">
        <v>343</v>
      </c>
      <c r="S907" s="14">
        <v>14</v>
      </c>
      <c r="U907" s="14">
        <v>13</v>
      </c>
    </row>
    <row r="908" spans="1:24" hidden="1" x14ac:dyDescent="0.3">
      <c r="A908" s="14" t="s">
        <v>405</v>
      </c>
      <c r="B908" s="14" t="s">
        <v>49</v>
      </c>
      <c r="C908" s="14" t="s">
        <v>353</v>
      </c>
      <c r="D908" s="14" t="s">
        <v>354</v>
      </c>
      <c r="E908" s="14" t="s">
        <v>342</v>
      </c>
      <c r="F908" s="14" t="s">
        <v>343</v>
      </c>
      <c r="G908" s="14" t="s">
        <v>343</v>
      </c>
      <c r="H908" s="14" t="s">
        <v>343</v>
      </c>
      <c r="U908" s="14">
        <v>0.73</v>
      </c>
      <c r="V908" s="14">
        <v>0.76</v>
      </c>
      <c r="W908" s="14">
        <v>0.76</v>
      </c>
      <c r="X908" s="14">
        <v>0.76</v>
      </c>
    </row>
    <row r="909" spans="1:24" hidden="1" x14ac:dyDescent="0.3">
      <c r="A909" s="14" t="s">
        <v>405</v>
      </c>
      <c r="B909" s="14" t="s">
        <v>49</v>
      </c>
      <c r="C909" s="14" t="s">
        <v>353</v>
      </c>
      <c r="D909" s="14" t="s">
        <v>354</v>
      </c>
      <c r="E909" s="14" t="s">
        <v>344</v>
      </c>
      <c r="F909" s="14" t="s">
        <v>343</v>
      </c>
      <c r="G909" s="14" t="s">
        <v>343</v>
      </c>
      <c r="H909" s="14" t="s">
        <v>343</v>
      </c>
      <c r="U909" s="14">
        <v>124</v>
      </c>
      <c r="V909" s="14">
        <v>131</v>
      </c>
      <c r="W909" s="14">
        <v>132</v>
      </c>
      <c r="X909" s="14">
        <v>124</v>
      </c>
    </row>
    <row r="910" spans="1:24" hidden="1" x14ac:dyDescent="0.3">
      <c r="A910" s="14" t="s">
        <v>405</v>
      </c>
      <c r="B910" s="14" t="s">
        <v>49</v>
      </c>
      <c r="C910" s="14" t="s">
        <v>380</v>
      </c>
      <c r="D910" s="14" t="s">
        <v>381</v>
      </c>
      <c r="E910" s="14" t="s">
        <v>342</v>
      </c>
      <c r="F910" s="14" t="s">
        <v>343</v>
      </c>
      <c r="G910" s="14" t="s">
        <v>343</v>
      </c>
      <c r="H910" s="14" t="s">
        <v>343</v>
      </c>
      <c r="U910" s="14">
        <v>1</v>
      </c>
      <c r="V910" s="14">
        <v>1</v>
      </c>
      <c r="W910" s="14">
        <v>1</v>
      </c>
      <c r="X910" s="14">
        <v>1</v>
      </c>
    </row>
    <row r="911" spans="1:24" hidden="1" x14ac:dyDescent="0.3">
      <c r="A911" s="14" t="s">
        <v>405</v>
      </c>
      <c r="B911" s="14" t="s">
        <v>49</v>
      </c>
      <c r="C911" s="14" t="s">
        <v>380</v>
      </c>
      <c r="D911" s="14" t="s">
        <v>381</v>
      </c>
      <c r="E911" s="14" t="s">
        <v>344</v>
      </c>
      <c r="F911" s="14" t="s">
        <v>343</v>
      </c>
      <c r="G911" s="14" t="s">
        <v>343</v>
      </c>
      <c r="H911" s="14" t="s">
        <v>343</v>
      </c>
      <c r="U911" s="14">
        <v>1</v>
      </c>
      <c r="V911" s="14">
        <v>1</v>
      </c>
      <c r="W911" s="14">
        <v>1</v>
      </c>
      <c r="X911" s="14">
        <v>1</v>
      </c>
    </row>
    <row r="912" spans="1:24" hidden="1" x14ac:dyDescent="0.3">
      <c r="A912" s="14" t="s">
        <v>405</v>
      </c>
      <c r="B912" s="14" t="s">
        <v>49</v>
      </c>
      <c r="C912" s="14" t="s">
        <v>355</v>
      </c>
      <c r="D912" s="14" t="s">
        <v>356</v>
      </c>
      <c r="E912" s="14" t="s">
        <v>342</v>
      </c>
      <c r="F912" s="14" t="s">
        <v>343</v>
      </c>
      <c r="G912" s="14" t="s">
        <v>343</v>
      </c>
      <c r="H912" s="14" t="s">
        <v>343</v>
      </c>
      <c r="U912" s="14">
        <v>1</v>
      </c>
      <c r="V912" s="14">
        <v>1</v>
      </c>
      <c r="W912" s="14">
        <v>1</v>
      </c>
      <c r="X912" s="14">
        <v>1</v>
      </c>
    </row>
    <row r="913" spans="1:24" hidden="1" x14ac:dyDescent="0.3">
      <c r="A913" s="14" t="s">
        <v>405</v>
      </c>
      <c r="B913" s="14" t="s">
        <v>49</v>
      </c>
      <c r="C913" s="14" t="s">
        <v>355</v>
      </c>
      <c r="D913" s="14" t="s">
        <v>356</v>
      </c>
      <c r="E913" s="14" t="s">
        <v>344</v>
      </c>
      <c r="F913" s="14" t="s">
        <v>343</v>
      </c>
      <c r="G913" s="14" t="s">
        <v>343</v>
      </c>
      <c r="H913" s="14" t="s">
        <v>343</v>
      </c>
      <c r="U913" s="14">
        <v>1</v>
      </c>
      <c r="V913" s="14">
        <v>1</v>
      </c>
      <c r="W913" s="14">
        <v>1</v>
      </c>
      <c r="X913" s="14">
        <v>1</v>
      </c>
    </row>
    <row r="914" spans="1:24" hidden="1" x14ac:dyDescent="0.3">
      <c r="A914" s="14" t="s">
        <v>405</v>
      </c>
      <c r="B914" s="14" t="s">
        <v>49</v>
      </c>
      <c r="C914" s="14" t="s">
        <v>357</v>
      </c>
      <c r="D914" s="14" t="s">
        <v>358</v>
      </c>
      <c r="E914" s="14" t="s">
        <v>342</v>
      </c>
      <c r="F914" s="14" t="s">
        <v>343</v>
      </c>
      <c r="G914" s="14" t="s">
        <v>343</v>
      </c>
      <c r="H914" s="14" t="s">
        <v>343</v>
      </c>
      <c r="U914" s="14">
        <v>0.74</v>
      </c>
      <c r="V914" s="14">
        <v>0.99</v>
      </c>
      <c r="W914" s="14">
        <v>0.99</v>
      </c>
      <c r="X914" s="14">
        <v>1</v>
      </c>
    </row>
    <row r="915" spans="1:24" hidden="1" x14ac:dyDescent="0.3">
      <c r="A915" s="14" t="s">
        <v>405</v>
      </c>
      <c r="B915" s="14" t="s">
        <v>49</v>
      </c>
      <c r="C915" s="14" t="s">
        <v>357</v>
      </c>
      <c r="D915" s="14" t="s">
        <v>358</v>
      </c>
      <c r="E915" s="14" t="s">
        <v>344</v>
      </c>
      <c r="F915" s="14" t="s">
        <v>343</v>
      </c>
      <c r="G915" s="14" t="s">
        <v>343</v>
      </c>
      <c r="H915" s="14" t="s">
        <v>343</v>
      </c>
      <c r="U915" s="14">
        <v>117</v>
      </c>
      <c r="V915" s="14">
        <v>106</v>
      </c>
      <c r="W915" s="14">
        <v>107</v>
      </c>
      <c r="X915" s="14">
        <v>1</v>
      </c>
    </row>
    <row r="916" spans="1:24" hidden="1" x14ac:dyDescent="0.3">
      <c r="A916" s="14" t="s">
        <v>405</v>
      </c>
      <c r="B916" s="14" t="s">
        <v>49</v>
      </c>
      <c r="C916" s="14" t="s">
        <v>359</v>
      </c>
      <c r="D916" s="14" t="s">
        <v>360</v>
      </c>
      <c r="E916" s="14" t="s">
        <v>342</v>
      </c>
      <c r="F916" s="14" t="s">
        <v>343</v>
      </c>
      <c r="G916" s="14" t="s">
        <v>343</v>
      </c>
      <c r="H916" s="14" t="s">
        <v>343</v>
      </c>
      <c r="P916" s="14">
        <v>0.75</v>
      </c>
      <c r="Q916" s="14">
        <v>0.64</v>
      </c>
      <c r="R916" s="14">
        <v>0.64</v>
      </c>
      <c r="S916" s="14">
        <v>0.62</v>
      </c>
      <c r="T916" s="14">
        <v>0.62</v>
      </c>
      <c r="U916" s="14">
        <v>0.62</v>
      </c>
      <c r="V916" s="14">
        <v>0.54</v>
      </c>
      <c r="W916" s="14">
        <v>0.56000000000000005</v>
      </c>
      <c r="X916" s="14">
        <v>0.54</v>
      </c>
    </row>
    <row r="917" spans="1:24" hidden="1" x14ac:dyDescent="0.3">
      <c r="A917" s="14" t="s">
        <v>405</v>
      </c>
      <c r="B917" s="14" t="s">
        <v>49</v>
      </c>
      <c r="C917" s="14" t="s">
        <v>359</v>
      </c>
      <c r="D917" s="14" t="s">
        <v>360</v>
      </c>
      <c r="E917" s="14" t="s">
        <v>344</v>
      </c>
      <c r="F917" s="14" t="s">
        <v>343</v>
      </c>
      <c r="G917" s="14" t="s">
        <v>343</v>
      </c>
      <c r="H917" s="14" t="s">
        <v>343</v>
      </c>
      <c r="P917" s="14">
        <v>27</v>
      </c>
      <c r="Q917" s="14">
        <v>93</v>
      </c>
      <c r="R917" s="14">
        <v>90</v>
      </c>
      <c r="S917" s="14">
        <v>99</v>
      </c>
      <c r="T917" s="14">
        <v>103</v>
      </c>
      <c r="U917" s="14">
        <v>104</v>
      </c>
      <c r="V917" s="14">
        <v>130</v>
      </c>
      <c r="W917" s="14">
        <v>130</v>
      </c>
      <c r="X917" s="14">
        <v>126</v>
      </c>
    </row>
    <row r="918" spans="1:24" x14ac:dyDescent="0.3">
      <c r="A918" s="14" t="s">
        <v>405</v>
      </c>
      <c r="B918" s="14" t="s">
        <v>49</v>
      </c>
      <c r="C918" s="14" t="s">
        <v>361</v>
      </c>
      <c r="D918" s="14" t="s">
        <v>362</v>
      </c>
      <c r="E918" s="14" t="s">
        <v>342</v>
      </c>
      <c r="F918" s="14" t="s">
        <v>343</v>
      </c>
      <c r="G918" s="14" t="s">
        <v>343</v>
      </c>
      <c r="H918" s="14" t="s">
        <v>343</v>
      </c>
      <c r="P918" s="14">
        <v>0.97</v>
      </c>
      <c r="Q918" s="14">
        <v>0.97</v>
      </c>
      <c r="R918" s="14">
        <v>0.97</v>
      </c>
      <c r="S918" s="14">
        <v>0.97</v>
      </c>
      <c r="T918" s="14">
        <v>0.96</v>
      </c>
      <c r="U918" s="14">
        <v>0.96</v>
      </c>
      <c r="V918" s="14">
        <v>0.96</v>
      </c>
      <c r="W918" s="14">
        <v>0.96</v>
      </c>
      <c r="X918" s="14">
        <v>0.96</v>
      </c>
    </row>
    <row r="919" spans="1:24" hidden="1" x14ac:dyDescent="0.3">
      <c r="A919" s="14" t="s">
        <v>405</v>
      </c>
      <c r="B919" s="14" t="s">
        <v>49</v>
      </c>
      <c r="C919" s="14" t="s">
        <v>361</v>
      </c>
      <c r="D919" s="14" t="s">
        <v>362</v>
      </c>
      <c r="E919" s="14" t="s">
        <v>344</v>
      </c>
      <c r="F919" s="14" t="s">
        <v>343</v>
      </c>
      <c r="G919" s="14" t="s">
        <v>343</v>
      </c>
      <c r="H919" s="14" t="s">
        <v>343</v>
      </c>
      <c r="P919" s="14">
        <v>82</v>
      </c>
      <c r="Q919" s="14">
        <v>120</v>
      </c>
      <c r="R919" s="14">
        <v>126</v>
      </c>
      <c r="S919" s="14">
        <v>125</v>
      </c>
      <c r="T919" s="14">
        <v>137</v>
      </c>
      <c r="U919" s="14">
        <v>141</v>
      </c>
      <c r="V919" s="14">
        <v>144</v>
      </c>
      <c r="W919" s="14">
        <v>131</v>
      </c>
      <c r="X919" s="14">
        <v>125</v>
      </c>
    </row>
    <row r="920" spans="1:24" hidden="1" x14ac:dyDescent="0.3">
      <c r="A920" s="14" t="s">
        <v>405</v>
      </c>
      <c r="B920" s="14" t="s">
        <v>49</v>
      </c>
      <c r="C920" s="14" t="s">
        <v>363</v>
      </c>
      <c r="D920" s="14" t="s">
        <v>364</v>
      </c>
      <c r="E920" s="14" t="s">
        <v>342</v>
      </c>
      <c r="F920" s="14" t="s">
        <v>343</v>
      </c>
      <c r="G920" s="14" t="s">
        <v>343</v>
      </c>
      <c r="H920" s="14" t="s">
        <v>343</v>
      </c>
      <c r="U920" s="14">
        <v>1</v>
      </c>
      <c r="V920" s="14">
        <v>1</v>
      </c>
      <c r="W920" s="14">
        <v>1</v>
      </c>
      <c r="X920" s="14">
        <v>1</v>
      </c>
    </row>
    <row r="921" spans="1:24" hidden="1" x14ac:dyDescent="0.3">
      <c r="A921" s="14" t="s">
        <v>405</v>
      </c>
      <c r="B921" s="14" t="s">
        <v>49</v>
      </c>
      <c r="C921" s="14" t="s">
        <v>363</v>
      </c>
      <c r="D921" s="14" t="s">
        <v>364</v>
      </c>
      <c r="E921" s="14" t="s">
        <v>344</v>
      </c>
      <c r="F921" s="14" t="s">
        <v>343</v>
      </c>
      <c r="G921" s="14" t="s">
        <v>343</v>
      </c>
      <c r="H921" s="14" t="s">
        <v>343</v>
      </c>
      <c r="U921" s="14">
        <v>148</v>
      </c>
      <c r="V921" s="14">
        <v>152</v>
      </c>
      <c r="W921" s="14">
        <v>140</v>
      </c>
      <c r="X921" s="14">
        <v>132</v>
      </c>
    </row>
    <row r="922" spans="1:24" hidden="1" x14ac:dyDescent="0.3">
      <c r="A922" s="14" t="s">
        <v>405</v>
      </c>
      <c r="B922" s="14" t="s">
        <v>49</v>
      </c>
      <c r="C922" s="14" t="s">
        <v>365</v>
      </c>
      <c r="D922" s="14" t="s">
        <v>366</v>
      </c>
      <c r="E922" s="14" t="s">
        <v>342</v>
      </c>
      <c r="F922" s="14" t="s">
        <v>343</v>
      </c>
      <c r="G922" s="14" t="s">
        <v>343</v>
      </c>
      <c r="H922" s="14" t="s">
        <v>343</v>
      </c>
      <c r="U922" s="14">
        <v>0.94</v>
      </c>
      <c r="V922" s="14">
        <v>0.94</v>
      </c>
      <c r="W922" s="14">
        <v>0.94</v>
      </c>
      <c r="X922" s="14">
        <v>0.94</v>
      </c>
    </row>
    <row r="923" spans="1:24" hidden="1" x14ac:dyDescent="0.3">
      <c r="A923" s="14" t="s">
        <v>405</v>
      </c>
      <c r="B923" s="14" t="s">
        <v>49</v>
      </c>
      <c r="C923" s="14" t="s">
        <v>365</v>
      </c>
      <c r="D923" s="14" t="s">
        <v>366</v>
      </c>
      <c r="E923" s="14" t="s">
        <v>344</v>
      </c>
      <c r="F923" s="14" t="s">
        <v>343</v>
      </c>
      <c r="G923" s="14" t="s">
        <v>343</v>
      </c>
      <c r="H923" s="14" t="s">
        <v>343</v>
      </c>
      <c r="U923" s="14">
        <v>1</v>
      </c>
      <c r="V923" s="14">
        <v>1</v>
      </c>
      <c r="W923" s="14">
        <v>1</v>
      </c>
      <c r="X923" s="14">
        <v>1</v>
      </c>
    </row>
    <row r="924" spans="1:24" hidden="1" x14ac:dyDescent="0.3">
      <c r="A924" s="14" t="s">
        <v>405</v>
      </c>
      <c r="B924" s="14" t="s">
        <v>49</v>
      </c>
      <c r="C924" s="14" t="s">
        <v>367</v>
      </c>
      <c r="D924" s="14" t="s">
        <v>368</v>
      </c>
      <c r="E924" s="14" t="s">
        <v>342</v>
      </c>
      <c r="F924" s="14" t="s">
        <v>343</v>
      </c>
      <c r="G924" s="14" t="s">
        <v>343</v>
      </c>
      <c r="H924" s="14" t="s">
        <v>343</v>
      </c>
      <c r="P924" s="14">
        <v>0.67</v>
      </c>
      <c r="Q924" s="14">
        <v>0.64</v>
      </c>
      <c r="R924" s="14">
        <v>0.65</v>
      </c>
      <c r="S924" s="14">
        <v>0.64</v>
      </c>
      <c r="T924" s="14">
        <v>0.64</v>
      </c>
      <c r="U924" s="14">
        <v>0.64</v>
      </c>
      <c r="V924" s="14">
        <v>0.64</v>
      </c>
      <c r="W924" s="14">
        <v>0.64</v>
      </c>
      <c r="X924" s="14">
        <v>0.64</v>
      </c>
    </row>
    <row r="925" spans="1:24" hidden="1" x14ac:dyDescent="0.3">
      <c r="A925" s="14" t="s">
        <v>405</v>
      </c>
      <c r="B925" s="14" t="s">
        <v>49</v>
      </c>
      <c r="C925" s="14" t="s">
        <v>367</v>
      </c>
      <c r="D925" s="14" t="s">
        <v>368</v>
      </c>
      <c r="E925" s="14" t="s">
        <v>344</v>
      </c>
      <c r="F925" s="14" t="s">
        <v>343</v>
      </c>
      <c r="G925" s="14" t="s">
        <v>343</v>
      </c>
      <c r="H925" s="14" t="s">
        <v>343</v>
      </c>
      <c r="P925" s="14">
        <v>93</v>
      </c>
      <c r="Q925" s="14">
        <v>120</v>
      </c>
      <c r="R925" s="14">
        <v>118</v>
      </c>
      <c r="S925" s="14">
        <v>121</v>
      </c>
      <c r="T925" s="14">
        <v>124</v>
      </c>
      <c r="U925" s="14">
        <v>122</v>
      </c>
      <c r="V925" s="14">
        <v>131</v>
      </c>
      <c r="W925" s="14">
        <v>130</v>
      </c>
      <c r="X925" s="14">
        <v>126</v>
      </c>
    </row>
    <row r="926" spans="1:24" hidden="1" x14ac:dyDescent="0.3">
      <c r="A926" s="14" t="s">
        <v>405</v>
      </c>
      <c r="B926" s="14" t="s">
        <v>49</v>
      </c>
      <c r="C926" s="14" t="s">
        <v>369</v>
      </c>
      <c r="D926" s="14" t="s">
        <v>370</v>
      </c>
      <c r="E926" s="14" t="s">
        <v>342</v>
      </c>
      <c r="F926" s="14" t="s">
        <v>343</v>
      </c>
      <c r="G926" s="14" t="s">
        <v>343</v>
      </c>
      <c r="H926" s="14" t="s">
        <v>343</v>
      </c>
      <c r="P926" s="14">
        <v>0.05</v>
      </c>
      <c r="Q926" s="14">
        <v>0.06</v>
      </c>
      <c r="R926" s="14">
        <v>0.06</v>
      </c>
      <c r="S926" s="14">
        <v>0.06</v>
      </c>
      <c r="T926" s="14">
        <v>0.06</v>
      </c>
      <c r="U926" s="14">
        <v>0.06</v>
      </c>
      <c r="V926" s="14">
        <v>0.08</v>
      </c>
      <c r="W926" s="14">
        <v>0.08</v>
      </c>
      <c r="X926" s="14">
        <v>0.09</v>
      </c>
    </row>
    <row r="927" spans="1:24" hidden="1" x14ac:dyDescent="0.3">
      <c r="A927" s="14" t="s">
        <v>405</v>
      </c>
      <c r="B927" s="14" t="s">
        <v>49</v>
      </c>
      <c r="C927" s="14" t="s">
        <v>369</v>
      </c>
      <c r="D927" s="14" t="s">
        <v>370</v>
      </c>
      <c r="E927" s="14" t="s">
        <v>344</v>
      </c>
      <c r="F927" s="14" t="s">
        <v>343</v>
      </c>
      <c r="G927" s="14" t="s">
        <v>343</v>
      </c>
      <c r="H927" s="14" t="s">
        <v>343</v>
      </c>
      <c r="P927" s="14">
        <v>122</v>
      </c>
      <c r="Q927" s="14">
        <v>130</v>
      </c>
      <c r="R927" s="14">
        <v>132</v>
      </c>
      <c r="S927" s="14">
        <v>132</v>
      </c>
      <c r="T927" s="14">
        <v>134</v>
      </c>
      <c r="U927" s="14">
        <v>138</v>
      </c>
      <c r="V927" s="14">
        <v>132</v>
      </c>
      <c r="W927" s="14">
        <v>137</v>
      </c>
      <c r="X927" s="14">
        <v>125</v>
      </c>
    </row>
    <row r="928" spans="1:24" hidden="1" x14ac:dyDescent="0.3">
      <c r="A928" s="14" t="s">
        <v>405</v>
      </c>
      <c r="B928" s="14" t="s">
        <v>49</v>
      </c>
      <c r="C928" s="14" t="s">
        <v>371</v>
      </c>
      <c r="D928" s="14" t="s">
        <v>372</v>
      </c>
      <c r="E928" s="14" t="s">
        <v>342</v>
      </c>
      <c r="F928" s="14" t="s">
        <v>343</v>
      </c>
      <c r="G928" s="14" t="s">
        <v>343</v>
      </c>
      <c r="H928" s="14" t="s">
        <v>343</v>
      </c>
      <c r="U928" s="14">
        <v>0</v>
      </c>
      <c r="V928" s="14">
        <v>0</v>
      </c>
      <c r="W928" s="14">
        <v>0</v>
      </c>
      <c r="X928" s="14">
        <v>0</v>
      </c>
    </row>
    <row r="929" spans="1:24" hidden="1" x14ac:dyDescent="0.3">
      <c r="A929" s="14" t="s">
        <v>405</v>
      </c>
      <c r="B929" s="14" t="s">
        <v>49</v>
      </c>
      <c r="C929" s="14" t="s">
        <v>371</v>
      </c>
      <c r="D929" s="14" t="s">
        <v>372</v>
      </c>
      <c r="E929" s="14" t="s">
        <v>344</v>
      </c>
      <c r="F929" s="14" t="s">
        <v>343</v>
      </c>
      <c r="G929" s="14" t="s">
        <v>343</v>
      </c>
      <c r="H929" s="14" t="s">
        <v>343</v>
      </c>
      <c r="U929" s="14">
        <v>71</v>
      </c>
      <c r="V929" s="14">
        <v>73</v>
      </c>
      <c r="W929" s="14">
        <v>76</v>
      </c>
      <c r="X929" s="14">
        <v>78</v>
      </c>
    </row>
    <row r="930" spans="1:24" hidden="1" x14ac:dyDescent="0.3">
      <c r="A930" s="14" t="s">
        <v>405</v>
      </c>
      <c r="B930" s="14" t="s">
        <v>49</v>
      </c>
      <c r="C930" s="14" t="s">
        <v>373</v>
      </c>
      <c r="D930" s="14" t="s">
        <v>374</v>
      </c>
      <c r="E930" s="14" t="s">
        <v>342</v>
      </c>
      <c r="F930" s="14" t="s">
        <v>343</v>
      </c>
      <c r="G930" s="14" t="s">
        <v>343</v>
      </c>
      <c r="H930" s="14" t="s">
        <v>343</v>
      </c>
      <c r="U930" s="14">
        <v>0.11</v>
      </c>
      <c r="V930" s="14">
        <v>0.11</v>
      </c>
      <c r="W930" s="14">
        <v>0.11</v>
      </c>
      <c r="X930" s="14">
        <v>0.11</v>
      </c>
    </row>
    <row r="931" spans="1:24" hidden="1" x14ac:dyDescent="0.3">
      <c r="A931" s="14" t="s">
        <v>405</v>
      </c>
      <c r="B931" s="14" t="s">
        <v>49</v>
      </c>
      <c r="C931" s="14" t="s">
        <v>373</v>
      </c>
      <c r="D931" s="14" t="s">
        <v>374</v>
      </c>
      <c r="E931" s="14" t="s">
        <v>344</v>
      </c>
      <c r="F931" s="14" t="s">
        <v>343</v>
      </c>
      <c r="G931" s="14" t="s">
        <v>343</v>
      </c>
      <c r="H931" s="14" t="s">
        <v>343</v>
      </c>
      <c r="U931" s="14">
        <v>113</v>
      </c>
      <c r="V931" s="14">
        <v>119</v>
      </c>
      <c r="W931" s="14">
        <v>126</v>
      </c>
      <c r="X931" s="14">
        <v>120</v>
      </c>
    </row>
    <row r="932" spans="1:24" hidden="1" x14ac:dyDescent="0.3">
      <c r="A932" s="14" t="s">
        <v>405</v>
      </c>
      <c r="B932" s="14" t="s">
        <v>49</v>
      </c>
      <c r="C932" s="14" t="s">
        <v>375</v>
      </c>
      <c r="D932" s="14" t="s">
        <v>376</v>
      </c>
      <c r="E932" s="14" t="s">
        <v>342</v>
      </c>
      <c r="F932" s="14" t="s">
        <v>343</v>
      </c>
      <c r="G932" s="14" t="s">
        <v>343</v>
      </c>
      <c r="H932" s="14" t="s">
        <v>343</v>
      </c>
      <c r="U932" s="14">
        <v>0.09</v>
      </c>
      <c r="V932" s="14">
        <v>0.18</v>
      </c>
      <c r="W932" s="14">
        <v>0.18</v>
      </c>
      <c r="X932" s="14">
        <v>0.21</v>
      </c>
    </row>
    <row r="933" spans="1:24" hidden="1" x14ac:dyDescent="0.3">
      <c r="A933" s="14" t="s">
        <v>405</v>
      </c>
      <c r="B933" s="14" t="s">
        <v>49</v>
      </c>
      <c r="C933" s="14" t="s">
        <v>375</v>
      </c>
      <c r="D933" s="14" t="s">
        <v>376</v>
      </c>
      <c r="E933" s="14" t="s">
        <v>344</v>
      </c>
      <c r="F933" s="14" t="s">
        <v>343</v>
      </c>
      <c r="G933" s="14" t="s">
        <v>343</v>
      </c>
      <c r="H933" s="14" t="s">
        <v>343</v>
      </c>
      <c r="U933" s="14">
        <v>137</v>
      </c>
      <c r="V933" s="14">
        <v>118</v>
      </c>
      <c r="W933" s="14">
        <v>125</v>
      </c>
      <c r="X933" s="14">
        <v>109</v>
      </c>
    </row>
    <row r="934" spans="1:24" hidden="1" x14ac:dyDescent="0.3">
      <c r="A934" s="14" t="s">
        <v>406</v>
      </c>
      <c r="B934" s="14" t="s">
        <v>52</v>
      </c>
      <c r="C934" s="14" t="s">
        <v>340</v>
      </c>
      <c r="D934" s="14" t="s">
        <v>341</v>
      </c>
      <c r="E934" s="14" t="s">
        <v>342</v>
      </c>
      <c r="F934" s="14" t="s">
        <v>343</v>
      </c>
      <c r="G934" s="14" t="s">
        <v>343</v>
      </c>
      <c r="H934" s="14" t="s">
        <v>343</v>
      </c>
      <c r="I934" s="14">
        <v>0.98</v>
      </c>
      <c r="J934" s="14">
        <v>1</v>
      </c>
      <c r="K934" s="14">
        <v>1</v>
      </c>
      <c r="L934" s="14">
        <v>1</v>
      </c>
      <c r="M934" s="14">
        <v>1</v>
      </c>
      <c r="N934" s="14">
        <v>1</v>
      </c>
      <c r="O934" s="14">
        <v>1</v>
      </c>
      <c r="P934" s="14">
        <v>1</v>
      </c>
      <c r="Q934" s="14">
        <v>1</v>
      </c>
      <c r="R934" s="14">
        <v>1</v>
      </c>
      <c r="S934" s="14">
        <v>1</v>
      </c>
      <c r="T934" s="14">
        <v>1</v>
      </c>
      <c r="U934" s="14">
        <v>1</v>
      </c>
      <c r="V934" s="14">
        <v>1</v>
      </c>
      <c r="W934" s="14">
        <v>1</v>
      </c>
      <c r="X934" s="14">
        <v>1</v>
      </c>
    </row>
    <row r="935" spans="1:24" hidden="1" x14ac:dyDescent="0.3">
      <c r="A935" s="14" t="s">
        <v>406</v>
      </c>
      <c r="B935" s="14" t="s">
        <v>52</v>
      </c>
      <c r="C935" s="14" t="s">
        <v>340</v>
      </c>
      <c r="D935" s="14" t="s">
        <v>341</v>
      </c>
      <c r="E935" s="14" t="s">
        <v>344</v>
      </c>
      <c r="F935" s="14" t="s">
        <v>343</v>
      </c>
      <c r="G935" s="14" t="s">
        <v>343</v>
      </c>
      <c r="H935" s="14" t="s">
        <v>343</v>
      </c>
      <c r="I935" s="14">
        <v>67</v>
      </c>
      <c r="J935" s="14">
        <v>30</v>
      </c>
      <c r="K935" s="14">
        <v>26</v>
      </c>
      <c r="L935" s="14">
        <v>27</v>
      </c>
      <c r="M935" s="14">
        <v>1</v>
      </c>
      <c r="N935" s="14">
        <v>1</v>
      </c>
      <c r="O935" s="14">
        <v>1</v>
      </c>
      <c r="P935" s="14">
        <v>1</v>
      </c>
      <c r="Q935" s="14">
        <v>1</v>
      </c>
      <c r="R935" s="14">
        <v>1</v>
      </c>
      <c r="S935" s="14">
        <v>1</v>
      </c>
      <c r="T935" s="14">
        <v>1</v>
      </c>
      <c r="U935" s="14">
        <v>1</v>
      </c>
      <c r="V935" s="14">
        <v>1</v>
      </c>
      <c r="W935" s="14">
        <v>1</v>
      </c>
      <c r="X935" s="14">
        <v>22</v>
      </c>
    </row>
    <row r="936" spans="1:24" hidden="1" x14ac:dyDescent="0.3">
      <c r="A936" s="14" t="s">
        <v>406</v>
      </c>
      <c r="B936" s="14" t="s">
        <v>52</v>
      </c>
      <c r="C936" s="14" t="s">
        <v>345</v>
      </c>
      <c r="D936" s="14" t="s">
        <v>346</v>
      </c>
      <c r="E936" s="14" t="s">
        <v>342</v>
      </c>
      <c r="F936" s="14" t="s">
        <v>343</v>
      </c>
      <c r="G936" s="14" t="s">
        <v>343</v>
      </c>
      <c r="H936" s="14" t="s">
        <v>343</v>
      </c>
      <c r="U936" s="14">
        <v>0.87</v>
      </c>
      <c r="V936" s="14">
        <v>0.77</v>
      </c>
      <c r="W936" s="14">
        <v>0.61</v>
      </c>
      <c r="X936" s="14">
        <v>0.72</v>
      </c>
    </row>
    <row r="937" spans="1:24" hidden="1" x14ac:dyDescent="0.3">
      <c r="A937" s="14" t="s">
        <v>406</v>
      </c>
      <c r="B937" s="14" t="s">
        <v>52</v>
      </c>
      <c r="C937" s="14" t="s">
        <v>345</v>
      </c>
      <c r="D937" s="14" t="s">
        <v>346</v>
      </c>
      <c r="E937" s="14" t="s">
        <v>344</v>
      </c>
      <c r="F937" s="14" t="s">
        <v>343</v>
      </c>
      <c r="G937" s="14" t="s">
        <v>343</v>
      </c>
      <c r="H937" s="14" t="s">
        <v>343</v>
      </c>
      <c r="U937" s="14">
        <v>7</v>
      </c>
      <c r="V937" s="14">
        <v>16</v>
      </c>
      <c r="W937" s="14">
        <v>74</v>
      </c>
      <c r="X937" s="14">
        <v>39</v>
      </c>
    </row>
    <row r="938" spans="1:24" hidden="1" x14ac:dyDescent="0.3">
      <c r="A938" s="14" t="s">
        <v>406</v>
      </c>
      <c r="B938" s="14" t="s">
        <v>52</v>
      </c>
      <c r="C938" s="14" t="s">
        <v>347</v>
      </c>
      <c r="D938" s="14" t="s">
        <v>348</v>
      </c>
      <c r="E938" s="14" t="s">
        <v>342</v>
      </c>
      <c r="F938" s="14" t="s">
        <v>343</v>
      </c>
      <c r="G938" s="14" t="s">
        <v>343</v>
      </c>
      <c r="H938" s="14" t="s">
        <v>343</v>
      </c>
      <c r="U938" s="14">
        <v>0.86</v>
      </c>
      <c r="V938" s="14">
        <v>0.86</v>
      </c>
      <c r="W938" s="14">
        <v>0.88</v>
      </c>
      <c r="X938" s="14">
        <v>0.86</v>
      </c>
    </row>
    <row r="939" spans="1:24" hidden="1" x14ac:dyDescent="0.3">
      <c r="A939" s="14" t="s">
        <v>406</v>
      </c>
      <c r="B939" s="14" t="s">
        <v>52</v>
      </c>
      <c r="C939" s="14" t="s">
        <v>347</v>
      </c>
      <c r="D939" s="14" t="s">
        <v>348</v>
      </c>
      <c r="E939" s="14" t="s">
        <v>344</v>
      </c>
      <c r="F939" s="14" t="s">
        <v>343</v>
      </c>
      <c r="G939" s="14" t="s">
        <v>343</v>
      </c>
      <c r="H939" s="14" t="s">
        <v>343</v>
      </c>
      <c r="U939" s="14">
        <v>58</v>
      </c>
      <c r="V939" s="14">
        <v>60</v>
      </c>
      <c r="W939" s="14">
        <v>58</v>
      </c>
      <c r="X939" s="14">
        <v>39</v>
      </c>
    </row>
    <row r="940" spans="1:24" hidden="1" x14ac:dyDescent="0.3">
      <c r="A940" s="14" t="s">
        <v>406</v>
      </c>
      <c r="B940" s="14" t="s">
        <v>52</v>
      </c>
      <c r="C940" s="14" t="s">
        <v>349</v>
      </c>
      <c r="D940" s="14" t="s">
        <v>350</v>
      </c>
      <c r="E940" s="14" t="s">
        <v>342</v>
      </c>
      <c r="F940" s="14" t="s">
        <v>343</v>
      </c>
      <c r="G940" s="14" t="s">
        <v>343</v>
      </c>
      <c r="H940" s="14" t="s">
        <v>343</v>
      </c>
      <c r="U940" s="14">
        <v>0.63</v>
      </c>
      <c r="V940" s="14">
        <v>0.63</v>
      </c>
      <c r="W940" s="14">
        <v>1</v>
      </c>
      <c r="X940" s="14">
        <v>1</v>
      </c>
    </row>
    <row r="941" spans="1:24" hidden="1" x14ac:dyDescent="0.3">
      <c r="A941" s="14" t="s">
        <v>406</v>
      </c>
      <c r="B941" s="14" t="s">
        <v>52</v>
      </c>
      <c r="C941" s="14" t="s">
        <v>349</v>
      </c>
      <c r="D941" s="14" t="s">
        <v>350</v>
      </c>
      <c r="E941" s="14" t="s">
        <v>344</v>
      </c>
      <c r="F941" s="14" t="s">
        <v>343</v>
      </c>
      <c r="G941" s="14" t="s">
        <v>343</v>
      </c>
      <c r="H941" s="14" t="s">
        <v>343</v>
      </c>
      <c r="U941" s="14">
        <v>34</v>
      </c>
      <c r="V941" s="14">
        <v>33</v>
      </c>
      <c r="W941" s="14">
        <v>1</v>
      </c>
      <c r="X941" s="14">
        <v>1</v>
      </c>
    </row>
    <row r="942" spans="1:24" hidden="1" x14ac:dyDescent="0.3">
      <c r="A942" s="14" t="s">
        <v>406</v>
      </c>
      <c r="B942" s="14" t="s">
        <v>52</v>
      </c>
      <c r="C942" s="14" t="s">
        <v>351</v>
      </c>
      <c r="D942" s="14" t="s">
        <v>352</v>
      </c>
      <c r="E942" s="14" t="s">
        <v>342</v>
      </c>
      <c r="F942" s="14" t="s">
        <v>343</v>
      </c>
      <c r="G942" s="14" t="s">
        <v>343</v>
      </c>
      <c r="H942" s="14" t="s">
        <v>343</v>
      </c>
      <c r="U942" s="14">
        <v>1</v>
      </c>
      <c r="V942" s="14">
        <v>1</v>
      </c>
      <c r="W942" s="14">
        <v>1</v>
      </c>
      <c r="X942" s="14">
        <v>1</v>
      </c>
    </row>
    <row r="943" spans="1:24" hidden="1" x14ac:dyDescent="0.3">
      <c r="A943" s="14" t="s">
        <v>406</v>
      </c>
      <c r="B943" s="14" t="s">
        <v>52</v>
      </c>
      <c r="C943" s="14" t="s">
        <v>351</v>
      </c>
      <c r="D943" s="14" t="s">
        <v>352</v>
      </c>
      <c r="E943" s="14" t="s">
        <v>344</v>
      </c>
      <c r="F943" s="14" t="s">
        <v>343</v>
      </c>
      <c r="G943" s="14" t="s">
        <v>343</v>
      </c>
      <c r="H943" s="14" t="s">
        <v>343</v>
      </c>
      <c r="U943" s="14">
        <v>1</v>
      </c>
      <c r="V943" s="14">
        <v>1</v>
      </c>
      <c r="W943" s="14">
        <v>1</v>
      </c>
      <c r="X943" s="14">
        <v>1</v>
      </c>
    </row>
    <row r="944" spans="1:24" hidden="1" x14ac:dyDescent="0.3">
      <c r="A944" s="14" t="s">
        <v>406</v>
      </c>
      <c r="B944" s="14" t="s">
        <v>52</v>
      </c>
      <c r="C944" s="14" t="s">
        <v>378</v>
      </c>
      <c r="D944" s="14" t="s">
        <v>379</v>
      </c>
      <c r="E944" s="14" t="s">
        <v>342</v>
      </c>
      <c r="F944" s="14" t="s">
        <v>343</v>
      </c>
      <c r="G944" s="14" t="s">
        <v>343</v>
      </c>
      <c r="H944" s="14" t="s">
        <v>343</v>
      </c>
      <c r="S944" s="14">
        <v>0.72</v>
      </c>
      <c r="U944" s="14">
        <v>0.72</v>
      </c>
      <c r="V944" s="14">
        <v>0.72</v>
      </c>
      <c r="W944" s="14">
        <v>0.71</v>
      </c>
      <c r="X944" s="14">
        <v>0.68</v>
      </c>
    </row>
    <row r="945" spans="1:24" hidden="1" x14ac:dyDescent="0.3">
      <c r="A945" s="14" t="s">
        <v>406</v>
      </c>
      <c r="B945" s="14" t="s">
        <v>52</v>
      </c>
      <c r="C945" s="14" t="s">
        <v>378</v>
      </c>
      <c r="D945" s="14" t="s">
        <v>379</v>
      </c>
      <c r="E945" s="14" t="s">
        <v>344</v>
      </c>
      <c r="F945" s="14" t="s">
        <v>343</v>
      </c>
      <c r="G945" s="14" t="s">
        <v>343</v>
      </c>
      <c r="H945" s="14" t="s">
        <v>343</v>
      </c>
      <c r="S945" s="14">
        <v>33</v>
      </c>
      <c r="U945" s="14">
        <v>29</v>
      </c>
      <c r="V945" s="14">
        <v>33</v>
      </c>
      <c r="W945" s="14">
        <v>45</v>
      </c>
      <c r="X945" s="14">
        <v>62</v>
      </c>
    </row>
    <row r="946" spans="1:24" hidden="1" x14ac:dyDescent="0.3">
      <c r="A946" s="14" t="s">
        <v>406</v>
      </c>
      <c r="B946" s="14" t="s">
        <v>52</v>
      </c>
      <c r="C946" s="14" t="s">
        <v>353</v>
      </c>
      <c r="D946" s="14" t="s">
        <v>354</v>
      </c>
      <c r="E946" s="14" t="s">
        <v>342</v>
      </c>
      <c r="F946" s="14" t="s">
        <v>343</v>
      </c>
      <c r="G946" s="14" t="s">
        <v>343</v>
      </c>
      <c r="H946" s="14" t="s">
        <v>343</v>
      </c>
      <c r="U946" s="14">
        <v>1</v>
      </c>
      <c r="V946" s="14">
        <v>1</v>
      </c>
      <c r="W946" s="14">
        <v>1</v>
      </c>
      <c r="X946" s="14">
        <v>1</v>
      </c>
    </row>
    <row r="947" spans="1:24" hidden="1" x14ac:dyDescent="0.3">
      <c r="A947" s="14" t="s">
        <v>406</v>
      </c>
      <c r="B947" s="14" t="s">
        <v>52</v>
      </c>
      <c r="C947" s="14" t="s">
        <v>353</v>
      </c>
      <c r="D947" s="14" t="s">
        <v>354</v>
      </c>
      <c r="E947" s="14" t="s">
        <v>344</v>
      </c>
      <c r="F947" s="14" t="s">
        <v>343</v>
      </c>
      <c r="G947" s="14" t="s">
        <v>343</v>
      </c>
      <c r="H947" s="14" t="s">
        <v>343</v>
      </c>
      <c r="U947" s="14">
        <v>1</v>
      </c>
      <c r="V947" s="14">
        <v>1</v>
      </c>
      <c r="W947" s="14">
        <v>1</v>
      </c>
      <c r="X947" s="14">
        <v>1</v>
      </c>
    </row>
    <row r="948" spans="1:24" hidden="1" x14ac:dyDescent="0.3">
      <c r="A948" s="14" t="s">
        <v>406</v>
      </c>
      <c r="B948" s="14" t="s">
        <v>52</v>
      </c>
      <c r="C948" s="14" t="s">
        <v>380</v>
      </c>
      <c r="D948" s="14" t="s">
        <v>381</v>
      </c>
      <c r="E948" s="14" t="s">
        <v>342</v>
      </c>
      <c r="F948" s="14" t="s">
        <v>343</v>
      </c>
      <c r="G948" s="14" t="s">
        <v>343</v>
      </c>
      <c r="H948" s="14" t="s">
        <v>343</v>
      </c>
      <c r="U948" s="14">
        <v>1</v>
      </c>
      <c r="V948" s="14">
        <v>1</v>
      </c>
      <c r="W948" s="14">
        <v>1</v>
      </c>
      <c r="X948" s="14">
        <v>1</v>
      </c>
    </row>
    <row r="949" spans="1:24" hidden="1" x14ac:dyDescent="0.3">
      <c r="A949" s="14" t="s">
        <v>406</v>
      </c>
      <c r="B949" s="14" t="s">
        <v>52</v>
      </c>
      <c r="C949" s="14" t="s">
        <v>380</v>
      </c>
      <c r="D949" s="14" t="s">
        <v>381</v>
      </c>
      <c r="E949" s="14" t="s">
        <v>344</v>
      </c>
      <c r="F949" s="14" t="s">
        <v>343</v>
      </c>
      <c r="G949" s="14" t="s">
        <v>343</v>
      </c>
      <c r="H949" s="14" t="s">
        <v>343</v>
      </c>
      <c r="U949" s="14">
        <v>1</v>
      </c>
      <c r="V949" s="14">
        <v>1</v>
      </c>
      <c r="W949" s="14">
        <v>1</v>
      </c>
      <c r="X949" s="14">
        <v>1</v>
      </c>
    </row>
    <row r="950" spans="1:24" hidden="1" x14ac:dyDescent="0.3">
      <c r="A950" s="14" t="s">
        <v>406</v>
      </c>
      <c r="B950" s="14" t="s">
        <v>52</v>
      </c>
      <c r="C950" s="14" t="s">
        <v>355</v>
      </c>
      <c r="D950" s="14" t="s">
        <v>356</v>
      </c>
      <c r="E950" s="14" t="s">
        <v>342</v>
      </c>
      <c r="F950" s="14" t="s">
        <v>343</v>
      </c>
      <c r="G950" s="14" t="s">
        <v>343</v>
      </c>
      <c r="H950" s="14" t="s">
        <v>343</v>
      </c>
      <c r="U950" s="14">
        <v>1</v>
      </c>
      <c r="V950" s="14">
        <v>1</v>
      </c>
      <c r="W950" s="14">
        <v>1</v>
      </c>
    </row>
    <row r="951" spans="1:24" hidden="1" x14ac:dyDescent="0.3">
      <c r="A951" s="14" t="s">
        <v>406</v>
      </c>
      <c r="B951" s="14" t="s">
        <v>52</v>
      </c>
      <c r="C951" s="14" t="s">
        <v>355</v>
      </c>
      <c r="D951" s="14" t="s">
        <v>356</v>
      </c>
      <c r="E951" s="14" t="s">
        <v>344</v>
      </c>
      <c r="F951" s="14" t="s">
        <v>343</v>
      </c>
      <c r="G951" s="14" t="s">
        <v>343</v>
      </c>
      <c r="H951" s="14" t="s">
        <v>343</v>
      </c>
      <c r="U951" s="14">
        <v>1</v>
      </c>
      <c r="V951" s="14">
        <v>1</v>
      </c>
      <c r="W951" s="14">
        <v>1</v>
      </c>
    </row>
    <row r="952" spans="1:24" hidden="1" x14ac:dyDescent="0.3">
      <c r="A952" s="14" t="s">
        <v>406</v>
      </c>
      <c r="B952" s="14" t="s">
        <v>52</v>
      </c>
      <c r="C952" s="14" t="s">
        <v>357</v>
      </c>
      <c r="D952" s="14" t="s">
        <v>358</v>
      </c>
      <c r="E952" s="14" t="s">
        <v>342</v>
      </c>
      <c r="F952" s="14" t="s">
        <v>343</v>
      </c>
      <c r="G952" s="14" t="s">
        <v>343</v>
      </c>
      <c r="H952" s="14" t="s">
        <v>343</v>
      </c>
      <c r="U952" s="14">
        <v>1</v>
      </c>
      <c r="V952" s="14">
        <v>1</v>
      </c>
      <c r="W952" s="14">
        <v>1</v>
      </c>
      <c r="X952" s="14">
        <v>1</v>
      </c>
    </row>
    <row r="953" spans="1:24" hidden="1" x14ac:dyDescent="0.3">
      <c r="A953" s="14" t="s">
        <v>406</v>
      </c>
      <c r="B953" s="14" t="s">
        <v>52</v>
      </c>
      <c r="C953" s="14" t="s">
        <v>357</v>
      </c>
      <c r="D953" s="14" t="s">
        <v>358</v>
      </c>
      <c r="E953" s="14" t="s">
        <v>344</v>
      </c>
      <c r="F953" s="14" t="s">
        <v>343</v>
      </c>
      <c r="G953" s="14" t="s">
        <v>343</v>
      </c>
      <c r="H953" s="14" t="s">
        <v>343</v>
      </c>
      <c r="U953" s="14">
        <v>1</v>
      </c>
      <c r="V953" s="14">
        <v>1</v>
      </c>
      <c r="W953" s="14">
        <v>1</v>
      </c>
      <c r="X953" s="14">
        <v>1</v>
      </c>
    </row>
    <row r="954" spans="1:24" hidden="1" x14ac:dyDescent="0.3">
      <c r="A954" s="14" t="s">
        <v>406</v>
      </c>
      <c r="B954" s="14" t="s">
        <v>52</v>
      </c>
      <c r="C954" s="14" t="s">
        <v>359</v>
      </c>
      <c r="D954" s="14" t="s">
        <v>360</v>
      </c>
      <c r="E954" s="14" t="s">
        <v>342</v>
      </c>
      <c r="F954" s="14" t="s">
        <v>343</v>
      </c>
      <c r="G954" s="14" t="s">
        <v>343</v>
      </c>
      <c r="H954" s="14" t="s">
        <v>343</v>
      </c>
      <c r="I954" s="14">
        <v>0.69</v>
      </c>
      <c r="J954" s="14">
        <v>0.64</v>
      </c>
      <c r="K954" s="14">
        <v>0.65</v>
      </c>
      <c r="L954" s="14">
        <v>0.74</v>
      </c>
      <c r="M954" s="14">
        <v>0.74</v>
      </c>
      <c r="N954" s="14">
        <v>0.72</v>
      </c>
      <c r="O954" s="14">
        <v>0.71</v>
      </c>
      <c r="P954" s="14">
        <v>0.71</v>
      </c>
      <c r="Q954" s="14">
        <v>0.82</v>
      </c>
      <c r="R954" s="14">
        <v>0.8</v>
      </c>
      <c r="S954" s="14">
        <v>0.82</v>
      </c>
      <c r="T954" s="14">
        <v>0.82</v>
      </c>
      <c r="U954" s="14">
        <v>0.8</v>
      </c>
      <c r="V954" s="14">
        <v>0.78</v>
      </c>
      <c r="W954" s="14">
        <v>0.8</v>
      </c>
      <c r="X954" s="14">
        <v>0.81</v>
      </c>
    </row>
    <row r="955" spans="1:24" hidden="1" x14ac:dyDescent="0.3">
      <c r="A955" s="14" t="s">
        <v>406</v>
      </c>
      <c r="B955" s="14" t="s">
        <v>52</v>
      </c>
      <c r="C955" s="14" t="s">
        <v>359</v>
      </c>
      <c r="D955" s="14" t="s">
        <v>360</v>
      </c>
      <c r="E955" s="14" t="s">
        <v>344</v>
      </c>
      <c r="F955" s="14" t="s">
        <v>343</v>
      </c>
      <c r="G955" s="14" t="s">
        <v>343</v>
      </c>
      <c r="H955" s="14" t="s">
        <v>343</v>
      </c>
      <c r="I955" s="14">
        <v>23</v>
      </c>
      <c r="J955" s="14">
        <v>63</v>
      </c>
      <c r="K955" s="14">
        <v>61</v>
      </c>
      <c r="L955" s="14">
        <v>22</v>
      </c>
      <c r="M955" s="14">
        <v>29</v>
      </c>
      <c r="N955" s="14">
        <v>37</v>
      </c>
      <c r="O955" s="14">
        <v>45</v>
      </c>
      <c r="P955" s="14">
        <v>48</v>
      </c>
      <c r="Q955" s="14">
        <v>8</v>
      </c>
      <c r="R955" s="14">
        <v>15</v>
      </c>
      <c r="S955" s="14">
        <v>6</v>
      </c>
      <c r="T955" s="14">
        <v>6</v>
      </c>
      <c r="U955" s="14">
        <v>13</v>
      </c>
      <c r="V955" s="14">
        <v>21</v>
      </c>
      <c r="W955" s="14">
        <v>16</v>
      </c>
      <c r="X955" s="14">
        <v>7</v>
      </c>
    </row>
    <row r="956" spans="1:24" x14ac:dyDescent="0.3">
      <c r="A956" s="14" t="s">
        <v>406</v>
      </c>
      <c r="B956" s="14" t="s">
        <v>52</v>
      </c>
      <c r="C956" s="14" t="s">
        <v>361</v>
      </c>
      <c r="D956" s="14" t="s">
        <v>362</v>
      </c>
      <c r="E956" s="14" t="s">
        <v>342</v>
      </c>
      <c r="F956" s="14" t="s">
        <v>343</v>
      </c>
      <c r="G956" s="14" t="s">
        <v>343</v>
      </c>
      <c r="H956" s="14" t="s">
        <v>343</v>
      </c>
      <c r="I956" s="14">
        <v>0.96</v>
      </c>
      <c r="J956" s="14">
        <v>0.95</v>
      </c>
      <c r="K956" s="14">
        <v>0.95</v>
      </c>
      <c r="L956" s="14">
        <v>0.95</v>
      </c>
      <c r="M956" s="14">
        <v>0.95</v>
      </c>
      <c r="N956" s="14">
        <v>0.95</v>
      </c>
      <c r="O956" s="14">
        <v>0.95</v>
      </c>
      <c r="P956" s="14">
        <v>0.95</v>
      </c>
      <c r="Q956" s="14">
        <v>0.97</v>
      </c>
      <c r="R956" s="14">
        <v>0.97</v>
      </c>
      <c r="S956" s="14">
        <v>0.97</v>
      </c>
      <c r="T956" s="14">
        <v>0.98</v>
      </c>
      <c r="U956" s="14">
        <v>0.98</v>
      </c>
      <c r="V956" s="14">
        <v>0.98</v>
      </c>
      <c r="W956" s="14">
        <v>0.98</v>
      </c>
      <c r="X956" s="14">
        <v>0.98</v>
      </c>
    </row>
    <row r="957" spans="1:24" hidden="1" x14ac:dyDescent="0.3">
      <c r="A957" s="14" t="s">
        <v>406</v>
      </c>
      <c r="B957" s="14" t="s">
        <v>52</v>
      </c>
      <c r="C957" s="14" t="s">
        <v>361</v>
      </c>
      <c r="D957" s="14" t="s">
        <v>362</v>
      </c>
      <c r="E957" s="14" t="s">
        <v>344</v>
      </c>
      <c r="F957" s="14" t="s">
        <v>343</v>
      </c>
      <c r="G957" s="14" t="s">
        <v>343</v>
      </c>
      <c r="H957" s="14" t="s">
        <v>343</v>
      </c>
      <c r="I957" s="14">
        <v>109</v>
      </c>
      <c r="J957" s="14">
        <v>118</v>
      </c>
      <c r="K957" s="14">
        <v>120</v>
      </c>
      <c r="L957" s="14">
        <v>124</v>
      </c>
      <c r="M957" s="14">
        <v>125</v>
      </c>
      <c r="N957" s="14">
        <v>126</v>
      </c>
      <c r="O957" s="14">
        <v>125</v>
      </c>
      <c r="P957" s="14">
        <v>127</v>
      </c>
      <c r="Q957" s="14">
        <v>112</v>
      </c>
      <c r="R957" s="14">
        <v>87</v>
      </c>
      <c r="S957" s="14">
        <v>85</v>
      </c>
      <c r="T957" s="14">
        <v>48</v>
      </c>
      <c r="U957" s="14">
        <v>1</v>
      </c>
      <c r="V957" s="14">
        <v>1</v>
      </c>
      <c r="W957" s="14">
        <v>1</v>
      </c>
      <c r="X957" s="14">
        <v>1</v>
      </c>
    </row>
    <row r="958" spans="1:24" hidden="1" x14ac:dyDescent="0.3">
      <c r="A958" s="14" t="s">
        <v>406</v>
      </c>
      <c r="B958" s="14" t="s">
        <v>52</v>
      </c>
      <c r="C958" s="14" t="s">
        <v>363</v>
      </c>
      <c r="D958" s="14" t="s">
        <v>364</v>
      </c>
      <c r="E958" s="14" t="s">
        <v>342</v>
      </c>
      <c r="F958" s="14" t="s">
        <v>343</v>
      </c>
      <c r="G958" s="14" t="s">
        <v>343</v>
      </c>
      <c r="H958" s="14" t="s">
        <v>343</v>
      </c>
      <c r="U958" s="14">
        <v>1.06</v>
      </c>
      <c r="V958" s="14">
        <v>1.06</v>
      </c>
      <c r="W958" s="14">
        <v>1.06</v>
      </c>
      <c r="X958" s="14">
        <v>1.06</v>
      </c>
    </row>
    <row r="959" spans="1:24" hidden="1" x14ac:dyDescent="0.3">
      <c r="A959" s="14" t="s">
        <v>406</v>
      </c>
      <c r="B959" s="14" t="s">
        <v>52</v>
      </c>
      <c r="C959" s="14" t="s">
        <v>363</v>
      </c>
      <c r="D959" s="14" t="s">
        <v>364</v>
      </c>
      <c r="E959" s="14" t="s">
        <v>344</v>
      </c>
      <c r="F959" s="14" t="s">
        <v>343</v>
      </c>
      <c r="G959" s="14" t="s">
        <v>343</v>
      </c>
      <c r="H959" s="14" t="s">
        <v>343</v>
      </c>
      <c r="U959" s="14">
        <v>1</v>
      </c>
      <c r="V959" s="14">
        <v>1</v>
      </c>
      <c r="W959" s="14">
        <v>1</v>
      </c>
      <c r="X959" s="14">
        <v>1</v>
      </c>
    </row>
    <row r="960" spans="1:24" hidden="1" x14ac:dyDescent="0.3">
      <c r="A960" s="14" t="s">
        <v>406</v>
      </c>
      <c r="B960" s="14" t="s">
        <v>52</v>
      </c>
      <c r="C960" s="14" t="s">
        <v>365</v>
      </c>
      <c r="D960" s="14" t="s">
        <v>366</v>
      </c>
      <c r="E960" s="14" t="s">
        <v>342</v>
      </c>
      <c r="F960" s="14" t="s">
        <v>343</v>
      </c>
      <c r="G960" s="14" t="s">
        <v>343</v>
      </c>
      <c r="H960" s="14" t="s">
        <v>343</v>
      </c>
      <c r="U960" s="14">
        <v>0.94</v>
      </c>
      <c r="V960" s="14">
        <v>0.94</v>
      </c>
      <c r="W960" s="14">
        <v>0.94</v>
      </c>
      <c r="X960" s="14">
        <v>0.94</v>
      </c>
    </row>
    <row r="961" spans="1:24" hidden="1" x14ac:dyDescent="0.3">
      <c r="A961" s="14" t="s">
        <v>406</v>
      </c>
      <c r="B961" s="14" t="s">
        <v>52</v>
      </c>
      <c r="C961" s="14" t="s">
        <v>365</v>
      </c>
      <c r="D961" s="14" t="s">
        <v>366</v>
      </c>
      <c r="E961" s="14" t="s">
        <v>344</v>
      </c>
      <c r="F961" s="14" t="s">
        <v>343</v>
      </c>
      <c r="G961" s="14" t="s">
        <v>343</v>
      </c>
      <c r="H961" s="14" t="s">
        <v>343</v>
      </c>
      <c r="U961" s="14">
        <v>1</v>
      </c>
      <c r="V961" s="14">
        <v>1</v>
      </c>
      <c r="W961" s="14">
        <v>1</v>
      </c>
      <c r="X961" s="14">
        <v>1</v>
      </c>
    </row>
    <row r="962" spans="1:24" hidden="1" x14ac:dyDescent="0.3">
      <c r="A962" s="14" t="s">
        <v>406</v>
      </c>
      <c r="B962" s="14" t="s">
        <v>52</v>
      </c>
      <c r="C962" s="14" t="s">
        <v>367</v>
      </c>
      <c r="D962" s="14" t="s">
        <v>368</v>
      </c>
      <c r="E962" s="14" t="s">
        <v>342</v>
      </c>
      <c r="F962" s="14" t="s">
        <v>343</v>
      </c>
      <c r="G962" s="14" t="s">
        <v>343</v>
      </c>
      <c r="H962" s="14" t="s">
        <v>343</v>
      </c>
      <c r="I962" s="14">
        <v>0.69</v>
      </c>
      <c r="J962" s="14">
        <v>0.68</v>
      </c>
      <c r="K962" s="14">
        <v>0.68</v>
      </c>
      <c r="L962" s="14">
        <v>0.71</v>
      </c>
      <c r="M962" s="14">
        <v>0.69</v>
      </c>
      <c r="N962" s="14">
        <v>0.68</v>
      </c>
      <c r="O962" s="14">
        <v>0.67</v>
      </c>
      <c r="P962" s="14">
        <v>0.68</v>
      </c>
      <c r="Q962" s="14">
        <v>0.71</v>
      </c>
      <c r="R962" s="14">
        <v>0.71</v>
      </c>
      <c r="S962" s="14">
        <v>0.72</v>
      </c>
      <c r="T962" s="14">
        <v>0.72</v>
      </c>
      <c r="U962" s="14">
        <v>0.72</v>
      </c>
      <c r="V962" s="14">
        <v>0.71</v>
      </c>
      <c r="W962" s="14">
        <v>0.72</v>
      </c>
      <c r="X962" s="14">
        <v>0.72</v>
      </c>
    </row>
    <row r="963" spans="1:24" hidden="1" x14ac:dyDescent="0.3">
      <c r="A963" s="14" t="s">
        <v>406</v>
      </c>
      <c r="B963" s="14" t="s">
        <v>52</v>
      </c>
      <c r="C963" s="14" t="s">
        <v>367</v>
      </c>
      <c r="D963" s="14" t="s">
        <v>368</v>
      </c>
      <c r="E963" s="14" t="s">
        <v>344</v>
      </c>
      <c r="F963" s="14" t="s">
        <v>343</v>
      </c>
      <c r="G963" s="14" t="s">
        <v>343</v>
      </c>
      <c r="H963" s="14" t="s">
        <v>343</v>
      </c>
      <c r="I963" s="14">
        <v>34</v>
      </c>
      <c r="J963" s="14">
        <v>53</v>
      </c>
      <c r="K963" s="14">
        <v>63</v>
      </c>
      <c r="L963" s="14">
        <v>39</v>
      </c>
      <c r="M963" s="14">
        <v>62</v>
      </c>
      <c r="N963" s="14">
        <v>66</v>
      </c>
      <c r="O963" s="14">
        <v>77</v>
      </c>
      <c r="P963" s="14">
        <v>85</v>
      </c>
      <c r="Q963" s="14">
        <v>51</v>
      </c>
      <c r="R963" s="14">
        <v>55</v>
      </c>
      <c r="S963" s="14">
        <v>54</v>
      </c>
      <c r="T963" s="14">
        <v>46</v>
      </c>
      <c r="U963" s="14">
        <v>55</v>
      </c>
      <c r="V963" s="14">
        <v>73</v>
      </c>
      <c r="W963" s="14">
        <v>71</v>
      </c>
      <c r="X963" s="14">
        <v>66</v>
      </c>
    </row>
    <row r="964" spans="1:24" hidden="1" x14ac:dyDescent="0.3">
      <c r="A964" s="14" t="s">
        <v>406</v>
      </c>
      <c r="B964" s="14" t="s">
        <v>52</v>
      </c>
      <c r="C964" s="14" t="s">
        <v>369</v>
      </c>
      <c r="D964" s="14" t="s">
        <v>370</v>
      </c>
      <c r="E964" s="14" t="s">
        <v>342</v>
      </c>
      <c r="F964" s="14" t="s">
        <v>343</v>
      </c>
      <c r="G964" s="14" t="s">
        <v>343</v>
      </c>
      <c r="H964" s="14" t="s">
        <v>343</v>
      </c>
      <c r="I964" s="14">
        <v>0.13</v>
      </c>
      <c r="J964" s="14">
        <v>0.13</v>
      </c>
      <c r="K964" s="14">
        <v>0.13</v>
      </c>
      <c r="L964" s="14">
        <v>0.13</v>
      </c>
      <c r="M964" s="14">
        <v>0.06</v>
      </c>
      <c r="N964" s="14">
        <v>0.06</v>
      </c>
      <c r="O964" s="14">
        <v>0.04</v>
      </c>
      <c r="P964" s="14">
        <v>0.04</v>
      </c>
      <c r="Q964" s="14">
        <v>7.0000000000000007E-2</v>
      </c>
      <c r="R964" s="14">
        <v>7.0000000000000007E-2</v>
      </c>
      <c r="S964" s="14">
        <v>7.0000000000000007E-2</v>
      </c>
      <c r="T964" s="14">
        <v>0.08</v>
      </c>
      <c r="U964" s="14">
        <v>0.08</v>
      </c>
      <c r="V964" s="14">
        <v>0.08</v>
      </c>
      <c r="W964" s="14">
        <v>0.08</v>
      </c>
      <c r="X964" s="14">
        <v>0.08</v>
      </c>
    </row>
    <row r="965" spans="1:24" hidden="1" x14ac:dyDescent="0.3">
      <c r="A965" s="14" t="s">
        <v>406</v>
      </c>
      <c r="B965" s="14" t="s">
        <v>52</v>
      </c>
      <c r="C965" s="14" t="s">
        <v>369</v>
      </c>
      <c r="D965" s="14" t="s">
        <v>370</v>
      </c>
      <c r="E965" s="14" t="s">
        <v>344</v>
      </c>
      <c r="F965" s="14" t="s">
        <v>343</v>
      </c>
      <c r="G965" s="14" t="s">
        <v>343</v>
      </c>
      <c r="H965" s="14" t="s">
        <v>343</v>
      </c>
      <c r="I965" s="14">
        <v>47</v>
      </c>
      <c r="J965" s="14">
        <v>53</v>
      </c>
      <c r="K965" s="14">
        <v>61</v>
      </c>
      <c r="L965" s="14">
        <v>66</v>
      </c>
      <c r="M965" s="14">
        <v>108</v>
      </c>
      <c r="N965" s="14">
        <v>111</v>
      </c>
      <c r="O965" s="14">
        <v>124</v>
      </c>
      <c r="P965" s="14">
        <v>127</v>
      </c>
      <c r="Q965" s="14">
        <v>124</v>
      </c>
      <c r="R965" s="14">
        <v>126</v>
      </c>
      <c r="S965" s="14">
        <v>126</v>
      </c>
      <c r="T965" s="14">
        <v>122</v>
      </c>
      <c r="U965" s="14">
        <v>126</v>
      </c>
      <c r="V965" s="14">
        <v>135</v>
      </c>
      <c r="W965" s="14">
        <v>135</v>
      </c>
      <c r="X965" s="14">
        <v>129</v>
      </c>
    </row>
    <row r="966" spans="1:24" hidden="1" x14ac:dyDescent="0.3">
      <c r="A966" s="14" t="s">
        <v>406</v>
      </c>
      <c r="B966" s="14" t="s">
        <v>52</v>
      </c>
      <c r="C966" s="14" t="s">
        <v>371</v>
      </c>
      <c r="D966" s="14" t="s">
        <v>372</v>
      </c>
      <c r="E966" s="14" t="s">
        <v>342</v>
      </c>
      <c r="F966" s="14" t="s">
        <v>343</v>
      </c>
      <c r="G966" s="14" t="s">
        <v>343</v>
      </c>
      <c r="H966" s="14" t="s">
        <v>343</v>
      </c>
      <c r="U966" s="14">
        <v>0</v>
      </c>
      <c r="V966" s="14">
        <v>0</v>
      </c>
      <c r="W966" s="14">
        <v>0</v>
      </c>
      <c r="X966" s="14">
        <v>0</v>
      </c>
    </row>
    <row r="967" spans="1:24" hidden="1" x14ac:dyDescent="0.3">
      <c r="A967" s="14" t="s">
        <v>406</v>
      </c>
      <c r="B967" s="14" t="s">
        <v>52</v>
      </c>
      <c r="C967" s="14" t="s">
        <v>371</v>
      </c>
      <c r="D967" s="14" t="s">
        <v>372</v>
      </c>
      <c r="E967" s="14" t="s">
        <v>344</v>
      </c>
      <c r="F967" s="14" t="s">
        <v>343</v>
      </c>
      <c r="G967" s="14" t="s">
        <v>343</v>
      </c>
      <c r="H967" s="14" t="s">
        <v>343</v>
      </c>
      <c r="U967" s="14">
        <v>71</v>
      </c>
      <c r="V967" s="14">
        <v>73</v>
      </c>
      <c r="W967" s="14">
        <v>76</v>
      </c>
      <c r="X967" s="14">
        <v>78</v>
      </c>
    </row>
    <row r="968" spans="1:24" hidden="1" x14ac:dyDescent="0.3">
      <c r="A968" s="14" t="s">
        <v>406</v>
      </c>
      <c r="B968" s="14" t="s">
        <v>52</v>
      </c>
      <c r="C968" s="14" t="s">
        <v>373</v>
      </c>
      <c r="D968" s="14" t="s">
        <v>374</v>
      </c>
      <c r="E968" s="14" t="s">
        <v>342</v>
      </c>
      <c r="F968" s="14" t="s">
        <v>343</v>
      </c>
      <c r="G968" s="14" t="s">
        <v>343</v>
      </c>
      <c r="H968" s="14" t="s">
        <v>343</v>
      </c>
      <c r="U968" s="14">
        <v>0.19</v>
      </c>
      <c r="V968" s="14">
        <v>0.19</v>
      </c>
      <c r="W968" s="14">
        <v>0.19</v>
      </c>
      <c r="X968" s="14">
        <v>0.19</v>
      </c>
    </row>
    <row r="969" spans="1:24" hidden="1" x14ac:dyDescent="0.3">
      <c r="A969" s="14" t="s">
        <v>406</v>
      </c>
      <c r="B969" s="14" t="s">
        <v>52</v>
      </c>
      <c r="C969" s="14" t="s">
        <v>373</v>
      </c>
      <c r="D969" s="14" t="s">
        <v>374</v>
      </c>
      <c r="E969" s="14" t="s">
        <v>344</v>
      </c>
      <c r="F969" s="14" t="s">
        <v>343</v>
      </c>
      <c r="G969" s="14" t="s">
        <v>343</v>
      </c>
      <c r="H969" s="14" t="s">
        <v>343</v>
      </c>
      <c r="U969" s="14">
        <v>89</v>
      </c>
      <c r="V969" s="14">
        <v>99</v>
      </c>
      <c r="W969" s="14">
        <v>97</v>
      </c>
      <c r="X969" s="14">
        <v>92</v>
      </c>
    </row>
    <row r="970" spans="1:24" hidden="1" x14ac:dyDescent="0.3">
      <c r="A970" s="14" t="s">
        <v>406</v>
      </c>
      <c r="B970" s="14" t="s">
        <v>52</v>
      </c>
      <c r="C970" s="14" t="s">
        <v>375</v>
      </c>
      <c r="D970" s="14" t="s">
        <v>376</v>
      </c>
      <c r="E970" s="14" t="s">
        <v>342</v>
      </c>
      <c r="F970" s="14" t="s">
        <v>343</v>
      </c>
      <c r="G970" s="14" t="s">
        <v>343</v>
      </c>
      <c r="H970" s="14" t="s">
        <v>343</v>
      </c>
      <c r="U970" s="14">
        <v>0.11</v>
      </c>
      <c r="V970" s="14">
        <v>0.1</v>
      </c>
      <c r="W970" s="14">
        <v>0.12</v>
      </c>
      <c r="X970" s="14">
        <v>0.12</v>
      </c>
    </row>
    <row r="971" spans="1:24" hidden="1" x14ac:dyDescent="0.3">
      <c r="A971" s="14" t="s">
        <v>406</v>
      </c>
      <c r="B971" s="14" t="s">
        <v>52</v>
      </c>
      <c r="C971" s="14" t="s">
        <v>375</v>
      </c>
      <c r="D971" s="14" t="s">
        <v>376</v>
      </c>
      <c r="E971" s="14" t="s">
        <v>344</v>
      </c>
      <c r="F971" s="14" t="s">
        <v>343</v>
      </c>
      <c r="G971" s="14" t="s">
        <v>343</v>
      </c>
      <c r="H971" s="14" t="s">
        <v>343</v>
      </c>
      <c r="U971" s="14">
        <v>132</v>
      </c>
      <c r="V971" s="14">
        <v>138</v>
      </c>
      <c r="W971" s="14">
        <v>139</v>
      </c>
      <c r="X971" s="14">
        <v>130</v>
      </c>
    </row>
    <row r="972" spans="1:24" hidden="1" x14ac:dyDescent="0.3">
      <c r="A972" s="14" t="s">
        <v>407</v>
      </c>
      <c r="B972" s="14" t="s">
        <v>61</v>
      </c>
      <c r="C972" s="14" t="s">
        <v>340</v>
      </c>
      <c r="D972" s="14" t="s">
        <v>341</v>
      </c>
      <c r="E972" s="14" t="s">
        <v>342</v>
      </c>
      <c r="F972" s="14" t="s">
        <v>343</v>
      </c>
      <c r="G972" s="14" t="s">
        <v>343</v>
      </c>
      <c r="H972" s="14" t="s">
        <v>343</v>
      </c>
      <c r="I972" s="14">
        <v>1</v>
      </c>
      <c r="J972" s="14">
        <v>1</v>
      </c>
      <c r="K972" s="14">
        <v>1</v>
      </c>
      <c r="L972" s="14">
        <v>1</v>
      </c>
      <c r="M972" s="14">
        <v>1</v>
      </c>
      <c r="N972" s="14">
        <v>1</v>
      </c>
      <c r="O972" s="14">
        <v>0.99</v>
      </c>
      <c r="P972" s="14">
        <v>1</v>
      </c>
      <c r="Q972" s="14">
        <v>1</v>
      </c>
      <c r="R972" s="14">
        <v>1</v>
      </c>
      <c r="S972" s="14">
        <v>1</v>
      </c>
      <c r="T972" s="14">
        <v>1</v>
      </c>
      <c r="U972" s="14">
        <v>1</v>
      </c>
      <c r="V972" s="14">
        <v>1</v>
      </c>
      <c r="W972" s="14">
        <v>1</v>
      </c>
      <c r="X972" s="14">
        <v>0.89</v>
      </c>
    </row>
    <row r="973" spans="1:24" hidden="1" x14ac:dyDescent="0.3">
      <c r="A973" s="14" t="s">
        <v>407</v>
      </c>
      <c r="B973" s="14" t="s">
        <v>61</v>
      </c>
      <c r="C973" s="14" t="s">
        <v>340</v>
      </c>
      <c r="D973" s="14" t="s">
        <v>341</v>
      </c>
      <c r="E973" s="14" t="s">
        <v>344</v>
      </c>
      <c r="F973" s="14" t="s">
        <v>343</v>
      </c>
      <c r="G973" s="14" t="s">
        <v>343</v>
      </c>
      <c r="H973" s="14" t="s">
        <v>343</v>
      </c>
      <c r="I973" s="14">
        <v>21</v>
      </c>
      <c r="J973" s="14">
        <v>26</v>
      </c>
      <c r="K973" s="14">
        <v>37</v>
      </c>
      <c r="L973" s="14">
        <v>38</v>
      </c>
      <c r="M973" s="14">
        <v>35</v>
      </c>
      <c r="N973" s="14">
        <v>31</v>
      </c>
      <c r="O973" s="14">
        <v>70</v>
      </c>
      <c r="P973" s="14">
        <v>1</v>
      </c>
      <c r="Q973" s="14">
        <v>1</v>
      </c>
      <c r="R973" s="14">
        <v>1</v>
      </c>
      <c r="S973" s="14">
        <v>1</v>
      </c>
      <c r="T973" s="14">
        <v>1</v>
      </c>
      <c r="U973" s="14">
        <v>1</v>
      </c>
      <c r="V973" s="14">
        <v>1</v>
      </c>
      <c r="W973" s="14">
        <v>1</v>
      </c>
      <c r="X973" s="14">
        <v>129</v>
      </c>
    </row>
    <row r="974" spans="1:24" hidden="1" x14ac:dyDescent="0.3">
      <c r="A974" s="14" t="s">
        <v>407</v>
      </c>
      <c r="B974" s="14" t="s">
        <v>61</v>
      </c>
      <c r="C974" s="14" t="s">
        <v>345</v>
      </c>
      <c r="D974" s="14" t="s">
        <v>346</v>
      </c>
      <c r="E974" s="14" t="s">
        <v>342</v>
      </c>
      <c r="F974" s="14" t="s">
        <v>343</v>
      </c>
      <c r="G974" s="14" t="s">
        <v>343</v>
      </c>
      <c r="H974" s="14" t="s">
        <v>343</v>
      </c>
      <c r="U974" s="14">
        <v>0.67</v>
      </c>
      <c r="V974" s="14">
        <v>0.68</v>
      </c>
      <c r="W974" s="14">
        <v>0.66</v>
      </c>
      <c r="X974" s="14">
        <v>0.49</v>
      </c>
    </row>
    <row r="975" spans="1:24" hidden="1" x14ac:dyDescent="0.3">
      <c r="A975" s="14" t="s">
        <v>407</v>
      </c>
      <c r="B975" s="14" t="s">
        <v>61</v>
      </c>
      <c r="C975" s="14" t="s">
        <v>345</v>
      </c>
      <c r="D975" s="14" t="s">
        <v>346</v>
      </c>
      <c r="E975" s="14" t="s">
        <v>344</v>
      </c>
      <c r="F975" s="14" t="s">
        <v>343</v>
      </c>
      <c r="G975" s="14" t="s">
        <v>343</v>
      </c>
      <c r="H975" s="14" t="s">
        <v>343</v>
      </c>
      <c r="U975" s="14">
        <v>42</v>
      </c>
      <c r="V975" s="14">
        <v>46</v>
      </c>
      <c r="W975" s="14">
        <v>56</v>
      </c>
      <c r="X975" s="14">
        <v>121</v>
      </c>
    </row>
    <row r="976" spans="1:24" hidden="1" x14ac:dyDescent="0.3">
      <c r="A976" s="14" t="s">
        <v>407</v>
      </c>
      <c r="B976" s="14" t="s">
        <v>61</v>
      </c>
      <c r="C976" s="14" t="s">
        <v>347</v>
      </c>
      <c r="D976" s="14" t="s">
        <v>348</v>
      </c>
      <c r="E976" s="14" t="s">
        <v>342</v>
      </c>
      <c r="F976" s="14" t="s">
        <v>343</v>
      </c>
      <c r="G976" s="14" t="s">
        <v>343</v>
      </c>
      <c r="H976" s="14" t="s">
        <v>343</v>
      </c>
      <c r="U976" s="14">
        <v>0.91</v>
      </c>
      <c r="V976" s="14">
        <v>0.92</v>
      </c>
      <c r="W976" s="14">
        <v>0.92</v>
      </c>
      <c r="X976" s="14">
        <v>0.87</v>
      </c>
    </row>
    <row r="977" spans="1:24" hidden="1" x14ac:dyDescent="0.3">
      <c r="A977" s="14" t="s">
        <v>407</v>
      </c>
      <c r="B977" s="14" t="s">
        <v>61</v>
      </c>
      <c r="C977" s="14" t="s">
        <v>347</v>
      </c>
      <c r="D977" s="14" t="s">
        <v>348</v>
      </c>
      <c r="E977" s="14" t="s">
        <v>344</v>
      </c>
      <c r="F977" s="14" t="s">
        <v>343</v>
      </c>
      <c r="G977" s="14" t="s">
        <v>343</v>
      </c>
      <c r="H977" s="14" t="s">
        <v>343</v>
      </c>
      <c r="U977" s="14">
        <v>31</v>
      </c>
      <c r="V977" s="14">
        <v>29</v>
      </c>
      <c r="W977" s="14">
        <v>31</v>
      </c>
      <c r="X977" s="14">
        <v>33</v>
      </c>
    </row>
    <row r="978" spans="1:24" hidden="1" x14ac:dyDescent="0.3">
      <c r="A978" s="14" t="s">
        <v>407</v>
      </c>
      <c r="B978" s="14" t="s">
        <v>61</v>
      </c>
      <c r="C978" s="14" t="s">
        <v>349</v>
      </c>
      <c r="D978" s="14" t="s">
        <v>350</v>
      </c>
      <c r="E978" s="14" t="s">
        <v>342</v>
      </c>
      <c r="F978" s="14" t="s">
        <v>343</v>
      </c>
      <c r="G978" s="14" t="s">
        <v>343</v>
      </c>
      <c r="H978" s="14" t="s">
        <v>343</v>
      </c>
      <c r="U978" s="14">
        <v>0.55000000000000004</v>
      </c>
      <c r="V978" s="14">
        <v>0.55000000000000004</v>
      </c>
      <c r="W978" s="14">
        <v>0.55000000000000004</v>
      </c>
      <c r="X978" s="14">
        <v>0.97</v>
      </c>
    </row>
    <row r="979" spans="1:24" hidden="1" x14ac:dyDescent="0.3">
      <c r="A979" s="14" t="s">
        <v>407</v>
      </c>
      <c r="B979" s="14" t="s">
        <v>61</v>
      </c>
      <c r="C979" s="14" t="s">
        <v>349</v>
      </c>
      <c r="D979" s="14" t="s">
        <v>350</v>
      </c>
      <c r="E979" s="14" t="s">
        <v>344</v>
      </c>
      <c r="F979" s="14" t="s">
        <v>343</v>
      </c>
      <c r="G979" s="14" t="s">
        <v>343</v>
      </c>
      <c r="H979" s="14" t="s">
        <v>343</v>
      </c>
      <c r="U979" s="14">
        <v>50</v>
      </c>
      <c r="V979" s="14">
        <v>55</v>
      </c>
      <c r="W979" s="14">
        <v>61</v>
      </c>
      <c r="X979" s="14">
        <v>14</v>
      </c>
    </row>
    <row r="980" spans="1:24" hidden="1" x14ac:dyDescent="0.3">
      <c r="A980" s="14" t="s">
        <v>407</v>
      </c>
      <c r="B980" s="14" t="s">
        <v>61</v>
      </c>
      <c r="C980" s="14" t="s">
        <v>351</v>
      </c>
      <c r="D980" s="14" t="s">
        <v>352</v>
      </c>
      <c r="E980" s="14" t="s">
        <v>342</v>
      </c>
      <c r="F980" s="14" t="s">
        <v>343</v>
      </c>
      <c r="G980" s="14" t="s">
        <v>343</v>
      </c>
      <c r="H980" s="14" t="s">
        <v>343</v>
      </c>
      <c r="U980" s="14">
        <v>1</v>
      </c>
      <c r="V980" s="14">
        <v>1</v>
      </c>
      <c r="W980" s="14">
        <v>1</v>
      </c>
      <c r="X980" s="14">
        <v>0.56000000000000005</v>
      </c>
    </row>
    <row r="981" spans="1:24" hidden="1" x14ac:dyDescent="0.3">
      <c r="A981" s="14" t="s">
        <v>407</v>
      </c>
      <c r="B981" s="14" t="s">
        <v>61</v>
      </c>
      <c r="C981" s="14" t="s">
        <v>351</v>
      </c>
      <c r="D981" s="14" t="s">
        <v>352</v>
      </c>
      <c r="E981" s="14" t="s">
        <v>344</v>
      </c>
      <c r="F981" s="14" t="s">
        <v>343</v>
      </c>
      <c r="G981" s="14" t="s">
        <v>343</v>
      </c>
      <c r="H981" s="14" t="s">
        <v>343</v>
      </c>
      <c r="U981" s="14">
        <v>1</v>
      </c>
      <c r="V981" s="14">
        <v>1</v>
      </c>
      <c r="W981" s="14">
        <v>1</v>
      </c>
      <c r="X981" s="14">
        <v>110</v>
      </c>
    </row>
    <row r="982" spans="1:24" hidden="1" x14ac:dyDescent="0.3">
      <c r="A982" s="14" t="s">
        <v>407</v>
      </c>
      <c r="B982" s="14" t="s">
        <v>61</v>
      </c>
      <c r="C982" s="14" t="s">
        <v>378</v>
      </c>
      <c r="D982" s="14" t="s">
        <v>379</v>
      </c>
      <c r="E982" s="14" t="s">
        <v>342</v>
      </c>
      <c r="F982" s="14" t="s">
        <v>343</v>
      </c>
      <c r="G982" s="14" t="s">
        <v>343</v>
      </c>
      <c r="H982" s="14" t="s">
        <v>343</v>
      </c>
      <c r="S982" s="14">
        <v>0.65</v>
      </c>
      <c r="U982" s="14">
        <v>0.69</v>
      </c>
      <c r="V982" s="14">
        <v>0.7</v>
      </c>
      <c r="W982" s="14">
        <v>0.68</v>
      </c>
      <c r="X982" s="14">
        <v>0.68</v>
      </c>
    </row>
    <row r="983" spans="1:24" hidden="1" x14ac:dyDescent="0.3">
      <c r="A983" s="14" t="s">
        <v>407</v>
      </c>
      <c r="B983" s="14" t="s">
        <v>61</v>
      </c>
      <c r="C983" s="14" t="s">
        <v>378</v>
      </c>
      <c r="D983" s="14" t="s">
        <v>379</v>
      </c>
      <c r="E983" s="14" t="s">
        <v>344</v>
      </c>
      <c r="F983" s="14" t="s">
        <v>343</v>
      </c>
      <c r="G983" s="14" t="s">
        <v>343</v>
      </c>
      <c r="H983" s="14" t="s">
        <v>343</v>
      </c>
      <c r="S983" s="14">
        <v>68</v>
      </c>
      <c r="U983" s="14">
        <v>50</v>
      </c>
      <c r="V983" s="14">
        <v>49</v>
      </c>
      <c r="W983" s="14">
        <v>71</v>
      </c>
      <c r="X983" s="14">
        <v>60</v>
      </c>
    </row>
    <row r="984" spans="1:24" hidden="1" x14ac:dyDescent="0.3">
      <c r="A984" s="14" t="s">
        <v>407</v>
      </c>
      <c r="B984" s="14" t="s">
        <v>61</v>
      </c>
      <c r="C984" s="14" t="s">
        <v>353</v>
      </c>
      <c r="D984" s="14" t="s">
        <v>354</v>
      </c>
      <c r="E984" s="14" t="s">
        <v>342</v>
      </c>
      <c r="F984" s="14" t="s">
        <v>343</v>
      </c>
      <c r="G984" s="14" t="s">
        <v>343</v>
      </c>
      <c r="H984" s="14" t="s">
        <v>343</v>
      </c>
      <c r="U984" s="14">
        <v>1</v>
      </c>
      <c r="V984" s="14">
        <v>1</v>
      </c>
      <c r="W984" s="14">
        <v>1</v>
      </c>
      <c r="X984" s="14">
        <v>0.87</v>
      </c>
    </row>
    <row r="985" spans="1:24" hidden="1" x14ac:dyDescent="0.3">
      <c r="A985" s="14" t="s">
        <v>407</v>
      </c>
      <c r="B985" s="14" t="s">
        <v>61</v>
      </c>
      <c r="C985" s="14" t="s">
        <v>353</v>
      </c>
      <c r="D985" s="14" t="s">
        <v>354</v>
      </c>
      <c r="E985" s="14" t="s">
        <v>344</v>
      </c>
      <c r="F985" s="14" t="s">
        <v>343</v>
      </c>
      <c r="G985" s="14" t="s">
        <v>343</v>
      </c>
      <c r="H985" s="14" t="s">
        <v>343</v>
      </c>
      <c r="U985" s="14">
        <v>1</v>
      </c>
      <c r="V985" s="14">
        <v>1</v>
      </c>
      <c r="W985" s="14">
        <v>1</v>
      </c>
      <c r="X985" s="14">
        <v>114</v>
      </c>
    </row>
    <row r="986" spans="1:24" hidden="1" x14ac:dyDescent="0.3">
      <c r="A986" s="14" t="s">
        <v>407</v>
      </c>
      <c r="B986" s="14" t="s">
        <v>61</v>
      </c>
      <c r="C986" s="14" t="s">
        <v>380</v>
      </c>
      <c r="D986" s="14" t="s">
        <v>381</v>
      </c>
      <c r="E986" s="14" t="s">
        <v>342</v>
      </c>
      <c r="F986" s="14" t="s">
        <v>343</v>
      </c>
      <c r="G986" s="14" t="s">
        <v>343</v>
      </c>
      <c r="H986" s="14" t="s">
        <v>343</v>
      </c>
      <c r="X986" s="14">
        <v>0.91</v>
      </c>
    </row>
    <row r="987" spans="1:24" hidden="1" x14ac:dyDescent="0.3">
      <c r="A987" s="14" t="s">
        <v>407</v>
      </c>
      <c r="B987" s="14" t="s">
        <v>61</v>
      </c>
      <c r="C987" s="14" t="s">
        <v>380</v>
      </c>
      <c r="D987" s="14" t="s">
        <v>381</v>
      </c>
      <c r="E987" s="14" t="s">
        <v>344</v>
      </c>
      <c r="F987" s="14" t="s">
        <v>343</v>
      </c>
      <c r="G987" s="14" t="s">
        <v>343</v>
      </c>
      <c r="H987" s="14" t="s">
        <v>343</v>
      </c>
      <c r="X987" s="14">
        <v>110</v>
      </c>
    </row>
    <row r="988" spans="1:24" hidden="1" x14ac:dyDescent="0.3">
      <c r="A988" s="14" t="s">
        <v>407</v>
      </c>
      <c r="B988" s="14" t="s">
        <v>61</v>
      </c>
      <c r="C988" s="14" t="s">
        <v>355</v>
      </c>
      <c r="D988" s="14" t="s">
        <v>356</v>
      </c>
      <c r="E988" s="14" t="s">
        <v>342</v>
      </c>
      <c r="F988" s="14" t="s">
        <v>343</v>
      </c>
      <c r="G988" s="14" t="s">
        <v>343</v>
      </c>
      <c r="H988" s="14" t="s">
        <v>343</v>
      </c>
      <c r="U988" s="14">
        <v>1</v>
      </c>
      <c r="V988" s="14">
        <v>1</v>
      </c>
      <c r="W988" s="14">
        <v>1</v>
      </c>
      <c r="X988" s="14">
        <v>0.86</v>
      </c>
    </row>
    <row r="989" spans="1:24" hidden="1" x14ac:dyDescent="0.3">
      <c r="A989" s="14" t="s">
        <v>407</v>
      </c>
      <c r="B989" s="14" t="s">
        <v>61</v>
      </c>
      <c r="C989" s="14" t="s">
        <v>355</v>
      </c>
      <c r="D989" s="14" t="s">
        <v>356</v>
      </c>
      <c r="E989" s="14" t="s">
        <v>344</v>
      </c>
      <c r="F989" s="14" t="s">
        <v>343</v>
      </c>
      <c r="G989" s="14" t="s">
        <v>343</v>
      </c>
      <c r="H989" s="14" t="s">
        <v>343</v>
      </c>
      <c r="U989" s="14">
        <v>1</v>
      </c>
      <c r="V989" s="14">
        <v>1</v>
      </c>
      <c r="W989" s="14">
        <v>1</v>
      </c>
      <c r="X989" s="14">
        <v>125</v>
      </c>
    </row>
    <row r="990" spans="1:24" hidden="1" x14ac:dyDescent="0.3">
      <c r="A990" s="14" t="s">
        <v>407</v>
      </c>
      <c r="B990" s="14" t="s">
        <v>61</v>
      </c>
      <c r="C990" s="14" t="s">
        <v>357</v>
      </c>
      <c r="D990" s="14" t="s">
        <v>358</v>
      </c>
      <c r="E990" s="14" t="s">
        <v>342</v>
      </c>
      <c r="F990" s="14" t="s">
        <v>343</v>
      </c>
      <c r="G990" s="14" t="s">
        <v>343</v>
      </c>
      <c r="H990" s="14" t="s">
        <v>343</v>
      </c>
      <c r="U990" s="14">
        <v>1</v>
      </c>
      <c r="V990" s="14">
        <v>1</v>
      </c>
      <c r="W990" s="14">
        <v>1</v>
      </c>
      <c r="X990" s="14">
        <v>0.89</v>
      </c>
    </row>
    <row r="991" spans="1:24" hidden="1" x14ac:dyDescent="0.3">
      <c r="A991" s="14" t="s">
        <v>407</v>
      </c>
      <c r="B991" s="14" t="s">
        <v>61</v>
      </c>
      <c r="C991" s="14" t="s">
        <v>357</v>
      </c>
      <c r="D991" s="14" t="s">
        <v>358</v>
      </c>
      <c r="E991" s="14" t="s">
        <v>344</v>
      </c>
      <c r="F991" s="14" t="s">
        <v>343</v>
      </c>
      <c r="G991" s="14" t="s">
        <v>343</v>
      </c>
      <c r="H991" s="14" t="s">
        <v>343</v>
      </c>
      <c r="U991" s="14">
        <v>1</v>
      </c>
      <c r="V991" s="14">
        <v>1</v>
      </c>
      <c r="W991" s="14">
        <v>1</v>
      </c>
      <c r="X991" s="14">
        <v>109</v>
      </c>
    </row>
    <row r="992" spans="1:24" hidden="1" x14ac:dyDescent="0.3">
      <c r="A992" s="14" t="s">
        <v>407</v>
      </c>
      <c r="B992" s="14" t="s">
        <v>61</v>
      </c>
      <c r="C992" s="14" t="s">
        <v>359</v>
      </c>
      <c r="D992" s="14" t="s">
        <v>360</v>
      </c>
      <c r="E992" s="14" t="s">
        <v>342</v>
      </c>
      <c r="F992" s="14" t="s">
        <v>343</v>
      </c>
      <c r="G992" s="14" t="s">
        <v>343</v>
      </c>
      <c r="H992" s="14" t="s">
        <v>343</v>
      </c>
      <c r="I992" s="14">
        <v>0.73</v>
      </c>
      <c r="J992" s="14">
        <v>0.74</v>
      </c>
      <c r="K992" s="14">
        <v>0.74</v>
      </c>
      <c r="L992" s="14">
        <v>0.76</v>
      </c>
      <c r="M992" s="14">
        <v>0.78</v>
      </c>
      <c r="N992" s="14">
        <v>0.78</v>
      </c>
      <c r="O992" s="14">
        <v>0.79</v>
      </c>
      <c r="P992" s="14">
        <v>0.8</v>
      </c>
      <c r="Q992" s="14">
        <v>0.79</v>
      </c>
      <c r="R992" s="14">
        <v>0.77</v>
      </c>
      <c r="S992" s="14">
        <v>0.73</v>
      </c>
      <c r="T992" s="14">
        <v>0.74</v>
      </c>
      <c r="U992" s="14">
        <v>0.75</v>
      </c>
      <c r="V992" s="14">
        <v>0.75</v>
      </c>
      <c r="W992" s="14">
        <v>0.74</v>
      </c>
      <c r="X992" s="14">
        <v>0.7</v>
      </c>
    </row>
    <row r="993" spans="1:24" hidden="1" x14ac:dyDescent="0.3">
      <c r="A993" s="14" t="s">
        <v>407</v>
      </c>
      <c r="B993" s="14" t="s">
        <v>61</v>
      </c>
      <c r="C993" s="14" t="s">
        <v>359</v>
      </c>
      <c r="D993" s="14" t="s">
        <v>360</v>
      </c>
      <c r="E993" s="14" t="s">
        <v>344</v>
      </c>
      <c r="F993" s="14" t="s">
        <v>343</v>
      </c>
      <c r="G993" s="14" t="s">
        <v>343</v>
      </c>
      <c r="H993" s="14" t="s">
        <v>343</v>
      </c>
      <c r="I993" s="14">
        <v>10</v>
      </c>
      <c r="J993" s="14">
        <v>13</v>
      </c>
      <c r="K993" s="14">
        <v>15</v>
      </c>
      <c r="L993" s="14">
        <v>10</v>
      </c>
      <c r="M993" s="14">
        <v>8</v>
      </c>
      <c r="N993" s="14">
        <v>10</v>
      </c>
      <c r="O993" s="14">
        <v>12</v>
      </c>
      <c r="P993" s="14">
        <v>9</v>
      </c>
      <c r="Q993" s="14">
        <v>17</v>
      </c>
      <c r="R993" s="14">
        <v>28</v>
      </c>
      <c r="S993" s="14">
        <v>36</v>
      </c>
      <c r="T993" s="14">
        <v>29</v>
      </c>
      <c r="U993" s="14">
        <v>27</v>
      </c>
      <c r="V993" s="14">
        <v>30</v>
      </c>
      <c r="W993" s="14">
        <v>40</v>
      </c>
      <c r="X993" s="14">
        <v>66</v>
      </c>
    </row>
    <row r="994" spans="1:24" x14ac:dyDescent="0.3">
      <c r="A994" s="14" t="s">
        <v>407</v>
      </c>
      <c r="B994" s="14" t="s">
        <v>61</v>
      </c>
      <c r="C994" s="14" t="s">
        <v>361</v>
      </c>
      <c r="D994" s="14" t="s">
        <v>362</v>
      </c>
      <c r="E994" s="14" t="s">
        <v>342</v>
      </c>
      <c r="F994" s="14" t="s">
        <v>343</v>
      </c>
      <c r="G994" s="14" t="s">
        <v>343</v>
      </c>
      <c r="H994" s="14" t="s">
        <v>343</v>
      </c>
      <c r="I994" s="14">
        <v>0.98</v>
      </c>
      <c r="J994" s="14">
        <v>0.98</v>
      </c>
      <c r="K994" s="14">
        <v>0.98</v>
      </c>
      <c r="L994" s="14">
        <v>0.98</v>
      </c>
      <c r="M994" s="14">
        <v>0.98</v>
      </c>
      <c r="N994" s="14">
        <v>0.98</v>
      </c>
      <c r="O994" s="14">
        <v>0.98</v>
      </c>
      <c r="P994" s="14">
        <v>0.98</v>
      </c>
      <c r="Q994" s="14">
        <v>0.97</v>
      </c>
      <c r="R994" s="14">
        <v>0.97</v>
      </c>
      <c r="S994" s="14">
        <v>0.97</v>
      </c>
      <c r="T994" s="14">
        <v>0.97</v>
      </c>
      <c r="U994" s="14">
        <v>0.97</v>
      </c>
      <c r="V994" s="14">
        <v>0.97</v>
      </c>
      <c r="W994" s="14">
        <v>0.97</v>
      </c>
      <c r="X994" s="14">
        <v>0.97</v>
      </c>
    </row>
    <row r="995" spans="1:24" hidden="1" x14ac:dyDescent="0.3">
      <c r="A995" s="14" t="s">
        <v>407</v>
      </c>
      <c r="B995" s="14" t="s">
        <v>61</v>
      </c>
      <c r="C995" s="14" t="s">
        <v>361</v>
      </c>
      <c r="D995" s="14" t="s">
        <v>362</v>
      </c>
      <c r="E995" s="14" t="s">
        <v>344</v>
      </c>
      <c r="F995" s="14" t="s">
        <v>343</v>
      </c>
      <c r="G995" s="14" t="s">
        <v>343</v>
      </c>
      <c r="H995" s="14" t="s">
        <v>343</v>
      </c>
      <c r="I995" s="14">
        <v>51</v>
      </c>
      <c r="J995" s="14">
        <v>51</v>
      </c>
      <c r="K995" s="14">
        <v>57</v>
      </c>
      <c r="L995" s="14">
        <v>60</v>
      </c>
      <c r="M995" s="14">
        <v>47</v>
      </c>
      <c r="N995" s="14">
        <v>49</v>
      </c>
      <c r="O995" s="14">
        <v>52</v>
      </c>
      <c r="P995" s="14">
        <v>49</v>
      </c>
      <c r="Q995" s="14">
        <v>100</v>
      </c>
      <c r="R995" s="14">
        <v>109</v>
      </c>
      <c r="S995" s="14">
        <v>108</v>
      </c>
      <c r="T995" s="14">
        <v>105</v>
      </c>
      <c r="U995" s="14">
        <v>104</v>
      </c>
      <c r="V995" s="14">
        <v>105</v>
      </c>
      <c r="W995" s="14">
        <v>100</v>
      </c>
      <c r="X995" s="14">
        <v>60</v>
      </c>
    </row>
    <row r="996" spans="1:24" hidden="1" x14ac:dyDescent="0.3">
      <c r="A996" s="14" t="s">
        <v>407</v>
      </c>
      <c r="B996" s="14" t="s">
        <v>61</v>
      </c>
      <c r="C996" s="14" t="s">
        <v>363</v>
      </c>
      <c r="D996" s="14" t="s">
        <v>364</v>
      </c>
      <c r="E996" s="14" t="s">
        <v>342</v>
      </c>
      <c r="F996" s="14" t="s">
        <v>343</v>
      </c>
      <c r="G996" s="14" t="s">
        <v>343</v>
      </c>
      <c r="H996" s="14" t="s">
        <v>343</v>
      </c>
      <c r="U996" s="14">
        <v>1.03</v>
      </c>
      <c r="V996" s="14">
        <v>1.03</v>
      </c>
      <c r="W996" s="14">
        <v>1.02</v>
      </c>
      <c r="X996" s="14">
        <v>1.04</v>
      </c>
    </row>
    <row r="997" spans="1:24" hidden="1" x14ac:dyDescent="0.3">
      <c r="A997" s="14" t="s">
        <v>407</v>
      </c>
      <c r="B997" s="14" t="s">
        <v>61</v>
      </c>
      <c r="C997" s="14" t="s">
        <v>363</v>
      </c>
      <c r="D997" s="14" t="s">
        <v>364</v>
      </c>
      <c r="E997" s="14" t="s">
        <v>344</v>
      </c>
      <c r="F997" s="14" t="s">
        <v>343</v>
      </c>
      <c r="G997" s="14" t="s">
        <v>343</v>
      </c>
      <c r="H997" s="14" t="s">
        <v>343</v>
      </c>
      <c r="U997" s="14">
        <v>111</v>
      </c>
      <c r="V997" s="14">
        <v>114</v>
      </c>
      <c r="W997" s="14">
        <v>111</v>
      </c>
      <c r="X997" s="14">
        <v>67</v>
      </c>
    </row>
    <row r="998" spans="1:24" hidden="1" x14ac:dyDescent="0.3">
      <c r="A998" s="14" t="s">
        <v>407</v>
      </c>
      <c r="B998" s="14" t="s">
        <v>61</v>
      </c>
      <c r="C998" s="14" t="s">
        <v>365</v>
      </c>
      <c r="D998" s="14" t="s">
        <v>366</v>
      </c>
      <c r="E998" s="14" t="s">
        <v>342</v>
      </c>
      <c r="F998" s="14" t="s">
        <v>343</v>
      </c>
      <c r="G998" s="14" t="s">
        <v>343</v>
      </c>
      <c r="H998" s="14" t="s">
        <v>343</v>
      </c>
      <c r="U998" s="14">
        <v>0.94</v>
      </c>
      <c r="V998" s="14">
        <v>0.94</v>
      </c>
      <c r="W998" s="14">
        <v>0.94</v>
      </c>
      <c r="X998" s="14">
        <v>0.94</v>
      </c>
    </row>
    <row r="999" spans="1:24" hidden="1" x14ac:dyDescent="0.3">
      <c r="A999" s="14" t="s">
        <v>407</v>
      </c>
      <c r="B999" s="14" t="s">
        <v>61</v>
      </c>
      <c r="C999" s="14" t="s">
        <v>365</v>
      </c>
      <c r="D999" s="14" t="s">
        <v>366</v>
      </c>
      <c r="E999" s="14" t="s">
        <v>344</v>
      </c>
      <c r="F999" s="14" t="s">
        <v>343</v>
      </c>
      <c r="G999" s="14" t="s">
        <v>343</v>
      </c>
      <c r="H999" s="14" t="s">
        <v>343</v>
      </c>
      <c r="U999" s="14">
        <v>1</v>
      </c>
      <c r="V999" s="14">
        <v>1</v>
      </c>
      <c r="W999" s="14">
        <v>1</v>
      </c>
      <c r="X999" s="14">
        <v>1</v>
      </c>
    </row>
    <row r="1000" spans="1:24" hidden="1" x14ac:dyDescent="0.3">
      <c r="A1000" s="14" t="s">
        <v>407</v>
      </c>
      <c r="B1000" s="14" t="s">
        <v>61</v>
      </c>
      <c r="C1000" s="14" t="s">
        <v>367</v>
      </c>
      <c r="D1000" s="14" t="s">
        <v>368</v>
      </c>
      <c r="E1000" s="14" t="s">
        <v>342</v>
      </c>
      <c r="F1000" s="14" t="s">
        <v>343</v>
      </c>
      <c r="G1000" s="14" t="s">
        <v>343</v>
      </c>
      <c r="H1000" s="14" t="s">
        <v>343</v>
      </c>
      <c r="I1000" s="14">
        <v>0.72</v>
      </c>
      <c r="J1000" s="14">
        <v>0.72</v>
      </c>
      <c r="K1000" s="14">
        <v>0.71</v>
      </c>
      <c r="L1000" s="14">
        <v>0.72</v>
      </c>
      <c r="M1000" s="14">
        <v>0.74</v>
      </c>
      <c r="N1000" s="14">
        <v>0.74</v>
      </c>
      <c r="O1000" s="14">
        <v>0.74</v>
      </c>
      <c r="P1000" s="14">
        <v>0.74</v>
      </c>
      <c r="Q1000" s="14">
        <v>0.75</v>
      </c>
      <c r="R1000" s="14">
        <v>0.74</v>
      </c>
      <c r="S1000" s="14">
        <v>0.73</v>
      </c>
      <c r="T1000" s="14">
        <v>0.77</v>
      </c>
      <c r="U1000" s="14">
        <v>0.77</v>
      </c>
      <c r="V1000" s="14">
        <v>0.77</v>
      </c>
      <c r="W1000" s="14">
        <v>0.77</v>
      </c>
      <c r="X1000" s="14">
        <v>0.69</v>
      </c>
    </row>
    <row r="1001" spans="1:24" hidden="1" x14ac:dyDescent="0.3">
      <c r="A1001" s="14" t="s">
        <v>407</v>
      </c>
      <c r="B1001" s="14" t="s">
        <v>61</v>
      </c>
      <c r="C1001" s="14" t="s">
        <v>367</v>
      </c>
      <c r="D1001" s="14" t="s">
        <v>368</v>
      </c>
      <c r="E1001" s="14" t="s">
        <v>344</v>
      </c>
      <c r="F1001" s="14" t="s">
        <v>343</v>
      </c>
      <c r="G1001" s="14" t="s">
        <v>343</v>
      </c>
      <c r="H1001" s="14" t="s">
        <v>343</v>
      </c>
      <c r="I1001" s="14">
        <v>14</v>
      </c>
      <c r="J1001" s="14">
        <v>18</v>
      </c>
      <c r="K1001" s="14">
        <v>31</v>
      </c>
      <c r="L1001" s="14">
        <v>25</v>
      </c>
      <c r="M1001" s="14">
        <v>20</v>
      </c>
      <c r="N1001" s="14">
        <v>18</v>
      </c>
      <c r="O1001" s="14">
        <v>21</v>
      </c>
      <c r="P1001" s="14">
        <v>20</v>
      </c>
      <c r="Q1001" s="14">
        <v>19</v>
      </c>
      <c r="R1001" s="14">
        <v>30</v>
      </c>
      <c r="S1001" s="14">
        <v>35</v>
      </c>
      <c r="T1001" s="14">
        <v>16</v>
      </c>
      <c r="U1001" s="14">
        <v>16</v>
      </c>
      <c r="V1001" s="14">
        <v>19</v>
      </c>
      <c r="W1001" s="14">
        <v>24</v>
      </c>
      <c r="X1001" s="14">
        <v>97</v>
      </c>
    </row>
    <row r="1002" spans="1:24" hidden="1" x14ac:dyDescent="0.3">
      <c r="A1002" s="14" t="s">
        <v>407</v>
      </c>
      <c r="B1002" s="14" t="s">
        <v>61</v>
      </c>
      <c r="C1002" s="14" t="s">
        <v>369</v>
      </c>
      <c r="D1002" s="14" t="s">
        <v>370</v>
      </c>
      <c r="E1002" s="14" t="s">
        <v>342</v>
      </c>
      <c r="F1002" s="14" t="s">
        <v>343</v>
      </c>
      <c r="G1002" s="14" t="s">
        <v>343</v>
      </c>
      <c r="H1002" s="14" t="s">
        <v>343</v>
      </c>
      <c r="I1002" s="14">
        <v>0.16</v>
      </c>
      <c r="J1002" s="14">
        <v>0.16</v>
      </c>
      <c r="K1002" s="14">
        <v>0.13</v>
      </c>
      <c r="L1002" s="14">
        <v>0.14000000000000001</v>
      </c>
      <c r="M1002" s="14">
        <v>0.2</v>
      </c>
      <c r="N1002" s="14">
        <v>0.21</v>
      </c>
      <c r="O1002" s="14">
        <v>0.2</v>
      </c>
      <c r="P1002" s="14">
        <v>0.2</v>
      </c>
      <c r="Q1002" s="14">
        <v>0.22</v>
      </c>
      <c r="R1002" s="14">
        <v>0.22</v>
      </c>
      <c r="S1002" s="14">
        <v>0.22</v>
      </c>
      <c r="T1002" s="14">
        <v>0.36</v>
      </c>
      <c r="U1002" s="14">
        <v>0.36</v>
      </c>
      <c r="V1002" s="14">
        <v>0.36</v>
      </c>
      <c r="W1002" s="14">
        <v>0.38</v>
      </c>
      <c r="X1002" s="14">
        <v>0.2</v>
      </c>
    </row>
    <row r="1003" spans="1:24" hidden="1" x14ac:dyDescent="0.3">
      <c r="A1003" s="14" t="s">
        <v>407</v>
      </c>
      <c r="B1003" s="14" t="s">
        <v>61</v>
      </c>
      <c r="C1003" s="14" t="s">
        <v>369</v>
      </c>
      <c r="D1003" s="14" t="s">
        <v>370</v>
      </c>
      <c r="E1003" s="14" t="s">
        <v>344</v>
      </c>
      <c r="F1003" s="14" t="s">
        <v>343</v>
      </c>
      <c r="G1003" s="14" t="s">
        <v>343</v>
      </c>
      <c r="H1003" s="14" t="s">
        <v>343</v>
      </c>
      <c r="I1003" s="14">
        <v>33</v>
      </c>
      <c r="J1003" s="14">
        <v>36</v>
      </c>
      <c r="K1003" s="14">
        <v>60</v>
      </c>
      <c r="L1003" s="14">
        <v>62</v>
      </c>
      <c r="M1003" s="14">
        <v>36</v>
      </c>
      <c r="N1003" s="14">
        <v>36</v>
      </c>
      <c r="O1003" s="14">
        <v>38</v>
      </c>
      <c r="P1003" s="14">
        <v>42</v>
      </c>
      <c r="Q1003" s="14">
        <v>42</v>
      </c>
      <c r="R1003" s="14">
        <v>46</v>
      </c>
      <c r="S1003" s="14">
        <v>49</v>
      </c>
      <c r="T1003" s="14">
        <v>20</v>
      </c>
      <c r="U1003" s="14">
        <v>21</v>
      </c>
      <c r="V1003" s="14">
        <v>25</v>
      </c>
      <c r="W1003" s="14">
        <v>29</v>
      </c>
      <c r="X1003" s="14">
        <v>76</v>
      </c>
    </row>
    <row r="1004" spans="1:24" hidden="1" x14ac:dyDescent="0.3">
      <c r="A1004" s="14" t="s">
        <v>407</v>
      </c>
      <c r="B1004" s="14" t="s">
        <v>61</v>
      </c>
      <c r="C1004" s="14" t="s">
        <v>371</v>
      </c>
      <c r="D1004" s="14" t="s">
        <v>372</v>
      </c>
      <c r="E1004" s="14" t="s">
        <v>342</v>
      </c>
      <c r="F1004" s="14" t="s">
        <v>343</v>
      </c>
      <c r="G1004" s="14" t="s">
        <v>343</v>
      </c>
      <c r="H1004" s="14" t="s">
        <v>343</v>
      </c>
      <c r="U1004" s="14">
        <v>0.01</v>
      </c>
      <c r="V1004" s="14">
        <v>0.01</v>
      </c>
      <c r="W1004" s="14">
        <v>0.01</v>
      </c>
      <c r="X1004" s="14">
        <v>0</v>
      </c>
    </row>
    <row r="1005" spans="1:24" hidden="1" x14ac:dyDescent="0.3">
      <c r="A1005" s="14" t="s">
        <v>407</v>
      </c>
      <c r="B1005" s="14" t="s">
        <v>61</v>
      </c>
      <c r="C1005" s="14" t="s">
        <v>371</v>
      </c>
      <c r="D1005" s="14" t="s">
        <v>372</v>
      </c>
      <c r="E1005" s="14" t="s">
        <v>344</v>
      </c>
      <c r="F1005" s="14" t="s">
        <v>343</v>
      </c>
      <c r="G1005" s="14" t="s">
        <v>343</v>
      </c>
      <c r="H1005" s="14" t="s">
        <v>343</v>
      </c>
      <c r="U1005" s="14">
        <v>61</v>
      </c>
      <c r="V1005" s="14">
        <v>64</v>
      </c>
      <c r="W1005" s="14">
        <v>67</v>
      </c>
      <c r="X1005" s="14">
        <v>78</v>
      </c>
    </row>
    <row r="1006" spans="1:24" hidden="1" x14ac:dyDescent="0.3">
      <c r="A1006" s="14" t="s">
        <v>407</v>
      </c>
      <c r="B1006" s="14" t="s">
        <v>61</v>
      </c>
      <c r="C1006" s="14" t="s">
        <v>373</v>
      </c>
      <c r="D1006" s="14" t="s">
        <v>374</v>
      </c>
      <c r="E1006" s="14" t="s">
        <v>342</v>
      </c>
      <c r="F1006" s="14" t="s">
        <v>343</v>
      </c>
      <c r="G1006" s="14" t="s">
        <v>343</v>
      </c>
      <c r="H1006" s="14" t="s">
        <v>343</v>
      </c>
      <c r="U1006" s="14">
        <v>1</v>
      </c>
      <c r="V1006" s="14">
        <v>1</v>
      </c>
      <c r="W1006" s="14">
        <v>1</v>
      </c>
      <c r="X1006" s="14">
        <v>0.18</v>
      </c>
    </row>
    <row r="1007" spans="1:24" hidden="1" x14ac:dyDescent="0.3">
      <c r="A1007" s="14" t="s">
        <v>407</v>
      </c>
      <c r="B1007" s="14" t="s">
        <v>61</v>
      </c>
      <c r="C1007" s="14" t="s">
        <v>373</v>
      </c>
      <c r="D1007" s="14" t="s">
        <v>374</v>
      </c>
      <c r="E1007" s="14" t="s">
        <v>344</v>
      </c>
      <c r="F1007" s="14" t="s">
        <v>343</v>
      </c>
      <c r="G1007" s="14" t="s">
        <v>343</v>
      </c>
      <c r="H1007" s="14" t="s">
        <v>343</v>
      </c>
      <c r="U1007" s="14">
        <v>1</v>
      </c>
      <c r="V1007" s="14">
        <v>1</v>
      </c>
      <c r="W1007" s="14">
        <v>1</v>
      </c>
      <c r="X1007" s="14">
        <v>99</v>
      </c>
    </row>
    <row r="1008" spans="1:24" hidden="1" x14ac:dyDescent="0.3">
      <c r="A1008" s="14" t="s">
        <v>407</v>
      </c>
      <c r="B1008" s="14" t="s">
        <v>61</v>
      </c>
      <c r="C1008" s="14" t="s">
        <v>375</v>
      </c>
      <c r="D1008" s="14" t="s">
        <v>376</v>
      </c>
      <c r="E1008" s="14" t="s">
        <v>342</v>
      </c>
      <c r="F1008" s="14" t="s">
        <v>343</v>
      </c>
      <c r="G1008" s="14" t="s">
        <v>343</v>
      </c>
      <c r="H1008" s="14" t="s">
        <v>343</v>
      </c>
      <c r="U1008" s="14">
        <v>0.37</v>
      </c>
      <c r="V1008" s="14">
        <v>0.37</v>
      </c>
      <c r="W1008" s="14">
        <v>0.42</v>
      </c>
      <c r="X1008" s="14">
        <v>0.51</v>
      </c>
    </row>
    <row r="1009" spans="1:24" hidden="1" x14ac:dyDescent="0.3">
      <c r="A1009" s="14" t="s">
        <v>407</v>
      </c>
      <c r="B1009" s="14" t="s">
        <v>61</v>
      </c>
      <c r="C1009" s="14" t="s">
        <v>375</v>
      </c>
      <c r="D1009" s="14" t="s">
        <v>376</v>
      </c>
      <c r="E1009" s="14" t="s">
        <v>344</v>
      </c>
      <c r="F1009" s="14" t="s">
        <v>343</v>
      </c>
      <c r="G1009" s="14" t="s">
        <v>343</v>
      </c>
      <c r="H1009" s="14" t="s">
        <v>343</v>
      </c>
      <c r="U1009" s="14">
        <v>52</v>
      </c>
      <c r="V1009" s="14">
        <v>54</v>
      </c>
      <c r="W1009" s="14">
        <v>46</v>
      </c>
      <c r="X1009" s="14">
        <v>43</v>
      </c>
    </row>
    <row r="1010" spans="1:24" hidden="1" x14ac:dyDescent="0.3">
      <c r="A1010" s="14" t="s">
        <v>408</v>
      </c>
      <c r="B1010" s="14" t="s">
        <v>230</v>
      </c>
      <c r="C1010" s="14" t="s">
        <v>340</v>
      </c>
      <c r="D1010" s="14" t="s">
        <v>341</v>
      </c>
      <c r="E1010" s="14" t="s">
        <v>342</v>
      </c>
      <c r="F1010" s="14" t="s">
        <v>343</v>
      </c>
      <c r="G1010" s="14" t="s">
        <v>343</v>
      </c>
      <c r="H1010" s="14" t="s">
        <v>343</v>
      </c>
      <c r="I1010" s="14">
        <v>0.96</v>
      </c>
      <c r="J1010" s="14">
        <v>0.96</v>
      </c>
      <c r="K1010" s="14">
        <v>0.98</v>
      </c>
      <c r="L1010" s="14">
        <v>0.98</v>
      </c>
      <c r="M1010" s="14">
        <v>0.99</v>
      </c>
      <c r="N1010" s="14">
        <v>0.99</v>
      </c>
      <c r="O1010" s="14">
        <v>0.99</v>
      </c>
      <c r="P1010" s="14">
        <v>0.99</v>
      </c>
      <c r="Q1010" s="14">
        <v>0.99</v>
      </c>
      <c r="R1010" s="14">
        <v>0.99</v>
      </c>
      <c r="S1010" s="14">
        <v>0.99</v>
      </c>
      <c r="T1010" s="14">
        <v>0.99</v>
      </c>
      <c r="U1010" s="14">
        <v>0.99</v>
      </c>
      <c r="V1010" s="14">
        <v>0.99</v>
      </c>
      <c r="W1010" s="14">
        <v>0.99</v>
      </c>
      <c r="X1010" s="14">
        <v>0.99</v>
      </c>
    </row>
    <row r="1011" spans="1:24" hidden="1" x14ac:dyDescent="0.3">
      <c r="A1011" s="14" t="s">
        <v>408</v>
      </c>
      <c r="B1011" s="14" t="s">
        <v>230</v>
      </c>
      <c r="C1011" s="14" t="s">
        <v>340</v>
      </c>
      <c r="D1011" s="14" t="s">
        <v>341</v>
      </c>
      <c r="E1011" s="14" t="s">
        <v>344</v>
      </c>
      <c r="F1011" s="14" t="s">
        <v>343</v>
      </c>
      <c r="G1011" s="14" t="s">
        <v>343</v>
      </c>
      <c r="H1011" s="14" t="s">
        <v>343</v>
      </c>
      <c r="I1011" s="14">
        <v>79</v>
      </c>
      <c r="J1011" s="14">
        <v>92</v>
      </c>
      <c r="K1011" s="14">
        <v>88</v>
      </c>
      <c r="L1011" s="14">
        <v>88</v>
      </c>
      <c r="M1011" s="14">
        <v>71</v>
      </c>
      <c r="N1011" s="14">
        <v>68</v>
      </c>
      <c r="O1011" s="14">
        <v>71</v>
      </c>
      <c r="P1011" s="14">
        <v>66</v>
      </c>
      <c r="Q1011" s="14">
        <v>72</v>
      </c>
      <c r="R1011" s="14">
        <v>69</v>
      </c>
      <c r="S1011" s="14">
        <v>61</v>
      </c>
      <c r="T1011" s="14">
        <v>63</v>
      </c>
      <c r="U1011" s="14">
        <v>80</v>
      </c>
      <c r="V1011" s="14">
        <v>77</v>
      </c>
      <c r="W1011" s="14">
        <v>80</v>
      </c>
      <c r="X1011" s="14">
        <v>82</v>
      </c>
    </row>
    <row r="1012" spans="1:24" hidden="1" x14ac:dyDescent="0.3">
      <c r="A1012" s="14" t="s">
        <v>408</v>
      </c>
      <c r="B1012" s="14" t="s">
        <v>230</v>
      </c>
      <c r="C1012" s="14" t="s">
        <v>345</v>
      </c>
      <c r="D1012" s="14" t="s">
        <v>346</v>
      </c>
      <c r="E1012" s="14" t="s">
        <v>342</v>
      </c>
      <c r="F1012" s="14" t="s">
        <v>343</v>
      </c>
      <c r="G1012" s="14" t="s">
        <v>343</v>
      </c>
      <c r="H1012" s="14" t="s">
        <v>343</v>
      </c>
      <c r="U1012" s="14">
        <v>0.7</v>
      </c>
      <c r="V1012" s="14">
        <v>0.71</v>
      </c>
      <c r="W1012" s="14">
        <v>0.71</v>
      </c>
      <c r="X1012" s="14">
        <v>0.71</v>
      </c>
    </row>
    <row r="1013" spans="1:24" hidden="1" x14ac:dyDescent="0.3">
      <c r="A1013" s="14" t="s">
        <v>408</v>
      </c>
      <c r="B1013" s="14" t="s">
        <v>230</v>
      </c>
      <c r="C1013" s="14" t="s">
        <v>345</v>
      </c>
      <c r="D1013" s="14" t="s">
        <v>346</v>
      </c>
      <c r="E1013" s="14" t="s">
        <v>344</v>
      </c>
      <c r="F1013" s="14" t="s">
        <v>343</v>
      </c>
      <c r="G1013" s="14" t="s">
        <v>343</v>
      </c>
      <c r="H1013" s="14" t="s">
        <v>343</v>
      </c>
      <c r="U1013" s="14">
        <v>35</v>
      </c>
      <c r="V1013" s="14">
        <v>37</v>
      </c>
      <c r="W1013" s="14">
        <v>42</v>
      </c>
      <c r="X1013" s="14">
        <v>45</v>
      </c>
    </row>
    <row r="1014" spans="1:24" hidden="1" x14ac:dyDescent="0.3">
      <c r="A1014" s="14" t="s">
        <v>408</v>
      </c>
      <c r="B1014" s="14" t="s">
        <v>230</v>
      </c>
      <c r="C1014" s="14" t="s">
        <v>347</v>
      </c>
      <c r="D1014" s="14" t="s">
        <v>348</v>
      </c>
      <c r="E1014" s="14" t="s">
        <v>342</v>
      </c>
      <c r="F1014" s="14" t="s">
        <v>343</v>
      </c>
      <c r="G1014" s="14" t="s">
        <v>343</v>
      </c>
      <c r="H1014" s="14" t="s">
        <v>343</v>
      </c>
      <c r="U1014" s="14">
        <v>0.9</v>
      </c>
      <c r="V1014" s="14">
        <v>0.9</v>
      </c>
      <c r="W1014" s="14">
        <v>0.91</v>
      </c>
      <c r="X1014" s="14">
        <v>0.85</v>
      </c>
    </row>
    <row r="1015" spans="1:24" hidden="1" x14ac:dyDescent="0.3">
      <c r="A1015" s="14" t="s">
        <v>408</v>
      </c>
      <c r="B1015" s="14" t="s">
        <v>230</v>
      </c>
      <c r="C1015" s="14" t="s">
        <v>347</v>
      </c>
      <c r="D1015" s="14" t="s">
        <v>348</v>
      </c>
      <c r="E1015" s="14" t="s">
        <v>344</v>
      </c>
      <c r="F1015" s="14" t="s">
        <v>343</v>
      </c>
      <c r="G1015" s="14" t="s">
        <v>343</v>
      </c>
      <c r="H1015" s="14" t="s">
        <v>343</v>
      </c>
      <c r="U1015" s="14">
        <v>34</v>
      </c>
      <c r="V1015" s="14">
        <v>37</v>
      </c>
      <c r="W1015" s="14">
        <v>34</v>
      </c>
      <c r="X1015" s="14">
        <v>45</v>
      </c>
    </row>
    <row r="1016" spans="1:24" hidden="1" x14ac:dyDescent="0.3">
      <c r="A1016" s="14" t="s">
        <v>408</v>
      </c>
      <c r="B1016" s="14" t="s">
        <v>230</v>
      </c>
      <c r="C1016" s="14" t="s">
        <v>349</v>
      </c>
      <c r="D1016" s="14" t="s">
        <v>350</v>
      </c>
      <c r="E1016" s="14" t="s">
        <v>342</v>
      </c>
      <c r="F1016" s="14" t="s">
        <v>343</v>
      </c>
      <c r="G1016" s="14" t="s">
        <v>343</v>
      </c>
      <c r="H1016" s="14" t="s">
        <v>343</v>
      </c>
      <c r="U1016" s="14">
        <v>0.51</v>
      </c>
      <c r="V1016" s="14">
        <v>0.53</v>
      </c>
      <c r="W1016" s="14">
        <v>0.5</v>
      </c>
      <c r="X1016" s="14">
        <v>0.5</v>
      </c>
    </row>
    <row r="1017" spans="1:24" hidden="1" x14ac:dyDescent="0.3">
      <c r="A1017" s="14" t="s">
        <v>408</v>
      </c>
      <c r="B1017" s="14" t="s">
        <v>230</v>
      </c>
      <c r="C1017" s="14" t="s">
        <v>349</v>
      </c>
      <c r="D1017" s="14" t="s">
        <v>350</v>
      </c>
      <c r="E1017" s="14" t="s">
        <v>344</v>
      </c>
      <c r="F1017" s="14" t="s">
        <v>343</v>
      </c>
      <c r="G1017" s="14" t="s">
        <v>343</v>
      </c>
      <c r="H1017" s="14" t="s">
        <v>343</v>
      </c>
      <c r="U1017" s="14">
        <v>59</v>
      </c>
      <c r="V1017" s="14">
        <v>58</v>
      </c>
      <c r="W1017" s="14">
        <v>74</v>
      </c>
      <c r="X1017" s="14">
        <v>77</v>
      </c>
    </row>
    <row r="1018" spans="1:24" hidden="1" x14ac:dyDescent="0.3">
      <c r="A1018" s="14" t="s">
        <v>408</v>
      </c>
      <c r="B1018" s="14" t="s">
        <v>230</v>
      </c>
      <c r="C1018" s="14" t="s">
        <v>351</v>
      </c>
      <c r="D1018" s="14" t="s">
        <v>352</v>
      </c>
      <c r="E1018" s="14" t="s">
        <v>342</v>
      </c>
      <c r="F1018" s="14" t="s">
        <v>343</v>
      </c>
      <c r="G1018" s="14" t="s">
        <v>343</v>
      </c>
      <c r="H1018" s="14" t="s">
        <v>343</v>
      </c>
      <c r="U1018" s="14">
        <v>0.93</v>
      </c>
      <c r="V1018" s="14">
        <v>0.93</v>
      </c>
      <c r="W1018" s="14">
        <v>0.89</v>
      </c>
      <c r="X1018" s="14">
        <v>0.95</v>
      </c>
    </row>
    <row r="1019" spans="1:24" hidden="1" x14ac:dyDescent="0.3">
      <c r="A1019" s="14" t="s">
        <v>408</v>
      </c>
      <c r="B1019" s="14" t="s">
        <v>230</v>
      </c>
      <c r="C1019" s="14" t="s">
        <v>351</v>
      </c>
      <c r="D1019" s="14" t="s">
        <v>352</v>
      </c>
      <c r="E1019" s="14" t="s">
        <v>344</v>
      </c>
      <c r="F1019" s="14" t="s">
        <v>343</v>
      </c>
      <c r="G1019" s="14" t="s">
        <v>343</v>
      </c>
      <c r="H1019" s="14" t="s">
        <v>343</v>
      </c>
      <c r="U1019" s="14">
        <v>87</v>
      </c>
      <c r="V1019" s="14">
        <v>85</v>
      </c>
      <c r="W1019" s="14">
        <v>89</v>
      </c>
      <c r="X1019" s="14">
        <v>76</v>
      </c>
    </row>
    <row r="1020" spans="1:24" hidden="1" x14ac:dyDescent="0.3">
      <c r="A1020" s="14" t="s">
        <v>408</v>
      </c>
      <c r="B1020" s="14" t="s">
        <v>230</v>
      </c>
      <c r="C1020" s="14" t="s">
        <v>378</v>
      </c>
      <c r="D1020" s="14" t="s">
        <v>379</v>
      </c>
      <c r="E1020" s="14" t="s">
        <v>342</v>
      </c>
      <c r="F1020" s="14" t="s">
        <v>343</v>
      </c>
      <c r="G1020" s="14" t="s">
        <v>343</v>
      </c>
      <c r="H1020" s="14" t="s">
        <v>343</v>
      </c>
      <c r="S1020" s="14">
        <v>0.7</v>
      </c>
      <c r="U1020" s="14">
        <v>0.7</v>
      </c>
      <c r="V1020" s="14">
        <v>0.71</v>
      </c>
      <c r="W1020" s="14">
        <v>0.72</v>
      </c>
      <c r="X1020" s="14">
        <v>0.69</v>
      </c>
    </row>
    <row r="1021" spans="1:24" hidden="1" x14ac:dyDescent="0.3">
      <c r="A1021" s="14" t="s">
        <v>408</v>
      </c>
      <c r="B1021" s="14" t="s">
        <v>230</v>
      </c>
      <c r="C1021" s="14" t="s">
        <v>378</v>
      </c>
      <c r="D1021" s="14" t="s">
        <v>379</v>
      </c>
      <c r="E1021" s="14" t="s">
        <v>344</v>
      </c>
      <c r="F1021" s="14" t="s">
        <v>343</v>
      </c>
      <c r="G1021" s="14" t="s">
        <v>343</v>
      </c>
      <c r="H1021" s="14" t="s">
        <v>343</v>
      </c>
      <c r="S1021" s="14">
        <v>43</v>
      </c>
      <c r="U1021" s="14">
        <v>44</v>
      </c>
      <c r="V1021" s="14">
        <v>40</v>
      </c>
      <c r="W1021" s="14">
        <v>39</v>
      </c>
      <c r="X1021" s="14">
        <v>54</v>
      </c>
    </row>
    <row r="1022" spans="1:24" hidden="1" x14ac:dyDescent="0.3">
      <c r="A1022" s="14" t="s">
        <v>408</v>
      </c>
      <c r="B1022" s="14" t="s">
        <v>230</v>
      </c>
      <c r="C1022" s="14" t="s">
        <v>353</v>
      </c>
      <c r="D1022" s="14" t="s">
        <v>354</v>
      </c>
      <c r="E1022" s="14" t="s">
        <v>342</v>
      </c>
      <c r="F1022" s="14" t="s">
        <v>343</v>
      </c>
      <c r="G1022" s="14" t="s">
        <v>343</v>
      </c>
      <c r="H1022" s="14" t="s">
        <v>343</v>
      </c>
      <c r="U1022" s="14">
        <v>1</v>
      </c>
      <c r="V1022" s="14">
        <v>1</v>
      </c>
      <c r="W1022" s="14">
        <v>1</v>
      </c>
      <c r="X1022" s="14">
        <v>1</v>
      </c>
    </row>
    <row r="1023" spans="1:24" hidden="1" x14ac:dyDescent="0.3">
      <c r="A1023" s="14" t="s">
        <v>408</v>
      </c>
      <c r="B1023" s="14" t="s">
        <v>230</v>
      </c>
      <c r="C1023" s="14" t="s">
        <v>353</v>
      </c>
      <c r="D1023" s="14" t="s">
        <v>354</v>
      </c>
      <c r="E1023" s="14" t="s">
        <v>344</v>
      </c>
      <c r="F1023" s="14" t="s">
        <v>343</v>
      </c>
      <c r="G1023" s="14" t="s">
        <v>343</v>
      </c>
      <c r="H1023" s="14" t="s">
        <v>343</v>
      </c>
      <c r="U1023" s="14">
        <v>1</v>
      </c>
      <c r="V1023" s="14">
        <v>1</v>
      </c>
      <c r="W1023" s="14">
        <v>1</v>
      </c>
      <c r="X1023" s="14">
        <v>1</v>
      </c>
    </row>
    <row r="1024" spans="1:24" hidden="1" x14ac:dyDescent="0.3">
      <c r="A1024" s="14" t="s">
        <v>408</v>
      </c>
      <c r="B1024" s="14" t="s">
        <v>230</v>
      </c>
      <c r="C1024" s="14" t="s">
        <v>380</v>
      </c>
      <c r="D1024" s="14" t="s">
        <v>381</v>
      </c>
      <c r="E1024" s="14" t="s">
        <v>342</v>
      </c>
      <c r="F1024" s="14" t="s">
        <v>343</v>
      </c>
      <c r="G1024" s="14" t="s">
        <v>343</v>
      </c>
      <c r="H1024" s="14" t="s">
        <v>343</v>
      </c>
      <c r="U1024" s="14">
        <v>0.99</v>
      </c>
      <c r="V1024" s="14">
        <v>1</v>
      </c>
      <c r="W1024" s="14">
        <v>1</v>
      </c>
      <c r="X1024" s="14">
        <v>1</v>
      </c>
    </row>
    <row r="1025" spans="1:24" hidden="1" x14ac:dyDescent="0.3">
      <c r="A1025" s="14" t="s">
        <v>408</v>
      </c>
      <c r="B1025" s="14" t="s">
        <v>230</v>
      </c>
      <c r="C1025" s="14" t="s">
        <v>380</v>
      </c>
      <c r="D1025" s="14" t="s">
        <v>381</v>
      </c>
      <c r="E1025" s="14" t="s">
        <v>344</v>
      </c>
      <c r="F1025" s="14" t="s">
        <v>343</v>
      </c>
      <c r="G1025" s="14" t="s">
        <v>343</v>
      </c>
      <c r="H1025" s="14" t="s">
        <v>343</v>
      </c>
      <c r="U1025" s="14">
        <v>90</v>
      </c>
      <c r="V1025" s="14">
        <v>86</v>
      </c>
      <c r="W1025" s="14">
        <v>88</v>
      </c>
      <c r="X1025" s="14">
        <v>1</v>
      </c>
    </row>
    <row r="1026" spans="1:24" hidden="1" x14ac:dyDescent="0.3">
      <c r="A1026" s="14" t="s">
        <v>408</v>
      </c>
      <c r="B1026" s="14" t="s">
        <v>230</v>
      </c>
      <c r="C1026" s="14" t="s">
        <v>355</v>
      </c>
      <c r="D1026" s="14" t="s">
        <v>356</v>
      </c>
      <c r="E1026" s="14" t="s">
        <v>342</v>
      </c>
      <c r="F1026" s="14" t="s">
        <v>343</v>
      </c>
      <c r="G1026" s="14" t="s">
        <v>343</v>
      </c>
      <c r="H1026" s="14" t="s">
        <v>343</v>
      </c>
      <c r="U1026" s="14">
        <v>0.97</v>
      </c>
      <c r="V1026" s="14">
        <v>0.97</v>
      </c>
      <c r="W1026" s="14">
        <v>0.97</v>
      </c>
      <c r="X1026" s="14">
        <v>0.95</v>
      </c>
    </row>
    <row r="1027" spans="1:24" hidden="1" x14ac:dyDescent="0.3">
      <c r="A1027" s="14" t="s">
        <v>408</v>
      </c>
      <c r="B1027" s="14" t="s">
        <v>230</v>
      </c>
      <c r="C1027" s="14" t="s">
        <v>355</v>
      </c>
      <c r="D1027" s="14" t="s">
        <v>356</v>
      </c>
      <c r="E1027" s="14" t="s">
        <v>344</v>
      </c>
      <c r="F1027" s="14" t="s">
        <v>343</v>
      </c>
      <c r="G1027" s="14" t="s">
        <v>343</v>
      </c>
      <c r="H1027" s="14" t="s">
        <v>343</v>
      </c>
      <c r="U1027" s="14">
        <v>120</v>
      </c>
      <c r="V1027" s="14">
        <v>119</v>
      </c>
      <c r="W1027" s="14">
        <v>121</v>
      </c>
      <c r="X1027" s="14">
        <v>113</v>
      </c>
    </row>
    <row r="1028" spans="1:24" hidden="1" x14ac:dyDescent="0.3">
      <c r="A1028" s="14" t="s">
        <v>408</v>
      </c>
      <c r="B1028" s="14" t="s">
        <v>230</v>
      </c>
      <c r="C1028" s="14" t="s">
        <v>357</v>
      </c>
      <c r="D1028" s="14" t="s">
        <v>358</v>
      </c>
      <c r="E1028" s="14" t="s">
        <v>342</v>
      </c>
      <c r="F1028" s="14" t="s">
        <v>343</v>
      </c>
      <c r="G1028" s="14" t="s">
        <v>343</v>
      </c>
      <c r="H1028" s="14" t="s">
        <v>343</v>
      </c>
      <c r="U1028" s="14">
        <v>1</v>
      </c>
      <c r="V1028" s="14">
        <v>1</v>
      </c>
      <c r="W1028" s="14">
        <v>1</v>
      </c>
      <c r="X1028" s="14">
        <v>1</v>
      </c>
    </row>
    <row r="1029" spans="1:24" hidden="1" x14ac:dyDescent="0.3">
      <c r="A1029" s="14" t="s">
        <v>408</v>
      </c>
      <c r="B1029" s="14" t="s">
        <v>230</v>
      </c>
      <c r="C1029" s="14" t="s">
        <v>357</v>
      </c>
      <c r="D1029" s="14" t="s">
        <v>358</v>
      </c>
      <c r="E1029" s="14" t="s">
        <v>344</v>
      </c>
      <c r="F1029" s="14" t="s">
        <v>343</v>
      </c>
      <c r="G1029" s="14" t="s">
        <v>343</v>
      </c>
      <c r="H1029" s="14" t="s">
        <v>343</v>
      </c>
      <c r="U1029" s="14">
        <v>1</v>
      </c>
      <c r="V1029" s="14">
        <v>1</v>
      </c>
      <c r="W1029" s="14">
        <v>1</v>
      </c>
      <c r="X1029" s="14">
        <v>1</v>
      </c>
    </row>
    <row r="1030" spans="1:24" hidden="1" x14ac:dyDescent="0.3">
      <c r="A1030" s="14" t="s">
        <v>408</v>
      </c>
      <c r="B1030" s="14" t="s">
        <v>230</v>
      </c>
      <c r="C1030" s="14" t="s">
        <v>359</v>
      </c>
      <c r="D1030" s="14" t="s">
        <v>360</v>
      </c>
      <c r="E1030" s="14" t="s">
        <v>342</v>
      </c>
      <c r="F1030" s="14" t="s">
        <v>343</v>
      </c>
      <c r="G1030" s="14" t="s">
        <v>343</v>
      </c>
      <c r="H1030" s="14" t="s">
        <v>343</v>
      </c>
      <c r="I1030" s="14">
        <v>0.71</v>
      </c>
      <c r="J1030" s="14">
        <v>0.68</v>
      </c>
      <c r="K1030" s="14">
        <v>0.66</v>
      </c>
      <c r="L1030" s="14">
        <v>0.69</v>
      </c>
      <c r="M1030" s="14">
        <v>0.73</v>
      </c>
      <c r="N1030" s="14">
        <v>0.74</v>
      </c>
      <c r="O1030" s="14">
        <v>0.75</v>
      </c>
      <c r="P1030" s="14">
        <v>0.77</v>
      </c>
      <c r="Q1030" s="14">
        <v>0.78</v>
      </c>
      <c r="R1030" s="14">
        <v>0.8</v>
      </c>
      <c r="S1030" s="14">
        <v>0.74</v>
      </c>
      <c r="T1030" s="14">
        <v>0.74</v>
      </c>
      <c r="U1030" s="14">
        <v>0.74</v>
      </c>
      <c r="V1030" s="14">
        <v>0.75</v>
      </c>
      <c r="W1030" s="14">
        <v>0.74</v>
      </c>
      <c r="X1030" s="14">
        <v>0.73</v>
      </c>
    </row>
    <row r="1031" spans="1:24" hidden="1" x14ac:dyDescent="0.3">
      <c r="A1031" s="14" t="s">
        <v>408</v>
      </c>
      <c r="B1031" s="14" t="s">
        <v>230</v>
      </c>
      <c r="C1031" s="14" t="s">
        <v>359</v>
      </c>
      <c r="D1031" s="14" t="s">
        <v>360</v>
      </c>
      <c r="E1031" s="14" t="s">
        <v>344</v>
      </c>
      <c r="F1031" s="14" t="s">
        <v>343</v>
      </c>
      <c r="G1031" s="14" t="s">
        <v>343</v>
      </c>
      <c r="H1031" s="14" t="s">
        <v>343</v>
      </c>
      <c r="I1031" s="14">
        <v>18</v>
      </c>
      <c r="J1031" s="14">
        <v>42</v>
      </c>
      <c r="K1031" s="14">
        <v>54</v>
      </c>
      <c r="L1031" s="14">
        <v>48</v>
      </c>
      <c r="M1031" s="14">
        <v>30</v>
      </c>
      <c r="N1031" s="14">
        <v>28</v>
      </c>
      <c r="O1031" s="14">
        <v>28</v>
      </c>
      <c r="P1031" s="14">
        <v>23</v>
      </c>
      <c r="Q1031" s="14">
        <v>23</v>
      </c>
      <c r="R1031" s="14">
        <v>17</v>
      </c>
      <c r="S1031" s="14">
        <v>30</v>
      </c>
      <c r="T1031" s="14">
        <v>31</v>
      </c>
      <c r="U1031" s="14">
        <v>34</v>
      </c>
      <c r="V1031" s="14">
        <v>34</v>
      </c>
      <c r="W1031" s="14">
        <v>39</v>
      </c>
      <c r="X1031" s="14">
        <v>47</v>
      </c>
    </row>
    <row r="1032" spans="1:24" x14ac:dyDescent="0.3">
      <c r="A1032" s="14" t="s">
        <v>408</v>
      </c>
      <c r="B1032" s="14" t="s">
        <v>230</v>
      </c>
      <c r="C1032" s="14" t="s">
        <v>361</v>
      </c>
      <c r="D1032" s="14" t="s">
        <v>362</v>
      </c>
      <c r="E1032" s="14" t="s">
        <v>342</v>
      </c>
      <c r="F1032" s="14" t="s">
        <v>343</v>
      </c>
      <c r="G1032" s="14" t="s">
        <v>343</v>
      </c>
      <c r="H1032" s="14" t="s">
        <v>343</v>
      </c>
      <c r="I1032" s="14">
        <v>0.98</v>
      </c>
      <c r="J1032" s="14">
        <v>0.98</v>
      </c>
      <c r="K1032" s="14">
        <v>0.98</v>
      </c>
      <c r="L1032" s="14">
        <v>0.98</v>
      </c>
      <c r="M1032" s="14">
        <v>0.97</v>
      </c>
      <c r="N1032" s="14">
        <v>0.97</v>
      </c>
      <c r="O1032" s="14">
        <v>0.97</v>
      </c>
      <c r="P1032" s="14">
        <v>0.97</v>
      </c>
      <c r="Q1032" s="14">
        <v>0.97</v>
      </c>
      <c r="R1032" s="14">
        <v>0.97</v>
      </c>
      <c r="S1032" s="14">
        <v>0.97</v>
      </c>
      <c r="T1032" s="14">
        <v>0.97</v>
      </c>
      <c r="U1032" s="14">
        <v>0.97</v>
      </c>
      <c r="V1032" s="14">
        <v>0.97</v>
      </c>
      <c r="W1032" s="14">
        <v>0.96</v>
      </c>
      <c r="X1032" s="14">
        <v>0.96</v>
      </c>
    </row>
    <row r="1033" spans="1:24" hidden="1" x14ac:dyDescent="0.3">
      <c r="A1033" s="14" t="s">
        <v>408</v>
      </c>
      <c r="B1033" s="14" t="s">
        <v>230</v>
      </c>
      <c r="C1033" s="14" t="s">
        <v>361</v>
      </c>
      <c r="D1033" s="14" t="s">
        <v>362</v>
      </c>
      <c r="E1033" s="14" t="s">
        <v>344</v>
      </c>
      <c r="F1033" s="14" t="s">
        <v>343</v>
      </c>
      <c r="G1033" s="14" t="s">
        <v>343</v>
      </c>
      <c r="H1033" s="14" t="s">
        <v>343</v>
      </c>
      <c r="I1033" s="14">
        <v>35</v>
      </c>
      <c r="J1033" s="14">
        <v>55</v>
      </c>
      <c r="K1033" s="14">
        <v>56</v>
      </c>
      <c r="L1033" s="14">
        <v>59</v>
      </c>
      <c r="M1033" s="14">
        <v>74</v>
      </c>
      <c r="N1033" s="14">
        <v>75</v>
      </c>
      <c r="O1033" s="14">
        <v>68</v>
      </c>
      <c r="P1033" s="14">
        <v>72</v>
      </c>
      <c r="Q1033" s="14">
        <v>70</v>
      </c>
      <c r="R1033" s="14">
        <v>74</v>
      </c>
      <c r="S1033" s="14">
        <v>72</v>
      </c>
      <c r="T1033" s="14">
        <v>90</v>
      </c>
      <c r="U1033" s="14">
        <v>108</v>
      </c>
      <c r="V1033" s="14">
        <v>110</v>
      </c>
      <c r="W1033" s="14">
        <v>128</v>
      </c>
      <c r="X1033" s="14">
        <v>117</v>
      </c>
    </row>
    <row r="1034" spans="1:24" hidden="1" x14ac:dyDescent="0.3">
      <c r="A1034" s="14" t="s">
        <v>408</v>
      </c>
      <c r="B1034" s="14" t="s">
        <v>230</v>
      </c>
      <c r="C1034" s="14" t="s">
        <v>363</v>
      </c>
      <c r="D1034" s="14" t="s">
        <v>364</v>
      </c>
      <c r="E1034" s="14" t="s">
        <v>342</v>
      </c>
      <c r="F1034" s="14" t="s">
        <v>343</v>
      </c>
      <c r="G1034" s="14" t="s">
        <v>343</v>
      </c>
      <c r="H1034" s="14" t="s">
        <v>343</v>
      </c>
      <c r="U1034" s="14">
        <v>1.03</v>
      </c>
      <c r="V1034" s="14">
        <v>1.03</v>
      </c>
      <c r="W1034" s="14">
        <v>1.01</v>
      </c>
      <c r="X1034" s="14">
        <v>1.01</v>
      </c>
    </row>
    <row r="1035" spans="1:24" hidden="1" x14ac:dyDescent="0.3">
      <c r="A1035" s="14" t="s">
        <v>408</v>
      </c>
      <c r="B1035" s="14" t="s">
        <v>230</v>
      </c>
      <c r="C1035" s="14" t="s">
        <v>363</v>
      </c>
      <c r="D1035" s="14" t="s">
        <v>364</v>
      </c>
      <c r="E1035" s="14" t="s">
        <v>344</v>
      </c>
      <c r="F1035" s="14" t="s">
        <v>343</v>
      </c>
      <c r="G1035" s="14" t="s">
        <v>343</v>
      </c>
      <c r="H1035" s="14" t="s">
        <v>343</v>
      </c>
      <c r="U1035" s="14">
        <v>117</v>
      </c>
      <c r="V1035" s="14">
        <v>121</v>
      </c>
      <c r="W1035" s="14">
        <v>136</v>
      </c>
      <c r="X1035" s="14">
        <v>124</v>
      </c>
    </row>
    <row r="1036" spans="1:24" hidden="1" x14ac:dyDescent="0.3">
      <c r="A1036" s="14" t="s">
        <v>408</v>
      </c>
      <c r="B1036" s="14" t="s">
        <v>230</v>
      </c>
      <c r="C1036" s="14" t="s">
        <v>365</v>
      </c>
      <c r="D1036" s="14" t="s">
        <v>366</v>
      </c>
      <c r="E1036" s="14" t="s">
        <v>342</v>
      </c>
      <c r="F1036" s="14" t="s">
        <v>343</v>
      </c>
      <c r="G1036" s="14" t="s">
        <v>343</v>
      </c>
      <c r="H1036" s="14" t="s">
        <v>343</v>
      </c>
      <c r="U1036" s="14">
        <v>0.94</v>
      </c>
      <c r="V1036" s="14">
        <v>0.94</v>
      </c>
      <c r="W1036" s="14">
        <v>0.94</v>
      </c>
      <c r="X1036" s="14">
        <v>0.94</v>
      </c>
    </row>
    <row r="1037" spans="1:24" hidden="1" x14ac:dyDescent="0.3">
      <c r="A1037" s="14" t="s">
        <v>408</v>
      </c>
      <c r="B1037" s="14" t="s">
        <v>230</v>
      </c>
      <c r="C1037" s="14" t="s">
        <v>365</v>
      </c>
      <c r="D1037" s="14" t="s">
        <v>366</v>
      </c>
      <c r="E1037" s="14" t="s">
        <v>344</v>
      </c>
      <c r="F1037" s="14" t="s">
        <v>343</v>
      </c>
      <c r="G1037" s="14" t="s">
        <v>343</v>
      </c>
      <c r="H1037" s="14" t="s">
        <v>343</v>
      </c>
      <c r="U1037" s="14">
        <v>1</v>
      </c>
      <c r="V1037" s="14">
        <v>1</v>
      </c>
      <c r="W1037" s="14">
        <v>1</v>
      </c>
      <c r="X1037" s="14">
        <v>1</v>
      </c>
    </row>
    <row r="1038" spans="1:24" hidden="1" x14ac:dyDescent="0.3">
      <c r="A1038" s="14" t="s">
        <v>408</v>
      </c>
      <c r="B1038" s="14" t="s">
        <v>230</v>
      </c>
      <c r="C1038" s="14" t="s">
        <v>367</v>
      </c>
      <c r="D1038" s="14" t="s">
        <v>368</v>
      </c>
      <c r="E1038" s="14" t="s">
        <v>342</v>
      </c>
      <c r="F1038" s="14" t="s">
        <v>343</v>
      </c>
      <c r="G1038" s="14" t="s">
        <v>343</v>
      </c>
      <c r="H1038" s="14" t="s">
        <v>343</v>
      </c>
      <c r="I1038" s="14">
        <v>0.7</v>
      </c>
      <c r="J1038" s="14">
        <v>0.69</v>
      </c>
      <c r="K1038" s="14">
        <v>0.74</v>
      </c>
      <c r="L1038" s="14">
        <v>0.74</v>
      </c>
      <c r="M1038" s="14">
        <v>0.76</v>
      </c>
      <c r="N1038" s="14">
        <v>0.76</v>
      </c>
      <c r="O1038" s="14">
        <v>0.77</v>
      </c>
      <c r="P1038" s="14">
        <v>0.77</v>
      </c>
      <c r="Q1038" s="14">
        <v>0.78</v>
      </c>
      <c r="R1038" s="14">
        <v>0.78</v>
      </c>
      <c r="S1038" s="14">
        <v>0.78</v>
      </c>
      <c r="T1038" s="14">
        <v>0.76</v>
      </c>
      <c r="U1038" s="14">
        <v>0.76</v>
      </c>
      <c r="V1038" s="14">
        <v>0.78</v>
      </c>
      <c r="W1038" s="14">
        <v>0.8</v>
      </c>
      <c r="X1038" s="14">
        <v>0.8</v>
      </c>
    </row>
    <row r="1039" spans="1:24" hidden="1" x14ac:dyDescent="0.3">
      <c r="A1039" s="14" t="s">
        <v>408</v>
      </c>
      <c r="B1039" s="14" t="s">
        <v>230</v>
      </c>
      <c r="C1039" s="14" t="s">
        <v>367</v>
      </c>
      <c r="D1039" s="14" t="s">
        <v>368</v>
      </c>
      <c r="E1039" s="14" t="s">
        <v>344</v>
      </c>
      <c r="F1039" s="14" t="s">
        <v>343</v>
      </c>
      <c r="G1039" s="14" t="s">
        <v>343</v>
      </c>
      <c r="H1039" s="14" t="s">
        <v>343</v>
      </c>
      <c r="I1039" s="14">
        <v>26</v>
      </c>
      <c r="J1039" s="14">
        <v>40</v>
      </c>
      <c r="K1039" s="14">
        <v>14</v>
      </c>
      <c r="L1039" s="14">
        <v>13</v>
      </c>
      <c r="M1039" s="14">
        <v>10</v>
      </c>
      <c r="N1039" s="14">
        <v>10</v>
      </c>
      <c r="O1039" s="14">
        <v>10</v>
      </c>
      <c r="P1039" s="14">
        <v>9</v>
      </c>
      <c r="Q1039" s="14">
        <v>11</v>
      </c>
      <c r="R1039" s="14">
        <v>8</v>
      </c>
      <c r="S1039" s="14">
        <v>11</v>
      </c>
      <c r="T1039" s="14">
        <v>21</v>
      </c>
      <c r="U1039" s="14">
        <v>20</v>
      </c>
      <c r="V1039" s="14">
        <v>18</v>
      </c>
      <c r="W1039" s="14">
        <v>10</v>
      </c>
      <c r="X1039" s="14">
        <v>13</v>
      </c>
    </row>
    <row r="1040" spans="1:24" hidden="1" x14ac:dyDescent="0.3">
      <c r="A1040" s="14" t="s">
        <v>408</v>
      </c>
      <c r="B1040" s="14" t="s">
        <v>230</v>
      </c>
      <c r="C1040" s="14" t="s">
        <v>369</v>
      </c>
      <c r="D1040" s="14" t="s">
        <v>370</v>
      </c>
      <c r="E1040" s="14" t="s">
        <v>342</v>
      </c>
      <c r="F1040" s="14" t="s">
        <v>343</v>
      </c>
      <c r="G1040" s="14" t="s">
        <v>343</v>
      </c>
      <c r="H1040" s="14" t="s">
        <v>343</v>
      </c>
      <c r="I1040" s="14">
        <v>0.15</v>
      </c>
      <c r="J1040" s="14">
        <v>0.16</v>
      </c>
      <c r="K1040" s="14">
        <v>0.33</v>
      </c>
      <c r="L1040" s="14">
        <v>0.33</v>
      </c>
      <c r="M1040" s="14">
        <v>0.34</v>
      </c>
      <c r="N1040" s="14">
        <v>0.35</v>
      </c>
      <c r="O1040" s="14">
        <v>0.35</v>
      </c>
      <c r="P1040" s="14">
        <v>0.36</v>
      </c>
      <c r="Q1040" s="14">
        <v>0.37</v>
      </c>
      <c r="R1040" s="14">
        <v>0.38</v>
      </c>
      <c r="S1040" s="14">
        <v>0.39</v>
      </c>
      <c r="T1040" s="14">
        <v>0.31</v>
      </c>
      <c r="U1040" s="14">
        <v>0.32</v>
      </c>
      <c r="V1040" s="14">
        <v>0.41</v>
      </c>
      <c r="W1040" s="14">
        <v>0.49</v>
      </c>
      <c r="X1040" s="14">
        <v>0.5</v>
      </c>
    </row>
    <row r="1041" spans="1:24" hidden="1" x14ac:dyDescent="0.3">
      <c r="A1041" s="14" t="s">
        <v>408</v>
      </c>
      <c r="B1041" s="14" t="s">
        <v>230</v>
      </c>
      <c r="C1041" s="14" t="s">
        <v>369</v>
      </c>
      <c r="D1041" s="14" t="s">
        <v>370</v>
      </c>
      <c r="E1041" s="14" t="s">
        <v>344</v>
      </c>
      <c r="F1041" s="14" t="s">
        <v>343</v>
      </c>
      <c r="G1041" s="14" t="s">
        <v>343</v>
      </c>
      <c r="H1041" s="14" t="s">
        <v>343</v>
      </c>
      <c r="I1041" s="14">
        <v>34</v>
      </c>
      <c r="J1041" s="14">
        <v>37</v>
      </c>
      <c r="K1041" s="14">
        <v>11</v>
      </c>
      <c r="L1041" s="14">
        <v>12</v>
      </c>
      <c r="M1041" s="14">
        <v>13</v>
      </c>
      <c r="N1041" s="14">
        <v>13</v>
      </c>
      <c r="O1041" s="14">
        <v>13</v>
      </c>
      <c r="P1041" s="14">
        <v>16</v>
      </c>
      <c r="Q1041" s="14">
        <v>16</v>
      </c>
      <c r="R1041" s="14">
        <v>18</v>
      </c>
      <c r="S1041" s="14">
        <v>15</v>
      </c>
      <c r="T1041" s="14">
        <v>28</v>
      </c>
      <c r="U1041" s="14">
        <v>29</v>
      </c>
      <c r="V1041" s="14">
        <v>19</v>
      </c>
      <c r="W1041" s="14">
        <v>12</v>
      </c>
      <c r="X1041" s="14">
        <v>13</v>
      </c>
    </row>
    <row r="1042" spans="1:24" hidden="1" x14ac:dyDescent="0.3">
      <c r="A1042" s="14" t="s">
        <v>408</v>
      </c>
      <c r="B1042" s="14" t="s">
        <v>230</v>
      </c>
      <c r="C1042" s="14" t="s">
        <v>371</v>
      </c>
      <c r="D1042" s="14" t="s">
        <v>372</v>
      </c>
      <c r="E1042" s="14" t="s">
        <v>342</v>
      </c>
      <c r="F1042" s="14" t="s">
        <v>343</v>
      </c>
      <c r="G1042" s="14" t="s">
        <v>343</v>
      </c>
      <c r="H1042" s="14" t="s">
        <v>343</v>
      </c>
      <c r="U1042" s="14">
        <v>0.16</v>
      </c>
      <c r="V1042" s="14">
        <v>0.16</v>
      </c>
      <c r="W1042" s="14">
        <v>0.19</v>
      </c>
      <c r="X1042" s="14">
        <v>0.19</v>
      </c>
    </row>
    <row r="1043" spans="1:24" hidden="1" x14ac:dyDescent="0.3">
      <c r="A1043" s="14" t="s">
        <v>408</v>
      </c>
      <c r="B1043" s="14" t="s">
        <v>230</v>
      </c>
      <c r="C1043" s="14" t="s">
        <v>371</v>
      </c>
      <c r="D1043" s="14" t="s">
        <v>372</v>
      </c>
      <c r="E1043" s="14" t="s">
        <v>344</v>
      </c>
      <c r="F1043" s="14" t="s">
        <v>343</v>
      </c>
      <c r="G1043" s="14" t="s">
        <v>343</v>
      </c>
      <c r="H1043" s="14" t="s">
        <v>343</v>
      </c>
      <c r="U1043" s="14">
        <v>19</v>
      </c>
      <c r="V1043" s="14">
        <v>19</v>
      </c>
      <c r="W1043" s="14">
        <v>21</v>
      </c>
      <c r="X1043" s="14">
        <v>19</v>
      </c>
    </row>
    <row r="1044" spans="1:24" hidden="1" x14ac:dyDescent="0.3">
      <c r="A1044" s="14" t="s">
        <v>408</v>
      </c>
      <c r="B1044" s="14" t="s">
        <v>230</v>
      </c>
      <c r="C1044" s="14" t="s">
        <v>373</v>
      </c>
      <c r="D1044" s="14" t="s">
        <v>374</v>
      </c>
      <c r="E1044" s="14" t="s">
        <v>342</v>
      </c>
      <c r="F1044" s="14" t="s">
        <v>343</v>
      </c>
      <c r="G1044" s="14" t="s">
        <v>343</v>
      </c>
      <c r="H1044" s="14" t="s">
        <v>343</v>
      </c>
      <c r="U1044" s="14">
        <v>0.4</v>
      </c>
      <c r="V1044" s="14">
        <v>0.75</v>
      </c>
      <c r="W1044" s="14">
        <v>0.75</v>
      </c>
      <c r="X1044" s="14">
        <v>0.75</v>
      </c>
    </row>
    <row r="1045" spans="1:24" hidden="1" x14ac:dyDescent="0.3">
      <c r="A1045" s="14" t="s">
        <v>408</v>
      </c>
      <c r="B1045" s="14" t="s">
        <v>230</v>
      </c>
      <c r="C1045" s="14" t="s">
        <v>373</v>
      </c>
      <c r="D1045" s="14" t="s">
        <v>374</v>
      </c>
      <c r="E1045" s="14" t="s">
        <v>344</v>
      </c>
      <c r="F1045" s="14" t="s">
        <v>343</v>
      </c>
      <c r="G1045" s="14" t="s">
        <v>343</v>
      </c>
      <c r="H1045" s="14" t="s">
        <v>343</v>
      </c>
      <c r="U1045" s="14">
        <v>27</v>
      </c>
      <c r="V1045" s="14">
        <v>12</v>
      </c>
      <c r="W1045" s="14">
        <v>18</v>
      </c>
      <c r="X1045" s="14">
        <v>18</v>
      </c>
    </row>
    <row r="1046" spans="1:24" hidden="1" x14ac:dyDescent="0.3">
      <c r="A1046" s="14" t="s">
        <v>408</v>
      </c>
      <c r="B1046" s="14" t="s">
        <v>230</v>
      </c>
      <c r="C1046" s="14" t="s">
        <v>375</v>
      </c>
      <c r="D1046" s="14" t="s">
        <v>376</v>
      </c>
      <c r="E1046" s="14" t="s">
        <v>342</v>
      </c>
      <c r="F1046" s="14" t="s">
        <v>343</v>
      </c>
      <c r="G1046" s="14" t="s">
        <v>343</v>
      </c>
      <c r="H1046" s="14" t="s">
        <v>343</v>
      </c>
      <c r="U1046" s="14">
        <v>0.48</v>
      </c>
      <c r="V1046" s="14">
        <v>0.48</v>
      </c>
      <c r="W1046" s="14">
        <v>0.72</v>
      </c>
      <c r="X1046" s="14">
        <v>0.74</v>
      </c>
    </row>
    <row r="1047" spans="1:24" hidden="1" x14ac:dyDescent="0.3">
      <c r="A1047" s="14" t="s">
        <v>408</v>
      </c>
      <c r="B1047" s="14" t="s">
        <v>230</v>
      </c>
      <c r="C1047" s="14" t="s">
        <v>375</v>
      </c>
      <c r="D1047" s="14" t="s">
        <v>376</v>
      </c>
      <c r="E1047" s="14" t="s">
        <v>344</v>
      </c>
      <c r="F1047" s="14" t="s">
        <v>343</v>
      </c>
      <c r="G1047" s="14" t="s">
        <v>343</v>
      </c>
      <c r="H1047" s="14" t="s">
        <v>343</v>
      </c>
      <c r="U1047" s="14">
        <v>35</v>
      </c>
      <c r="V1047" s="14">
        <v>35</v>
      </c>
      <c r="W1047" s="14">
        <v>18</v>
      </c>
      <c r="X1047" s="14">
        <v>17</v>
      </c>
    </row>
    <row r="1048" spans="1:24" hidden="1" x14ac:dyDescent="0.3">
      <c r="A1048" s="14" t="s">
        <v>409</v>
      </c>
      <c r="B1048" s="14" t="s">
        <v>67</v>
      </c>
      <c r="C1048" s="14" t="s">
        <v>340</v>
      </c>
      <c r="D1048" s="14" t="s">
        <v>341</v>
      </c>
      <c r="E1048" s="14" t="s">
        <v>342</v>
      </c>
      <c r="F1048" s="14" t="s">
        <v>343</v>
      </c>
      <c r="G1048" s="14" t="s">
        <v>343</v>
      </c>
      <c r="H1048" s="14" t="s">
        <v>343</v>
      </c>
      <c r="I1048" s="14">
        <v>0.98</v>
      </c>
      <c r="J1048" s="14">
        <v>0.98</v>
      </c>
      <c r="K1048" s="14">
        <v>0.99</v>
      </c>
      <c r="L1048" s="14">
        <v>1</v>
      </c>
      <c r="M1048" s="14">
        <v>1</v>
      </c>
      <c r="N1048" s="14">
        <v>1</v>
      </c>
      <c r="O1048" s="14">
        <v>1</v>
      </c>
      <c r="P1048" s="14">
        <v>1</v>
      </c>
      <c r="Q1048" s="14">
        <v>1</v>
      </c>
      <c r="R1048" s="14">
        <v>1</v>
      </c>
      <c r="S1048" s="14">
        <v>1</v>
      </c>
      <c r="T1048" s="14">
        <v>1</v>
      </c>
      <c r="U1048" s="14">
        <v>1</v>
      </c>
      <c r="V1048" s="14">
        <v>1</v>
      </c>
      <c r="W1048" s="14">
        <v>1</v>
      </c>
      <c r="X1048" s="14">
        <v>0.99</v>
      </c>
    </row>
    <row r="1049" spans="1:24" hidden="1" x14ac:dyDescent="0.3">
      <c r="A1049" s="14" t="s">
        <v>409</v>
      </c>
      <c r="B1049" s="14" t="s">
        <v>67</v>
      </c>
      <c r="C1049" s="14" t="s">
        <v>340</v>
      </c>
      <c r="D1049" s="14" t="s">
        <v>341</v>
      </c>
      <c r="E1049" s="14" t="s">
        <v>344</v>
      </c>
      <c r="F1049" s="14" t="s">
        <v>343</v>
      </c>
      <c r="G1049" s="14" t="s">
        <v>343</v>
      </c>
      <c r="H1049" s="14" t="s">
        <v>343</v>
      </c>
      <c r="I1049" s="14">
        <v>68</v>
      </c>
      <c r="J1049" s="14">
        <v>78</v>
      </c>
      <c r="K1049" s="14">
        <v>81</v>
      </c>
      <c r="L1049" s="14">
        <v>44</v>
      </c>
      <c r="M1049" s="14">
        <v>42</v>
      </c>
      <c r="N1049" s="14">
        <v>40</v>
      </c>
      <c r="O1049" s="14">
        <v>32</v>
      </c>
      <c r="P1049" s="14">
        <v>32</v>
      </c>
      <c r="Q1049" s="14">
        <v>30</v>
      </c>
      <c r="R1049" s="14">
        <v>36</v>
      </c>
      <c r="S1049" s="14">
        <v>38</v>
      </c>
      <c r="T1049" s="14">
        <v>39</v>
      </c>
      <c r="U1049" s="14">
        <v>37</v>
      </c>
      <c r="V1049" s="14">
        <v>30</v>
      </c>
      <c r="W1049" s="14">
        <v>31</v>
      </c>
      <c r="X1049" s="14">
        <v>62</v>
      </c>
    </row>
    <row r="1050" spans="1:24" hidden="1" x14ac:dyDescent="0.3">
      <c r="A1050" s="14" t="s">
        <v>409</v>
      </c>
      <c r="B1050" s="14" t="s">
        <v>67</v>
      </c>
      <c r="C1050" s="14" t="s">
        <v>345</v>
      </c>
      <c r="D1050" s="14" t="s">
        <v>346</v>
      </c>
      <c r="E1050" s="14" t="s">
        <v>342</v>
      </c>
      <c r="F1050" s="14" t="s">
        <v>343</v>
      </c>
      <c r="G1050" s="14" t="s">
        <v>343</v>
      </c>
      <c r="H1050" s="14" t="s">
        <v>343</v>
      </c>
      <c r="U1050" s="14">
        <v>0.53</v>
      </c>
      <c r="V1050" s="14">
        <v>0.56000000000000005</v>
      </c>
      <c r="W1050" s="14">
        <v>0.55000000000000004</v>
      </c>
      <c r="X1050" s="14">
        <v>0.52</v>
      </c>
    </row>
    <row r="1051" spans="1:24" hidden="1" x14ac:dyDescent="0.3">
      <c r="A1051" s="14" t="s">
        <v>409</v>
      </c>
      <c r="B1051" s="14" t="s">
        <v>67</v>
      </c>
      <c r="C1051" s="14" t="s">
        <v>345</v>
      </c>
      <c r="D1051" s="14" t="s">
        <v>346</v>
      </c>
      <c r="E1051" s="14" t="s">
        <v>344</v>
      </c>
      <c r="F1051" s="14" t="s">
        <v>343</v>
      </c>
      <c r="G1051" s="14" t="s">
        <v>343</v>
      </c>
      <c r="H1051" s="14" t="s">
        <v>343</v>
      </c>
      <c r="U1051" s="14">
        <v>102</v>
      </c>
      <c r="V1051" s="14">
        <v>103</v>
      </c>
      <c r="W1051" s="14">
        <v>108</v>
      </c>
      <c r="X1051" s="14">
        <v>114</v>
      </c>
    </row>
    <row r="1052" spans="1:24" hidden="1" x14ac:dyDescent="0.3">
      <c r="A1052" s="14" t="s">
        <v>409</v>
      </c>
      <c r="B1052" s="14" t="s">
        <v>67</v>
      </c>
      <c r="C1052" s="14" t="s">
        <v>347</v>
      </c>
      <c r="D1052" s="14" t="s">
        <v>348</v>
      </c>
      <c r="E1052" s="14" t="s">
        <v>342</v>
      </c>
      <c r="F1052" s="14" t="s">
        <v>343</v>
      </c>
      <c r="G1052" s="14" t="s">
        <v>343</v>
      </c>
      <c r="H1052" s="14" t="s">
        <v>343</v>
      </c>
      <c r="U1052" s="14">
        <v>0.73</v>
      </c>
      <c r="V1052" s="14">
        <v>0.73</v>
      </c>
      <c r="W1052" s="14">
        <v>0.75</v>
      </c>
      <c r="X1052" s="14">
        <v>0.67</v>
      </c>
    </row>
    <row r="1053" spans="1:24" hidden="1" x14ac:dyDescent="0.3">
      <c r="A1053" s="14" t="s">
        <v>409</v>
      </c>
      <c r="B1053" s="14" t="s">
        <v>67</v>
      </c>
      <c r="C1053" s="14" t="s">
        <v>347</v>
      </c>
      <c r="D1053" s="14" t="s">
        <v>348</v>
      </c>
      <c r="E1053" s="14" t="s">
        <v>344</v>
      </c>
      <c r="F1053" s="14" t="s">
        <v>343</v>
      </c>
      <c r="G1053" s="14" t="s">
        <v>343</v>
      </c>
      <c r="H1053" s="14" t="s">
        <v>343</v>
      </c>
      <c r="U1053" s="14">
        <v>95</v>
      </c>
      <c r="V1053" s="14">
        <v>99</v>
      </c>
      <c r="W1053" s="14">
        <v>99</v>
      </c>
      <c r="X1053" s="14">
        <v>102</v>
      </c>
    </row>
    <row r="1054" spans="1:24" hidden="1" x14ac:dyDescent="0.3">
      <c r="A1054" s="14" t="s">
        <v>409</v>
      </c>
      <c r="B1054" s="14" t="s">
        <v>67</v>
      </c>
      <c r="C1054" s="14" t="s">
        <v>349</v>
      </c>
      <c r="D1054" s="14" t="s">
        <v>350</v>
      </c>
      <c r="E1054" s="14" t="s">
        <v>342</v>
      </c>
      <c r="F1054" s="14" t="s">
        <v>343</v>
      </c>
      <c r="G1054" s="14" t="s">
        <v>343</v>
      </c>
      <c r="H1054" s="14" t="s">
        <v>343</v>
      </c>
      <c r="U1054" s="14">
        <v>0.36</v>
      </c>
      <c r="V1054" s="14">
        <v>0.38</v>
      </c>
      <c r="W1054" s="14">
        <v>0.43</v>
      </c>
      <c r="X1054" s="14">
        <v>0.44</v>
      </c>
    </row>
    <row r="1055" spans="1:24" hidden="1" x14ac:dyDescent="0.3">
      <c r="A1055" s="14" t="s">
        <v>409</v>
      </c>
      <c r="B1055" s="14" t="s">
        <v>67</v>
      </c>
      <c r="C1055" s="14" t="s">
        <v>349</v>
      </c>
      <c r="D1055" s="14" t="s">
        <v>350</v>
      </c>
      <c r="E1055" s="14" t="s">
        <v>344</v>
      </c>
      <c r="F1055" s="14" t="s">
        <v>343</v>
      </c>
      <c r="G1055" s="14" t="s">
        <v>343</v>
      </c>
      <c r="H1055" s="14" t="s">
        <v>343</v>
      </c>
      <c r="U1055" s="14">
        <v>98</v>
      </c>
      <c r="V1055" s="14">
        <v>98</v>
      </c>
      <c r="W1055" s="14">
        <v>91</v>
      </c>
      <c r="X1055" s="14">
        <v>89</v>
      </c>
    </row>
    <row r="1056" spans="1:24" hidden="1" x14ac:dyDescent="0.3">
      <c r="A1056" s="14" t="s">
        <v>409</v>
      </c>
      <c r="B1056" s="14" t="s">
        <v>67</v>
      </c>
      <c r="C1056" s="14" t="s">
        <v>351</v>
      </c>
      <c r="D1056" s="14" t="s">
        <v>352</v>
      </c>
      <c r="E1056" s="14" t="s">
        <v>342</v>
      </c>
      <c r="F1056" s="14" t="s">
        <v>343</v>
      </c>
      <c r="G1056" s="14" t="s">
        <v>343</v>
      </c>
      <c r="H1056" s="14" t="s">
        <v>343</v>
      </c>
      <c r="U1056" s="14">
        <v>0.93</v>
      </c>
      <c r="V1056" s="14">
        <v>0.98</v>
      </c>
      <c r="W1056" s="14">
        <v>0.88</v>
      </c>
      <c r="X1056" s="14">
        <v>1</v>
      </c>
    </row>
    <row r="1057" spans="1:24" hidden="1" x14ac:dyDescent="0.3">
      <c r="A1057" s="14" t="s">
        <v>409</v>
      </c>
      <c r="B1057" s="14" t="s">
        <v>67</v>
      </c>
      <c r="C1057" s="14" t="s">
        <v>351</v>
      </c>
      <c r="D1057" s="14" t="s">
        <v>352</v>
      </c>
      <c r="E1057" s="14" t="s">
        <v>344</v>
      </c>
      <c r="F1057" s="14" t="s">
        <v>343</v>
      </c>
      <c r="G1057" s="14" t="s">
        <v>343</v>
      </c>
      <c r="H1057" s="14" t="s">
        <v>343</v>
      </c>
      <c r="U1057" s="14">
        <v>83</v>
      </c>
      <c r="V1057" s="14">
        <v>72</v>
      </c>
      <c r="W1057" s="14">
        <v>90</v>
      </c>
      <c r="X1057" s="14">
        <v>1</v>
      </c>
    </row>
    <row r="1058" spans="1:24" hidden="1" x14ac:dyDescent="0.3">
      <c r="A1058" s="14" t="s">
        <v>409</v>
      </c>
      <c r="B1058" s="14" t="s">
        <v>67</v>
      </c>
      <c r="C1058" s="14" t="s">
        <v>378</v>
      </c>
      <c r="D1058" s="14" t="s">
        <v>379</v>
      </c>
      <c r="E1058" s="14" t="s">
        <v>342</v>
      </c>
      <c r="F1058" s="14" t="s">
        <v>343</v>
      </c>
      <c r="G1058" s="14" t="s">
        <v>343</v>
      </c>
      <c r="H1058" s="14" t="s">
        <v>343</v>
      </c>
      <c r="S1058" s="14">
        <v>0.48</v>
      </c>
      <c r="U1058" s="14">
        <v>0.51</v>
      </c>
      <c r="V1058" s="14">
        <v>0.53</v>
      </c>
      <c r="W1058" s="14">
        <v>0.55000000000000004</v>
      </c>
      <c r="X1058" s="14">
        <v>0.57999999999999996</v>
      </c>
    </row>
    <row r="1059" spans="1:24" hidden="1" x14ac:dyDescent="0.3">
      <c r="A1059" s="14" t="s">
        <v>409</v>
      </c>
      <c r="B1059" s="14" t="s">
        <v>67</v>
      </c>
      <c r="C1059" s="14" t="s">
        <v>378</v>
      </c>
      <c r="D1059" s="14" t="s">
        <v>379</v>
      </c>
      <c r="E1059" s="14" t="s">
        <v>344</v>
      </c>
      <c r="F1059" s="14" t="s">
        <v>343</v>
      </c>
      <c r="G1059" s="14" t="s">
        <v>343</v>
      </c>
      <c r="H1059" s="14" t="s">
        <v>343</v>
      </c>
      <c r="S1059" s="14">
        <v>133</v>
      </c>
      <c r="U1059" s="14">
        <v>128</v>
      </c>
      <c r="V1059" s="14">
        <v>126</v>
      </c>
      <c r="W1059" s="14">
        <v>124</v>
      </c>
      <c r="X1059" s="14">
        <v>107</v>
      </c>
    </row>
    <row r="1060" spans="1:24" hidden="1" x14ac:dyDescent="0.3">
      <c r="A1060" s="14" t="s">
        <v>409</v>
      </c>
      <c r="B1060" s="14" t="s">
        <v>67</v>
      </c>
      <c r="C1060" s="14" t="s">
        <v>353</v>
      </c>
      <c r="D1060" s="14" t="s">
        <v>354</v>
      </c>
      <c r="E1060" s="14" t="s">
        <v>342</v>
      </c>
      <c r="F1060" s="14" t="s">
        <v>343</v>
      </c>
      <c r="G1060" s="14" t="s">
        <v>343</v>
      </c>
      <c r="H1060" s="14" t="s">
        <v>343</v>
      </c>
      <c r="U1060" s="14">
        <v>1</v>
      </c>
      <c r="V1060" s="14">
        <v>1</v>
      </c>
      <c r="W1060" s="14">
        <v>1</v>
      </c>
      <c r="X1060" s="14">
        <v>1</v>
      </c>
    </row>
    <row r="1061" spans="1:24" hidden="1" x14ac:dyDescent="0.3">
      <c r="A1061" s="14" t="s">
        <v>409</v>
      </c>
      <c r="B1061" s="14" t="s">
        <v>67</v>
      </c>
      <c r="C1061" s="14" t="s">
        <v>353</v>
      </c>
      <c r="D1061" s="14" t="s">
        <v>354</v>
      </c>
      <c r="E1061" s="14" t="s">
        <v>344</v>
      </c>
      <c r="F1061" s="14" t="s">
        <v>343</v>
      </c>
      <c r="G1061" s="14" t="s">
        <v>343</v>
      </c>
      <c r="H1061" s="14" t="s">
        <v>343</v>
      </c>
      <c r="U1061" s="14">
        <v>56</v>
      </c>
      <c r="V1061" s="14">
        <v>59</v>
      </c>
      <c r="W1061" s="14">
        <v>59</v>
      </c>
      <c r="X1061" s="14">
        <v>56</v>
      </c>
    </row>
    <row r="1062" spans="1:24" hidden="1" x14ac:dyDescent="0.3">
      <c r="A1062" s="14" t="s">
        <v>409</v>
      </c>
      <c r="B1062" s="14" t="s">
        <v>67</v>
      </c>
      <c r="C1062" s="14" t="s">
        <v>380</v>
      </c>
      <c r="D1062" s="14" t="s">
        <v>381</v>
      </c>
      <c r="E1062" s="14" t="s">
        <v>342</v>
      </c>
      <c r="F1062" s="14" t="s">
        <v>343</v>
      </c>
      <c r="G1062" s="14" t="s">
        <v>343</v>
      </c>
      <c r="H1062" s="14" t="s">
        <v>343</v>
      </c>
      <c r="U1062" s="14">
        <v>1</v>
      </c>
      <c r="V1062" s="14">
        <v>1</v>
      </c>
      <c r="W1062" s="14">
        <v>1</v>
      </c>
      <c r="X1062" s="14">
        <v>0.99</v>
      </c>
    </row>
    <row r="1063" spans="1:24" hidden="1" x14ac:dyDescent="0.3">
      <c r="A1063" s="14" t="s">
        <v>409</v>
      </c>
      <c r="B1063" s="14" t="s">
        <v>67</v>
      </c>
      <c r="C1063" s="14" t="s">
        <v>380</v>
      </c>
      <c r="D1063" s="14" t="s">
        <v>381</v>
      </c>
      <c r="E1063" s="14" t="s">
        <v>344</v>
      </c>
      <c r="F1063" s="14" t="s">
        <v>343</v>
      </c>
      <c r="G1063" s="14" t="s">
        <v>343</v>
      </c>
      <c r="H1063" s="14" t="s">
        <v>343</v>
      </c>
      <c r="U1063" s="14">
        <v>1</v>
      </c>
      <c r="V1063" s="14">
        <v>1</v>
      </c>
      <c r="W1063" s="14">
        <v>1</v>
      </c>
      <c r="X1063" s="14">
        <v>90</v>
      </c>
    </row>
    <row r="1064" spans="1:24" hidden="1" x14ac:dyDescent="0.3">
      <c r="A1064" s="14" t="s">
        <v>409</v>
      </c>
      <c r="B1064" s="14" t="s">
        <v>67</v>
      </c>
      <c r="C1064" s="14" t="s">
        <v>355</v>
      </c>
      <c r="D1064" s="14" t="s">
        <v>356</v>
      </c>
      <c r="E1064" s="14" t="s">
        <v>342</v>
      </c>
      <c r="F1064" s="14" t="s">
        <v>343</v>
      </c>
      <c r="G1064" s="14" t="s">
        <v>343</v>
      </c>
      <c r="H1064" s="14" t="s">
        <v>343</v>
      </c>
      <c r="U1064" s="14">
        <v>1</v>
      </c>
      <c r="V1064" s="14">
        <v>1</v>
      </c>
      <c r="W1064" s="14">
        <v>1</v>
      </c>
      <c r="X1064" s="14">
        <v>0.99</v>
      </c>
    </row>
    <row r="1065" spans="1:24" hidden="1" x14ac:dyDescent="0.3">
      <c r="A1065" s="14" t="s">
        <v>409</v>
      </c>
      <c r="B1065" s="14" t="s">
        <v>67</v>
      </c>
      <c r="C1065" s="14" t="s">
        <v>355</v>
      </c>
      <c r="D1065" s="14" t="s">
        <v>356</v>
      </c>
      <c r="E1065" s="14" t="s">
        <v>344</v>
      </c>
      <c r="F1065" s="14" t="s">
        <v>343</v>
      </c>
      <c r="G1065" s="14" t="s">
        <v>343</v>
      </c>
      <c r="H1065" s="14" t="s">
        <v>343</v>
      </c>
      <c r="U1065" s="14">
        <v>1</v>
      </c>
      <c r="V1065" s="14">
        <v>1</v>
      </c>
      <c r="W1065" s="14">
        <v>1</v>
      </c>
      <c r="X1065" s="14">
        <v>83</v>
      </c>
    </row>
    <row r="1066" spans="1:24" hidden="1" x14ac:dyDescent="0.3">
      <c r="A1066" s="14" t="s">
        <v>409</v>
      </c>
      <c r="B1066" s="14" t="s">
        <v>67</v>
      </c>
      <c r="C1066" s="14" t="s">
        <v>357</v>
      </c>
      <c r="D1066" s="14" t="s">
        <v>358</v>
      </c>
      <c r="E1066" s="14" t="s">
        <v>342</v>
      </c>
      <c r="F1066" s="14" t="s">
        <v>343</v>
      </c>
      <c r="G1066" s="14" t="s">
        <v>343</v>
      </c>
      <c r="H1066" s="14" t="s">
        <v>343</v>
      </c>
      <c r="U1066" s="14">
        <v>1</v>
      </c>
      <c r="V1066" s="14">
        <v>1</v>
      </c>
      <c r="W1066" s="14">
        <v>1</v>
      </c>
      <c r="X1066" s="14">
        <v>1</v>
      </c>
    </row>
    <row r="1067" spans="1:24" hidden="1" x14ac:dyDescent="0.3">
      <c r="A1067" s="14" t="s">
        <v>409</v>
      </c>
      <c r="B1067" s="14" t="s">
        <v>67</v>
      </c>
      <c r="C1067" s="14" t="s">
        <v>357</v>
      </c>
      <c r="D1067" s="14" t="s">
        <v>358</v>
      </c>
      <c r="E1067" s="14" t="s">
        <v>344</v>
      </c>
      <c r="F1067" s="14" t="s">
        <v>343</v>
      </c>
      <c r="G1067" s="14" t="s">
        <v>343</v>
      </c>
      <c r="H1067" s="14" t="s">
        <v>343</v>
      </c>
      <c r="U1067" s="14">
        <v>1</v>
      </c>
      <c r="V1067" s="14">
        <v>1</v>
      </c>
      <c r="W1067" s="14">
        <v>1</v>
      </c>
      <c r="X1067" s="14">
        <v>1</v>
      </c>
    </row>
    <row r="1068" spans="1:24" hidden="1" x14ac:dyDescent="0.3">
      <c r="A1068" s="14" t="s">
        <v>409</v>
      </c>
      <c r="B1068" s="14" t="s">
        <v>67</v>
      </c>
      <c r="C1068" s="14" t="s">
        <v>359</v>
      </c>
      <c r="D1068" s="14" t="s">
        <v>360</v>
      </c>
      <c r="E1068" s="14" t="s">
        <v>342</v>
      </c>
      <c r="F1068" s="14" t="s">
        <v>343</v>
      </c>
      <c r="G1068" s="14" t="s">
        <v>343</v>
      </c>
      <c r="H1068" s="14" t="s">
        <v>343</v>
      </c>
      <c r="I1068" s="14">
        <v>0.51</v>
      </c>
      <c r="J1068" s="14">
        <v>0.52</v>
      </c>
      <c r="K1068" s="14">
        <v>0.52</v>
      </c>
      <c r="L1068" s="14">
        <v>0.52</v>
      </c>
      <c r="M1068" s="14">
        <v>0.53</v>
      </c>
      <c r="N1068" s="14">
        <v>0.54</v>
      </c>
      <c r="O1068" s="14">
        <v>0.55000000000000004</v>
      </c>
      <c r="P1068" s="14">
        <v>0.54</v>
      </c>
      <c r="Q1068" s="14">
        <v>0.55000000000000004</v>
      </c>
      <c r="R1068" s="14">
        <v>0.56999999999999995</v>
      </c>
      <c r="S1068" s="14">
        <v>0.56000000000000005</v>
      </c>
      <c r="T1068" s="14">
        <v>0.56999999999999995</v>
      </c>
      <c r="U1068" s="14">
        <v>0.57999999999999996</v>
      </c>
      <c r="V1068" s="14">
        <v>0.61</v>
      </c>
      <c r="W1068" s="14">
        <v>0.61</v>
      </c>
      <c r="X1068" s="14">
        <v>0.62</v>
      </c>
    </row>
    <row r="1069" spans="1:24" hidden="1" x14ac:dyDescent="0.3">
      <c r="A1069" s="14" t="s">
        <v>409</v>
      </c>
      <c r="B1069" s="14" t="s">
        <v>67</v>
      </c>
      <c r="C1069" s="14" t="s">
        <v>359</v>
      </c>
      <c r="D1069" s="14" t="s">
        <v>360</v>
      </c>
      <c r="E1069" s="14" t="s">
        <v>344</v>
      </c>
      <c r="F1069" s="14" t="s">
        <v>343</v>
      </c>
      <c r="G1069" s="14" t="s">
        <v>343</v>
      </c>
      <c r="H1069" s="14" t="s">
        <v>343</v>
      </c>
      <c r="I1069" s="14">
        <v>90</v>
      </c>
      <c r="J1069" s="14">
        <v>105</v>
      </c>
      <c r="K1069" s="14">
        <v>106</v>
      </c>
      <c r="L1069" s="14">
        <v>112</v>
      </c>
      <c r="M1069" s="14">
        <v>108</v>
      </c>
      <c r="N1069" s="14">
        <v>106</v>
      </c>
      <c r="O1069" s="14">
        <v>110</v>
      </c>
      <c r="P1069" s="14">
        <v>112</v>
      </c>
      <c r="Q1069" s="14">
        <v>119</v>
      </c>
      <c r="R1069" s="14">
        <v>123</v>
      </c>
      <c r="S1069" s="14">
        <v>119</v>
      </c>
      <c r="T1069" s="14">
        <v>117</v>
      </c>
      <c r="U1069" s="14">
        <v>120</v>
      </c>
      <c r="V1069" s="14">
        <v>111</v>
      </c>
      <c r="W1069" s="14">
        <v>113</v>
      </c>
      <c r="X1069" s="14">
        <v>105</v>
      </c>
    </row>
    <row r="1070" spans="1:24" x14ac:dyDescent="0.3">
      <c r="A1070" s="14" t="s">
        <v>409</v>
      </c>
      <c r="B1070" s="14" t="s">
        <v>67</v>
      </c>
      <c r="C1070" s="14" t="s">
        <v>361</v>
      </c>
      <c r="D1070" s="14" t="s">
        <v>362</v>
      </c>
      <c r="E1070" s="14" t="s">
        <v>342</v>
      </c>
      <c r="F1070" s="14" t="s">
        <v>343</v>
      </c>
      <c r="G1070" s="14" t="s">
        <v>343</v>
      </c>
      <c r="H1070" s="14" t="s">
        <v>343</v>
      </c>
      <c r="I1070" s="14">
        <v>0.98</v>
      </c>
      <c r="J1070" s="14">
        <v>0.98</v>
      </c>
      <c r="K1070" s="14">
        <v>0.98</v>
      </c>
      <c r="L1070" s="14">
        <v>0.98</v>
      </c>
      <c r="M1070" s="14">
        <v>0.98</v>
      </c>
      <c r="N1070" s="14">
        <v>0.98</v>
      </c>
      <c r="O1070" s="14">
        <v>0.98</v>
      </c>
      <c r="P1070" s="14">
        <v>0.98</v>
      </c>
      <c r="Q1070" s="14">
        <v>0.98</v>
      </c>
      <c r="R1070" s="14">
        <v>0.98</v>
      </c>
      <c r="S1070" s="14">
        <v>0.98</v>
      </c>
      <c r="T1070" s="14">
        <v>0.98</v>
      </c>
      <c r="U1070" s="14">
        <v>0.98</v>
      </c>
      <c r="V1070" s="14">
        <v>0.98</v>
      </c>
      <c r="W1070" s="14">
        <v>0.97</v>
      </c>
      <c r="X1070" s="14">
        <v>0.97</v>
      </c>
    </row>
    <row r="1071" spans="1:24" hidden="1" x14ac:dyDescent="0.3">
      <c r="A1071" s="14" t="s">
        <v>409</v>
      </c>
      <c r="B1071" s="14" t="s">
        <v>67</v>
      </c>
      <c r="C1071" s="14" t="s">
        <v>361</v>
      </c>
      <c r="D1071" s="14" t="s">
        <v>362</v>
      </c>
      <c r="E1071" s="14" t="s">
        <v>344</v>
      </c>
      <c r="F1071" s="14" t="s">
        <v>343</v>
      </c>
      <c r="G1071" s="14" t="s">
        <v>343</v>
      </c>
      <c r="H1071" s="14" t="s">
        <v>343</v>
      </c>
      <c r="I1071" s="14">
        <v>1</v>
      </c>
      <c r="J1071" s="14">
        <v>1</v>
      </c>
      <c r="K1071" s="14">
        <v>1</v>
      </c>
      <c r="L1071" s="14">
        <v>1</v>
      </c>
      <c r="M1071" s="14">
        <v>1</v>
      </c>
      <c r="N1071" s="14">
        <v>1</v>
      </c>
      <c r="O1071" s="14">
        <v>1</v>
      </c>
      <c r="P1071" s="14">
        <v>1</v>
      </c>
      <c r="Q1071" s="14">
        <v>36</v>
      </c>
      <c r="R1071" s="14">
        <v>41</v>
      </c>
      <c r="S1071" s="14">
        <v>39</v>
      </c>
      <c r="T1071" s="14">
        <v>47</v>
      </c>
      <c r="U1071" s="14">
        <v>59</v>
      </c>
      <c r="V1071" s="14">
        <v>55</v>
      </c>
      <c r="W1071" s="14">
        <v>78</v>
      </c>
      <c r="X1071" s="14">
        <v>76</v>
      </c>
    </row>
    <row r="1072" spans="1:24" hidden="1" x14ac:dyDescent="0.3">
      <c r="A1072" s="14" t="s">
        <v>409</v>
      </c>
      <c r="B1072" s="14" t="s">
        <v>67</v>
      </c>
      <c r="C1072" s="14" t="s">
        <v>363</v>
      </c>
      <c r="D1072" s="14" t="s">
        <v>364</v>
      </c>
      <c r="E1072" s="14" t="s">
        <v>342</v>
      </c>
      <c r="F1072" s="14" t="s">
        <v>343</v>
      </c>
      <c r="G1072" s="14" t="s">
        <v>343</v>
      </c>
      <c r="H1072" s="14" t="s">
        <v>343</v>
      </c>
      <c r="U1072" s="14">
        <v>1.05</v>
      </c>
      <c r="V1072" s="14">
        <v>1.05</v>
      </c>
      <c r="W1072" s="14">
        <v>1.03</v>
      </c>
      <c r="X1072" s="14">
        <v>1.03</v>
      </c>
    </row>
    <row r="1073" spans="1:24" hidden="1" x14ac:dyDescent="0.3">
      <c r="A1073" s="14" t="s">
        <v>409</v>
      </c>
      <c r="B1073" s="14" t="s">
        <v>67</v>
      </c>
      <c r="C1073" s="14" t="s">
        <v>363</v>
      </c>
      <c r="D1073" s="14" t="s">
        <v>364</v>
      </c>
      <c r="E1073" s="14" t="s">
        <v>344</v>
      </c>
      <c r="F1073" s="14" t="s">
        <v>343</v>
      </c>
      <c r="G1073" s="14" t="s">
        <v>343</v>
      </c>
      <c r="H1073" s="14" t="s">
        <v>343</v>
      </c>
      <c r="U1073" s="14">
        <v>67</v>
      </c>
      <c r="V1073" s="14">
        <v>69</v>
      </c>
      <c r="W1073" s="14">
        <v>91</v>
      </c>
      <c r="X1073" s="14">
        <v>83</v>
      </c>
    </row>
    <row r="1074" spans="1:24" hidden="1" x14ac:dyDescent="0.3">
      <c r="A1074" s="14" t="s">
        <v>409</v>
      </c>
      <c r="B1074" s="14" t="s">
        <v>67</v>
      </c>
      <c r="C1074" s="14" t="s">
        <v>365</v>
      </c>
      <c r="D1074" s="14" t="s">
        <v>366</v>
      </c>
      <c r="E1074" s="14" t="s">
        <v>342</v>
      </c>
      <c r="F1074" s="14" t="s">
        <v>343</v>
      </c>
      <c r="G1074" s="14" t="s">
        <v>343</v>
      </c>
      <c r="H1074" s="14" t="s">
        <v>343</v>
      </c>
      <c r="U1074" s="14">
        <v>0.94</v>
      </c>
      <c r="V1074" s="14">
        <v>0.94</v>
      </c>
      <c r="W1074" s="14">
        <v>0.94</v>
      </c>
      <c r="X1074" s="14">
        <v>0.94</v>
      </c>
    </row>
    <row r="1075" spans="1:24" hidden="1" x14ac:dyDescent="0.3">
      <c r="A1075" s="14" t="s">
        <v>409</v>
      </c>
      <c r="B1075" s="14" t="s">
        <v>67</v>
      </c>
      <c r="C1075" s="14" t="s">
        <v>365</v>
      </c>
      <c r="D1075" s="14" t="s">
        <v>366</v>
      </c>
      <c r="E1075" s="14" t="s">
        <v>344</v>
      </c>
      <c r="F1075" s="14" t="s">
        <v>343</v>
      </c>
      <c r="G1075" s="14" t="s">
        <v>343</v>
      </c>
      <c r="H1075" s="14" t="s">
        <v>343</v>
      </c>
      <c r="U1075" s="14">
        <v>1</v>
      </c>
      <c r="V1075" s="14">
        <v>1</v>
      </c>
      <c r="W1075" s="14">
        <v>1</v>
      </c>
      <c r="X1075" s="14">
        <v>1</v>
      </c>
    </row>
    <row r="1076" spans="1:24" hidden="1" x14ac:dyDescent="0.3">
      <c r="A1076" s="14" t="s">
        <v>409</v>
      </c>
      <c r="B1076" s="14" t="s">
        <v>67</v>
      </c>
      <c r="C1076" s="14" t="s">
        <v>367</v>
      </c>
      <c r="D1076" s="14" t="s">
        <v>368</v>
      </c>
      <c r="E1076" s="14" t="s">
        <v>342</v>
      </c>
      <c r="F1076" s="14" t="s">
        <v>343</v>
      </c>
      <c r="G1076" s="14" t="s">
        <v>343</v>
      </c>
      <c r="H1076" s="14" t="s">
        <v>343</v>
      </c>
      <c r="I1076" s="14">
        <v>0.65</v>
      </c>
      <c r="J1076" s="14">
        <v>0.65</v>
      </c>
      <c r="K1076" s="14">
        <v>0.68</v>
      </c>
      <c r="L1076" s="14">
        <v>0.69</v>
      </c>
      <c r="M1076" s="14">
        <v>0.7</v>
      </c>
      <c r="N1076" s="14">
        <v>0.7</v>
      </c>
      <c r="O1076" s="14">
        <v>0.67</v>
      </c>
      <c r="P1076" s="14">
        <v>0.67</v>
      </c>
      <c r="Q1076" s="14">
        <v>0.7</v>
      </c>
      <c r="R1076" s="14">
        <v>0.7</v>
      </c>
      <c r="S1076" s="14">
        <v>0.7</v>
      </c>
      <c r="T1076" s="14">
        <v>0.7</v>
      </c>
      <c r="U1076" s="14">
        <v>0.72</v>
      </c>
      <c r="V1076" s="14">
        <v>0.72</v>
      </c>
      <c r="W1076" s="14">
        <v>0.72</v>
      </c>
      <c r="X1076" s="14">
        <v>0.74</v>
      </c>
    </row>
    <row r="1077" spans="1:24" hidden="1" x14ac:dyDescent="0.3">
      <c r="A1077" s="14" t="s">
        <v>409</v>
      </c>
      <c r="B1077" s="14" t="s">
        <v>67</v>
      </c>
      <c r="C1077" s="14" t="s">
        <v>367</v>
      </c>
      <c r="D1077" s="14" t="s">
        <v>368</v>
      </c>
      <c r="E1077" s="14" t="s">
        <v>344</v>
      </c>
      <c r="F1077" s="14" t="s">
        <v>343</v>
      </c>
      <c r="G1077" s="14" t="s">
        <v>343</v>
      </c>
      <c r="H1077" s="14" t="s">
        <v>343</v>
      </c>
      <c r="I1077" s="14">
        <v>78</v>
      </c>
      <c r="J1077" s="14">
        <v>86</v>
      </c>
      <c r="K1077" s="14">
        <v>65</v>
      </c>
      <c r="L1077" s="14">
        <v>64</v>
      </c>
      <c r="M1077" s="14">
        <v>48</v>
      </c>
      <c r="N1077" s="14">
        <v>46</v>
      </c>
      <c r="O1077" s="14">
        <v>87</v>
      </c>
      <c r="P1077" s="14">
        <v>91</v>
      </c>
      <c r="Q1077" s="14">
        <v>66</v>
      </c>
      <c r="R1077" s="14">
        <v>73</v>
      </c>
      <c r="S1077" s="14">
        <v>70</v>
      </c>
      <c r="T1077" s="14">
        <v>63</v>
      </c>
      <c r="U1077" s="14">
        <v>54</v>
      </c>
      <c r="V1077" s="14">
        <v>57</v>
      </c>
      <c r="W1077" s="14">
        <v>70</v>
      </c>
      <c r="X1077" s="14">
        <v>47</v>
      </c>
    </row>
    <row r="1078" spans="1:24" hidden="1" x14ac:dyDescent="0.3">
      <c r="A1078" s="14" t="s">
        <v>409</v>
      </c>
      <c r="B1078" s="14" t="s">
        <v>67</v>
      </c>
      <c r="C1078" s="14" t="s">
        <v>369</v>
      </c>
      <c r="D1078" s="14" t="s">
        <v>370</v>
      </c>
      <c r="E1078" s="14" t="s">
        <v>342</v>
      </c>
      <c r="F1078" s="14" t="s">
        <v>343</v>
      </c>
      <c r="G1078" s="14" t="s">
        <v>343</v>
      </c>
      <c r="H1078" s="14" t="s">
        <v>343</v>
      </c>
      <c r="I1078" s="14">
        <v>0.11</v>
      </c>
      <c r="J1078" s="14">
        <v>0.12</v>
      </c>
      <c r="K1078" s="14">
        <v>0.25</v>
      </c>
      <c r="L1078" s="14">
        <v>0.26</v>
      </c>
      <c r="M1078" s="14">
        <v>0.3</v>
      </c>
      <c r="N1078" s="14">
        <v>0.3</v>
      </c>
      <c r="O1078" s="14">
        <v>0.14000000000000001</v>
      </c>
      <c r="P1078" s="14">
        <v>0.14000000000000001</v>
      </c>
      <c r="Q1078" s="14">
        <v>0.26</v>
      </c>
      <c r="R1078" s="14">
        <v>0.24</v>
      </c>
      <c r="S1078" s="14">
        <v>0.25</v>
      </c>
      <c r="T1078" s="14">
        <v>0.27</v>
      </c>
      <c r="U1078" s="14">
        <v>0.31</v>
      </c>
      <c r="V1078" s="14">
        <v>0.31</v>
      </c>
      <c r="W1078" s="14">
        <v>0.28000000000000003</v>
      </c>
      <c r="X1078" s="14">
        <v>0.36</v>
      </c>
    </row>
    <row r="1079" spans="1:24" hidden="1" x14ac:dyDescent="0.3">
      <c r="A1079" s="14" t="s">
        <v>409</v>
      </c>
      <c r="B1079" s="14" t="s">
        <v>67</v>
      </c>
      <c r="C1079" s="14" t="s">
        <v>369</v>
      </c>
      <c r="D1079" s="14" t="s">
        <v>370</v>
      </c>
      <c r="E1079" s="14" t="s">
        <v>344</v>
      </c>
      <c r="F1079" s="14" t="s">
        <v>343</v>
      </c>
      <c r="G1079" s="14" t="s">
        <v>343</v>
      </c>
      <c r="H1079" s="14" t="s">
        <v>343</v>
      </c>
      <c r="I1079" s="14">
        <v>56</v>
      </c>
      <c r="J1079" s="14">
        <v>58</v>
      </c>
      <c r="K1079" s="14">
        <v>26</v>
      </c>
      <c r="L1079" s="14">
        <v>26</v>
      </c>
      <c r="M1079" s="14">
        <v>21</v>
      </c>
      <c r="N1079" s="14">
        <v>22</v>
      </c>
      <c r="O1079" s="14">
        <v>64</v>
      </c>
      <c r="P1079" s="14">
        <v>67</v>
      </c>
      <c r="Q1079" s="14">
        <v>35</v>
      </c>
      <c r="R1079" s="14">
        <v>42</v>
      </c>
      <c r="S1079" s="14">
        <v>39</v>
      </c>
      <c r="T1079" s="14">
        <v>36</v>
      </c>
      <c r="U1079" s="14">
        <v>31</v>
      </c>
      <c r="V1079" s="14">
        <v>36</v>
      </c>
      <c r="W1079" s="14">
        <v>49</v>
      </c>
      <c r="X1079" s="14">
        <v>34</v>
      </c>
    </row>
    <row r="1080" spans="1:24" hidden="1" x14ac:dyDescent="0.3">
      <c r="A1080" s="14" t="s">
        <v>409</v>
      </c>
      <c r="B1080" s="14" t="s">
        <v>67</v>
      </c>
      <c r="C1080" s="14" t="s">
        <v>371</v>
      </c>
      <c r="D1080" s="14" t="s">
        <v>372</v>
      </c>
      <c r="E1080" s="14" t="s">
        <v>342</v>
      </c>
      <c r="F1080" s="14" t="s">
        <v>343</v>
      </c>
      <c r="G1080" s="14" t="s">
        <v>343</v>
      </c>
      <c r="H1080" s="14" t="s">
        <v>343</v>
      </c>
      <c r="U1080" s="14">
        <v>0.19</v>
      </c>
      <c r="V1080" s="14">
        <v>0.19</v>
      </c>
      <c r="W1080" s="14">
        <v>0.19</v>
      </c>
      <c r="X1080" s="14">
        <v>0.19</v>
      </c>
    </row>
    <row r="1081" spans="1:24" hidden="1" x14ac:dyDescent="0.3">
      <c r="A1081" s="14" t="s">
        <v>409</v>
      </c>
      <c r="B1081" s="14" t="s">
        <v>67</v>
      </c>
      <c r="C1081" s="14" t="s">
        <v>371</v>
      </c>
      <c r="D1081" s="14" t="s">
        <v>372</v>
      </c>
      <c r="E1081" s="14" t="s">
        <v>344</v>
      </c>
      <c r="F1081" s="14" t="s">
        <v>343</v>
      </c>
      <c r="G1081" s="14" t="s">
        <v>343</v>
      </c>
      <c r="H1081" s="14" t="s">
        <v>343</v>
      </c>
      <c r="U1081" s="14">
        <v>18</v>
      </c>
      <c r="V1081" s="14">
        <v>18</v>
      </c>
      <c r="W1081" s="14">
        <v>20</v>
      </c>
      <c r="X1081" s="14">
        <v>18</v>
      </c>
    </row>
    <row r="1082" spans="1:24" hidden="1" x14ac:dyDescent="0.3">
      <c r="A1082" s="14" t="s">
        <v>409</v>
      </c>
      <c r="B1082" s="14" t="s">
        <v>67</v>
      </c>
      <c r="C1082" s="14" t="s">
        <v>373</v>
      </c>
      <c r="D1082" s="14" t="s">
        <v>374</v>
      </c>
      <c r="E1082" s="14" t="s">
        <v>342</v>
      </c>
      <c r="F1082" s="14" t="s">
        <v>343</v>
      </c>
      <c r="G1082" s="14" t="s">
        <v>343</v>
      </c>
      <c r="H1082" s="14" t="s">
        <v>343</v>
      </c>
      <c r="U1082" s="14">
        <v>0.53</v>
      </c>
      <c r="V1082" s="14">
        <v>0.53</v>
      </c>
      <c r="W1082" s="14">
        <v>0.44</v>
      </c>
      <c r="X1082" s="14">
        <v>0.44</v>
      </c>
    </row>
    <row r="1083" spans="1:24" hidden="1" x14ac:dyDescent="0.3">
      <c r="A1083" s="14" t="s">
        <v>409</v>
      </c>
      <c r="B1083" s="14" t="s">
        <v>67</v>
      </c>
      <c r="C1083" s="14" t="s">
        <v>373</v>
      </c>
      <c r="D1083" s="14" t="s">
        <v>374</v>
      </c>
      <c r="E1083" s="14" t="s">
        <v>344</v>
      </c>
      <c r="F1083" s="14" t="s">
        <v>343</v>
      </c>
      <c r="G1083" s="14" t="s">
        <v>343</v>
      </c>
      <c r="H1083" s="14" t="s">
        <v>343</v>
      </c>
      <c r="U1083" s="14">
        <v>21</v>
      </c>
      <c r="V1083" s="14">
        <v>26</v>
      </c>
      <c r="W1083" s="14">
        <v>53</v>
      </c>
      <c r="X1083" s="14">
        <v>51</v>
      </c>
    </row>
    <row r="1084" spans="1:24" hidden="1" x14ac:dyDescent="0.3">
      <c r="A1084" s="14" t="s">
        <v>409</v>
      </c>
      <c r="B1084" s="14" t="s">
        <v>67</v>
      </c>
      <c r="C1084" s="14" t="s">
        <v>375</v>
      </c>
      <c r="D1084" s="14" t="s">
        <v>376</v>
      </c>
      <c r="E1084" s="14" t="s">
        <v>342</v>
      </c>
      <c r="F1084" s="14" t="s">
        <v>343</v>
      </c>
      <c r="G1084" s="14" t="s">
        <v>343</v>
      </c>
      <c r="H1084" s="14" t="s">
        <v>343</v>
      </c>
      <c r="U1084" s="14">
        <v>0.28999999999999998</v>
      </c>
      <c r="V1084" s="14">
        <v>0.28999999999999998</v>
      </c>
      <c r="W1084" s="14">
        <v>0.28999999999999998</v>
      </c>
      <c r="X1084" s="14">
        <v>0.55000000000000004</v>
      </c>
    </row>
    <row r="1085" spans="1:24" hidden="1" x14ac:dyDescent="0.3">
      <c r="A1085" s="14" t="s">
        <v>409</v>
      </c>
      <c r="B1085" s="14" t="s">
        <v>67</v>
      </c>
      <c r="C1085" s="14" t="s">
        <v>375</v>
      </c>
      <c r="D1085" s="14" t="s">
        <v>376</v>
      </c>
      <c r="E1085" s="14" t="s">
        <v>344</v>
      </c>
      <c r="F1085" s="14" t="s">
        <v>343</v>
      </c>
      <c r="G1085" s="14" t="s">
        <v>343</v>
      </c>
      <c r="H1085" s="14" t="s">
        <v>343</v>
      </c>
      <c r="U1085" s="14">
        <v>66</v>
      </c>
      <c r="V1085" s="14">
        <v>73</v>
      </c>
      <c r="W1085" s="14">
        <v>86</v>
      </c>
      <c r="X1085" s="14">
        <v>39</v>
      </c>
    </row>
    <row r="1086" spans="1:24" hidden="1" x14ac:dyDescent="0.3">
      <c r="A1086" s="14" t="s">
        <v>410</v>
      </c>
      <c r="B1086" s="14" t="s">
        <v>68</v>
      </c>
      <c r="C1086" s="14" t="s">
        <v>340</v>
      </c>
      <c r="D1086" s="14" t="s">
        <v>341</v>
      </c>
      <c r="E1086" s="14" t="s">
        <v>342</v>
      </c>
      <c r="F1086" s="14" t="s">
        <v>343</v>
      </c>
      <c r="G1086" s="14" t="s">
        <v>343</v>
      </c>
      <c r="H1086" s="14" t="s">
        <v>343</v>
      </c>
      <c r="I1086" s="14">
        <v>0.96</v>
      </c>
      <c r="J1086" s="14">
        <v>0.96</v>
      </c>
      <c r="K1086" s="14">
        <v>0.98</v>
      </c>
      <c r="L1086" s="14">
        <v>0.98</v>
      </c>
      <c r="M1086" s="14">
        <v>0.98</v>
      </c>
      <c r="N1086" s="14">
        <v>0.98</v>
      </c>
      <c r="P1086" s="14">
        <v>0.99</v>
      </c>
      <c r="Q1086" s="14">
        <v>0.99</v>
      </c>
      <c r="R1086" s="14">
        <v>0.99</v>
      </c>
      <c r="S1086" s="14">
        <v>0.97</v>
      </c>
      <c r="T1086" s="14">
        <v>0.96</v>
      </c>
      <c r="U1086" s="14">
        <v>0.96</v>
      </c>
      <c r="V1086" s="14">
        <v>0.97</v>
      </c>
      <c r="W1086" s="14">
        <v>0.97</v>
      </c>
      <c r="X1086" s="14">
        <v>0.94</v>
      </c>
    </row>
    <row r="1087" spans="1:24" hidden="1" x14ac:dyDescent="0.3">
      <c r="A1087" s="14" t="s">
        <v>410</v>
      </c>
      <c r="B1087" s="14" t="s">
        <v>68</v>
      </c>
      <c r="C1087" s="14" t="s">
        <v>340</v>
      </c>
      <c r="D1087" s="14" t="s">
        <v>341</v>
      </c>
      <c r="E1087" s="14" t="s">
        <v>344</v>
      </c>
      <c r="F1087" s="14" t="s">
        <v>343</v>
      </c>
      <c r="G1087" s="14" t="s">
        <v>343</v>
      </c>
      <c r="H1087" s="14" t="s">
        <v>343</v>
      </c>
      <c r="I1087" s="14">
        <v>77</v>
      </c>
      <c r="J1087" s="14">
        <v>91</v>
      </c>
      <c r="K1087" s="14">
        <v>87</v>
      </c>
      <c r="L1087" s="14">
        <v>87</v>
      </c>
      <c r="M1087" s="14">
        <v>88</v>
      </c>
      <c r="N1087" s="14">
        <v>85</v>
      </c>
      <c r="O1087" s="14">
        <v>85</v>
      </c>
      <c r="P1087" s="14">
        <v>81</v>
      </c>
      <c r="Q1087" s="14">
        <v>89</v>
      </c>
      <c r="R1087" s="14">
        <v>83</v>
      </c>
      <c r="S1087" s="14">
        <v>99</v>
      </c>
      <c r="T1087" s="14">
        <v>102</v>
      </c>
      <c r="U1087" s="14">
        <v>111</v>
      </c>
      <c r="V1087" s="14">
        <v>100</v>
      </c>
      <c r="W1087" s="14">
        <v>103</v>
      </c>
      <c r="X1087" s="14">
        <v>120</v>
      </c>
    </row>
    <row r="1088" spans="1:24" hidden="1" x14ac:dyDescent="0.3">
      <c r="A1088" s="14" t="s">
        <v>410</v>
      </c>
      <c r="B1088" s="14" t="s">
        <v>68</v>
      </c>
      <c r="C1088" s="14" t="s">
        <v>345</v>
      </c>
      <c r="D1088" s="14" t="s">
        <v>346</v>
      </c>
      <c r="E1088" s="14" t="s">
        <v>342</v>
      </c>
      <c r="F1088" s="14" t="s">
        <v>343</v>
      </c>
      <c r="G1088" s="14" t="s">
        <v>343</v>
      </c>
      <c r="H1088" s="14" t="s">
        <v>343</v>
      </c>
      <c r="U1088" s="14">
        <v>0.62</v>
      </c>
      <c r="V1088" s="14">
        <v>0.61</v>
      </c>
      <c r="W1088" s="14">
        <v>0.61</v>
      </c>
      <c r="X1088" s="14">
        <v>0.63</v>
      </c>
    </row>
    <row r="1089" spans="1:24" hidden="1" x14ac:dyDescent="0.3">
      <c r="A1089" s="14" t="s">
        <v>410</v>
      </c>
      <c r="B1089" s="14" t="s">
        <v>68</v>
      </c>
      <c r="C1089" s="14" t="s">
        <v>345</v>
      </c>
      <c r="D1089" s="14" t="s">
        <v>346</v>
      </c>
      <c r="E1089" s="14" t="s">
        <v>344</v>
      </c>
      <c r="F1089" s="14" t="s">
        <v>343</v>
      </c>
      <c r="G1089" s="14" t="s">
        <v>343</v>
      </c>
      <c r="H1089" s="14" t="s">
        <v>343</v>
      </c>
      <c r="U1089" s="14">
        <v>73</v>
      </c>
      <c r="V1089" s="14">
        <v>79</v>
      </c>
      <c r="W1089" s="14">
        <v>76</v>
      </c>
      <c r="X1089" s="14">
        <v>77</v>
      </c>
    </row>
    <row r="1090" spans="1:24" hidden="1" x14ac:dyDescent="0.3">
      <c r="A1090" s="14" t="s">
        <v>410</v>
      </c>
      <c r="B1090" s="14" t="s">
        <v>68</v>
      </c>
      <c r="C1090" s="14" t="s">
        <v>347</v>
      </c>
      <c r="D1090" s="14" t="s">
        <v>348</v>
      </c>
      <c r="E1090" s="14" t="s">
        <v>342</v>
      </c>
      <c r="F1090" s="14" t="s">
        <v>343</v>
      </c>
      <c r="G1090" s="14" t="s">
        <v>343</v>
      </c>
      <c r="H1090" s="14" t="s">
        <v>343</v>
      </c>
      <c r="U1090" s="14">
        <v>0.83</v>
      </c>
      <c r="V1090" s="14">
        <v>0.83</v>
      </c>
      <c r="W1090" s="14">
        <v>0.83</v>
      </c>
      <c r="X1090" s="14">
        <v>0.83</v>
      </c>
    </row>
    <row r="1091" spans="1:24" hidden="1" x14ac:dyDescent="0.3">
      <c r="A1091" s="14" t="s">
        <v>410</v>
      </c>
      <c r="B1091" s="14" t="s">
        <v>68</v>
      </c>
      <c r="C1091" s="14" t="s">
        <v>347</v>
      </c>
      <c r="D1091" s="14" t="s">
        <v>348</v>
      </c>
      <c r="E1091" s="14" t="s">
        <v>344</v>
      </c>
      <c r="F1091" s="14" t="s">
        <v>343</v>
      </c>
      <c r="G1091" s="14" t="s">
        <v>343</v>
      </c>
      <c r="H1091" s="14" t="s">
        <v>343</v>
      </c>
      <c r="U1091" s="14">
        <v>64</v>
      </c>
      <c r="V1091" s="14">
        <v>70</v>
      </c>
      <c r="W1091" s="14">
        <v>72</v>
      </c>
      <c r="X1091" s="14">
        <v>54</v>
      </c>
    </row>
    <row r="1092" spans="1:24" hidden="1" x14ac:dyDescent="0.3">
      <c r="A1092" s="14" t="s">
        <v>410</v>
      </c>
      <c r="B1092" s="14" t="s">
        <v>68</v>
      </c>
      <c r="C1092" s="14" t="s">
        <v>349</v>
      </c>
      <c r="D1092" s="14" t="s">
        <v>350</v>
      </c>
      <c r="E1092" s="14" t="s">
        <v>342</v>
      </c>
      <c r="F1092" s="14" t="s">
        <v>343</v>
      </c>
      <c r="G1092" s="14" t="s">
        <v>343</v>
      </c>
      <c r="H1092" s="14" t="s">
        <v>343</v>
      </c>
      <c r="U1092" s="14">
        <v>0.2</v>
      </c>
      <c r="V1092" s="14">
        <v>0.2</v>
      </c>
      <c r="W1092" s="14">
        <v>0.2</v>
      </c>
    </row>
    <row r="1093" spans="1:24" hidden="1" x14ac:dyDescent="0.3">
      <c r="A1093" s="14" t="s">
        <v>410</v>
      </c>
      <c r="B1093" s="14" t="s">
        <v>68</v>
      </c>
      <c r="C1093" s="14" t="s">
        <v>349</v>
      </c>
      <c r="D1093" s="14" t="s">
        <v>350</v>
      </c>
      <c r="E1093" s="14" t="s">
        <v>344</v>
      </c>
      <c r="F1093" s="14" t="s">
        <v>343</v>
      </c>
      <c r="G1093" s="14" t="s">
        <v>343</v>
      </c>
      <c r="H1093" s="14" t="s">
        <v>343</v>
      </c>
      <c r="U1093" s="14">
        <v>122</v>
      </c>
      <c r="V1093" s="14">
        <v>125</v>
      </c>
      <c r="W1093" s="14">
        <v>132</v>
      </c>
    </row>
    <row r="1094" spans="1:24" hidden="1" x14ac:dyDescent="0.3">
      <c r="A1094" s="14" t="s">
        <v>410</v>
      </c>
      <c r="B1094" s="14" t="s">
        <v>68</v>
      </c>
      <c r="C1094" s="14" t="s">
        <v>351</v>
      </c>
      <c r="D1094" s="14" t="s">
        <v>352</v>
      </c>
      <c r="E1094" s="14" t="s">
        <v>342</v>
      </c>
      <c r="F1094" s="14" t="s">
        <v>343</v>
      </c>
      <c r="G1094" s="14" t="s">
        <v>343</v>
      </c>
      <c r="H1094" s="14" t="s">
        <v>343</v>
      </c>
      <c r="U1094" s="14">
        <v>1</v>
      </c>
      <c r="V1094" s="14">
        <v>1</v>
      </c>
      <c r="W1094" s="14">
        <v>1</v>
      </c>
    </row>
    <row r="1095" spans="1:24" hidden="1" x14ac:dyDescent="0.3">
      <c r="A1095" s="14" t="s">
        <v>410</v>
      </c>
      <c r="B1095" s="14" t="s">
        <v>68</v>
      </c>
      <c r="C1095" s="14" t="s">
        <v>351</v>
      </c>
      <c r="D1095" s="14" t="s">
        <v>352</v>
      </c>
      <c r="E1095" s="14" t="s">
        <v>344</v>
      </c>
      <c r="F1095" s="14" t="s">
        <v>343</v>
      </c>
      <c r="G1095" s="14" t="s">
        <v>343</v>
      </c>
      <c r="H1095" s="14" t="s">
        <v>343</v>
      </c>
      <c r="U1095" s="14">
        <v>1</v>
      </c>
      <c r="V1095" s="14">
        <v>1</v>
      </c>
      <c r="W1095" s="14">
        <v>1</v>
      </c>
    </row>
    <row r="1096" spans="1:24" hidden="1" x14ac:dyDescent="0.3">
      <c r="A1096" s="14" t="s">
        <v>410</v>
      </c>
      <c r="B1096" s="14" t="s">
        <v>68</v>
      </c>
      <c r="C1096" s="14" t="s">
        <v>378</v>
      </c>
      <c r="D1096" s="14" t="s">
        <v>379</v>
      </c>
      <c r="E1096" s="14" t="s">
        <v>342</v>
      </c>
      <c r="F1096" s="14" t="s">
        <v>343</v>
      </c>
      <c r="G1096" s="14" t="s">
        <v>343</v>
      </c>
      <c r="H1096" s="14" t="s">
        <v>343</v>
      </c>
      <c r="S1096" s="14">
        <v>0.65</v>
      </c>
      <c r="U1096" s="14">
        <v>0.64</v>
      </c>
      <c r="V1096" s="14">
        <v>0.64</v>
      </c>
      <c r="W1096" s="14">
        <v>0.81</v>
      </c>
      <c r="X1096" s="14">
        <v>0.76</v>
      </c>
    </row>
    <row r="1097" spans="1:24" hidden="1" x14ac:dyDescent="0.3">
      <c r="A1097" s="14" t="s">
        <v>410</v>
      </c>
      <c r="B1097" s="14" t="s">
        <v>68</v>
      </c>
      <c r="C1097" s="14" t="s">
        <v>378</v>
      </c>
      <c r="D1097" s="14" t="s">
        <v>379</v>
      </c>
      <c r="E1097" s="14" t="s">
        <v>344</v>
      </c>
      <c r="F1097" s="14" t="s">
        <v>343</v>
      </c>
      <c r="G1097" s="14" t="s">
        <v>343</v>
      </c>
      <c r="H1097" s="14" t="s">
        <v>343</v>
      </c>
      <c r="S1097" s="14">
        <v>70</v>
      </c>
      <c r="U1097" s="14">
        <v>74</v>
      </c>
      <c r="V1097" s="14">
        <v>75</v>
      </c>
      <c r="W1097" s="14">
        <v>6</v>
      </c>
      <c r="X1097" s="14">
        <v>14</v>
      </c>
    </row>
    <row r="1098" spans="1:24" hidden="1" x14ac:dyDescent="0.3">
      <c r="A1098" s="14" t="s">
        <v>410</v>
      </c>
      <c r="B1098" s="14" t="s">
        <v>68</v>
      </c>
      <c r="C1098" s="14" t="s">
        <v>353</v>
      </c>
      <c r="D1098" s="14" t="s">
        <v>354</v>
      </c>
      <c r="E1098" s="14" t="s">
        <v>342</v>
      </c>
      <c r="F1098" s="14" t="s">
        <v>343</v>
      </c>
      <c r="G1098" s="14" t="s">
        <v>343</v>
      </c>
      <c r="H1098" s="14" t="s">
        <v>343</v>
      </c>
      <c r="U1098" s="14">
        <v>0.95</v>
      </c>
      <c r="V1098" s="14">
        <v>0.97</v>
      </c>
      <c r="W1098" s="14">
        <v>0.97</v>
      </c>
      <c r="X1098" s="14">
        <v>0.97</v>
      </c>
    </row>
    <row r="1099" spans="1:24" hidden="1" x14ac:dyDescent="0.3">
      <c r="A1099" s="14" t="s">
        <v>410</v>
      </c>
      <c r="B1099" s="14" t="s">
        <v>68</v>
      </c>
      <c r="C1099" s="14" t="s">
        <v>353</v>
      </c>
      <c r="D1099" s="14" t="s">
        <v>354</v>
      </c>
      <c r="E1099" s="14" t="s">
        <v>344</v>
      </c>
      <c r="F1099" s="14" t="s">
        <v>343</v>
      </c>
      <c r="G1099" s="14" t="s">
        <v>343</v>
      </c>
      <c r="H1099" s="14" t="s">
        <v>343</v>
      </c>
      <c r="U1099" s="14">
        <v>94</v>
      </c>
      <c r="V1099" s="14">
        <v>90</v>
      </c>
      <c r="W1099" s="14">
        <v>93</v>
      </c>
      <c r="X1099" s="14">
        <v>89</v>
      </c>
    </row>
    <row r="1100" spans="1:24" hidden="1" x14ac:dyDescent="0.3">
      <c r="A1100" s="14" t="s">
        <v>410</v>
      </c>
      <c r="B1100" s="14" t="s">
        <v>68</v>
      </c>
      <c r="C1100" s="14" t="s">
        <v>355</v>
      </c>
      <c r="D1100" s="14" t="s">
        <v>356</v>
      </c>
      <c r="E1100" s="14" t="s">
        <v>342</v>
      </c>
      <c r="F1100" s="14" t="s">
        <v>343</v>
      </c>
      <c r="G1100" s="14" t="s">
        <v>343</v>
      </c>
      <c r="H1100" s="14" t="s">
        <v>343</v>
      </c>
      <c r="U1100" s="14">
        <v>0.94</v>
      </c>
      <c r="V1100" s="14">
        <v>0.96</v>
      </c>
      <c r="W1100" s="14">
        <v>0.96</v>
      </c>
      <c r="X1100" s="14">
        <v>0.88</v>
      </c>
    </row>
    <row r="1101" spans="1:24" hidden="1" x14ac:dyDescent="0.3">
      <c r="A1101" s="14" t="s">
        <v>410</v>
      </c>
      <c r="B1101" s="14" t="s">
        <v>68</v>
      </c>
      <c r="C1101" s="14" t="s">
        <v>355</v>
      </c>
      <c r="D1101" s="14" t="s">
        <v>356</v>
      </c>
      <c r="E1101" s="14" t="s">
        <v>344</v>
      </c>
      <c r="F1101" s="14" t="s">
        <v>343</v>
      </c>
      <c r="G1101" s="14" t="s">
        <v>343</v>
      </c>
      <c r="H1101" s="14" t="s">
        <v>343</v>
      </c>
      <c r="U1101" s="14">
        <v>130</v>
      </c>
      <c r="V1101" s="14">
        <v>124</v>
      </c>
      <c r="W1101" s="14">
        <v>124</v>
      </c>
      <c r="X1101" s="14">
        <v>123</v>
      </c>
    </row>
    <row r="1102" spans="1:24" hidden="1" x14ac:dyDescent="0.3">
      <c r="A1102" s="14" t="s">
        <v>410</v>
      </c>
      <c r="B1102" s="14" t="s">
        <v>68</v>
      </c>
      <c r="C1102" s="14" t="s">
        <v>357</v>
      </c>
      <c r="D1102" s="14" t="s">
        <v>358</v>
      </c>
      <c r="E1102" s="14" t="s">
        <v>342</v>
      </c>
      <c r="F1102" s="14" t="s">
        <v>343</v>
      </c>
      <c r="G1102" s="14" t="s">
        <v>343</v>
      </c>
      <c r="H1102" s="14" t="s">
        <v>343</v>
      </c>
      <c r="U1102" s="14">
        <v>1</v>
      </c>
      <c r="V1102" s="14">
        <v>1</v>
      </c>
      <c r="W1102" s="14">
        <v>1</v>
      </c>
      <c r="X1102" s="14">
        <v>1</v>
      </c>
    </row>
    <row r="1103" spans="1:24" hidden="1" x14ac:dyDescent="0.3">
      <c r="A1103" s="14" t="s">
        <v>410</v>
      </c>
      <c r="B1103" s="14" t="s">
        <v>68</v>
      </c>
      <c r="C1103" s="14" t="s">
        <v>357</v>
      </c>
      <c r="D1103" s="14" t="s">
        <v>358</v>
      </c>
      <c r="E1103" s="14" t="s">
        <v>344</v>
      </c>
      <c r="F1103" s="14" t="s">
        <v>343</v>
      </c>
      <c r="G1103" s="14" t="s">
        <v>343</v>
      </c>
      <c r="H1103" s="14" t="s">
        <v>343</v>
      </c>
      <c r="U1103" s="14">
        <v>1</v>
      </c>
      <c r="V1103" s="14">
        <v>1</v>
      </c>
      <c r="W1103" s="14">
        <v>1</v>
      </c>
      <c r="X1103" s="14">
        <v>1</v>
      </c>
    </row>
    <row r="1104" spans="1:24" hidden="1" x14ac:dyDescent="0.3">
      <c r="A1104" s="14" t="s">
        <v>410</v>
      </c>
      <c r="B1104" s="14" t="s">
        <v>68</v>
      </c>
      <c r="C1104" s="14" t="s">
        <v>359</v>
      </c>
      <c r="D1104" s="14" t="s">
        <v>360</v>
      </c>
      <c r="E1104" s="14" t="s">
        <v>342</v>
      </c>
      <c r="F1104" s="14" t="s">
        <v>343</v>
      </c>
      <c r="G1104" s="14" t="s">
        <v>343</v>
      </c>
      <c r="H1104" s="14" t="s">
        <v>343</v>
      </c>
      <c r="I1104" s="14">
        <v>0.62</v>
      </c>
      <c r="J1104" s="14">
        <v>0.65</v>
      </c>
      <c r="K1104" s="14">
        <v>0.69</v>
      </c>
      <c r="L1104" s="14">
        <v>0.7</v>
      </c>
      <c r="M1104" s="14">
        <v>0.69</v>
      </c>
      <c r="N1104" s="14">
        <v>0.68</v>
      </c>
      <c r="O1104" s="14">
        <v>0.68</v>
      </c>
      <c r="P1104" s="14">
        <v>0.68</v>
      </c>
      <c r="Q1104" s="14">
        <v>0.66</v>
      </c>
      <c r="R1104" s="14">
        <v>0.66</v>
      </c>
      <c r="S1104" s="14">
        <v>0.66</v>
      </c>
      <c r="T1104" s="14">
        <v>0.65</v>
      </c>
      <c r="U1104" s="14">
        <v>0.65</v>
      </c>
      <c r="V1104" s="14">
        <v>0.65</v>
      </c>
      <c r="W1104" s="14">
        <v>0.7</v>
      </c>
      <c r="X1104" s="14">
        <v>0.74</v>
      </c>
    </row>
    <row r="1105" spans="1:24" hidden="1" x14ac:dyDescent="0.3">
      <c r="A1105" s="14" t="s">
        <v>410</v>
      </c>
      <c r="B1105" s="14" t="s">
        <v>68</v>
      </c>
      <c r="C1105" s="14" t="s">
        <v>359</v>
      </c>
      <c r="D1105" s="14" t="s">
        <v>360</v>
      </c>
      <c r="E1105" s="14" t="s">
        <v>344</v>
      </c>
      <c r="F1105" s="14" t="s">
        <v>343</v>
      </c>
      <c r="G1105" s="14" t="s">
        <v>343</v>
      </c>
      <c r="H1105" s="14" t="s">
        <v>343</v>
      </c>
      <c r="I1105" s="14">
        <v>53</v>
      </c>
      <c r="J1105" s="14">
        <v>60</v>
      </c>
      <c r="K1105" s="14">
        <v>43</v>
      </c>
      <c r="L1105" s="14">
        <v>38</v>
      </c>
      <c r="M1105" s="14">
        <v>46</v>
      </c>
      <c r="N1105" s="14">
        <v>50</v>
      </c>
      <c r="O1105" s="14">
        <v>58</v>
      </c>
      <c r="P1105" s="14">
        <v>62</v>
      </c>
      <c r="Q1105" s="14">
        <v>76</v>
      </c>
      <c r="R1105" s="14">
        <v>81</v>
      </c>
      <c r="S1105" s="14">
        <v>81</v>
      </c>
      <c r="T1105" s="14">
        <v>86</v>
      </c>
      <c r="U1105" s="14">
        <v>86</v>
      </c>
      <c r="V1105" s="14">
        <v>91</v>
      </c>
      <c r="W1105" s="14">
        <v>69</v>
      </c>
      <c r="X1105" s="14">
        <v>37</v>
      </c>
    </row>
    <row r="1106" spans="1:24" x14ac:dyDescent="0.3">
      <c r="A1106" s="14" t="s">
        <v>410</v>
      </c>
      <c r="B1106" s="14" t="s">
        <v>68</v>
      </c>
      <c r="C1106" s="14" t="s">
        <v>361</v>
      </c>
      <c r="D1106" s="14" t="s">
        <v>362</v>
      </c>
      <c r="E1106" s="14" t="s">
        <v>342</v>
      </c>
      <c r="F1106" s="14" t="s">
        <v>343</v>
      </c>
      <c r="G1106" s="14" t="s">
        <v>343</v>
      </c>
      <c r="H1106" s="14" t="s">
        <v>343</v>
      </c>
      <c r="I1106" s="14">
        <v>0.94</v>
      </c>
      <c r="J1106" s="14">
        <v>0.94</v>
      </c>
      <c r="K1106" s="14">
        <v>0.94</v>
      </c>
      <c r="L1106" s="14">
        <v>0.95</v>
      </c>
      <c r="M1106" s="14">
        <v>0.93</v>
      </c>
      <c r="N1106" s="14">
        <v>0.93</v>
      </c>
      <c r="O1106" s="14">
        <v>0.93</v>
      </c>
      <c r="P1106" s="14">
        <v>0.94</v>
      </c>
      <c r="Q1106" s="14">
        <v>0.94</v>
      </c>
      <c r="R1106" s="14">
        <v>0.92</v>
      </c>
      <c r="S1106" s="14">
        <v>0.92</v>
      </c>
      <c r="T1106" s="14">
        <v>0.92</v>
      </c>
      <c r="U1106" s="14">
        <v>0.92</v>
      </c>
      <c r="V1106" s="14">
        <v>0.93</v>
      </c>
      <c r="W1106" s="14">
        <v>0.94</v>
      </c>
      <c r="X1106" s="14">
        <v>0.94</v>
      </c>
    </row>
    <row r="1107" spans="1:24" hidden="1" x14ac:dyDescent="0.3">
      <c r="A1107" s="14" t="s">
        <v>410</v>
      </c>
      <c r="B1107" s="14" t="s">
        <v>68</v>
      </c>
      <c r="C1107" s="14" t="s">
        <v>361</v>
      </c>
      <c r="D1107" s="14" t="s">
        <v>362</v>
      </c>
      <c r="E1107" s="14" t="s">
        <v>344</v>
      </c>
      <c r="F1107" s="14" t="s">
        <v>343</v>
      </c>
      <c r="G1107" s="14" t="s">
        <v>343</v>
      </c>
      <c r="H1107" s="14" t="s">
        <v>343</v>
      </c>
      <c r="I1107" s="14">
        <v>114</v>
      </c>
      <c r="J1107" s="14">
        <v>124</v>
      </c>
      <c r="K1107" s="14">
        <v>126</v>
      </c>
      <c r="L1107" s="14">
        <v>130</v>
      </c>
      <c r="M1107" s="14">
        <v>133</v>
      </c>
      <c r="N1107" s="14">
        <v>133</v>
      </c>
      <c r="O1107" s="14">
        <v>132</v>
      </c>
      <c r="P1107" s="14">
        <v>133</v>
      </c>
      <c r="Q1107" s="14">
        <v>140</v>
      </c>
      <c r="R1107" s="14">
        <v>145</v>
      </c>
      <c r="S1107" s="14">
        <v>144</v>
      </c>
      <c r="T1107" s="14">
        <v>144</v>
      </c>
      <c r="U1107" s="14">
        <v>149</v>
      </c>
      <c r="V1107" s="14">
        <v>153</v>
      </c>
      <c r="W1107" s="14">
        <v>156</v>
      </c>
      <c r="X1107" s="14">
        <v>145</v>
      </c>
    </row>
    <row r="1108" spans="1:24" hidden="1" x14ac:dyDescent="0.3">
      <c r="A1108" s="14" t="s">
        <v>410</v>
      </c>
      <c r="B1108" s="14" t="s">
        <v>68</v>
      </c>
      <c r="C1108" s="14" t="s">
        <v>363</v>
      </c>
      <c r="D1108" s="14" t="s">
        <v>364</v>
      </c>
      <c r="E1108" s="14" t="s">
        <v>342</v>
      </c>
      <c r="F1108" s="14" t="s">
        <v>343</v>
      </c>
      <c r="G1108" s="14" t="s">
        <v>343</v>
      </c>
      <c r="H1108" s="14" t="s">
        <v>343</v>
      </c>
      <c r="U1108" s="14">
        <v>1.02</v>
      </c>
      <c r="V1108" s="14">
        <v>1.02</v>
      </c>
      <c r="W1108" s="14">
        <v>1.04</v>
      </c>
      <c r="X1108" s="14">
        <v>1.04</v>
      </c>
    </row>
    <row r="1109" spans="1:24" hidden="1" x14ac:dyDescent="0.3">
      <c r="A1109" s="14" t="s">
        <v>410</v>
      </c>
      <c r="B1109" s="14" t="s">
        <v>68</v>
      </c>
      <c r="C1109" s="14" t="s">
        <v>363</v>
      </c>
      <c r="D1109" s="14" t="s">
        <v>364</v>
      </c>
      <c r="E1109" s="14" t="s">
        <v>344</v>
      </c>
      <c r="F1109" s="14" t="s">
        <v>343</v>
      </c>
      <c r="G1109" s="14" t="s">
        <v>343</v>
      </c>
      <c r="H1109" s="14" t="s">
        <v>343</v>
      </c>
      <c r="U1109" s="14">
        <v>132</v>
      </c>
      <c r="V1109" s="14">
        <v>136</v>
      </c>
      <c r="W1109" s="14">
        <v>70</v>
      </c>
      <c r="X1109" s="14">
        <v>65</v>
      </c>
    </row>
    <row r="1110" spans="1:24" hidden="1" x14ac:dyDescent="0.3">
      <c r="A1110" s="14" t="s">
        <v>410</v>
      </c>
      <c r="B1110" s="14" t="s">
        <v>68</v>
      </c>
      <c r="C1110" s="14" t="s">
        <v>365</v>
      </c>
      <c r="D1110" s="14" t="s">
        <v>366</v>
      </c>
      <c r="E1110" s="14" t="s">
        <v>342</v>
      </c>
      <c r="F1110" s="14" t="s">
        <v>343</v>
      </c>
      <c r="G1110" s="14" t="s">
        <v>343</v>
      </c>
      <c r="H1110" s="14" t="s">
        <v>343</v>
      </c>
      <c r="U1110" s="14">
        <v>0.87</v>
      </c>
      <c r="V1110" s="14">
        <v>0.88</v>
      </c>
      <c r="W1110" s="14">
        <v>0.89</v>
      </c>
      <c r="X1110" s="14">
        <v>0.89</v>
      </c>
    </row>
    <row r="1111" spans="1:24" hidden="1" x14ac:dyDescent="0.3">
      <c r="A1111" s="14" t="s">
        <v>410</v>
      </c>
      <c r="B1111" s="14" t="s">
        <v>68</v>
      </c>
      <c r="C1111" s="14" t="s">
        <v>365</v>
      </c>
      <c r="D1111" s="14" t="s">
        <v>366</v>
      </c>
      <c r="E1111" s="14" t="s">
        <v>344</v>
      </c>
      <c r="F1111" s="14" t="s">
        <v>343</v>
      </c>
      <c r="G1111" s="14" t="s">
        <v>343</v>
      </c>
      <c r="H1111" s="14" t="s">
        <v>343</v>
      </c>
      <c r="U1111" s="14">
        <v>149</v>
      </c>
      <c r="V1111" s="14">
        <v>153</v>
      </c>
      <c r="W1111" s="14">
        <v>156</v>
      </c>
      <c r="X1111" s="14">
        <v>145</v>
      </c>
    </row>
    <row r="1112" spans="1:24" hidden="1" x14ac:dyDescent="0.3">
      <c r="A1112" s="14" t="s">
        <v>410</v>
      </c>
      <c r="B1112" s="14" t="s">
        <v>68</v>
      </c>
      <c r="C1112" s="14" t="s">
        <v>367</v>
      </c>
      <c r="D1112" s="14" t="s">
        <v>368</v>
      </c>
      <c r="E1112" s="14" t="s">
        <v>342</v>
      </c>
      <c r="F1112" s="14" t="s">
        <v>343</v>
      </c>
      <c r="G1112" s="14" t="s">
        <v>343</v>
      </c>
      <c r="H1112" s="14" t="s">
        <v>343</v>
      </c>
      <c r="I1112" s="14">
        <v>0.66</v>
      </c>
      <c r="J1112" s="14">
        <v>0.66</v>
      </c>
      <c r="K1112" s="14">
        <v>0.69</v>
      </c>
      <c r="L1112" s="14">
        <v>0.69</v>
      </c>
      <c r="M1112" s="14">
        <v>0.69</v>
      </c>
      <c r="N1112" s="14">
        <v>0.69</v>
      </c>
      <c r="O1112" s="14">
        <v>0.69</v>
      </c>
      <c r="P1112" s="14">
        <v>0.69</v>
      </c>
      <c r="Q1112" s="14">
        <v>0.68</v>
      </c>
      <c r="R1112" s="14">
        <v>0.68</v>
      </c>
      <c r="S1112" s="14">
        <v>0.68</v>
      </c>
      <c r="T1112" s="14">
        <v>0.67</v>
      </c>
      <c r="U1112" s="14">
        <v>0.67</v>
      </c>
      <c r="V1112" s="14">
        <v>0.68</v>
      </c>
      <c r="W1112" s="14">
        <v>0.68</v>
      </c>
      <c r="X1112" s="14">
        <v>0.68</v>
      </c>
    </row>
    <row r="1113" spans="1:24" hidden="1" x14ac:dyDescent="0.3">
      <c r="A1113" s="14" t="s">
        <v>410</v>
      </c>
      <c r="B1113" s="14" t="s">
        <v>68</v>
      </c>
      <c r="C1113" s="14" t="s">
        <v>367</v>
      </c>
      <c r="D1113" s="14" t="s">
        <v>368</v>
      </c>
      <c r="E1113" s="14" t="s">
        <v>344</v>
      </c>
      <c r="F1113" s="14" t="s">
        <v>343</v>
      </c>
      <c r="G1113" s="14" t="s">
        <v>343</v>
      </c>
      <c r="H1113" s="14" t="s">
        <v>343</v>
      </c>
      <c r="I1113" s="14">
        <v>63</v>
      </c>
      <c r="J1113" s="14">
        <v>73</v>
      </c>
      <c r="K1113" s="14">
        <v>57</v>
      </c>
      <c r="L1113" s="14">
        <v>60</v>
      </c>
      <c r="M1113" s="14">
        <v>61</v>
      </c>
      <c r="N1113" s="14">
        <v>61</v>
      </c>
      <c r="O1113" s="14">
        <v>69</v>
      </c>
      <c r="P1113" s="14">
        <v>69</v>
      </c>
      <c r="Q1113" s="14">
        <v>87</v>
      </c>
      <c r="R1113" s="14">
        <v>91</v>
      </c>
      <c r="S1113" s="14">
        <v>99</v>
      </c>
      <c r="T1113" s="14">
        <v>100</v>
      </c>
      <c r="U1113" s="14">
        <v>103</v>
      </c>
      <c r="V1113" s="14">
        <v>106</v>
      </c>
      <c r="W1113" s="14">
        <v>107</v>
      </c>
      <c r="X1113" s="14">
        <v>102</v>
      </c>
    </row>
    <row r="1114" spans="1:24" hidden="1" x14ac:dyDescent="0.3">
      <c r="A1114" s="14" t="s">
        <v>410</v>
      </c>
      <c r="B1114" s="14" t="s">
        <v>68</v>
      </c>
      <c r="C1114" s="14" t="s">
        <v>369</v>
      </c>
      <c r="D1114" s="14" t="s">
        <v>370</v>
      </c>
      <c r="E1114" s="14" t="s">
        <v>342</v>
      </c>
      <c r="F1114" s="14" t="s">
        <v>343</v>
      </c>
      <c r="G1114" s="14" t="s">
        <v>343</v>
      </c>
      <c r="H1114" s="14" t="s">
        <v>343</v>
      </c>
      <c r="I1114" s="14">
        <v>0.11</v>
      </c>
      <c r="J1114" s="14">
        <v>0.11</v>
      </c>
      <c r="K1114" s="14">
        <v>0.14000000000000001</v>
      </c>
      <c r="L1114" s="14">
        <v>0.14000000000000001</v>
      </c>
      <c r="M1114" s="14">
        <v>0.15</v>
      </c>
      <c r="N1114" s="14">
        <v>0.15</v>
      </c>
      <c r="O1114" s="14">
        <v>0.15</v>
      </c>
      <c r="P1114" s="14">
        <v>0.16</v>
      </c>
      <c r="Q1114" s="14">
        <v>0.15</v>
      </c>
      <c r="R1114" s="14">
        <v>0.16</v>
      </c>
      <c r="S1114" s="14">
        <v>0.16</v>
      </c>
      <c r="T1114" s="14">
        <v>0.16</v>
      </c>
      <c r="U1114" s="14">
        <v>0.16</v>
      </c>
      <c r="V1114" s="14">
        <v>0.15</v>
      </c>
      <c r="W1114" s="14">
        <v>0.12</v>
      </c>
      <c r="X1114" s="14">
        <v>0.11</v>
      </c>
    </row>
    <row r="1115" spans="1:24" hidden="1" x14ac:dyDescent="0.3">
      <c r="A1115" s="14" t="s">
        <v>410</v>
      </c>
      <c r="B1115" s="14" t="s">
        <v>68</v>
      </c>
      <c r="C1115" s="14" t="s">
        <v>369</v>
      </c>
      <c r="D1115" s="14" t="s">
        <v>370</v>
      </c>
      <c r="E1115" s="14" t="s">
        <v>344</v>
      </c>
      <c r="F1115" s="14" t="s">
        <v>343</v>
      </c>
      <c r="G1115" s="14" t="s">
        <v>343</v>
      </c>
      <c r="H1115" s="14" t="s">
        <v>343</v>
      </c>
      <c r="I1115" s="14">
        <v>52</v>
      </c>
      <c r="J1115" s="14">
        <v>59</v>
      </c>
      <c r="K1115" s="14">
        <v>54</v>
      </c>
      <c r="L1115" s="14">
        <v>60</v>
      </c>
      <c r="M1115" s="14">
        <v>56</v>
      </c>
      <c r="N1115" s="14">
        <v>57</v>
      </c>
      <c r="O1115" s="14">
        <v>58</v>
      </c>
      <c r="P1115" s="14">
        <v>59</v>
      </c>
      <c r="Q1115" s="14">
        <v>72</v>
      </c>
      <c r="R1115" s="14">
        <v>73</v>
      </c>
      <c r="S1115" s="14">
        <v>74</v>
      </c>
      <c r="T1115" s="14">
        <v>77</v>
      </c>
      <c r="U1115" s="14">
        <v>78</v>
      </c>
      <c r="V1115" s="14">
        <v>95</v>
      </c>
      <c r="W1115" s="14">
        <v>118</v>
      </c>
      <c r="X1115" s="14">
        <v>120</v>
      </c>
    </row>
    <row r="1116" spans="1:24" hidden="1" x14ac:dyDescent="0.3">
      <c r="A1116" s="14" t="s">
        <v>410</v>
      </c>
      <c r="B1116" s="14" t="s">
        <v>68</v>
      </c>
      <c r="C1116" s="14" t="s">
        <v>371</v>
      </c>
      <c r="D1116" s="14" t="s">
        <v>372</v>
      </c>
      <c r="E1116" s="14" t="s">
        <v>342</v>
      </c>
      <c r="F1116" s="14" t="s">
        <v>343</v>
      </c>
      <c r="G1116" s="14" t="s">
        <v>343</v>
      </c>
      <c r="H1116" s="14" t="s">
        <v>343</v>
      </c>
      <c r="U1116" s="14">
        <v>0.08</v>
      </c>
      <c r="V1116" s="14">
        <v>0.08</v>
      </c>
      <c r="W1116" s="14">
        <v>0.02</v>
      </c>
      <c r="X1116" s="14">
        <v>0</v>
      </c>
    </row>
    <row r="1117" spans="1:24" hidden="1" x14ac:dyDescent="0.3">
      <c r="A1117" s="14" t="s">
        <v>410</v>
      </c>
      <c r="B1117" s="14" t="s">
        <v>68</v>
      </c>
      <c r="C1117" s="14" t="s">
        <v>371</v>
      </c>
      <c r="D1117" s="14" t="s">
        <v>372</v>
      </c>
      <c r="E1117" s="14" t="s">
        <v>344</v>
      </c>
      <c r="F1117" s="14" t="s">
        <v>343</v>
      </c>
      <c r="G1117" s="14" t="s">
        <v>343</v>
      </c>
      <c r="H1117" s="14" t="s">
        <v>343</v>
      </c>
      <c r="U1117" s="14">
        <v>33</v>
      </c>
      <c r="V1117" s="14">
        <v>36</v>
      </c>
      <c r="W1117" s="14">
        <v>63</v>
      </c>
      <c r="X1117" s="14">
        <v>71</v>
      </c>
    </row>
    <row r="1118" spans="1:24" hidden="1" x14ac:dyDescent="0.3">
      <c r="A1118" s="14" t="s">
        <v>410</v>
      </c>
      <c r="B1118" s="14" t="s">
        <v>68</v>
      </c>
      <c r="C1118" s="14" t="s">
        <v>373</v>
      </c>
      <c r="D1118" s="14" t="s">
        <v>374</v>
      </c>
      <c r="E1118" s="14" t="s">
        <v>342</v>
      </c>
      <c r="F1118" s="14" t="s">
        <v>343</v>
      </c>
      <c r="G1118" s="14" t="s">
        <v>343</v>
      </c>
      <c r="H1118" s="14" t="s">
        <v>343</v>
      </c>
      <c r="U1118" s="14">
        <v>0.11</v>
      </c>
      <c r="V1118" s="14">
        <v>7.0000000000000007E-2</v>
      </c>
      <c r="W1118" s="14">
        <v>0.03</v>
      </c>
      <c r="X1118" s="14">
        <v>0.03</v>
      </c>
    </row>
    <row r="1119" spans="1:24" hidden="1" x14ac:dyDescent="0.3">
      <c r="A1119" s="14" t="s">
        <v>410</v>
      </c>
      <c r="B1119" s="14" t="s">
        <v>68</v>
      </c>
      <c r="C1119" s="14" t="s">
        <v>373</v>
      </c>
      <c r="D1119" s="14" t="s">
        <v>374</v>
      </c>
      <c r="E1119" s="14" t="s">
        <v>344</v>
      </c>
      <c r="F1119" s="14" t="s">
        <v>343</v>
      </c>
      <c r="G1119" s="14" t="s">
        <v>343</v>
      </c>
      <c r="H1119" s="14" t="s">
        <v>343</v>
      </c>
      <c r="U1119" s="14">
        <v>113</v>
      </c>
      <c r="V1119" s="14">
        <v>132</v>
      </c>
      <c r="W1119" s="14">
        <v>147</v>
      </c>
      <c r="X1119" s="14">
        <v>139</v>
      </c>
    </row>
    <row r="1120" spans="1:24" hidden="1" x14ac:dyDescent="0.3">
      <c r="A1120" s="14" t="s">
        <v>410</v>
      </c>
      <c r="B1120" s="14" t="s">
        <v>68</v>
      </c>
      <c r="C1120" s="14" t="s">
        <v>375</v>
      </c>
      <c r="D1120" s="14" t="s">
        <v>376</v>
      </c>
      <c r="E1120" s="14" t="s">
        <v>342</v>
      </c>
      <c r="F1120" s="14" t="s">
        <v>343</v>
      </c>
      <c r="G1120" s="14" t="s">
        <v>343</v>
      </c>
      <c r="H1120" s="14" t="s">
        <v>343</v>
      </c>
      <c r="U1120" s="14">
        <v>0.33</v>
      </c>
      <c r="V1120" s="14">
        <v>0.33</v>
      </c>
      <c r="W1120" s="14">
        <v>0.33</v>
      </c>
      <c r="X1120" s="14">
        <v>0.33</v>
      </c>
    </row>
    <row r="1121" spans="1:24" hidden="1" x14ac:dyDescent="0.3">
      <c r="A1121" s="14" t="s">
        <v>410</v>
      </c>
      <c r="B1121" s="14" t="s">
        <v>68</v>
      </c>
      <c r="C1121" s="14" t="s">
        <v>375</v>
      </c>
      <c r="D1121" s="14" t="s">
        <v>376</v>
      </c>
      <c r="E1121" s="14" t="s">
        <v>344</v>
      </c>
      <c r="F1121" s="14" t="s">
        <v>343</v>
      </c>
      <c r="G1121" s="14" t="s">
        <v>343</v>
      </c>
      <c r="H1121" s="14" t="s">
        <v>343</v>
      </c>
      <c r="U1121" s="14">
        <v>59</v>
      </c>
      <c r="V1121" s="14">
        <v>62</v>
      </c>
      <c r="W1121" s="14">
        <v>76</v>
      </c>
      <c r="X1121" s="14">
        <v>80</v>
      </c>
    </row>
    <row r="1122" spans="1:24" hidden="1" x14ac:dyDescent="0.3">
      <c r="A1122" s="14" t="s">
        <v>411</v>
      </c>
      <c r="B1122" s="14" t="s">
        <v>309</v>
      </c>
      <c r="C1122" s="14" t="s">
        <v>340</v>
      </c>
      <c r="D1122" s="14" t="s">
        <v>341</v>
      </c>
      <c r="E1122" s="14" t="s">
        <v>342</v>
      </c>
      <c r="F1122" s="14" t="s">
        <v>343</v>
      </c>
      <c r="G1122" s="14" t="s">
        <v>343</v>
      </c>
      <c r="H1122" s="14" t="s">
        <v>343</v>
      </c>
      <c r="M1122" s="14">
        <v>0.69</v>
      </c>
      <c r="N1122" s="14">
        <v>0.71</v>
      </c>
      <c r="O1122" s="14">
        <v>0.71</v>
      </c>
      <c r="P1122" s="14">
        <v>0.71</v>
      </c>
      <c r="Q1122" s="14">
        <v>0.72</v>
      </c>
      <c r="R1122" s="14">
        <v>0.77</v>
      </c>
      <c r="S1122" s="14">
        <v>0.76</v>
      </c>
      <c r="T1122" s="14">
        <v>0.8</v>
      </c>
      <c r="U1122" s="14">
        <v>0.82</v>
      </c>
      <c r="V1122" s="14">
        <v>0.83</v>
      </c>
      <c r="W1122" s="14">
        <v>0.83</v>
      </c>
      <c r="X1122" s="14">
        <v>0.99</v>
      </c>
    </row>
    <row r="1123" spans="1:24" hidden="1" x14ac:dyDescent="0.3">
      <c r="A1123" s="14" t="s">
        <v>411</v>
      </c>
      <c r="B1123" s="14" t="s">
        <v>309</v>
      </c>
      <c r="C1123" s="14" t="s">
        <v>340</v>
      </c>
      <c r="D1123" s="14" t="s">
        <v>341</v>
      </c>
      <c r="E1123" s="14" t="s">
        <v>344</v>
      </c>
      <c r="F1123" s="14" t="s">
        <v>343</v>
      </c>
      <c r="G1123" s="14" t="s">
        <v>343</v>
      </c>
      <c r="H1123" s="14" t="s">
        <v>343</v>
      </c>
      <c r="M1123" s="14">
        <v>130</v>
      </c>
      <c r="N1123" s="14">
        <v>130</v>
      </c>
      <c r="O1123" s="14">
        <v>131</v>
      </c>
      <c r="P1123" s="14">
        <v>133</v>
      </c>
      <c r="Q1123" s="14">
        <v>137</v>
      </c>
      <c r="R1123" s="14">
        <v>138</v>
      </c>
      <c r="S1123" s="14">
        <v>139</v>
      </c>
      <c r="T1123" s="14">
        <v>137</v>
      </c>
      <c r="U1123" s="14">
        <v>138</v>
      </c>
      <c r="V1123" s="14">
        <v>142</v>
      </c>
      <c r="W1123" s="14">
        <v>143</v>
      </c>
      <c r="X1123" s="14">
        <v>74</v>
      </c>
    </row>
    <row r="1124" spans="1:24" hidden="1" x14ac:dyDescent="0.3">
      <c r="A1124" s="14" t="s">
        <v>411</v>
      </c>
      <c r="B1124" s="14" t="s">
        <v>309</v>
      </c>
      <c r="C1124" s="14" t="s">
        <v>345</v>
      </c>
      <c r="D1124" s="14" t="s">
        <v>346</v>
      </c>
      <c r="E1124" s="14" t="s">
        <v>342</v>
      </c>
      <c r="F1124" s="14" t="s">
        <v>343</v>
      </c>
      <c r="G1124" s="14" t="s">
        <v>343</v>
      </c>
      <c r="H1124" s="14" t="s">
        <v>343</v>
      </c>
      <c r="U1124" s="14">
        <v>0.48</v>
      </c>
      <c r="V1124" s="14">
        <v>0.55000000000000004</v>
      </c>
      <c r="W1124" s="14">
        <v>0.55000000000000004</v>
      </c>
      <c r="X1124" s="14">
        <v>0.71</v>
      </c>
    </row>
    <row r="1125" spans="1:24" hidden="1" x14ac:dyDescent="0.3">
      <c r="A1125" s="14" t="s">
        <v>411</v>
      </c>
      <c r="B1125" s="14" t="s">
        <v>309</v>
      </c>
      <c r="C1125" s="14" t="s">
        <v>345</v>
      </c>
      <c r="D1125" s="14" t="s">
        <v>346</v>
      </c>
      <c r="E1125" s="14" t="s">
        <v>344</v>
      </c>
      <c r="F1125" s="14" t="s">
        <v>343</v>
      </c>
      <c r="G1125" s="14" t="s">
        <v>343</v>
      </c>
      <c r="H1125" s="14" t="s">
        <v>343</v>
      </c>
      <c r="U1125" s="14">
        <v>118</v>
      </c>
      <c r="V1125" s="14">
        <v>104</v>
      </c>
      <c r="W1125" s="14">
        <v>106</v>
      </c>
      <c r="X1125" s="14">
        <v>44</v>
      </c>
    </row>
    <row r="1126" spans="1:24" hidden="1" x14ac:dyDescent="0.3">
      <c r="A1126" s="14" t="s">
        <v>411</v>
      </c>
      <c r="B1126" s="14" t="s">
        <v>309</v>
      </c>
      <c r="C1126" s="14" t="s">
        <v>347</v>
      </c>
      <c r="D1126" s="14" t="s">
        <v>348</v>
      </c>
      <c r="E1126" s="14" t="s">
        <v>342</v>
      </c>
      <c r="F1126" s="14" t="s">
        <v>343</v>
      </c>
      <c r="G1126" s="14" t="s">
        <v>343</v>
      </c>
      <c r="H1126" s="14" t="s">
        <v>343</v>
      </c>
      <c r="U1126" s="14">
        <v>0.73</v>
      </c>
      <c r="V1126" s="14">
        <v>0.74</v>
      </c>
      <c r="W1126" s="14">
        <v>0.72</v>
      </c>
      <c r="X1126" s="14">
        <v>0.82</v>
      </c>
    </row>
    <row r="1127" spans="1:24" hidden="1" x14ac:dyDescent="0.3">
      <c r="A1127" s="14" t="s">
        <v>411</v>
      </c>
      <c r="B1127" s="14" t="s">
        <v>309</v>
      </c>
      <c r="C1127" s="14" t="s">
        <v>347</v>
      </c>
      <c r="D1127" s="14" t="s">
        <v>348</v>
      </c>
      <c r="E1127" s="14" t="s">
        <v>344</v>
      </c>
      <c r="F1127" s="14" t="s">
        <v>343</v>
      </c>
      <c r="G1127" s="14" t="s">
        <v>343</v>
      </c>
      <c r="H1127" s="14" t="s">
        <v>343</v>
      </c>
      <c r="U1127" s="14">
        <v>94</v>
      </c>
      <c r="V1127" s="14">
        <v>98</v>
      </c>
      <c r="W1127" s="14">
        <v>106</v>
      </c>
      <c r="X1127" s="14">
        <v>57</v>
      </c>
    </row>
    <row r="1128" spans="1:24" hidden="1" x14ac:dyDescent="0.3">
      <c r="A1128" s="14" t="s">
        <v>411</v>
      </c>
      <c r="B1128" s="14" t="s">
        <v>309</v>
      </c>
      <c r="C1128" s="14" t="s">
        <v>349</v>
      </c>
      <c r="D1128" s="14" t="s">
        <v>350</v>
      </c>
      <c r="E1128" s="14" t="s">
        <v>342</v>
      </c>
      <c r="F1128" s="14" t="s">
        <v>343</v>
      </c>
      <c r="G1128" s="14" t="s">
        <v>343</v>
      </c>
      <c r="H1128" s="14" t="s">
        <v>343</v>
      </c>
      <c r="V1128" s="14">
        <v>0.2</v>
      </c>
      <c r="W1128" s="14">
        <v>1</v>
      </c>
      <c r="X1128" s="14">
        <v>0.32</v>
      </c>
    </row>
    <row r="1129" spans="1:24" hidden="1" x14ac:dyDescent="0.3">
      <c r="A1129" s="14" t="s">
        <v>411</v>
      </c>
      <c r="B1129" s="14" t="s">
        <v>309</v>
      </c>
      <c r="C1129" s="14" t="s">
        <v>349</v>
      </c>
      <c r="D1129" s="14" t="s">
        <v>350</v>
      </c>
      <c r="E1129" s="14" t="s">
        <v>344</v>
      </c>
      <c r="F1129" s="14" t="s">
        <v>343</v>
      </c>
      <c r="G1129" s="14" t="s">
        <v>343</v>
      </c>
      <c r="H1129" s="14" t="s">
        <v>343</v>
      </c>
      <c r="V1129" s="14">
        <v>126</v>
      </c>
      <c r="W1129" s="14">
        <v>1</v>
      </c>
      <c r="X1129" s="14">
        <v>109</v>
      </c>
    </row>
    <row r="1130" spans="1:24" hidden="1" x14ac:dyDescent="0.3">
      <c r="A1130" s="14" t="s">
        <v>411</v>
      </c>
      <c r="B1130" s="14" t="s">
        <v>309</v>
      </c>
      <c r="C1130" s="14" t="s">
        <v>351</v>
      </c>
      <c r="D1130" s="14" t="s">
        <v>352</v>
      </c>
      <c r="E1130" s="14" t="s">
        <v>342</v>
      </c>
      <c r="F1130" s="14" t="s">
        <v>343</v>
      </c>
      <c r="G1130" s="14" t="s">
        <v>343</v>
      </c>
      <c r="H1130" s="14" t="s">
        <v>343</v>
      </c>
      <c r="V1130" s="14">
        <v>0.28999999999999998</v>
      </c>
      <c r="W1130" s="14">
        <v>0.28999999999999998</v>
      </c>
      <c r="X1130" s="14">
        <v>1</v>
      </c>
    </row>
    <row r="1131" spans="1:24" hidden="1" x14ac:dyDescent="0.3">
      <c r="A1131" s="14" t="s">
        <v>411</v>
      </c>
      <c r="B1131" s="14" t="s">
        <v>309</v>
      </c>
      <c r="C1131" s="14" t="s">
        <v>351</v>
      </c>
      <c r="D1131" s="14" t="s">
        <v>352</v>
      </c>
      <c r="E1131" s="14" t="s">
        <v>344</v>
      </c>
      <c r="F1131" s="14" t="s">
        <v>343</v>
      </c>
      <c r="G1131" s="14" t="s">
        <v>343</v>
      </c>
      <c r="H1131" s="14" t="s">
        <v>343</v>
      </c>
      <c r="V1131" s="14">
        <v>141</v>
      </c>
      <c r="W1131" s="14">
        <v>147</v>
      </c>
      <c r="X1131" s="14">
        <v>1</v>
      </c>
    </row>
    <row r="1132" spans="1:24" hidden="1" x14ac:dyDescent="0.3">
      <c r="A1132" s="14" t="s">
        <v>411</v>
      </c>
      <c r="B1132" s="14" t="s">
        <v>309</v>
      </c>
      <c r="C1132" s="14" t="s">
        <v>378</v>
      </c>
      <c r="D1132" s="14" t="s">
        <v>379</v>
      </c>
      <c r="E1132" s="14" t="s">
        <v>342</v>
      </c>
      <c r="F1132" s="14" t="s">
        <v>343</v>
      </c>
      <c r="G1132" s="14" t="s">
        <v>343</v>
      </c>
      <c r="H1132" s="14" t="s">
        <v>343</v>
      </c>
      <c r="S1132" s="14">
        <v>0.59</v>
      </c>
      <c r="U1132" s="14">
        <v>0.65</v>
      </c>
      <c r="V1132" s="14">
        <v>0.68</v>
      </c>
      <c r="W1132" s="14">
        <v>0.7</v>
      </c>
      <c r="X1132" s="14">
        <v>0.65</v>
      </c>
    </row>
    <row r="1133" spans="1:24" hidden="1" x14ac:dyDescent="0.3">
      <c r="A1133" s="14" t="s">
        <v>411</v>
      </c>
      <c r="B1133" s="14" t="s">
        <v>309</v>
      </c>
      <c r="C1133" s="14" t="s">
        <v>378</v>
      </c>
      <c r="D1133" s="14" t="s">
        <v>379</v>
      </c>
      <c r="E1133" s="14" t="s">
        <v>344</v>
      </c>
      <c r="F1133" s="14" t="s">
        <v>343</v>
      </c>
      <c r="G1133" s="14" t="s">
        <v>343</v>
      </c>
      <c r="H1133" s="14" t="s">
        <v>343</v>
      </c>
      <c r="S1133" s="14">
        <v>94</v>
      </c>
      <c r="U1133" s="14">
        <v>67</v>
      </c>
      <c r="V1133" s="14">
        <v>57</v>
      </c>
      <c r="W1133" s="14">
        <v>57</v>
      </c>
      <c r="X1133" s="14">
        <v>75</v>
      </c>
    </row>
    <row r="1134" spans="1:24" hidden="1" x14ac:dyDescent="0.3">
      <c r="A1134" s="14" t="s">
        <v>411</v>
      </c>
      <c r="B1134" s="14" t="s">
        <v>309</v>
      </c>
      <c r="C1134" s="14" t="s">
        <v>353</v>
      </c>
      <c r="D1134" s="14" t="s">
        <v>354</v>
      </c>
      <c r="E1134" s="14" t="s">
        <v>342</v>
      </c>
      <c r="F1134" s="14" t="s">
        <v>343</v>
      </c>
      <c r="G1134" s="14" t="s">
        <v>343</v>
      </c>
      <c r="H1134" s="14" t="s">
        <v>343</v>
      </c>
      <c r="U1134" s="14">
        <v>0.73</v>
      </c>
      <c r="V1134" s="14">
        <v>0.76</v>
      </c>
      <c r="W1134" s="14">
        <v>0.76</v>
      </c>
      <c r="X1134" s="14">
        <v>1</v>
      </c>
    </row>
    <row r="1135" spans="1:24" hidden="1" x14ac:dyDescent="0.3">
      <c r="A1135" s="14" t="s">
        <v>411</v>
      </c>
      <c r="B1135" s="14" t="s">
        <v>309</v>
      </c>
      <c r="C1135" s="14" t="s">
        <v>353</v>
      </c>
      <c r="D1135" s="14" t="s">
        <v>354</v>
      </c>
      <c r="E1135" s="14" t="s">
        <v>344</v>
      </c>
      <c r="F1135" s="14" t="s">
        <v>343</v>
      </c>
      <c r="G1135" s="14" t="s">
        <v>343</v>
      </c>
      <c r="H1135" s="14" t="s">
        <v>343</v>
      </c>
      <c r="U1135" s="14">
        <v>125</v>
      </c>
      <c r="V1135" s="14">
        <v>133</v>
      </c>
      <c r="W1135" s="14">
        <v>134</v>
      </c>
      <c r="X1135" s="14">
        <v>1</v>
      </c>
    </row>
    <row r="1136" spans="1:24" hidden="1" x14ac:dyDescent="0.3">
      <c r="A1136" s="14" t="s">
        <v>411</v>
      </c>
      <c r="B1136" s="14" t="s">
        <v>309</v>
      </c>
      <c r="C1136" s="14" t="s">
        <v>380</v>
      </c>
      <c r="D1136" s="14" t="s">
        <v>381</v>
      </c>
      <c r="E1136" s="14" t="s">
        <v>342</v>
      </c>
      <c r="F1136" s="14" t="s">
        <v>343</v>
      </c>
      <c r="G1136" s="14" t="s">
        <v>343</v>
      </c>
      <c r="H1136" s="14" t="s">
        <v>343</v>
      </c>
      <c r="U1136" s="14">
        <v>0.92</v>
      </c>
      <c r="V1136" s="14">
        <v>0.92</v>
      </c>
      <c r="W1136" s="14">
        <v>0.92</v>
      </c>
      <c r="X1136" s="14">
        <v>1</v>
      </c>
    </row>
    <row r="1137" spans="1:24" hidden="1" x14ac:dyDescent="0.3">
      <c r="A1137" s="14" t="s">
        <v>411</v>
      </c>
      <c r="B1137" s="14" t="s">
        <v>309</v>
      </c>
      <c r="C1137" s="14" t="s">
        <v>380</v>
      </c>
      <c r="D1137" s="14" t="s">
        <v>381</v>
      </c>
      <c r="E1137" s="14" t="s">
        <v>344</v>
      </c>
      <c r="F1137" s="14" t="s">
        <v>343</v>
      </c>
      <c r="G1137" s="14" t="s">
        <v>343</v>
      </c>
      <c r="H1137" s="14" t="s">
        <v>343</v>
      </c>
      <c r="U1137" s="14">
        <v>128</v>
      </c>
      <c r="V1137" s="14">
        <v>136</v>
      </c>
      <c r="W1137" s="14">
        <v>137</v>
      </c>
      <c r="X1137" s="14">
        <v>83</v>
      </c>
    </row>
    <row r="1138" spans="1:24" hidden="1" x14ac:dyDescent="0.3">
      <c r="A1138" s="14" t="s">
        <v>411</v>
      </c>
      <c r="B1138" s="14" t="s">
        <v>309</v>
      </c>
      <c r="C1138" s="14" t="s">
        <v>355</v>
      </c>
      <c r="D1138" s="14" t="s">
        <v>356</v>
      </c>
      <c r="E1138" s="14" t="s">
        <v>342</v>
      </c>
      <c r="F1138" s="14" t="s">
        <v>343</v>
      </c>
      <c r="G1138" s="14" t="s">
        <v>343</v>
      </c>
      <c r="H1138" s="14" t="s">
        <v>343</v>
      </c>
      <c r="U1138" s="14">
        <v>0.75</v>
      </c>
      <c r="V1138" s="14">
        <v>0.77</v>
      </c>
      <c r="W1138" s="14">
        <v>0.77</v>
      </c>
      <c r="X1138" s="14">
        <v>0.97</v>
      </c>
    </row>
    <row r="1139" spans="1:24" hidden="1" x14ac:dyDescent="0.3">
      <c r="A1139" s="14" t="s">
        <v>411</v>
      </c>
      <c r="B1139" s="14" t="s">
        <v>309</v>
      </c>
      <c r="C1139" s="14" t="s">
        <v>355</v>
      </c>
      <c r="D1139" s="14" t="s">
        <v>356</v>
      </c>
      <c r="E1139" s="14" t="s">
        <v>344</v>
      </c>
      <c r="F1139" s="14" t="s">
        <v>343</v>
      </c>
      <c r="G1139" s="14" t="s">
        <v>343</v>
      </c>
      <c r="H1139" s="14" t="s">
        <v>343</v>
      </c>
      <c r="U1139" s="14">
        <v>141</v>
      </c>
      <c r="V1139" s="14">
        <v>145</v>
      </c>
      <c r="W1139" s="14">
        <v>145</v>
      </c>
      <c r="X1139" s="14">
        <v>101</v>
      </c>
    </row>
    <row r="1140" spans="1:24" hidden="1" x14ac:dyDescent="0.3">
      <c r="A1140" s="14" t="s">
        <v>411</v>
      </c>
      <c r="B1140" s="14" t="s">
        <v>309</v>
      </c>
      <c r="C1140" s="14" t="s">
        <v>357</v>
      </c>
      <c r="D1140" s="14" t="s">
        <v>358</v>
      </c>
      <c r="E1140" s="14" t="s">
        <v>342</v>
      </c>
      <c r="F1140" s="14" t="s">
        <v>343</v>
      </c>
      <c r="G1140" s="14" t="s">
        <v>343</v>
      </c>
      <c r="H1140" s="14" t="s">
        <v>343</v>
      </c>
      <c r="U1140" s="14">
        <v>0.7</v>
      </c>
      <c r="V1140" s="14">
        <v>0.69</v>
      </c>
      <c r="W1140" s="14">
        <v>0.69</v>
      </c>
      <c r="X1140" s="14">
        <v>1</v>
      </c>
    </row>
    <row r="1141" spans="1:24" hidden="1" x14ac:dyDescent="0.3">
      <c r="A1141" s="14" t="s">
        <v>411</v>
      </c>
      <c r="B1141" s="14" t="s">
        <v>309</v>
      </c>
      <c r="C1141" s="14" t="s">
        <v>357</v>
      </c>
      <c r="D1141" s="14" t="s">
        <v>358</v>
      </c>
      <c r="E1141" s="14" t="s">
        <v>344</v>
      </c>
      <c r="F1141" s="14" t="s">
        <v>343</v>
      </c>
      <c r="G1141" s="14" t="s">
        <v>343</v>
      </c>
      <c r="H1141" s="14" t="s">
        <v>343</v>
      </c>
      <c r="U1141" s="14">
        <v>122</v>
      </c>
      <c r="V1141" s="14">
        <v>130</v>
      </c>
      <c r="W1141" s="14">
        <v>131</v>
      </c>
      <c r="X1141" s="14">
        <v>1</v>
      </c>
    </row>
    <row r="1142" spans="1:24" hidden="1" x14ac:dyDescent="0.3">
      <c r="A1142" s="14" t="s">
        <v>411</v>
      </c>
      <c r="B1142" s="14" t="s">
        <v>309</v>
      </c>
      <c r="C1142" s="14" t="s">
        <v>359</v>
      </c>
      <c r="D1142" s="14" t="s">
        <v>360</v>
      </c>
      <c r="E1142" s="14" t="s">
        <v>342</v>
      </c>
      <c r="F1142" s="14" t="s">
        <v>343</v>
      </c>
      <c r="G1142" s="14" t="s">
        <v>343</v>
      </c>
      <c r="H1142" s="14" t="s">
        <v>343</v>
      </c>
      <c r="M1142" s="14">
        <v>0.54</v>
      </c>
      <c r="N1142" s="14">
        <v>0.56000000000000005</v>
      </c>
      <c r="O1142" s="14">
        <v>0.55000000000000004</v>
      </c>
      <c r="P1142" s="14">
        <v>0.56000000000000005</v>
      </c>
      <c r="Q1142" s="14">
        <v>0.57999999999999996</v>
      </c>
      <c r="R1142" s="14">
        <v>0.6</v>
      </c>
      <c r="S1142" s="14">
        <v>0.56999999999999995</v>
      </c>
      <c r="T1142" s="14">
        <v>0.56999999999999995</v>
      </c>
      <c r="U1142" s="14">
        <v>0.62</v>
      </c>
      <c r="V1142" s="14">
        <v>0.55000000000000004</v>
      </c>
      <c r="W1142" s="14">
        <v>0.66</v>
      </c>
      <c r="X1142" s="14">
        <v>0.69</v>
      </c>
    </row>
    <row r="1143" spans="1:24" hidden="1" x14ac:dyDescent="0.3">
      <c r="A1143" s="14" t="s">
        <v>411</v>
      </c>
      <c r="B1143" s="14" t="s">
        <v>309</v>
      </c>
      <c r="C1143" s="14" t="s">
        <v>359</v>
      </c>
      <c r="D1143" s="14" t="s">
        <v>360</v>
      </c>
      <c r="E1143" s="14" t="s">
        <v>344</v>
      </c>
      <c r="F1143" s="14" t="s">
        <v>343</v>
      </c>
      <c r="G1143" s="14" t="s">
        <v>343</v>
      </c>
      <c r="H1143" s="14" t="s">
        <v>343</v>
      </c>
      <c r="M1143" s="14">
        <v>106</v>
      </c>
      <c r="N1143" s="14">
        <v>103</v>
      </c>
      <c r="O1143" s="14">
        <v>111</v>
      </c>
      <c r="P1143" s="14">
        <v>110</v>
      </c>
      <c r="Q1143" s="14">
        <v>112</v>
      </c>
      <c r="R1143" s="14">
        <v>112</v>
      </c>
      <c r="S1143" s="14">
        <v>116</v>
      </c>
      <c r="T1143" s="14">
        <v>115</v>
      </c>
      <c r="U1143" s="14">
        <v>102</v>
      </c>
      <c r="V1143" s="14">
        <v>129</v>
      </c>
      <c r="W1143" s="14">
        <v>90</v>
      </c>
      <c r="X1143" s="14">
        <v>76</v>
      </c>
    </row>
    <row r="1144" spans="1:24" x14ac:dyDescent="0.3">
      <c r="A1144" s="14" t="s">
        <v>411</v>
      </c>
      <c r="B1144" s="14" t="s">
        <v>309</v>
      </c>
      <c r="C1144" s="14" t="s">
        <v>361</v>
      </c>
      <c r="D1144" s="14" t="s">
        <v>362</v>
      </c>
      <c r="E1144" s="14" t="s">
        <v>342</v>
      </c>
      <c r="F1144" s="14" t="s">
        <v>343</v>
      </c>
      <c r="G1144" s="14" t="s">
        <v>343</v>
      </c>
      <c r="H1144" s="14" t="s">
        <v>343</v>
      </c>
      <c r="M1144" s="14">
        <v>0.98</v>
      </c>
      <c r="N1144" s="14">
        <v>0.98</v>
      </c>
      <c r="O1144" s="14">
        <v>0.98</v>
      </c>
      <c r="P1144" s="14">
        <v>0.98</v>
      </c>
      <c r="Q1144" s="14">
        <v>0.97</v>
      </c>
      <c r="R1144" s="14">
        <v>0.97</v>
      </c>
      <c r="S1144" s="14">
        <v>0.97</v>
      </c>
      <c r="T1144" s="14">
        <v>0.97</v>
      </c>
      <c r="U1144" s="14">
        <v>0.97</v>
      </c>
      <c r="V1144" s="14">
        <v>0.97</v>
      </c>
      <c r="W1144" s="14">
        <v>0.98</v>
      </c>
      <c r="X1144" s="14">
        <v>0.96</v>
      </c>
    </row>
    <row r="1145" spans="1:24" hidden="1" x14ac:dyDescent="0.3">
      <c r="A1145" s="14" t="s">
        <v>411</v>
      </c>
      <c r="B1145" s="14" t="s">
        <v>309</v>
      </c>
      <c r="C1145" s="14" t="s">
        <v>361</v>
      </c>
      <c r="D1145" s="14" t="s">
        <v>362</v>
      </c>
      <c r="E1145" s="14" t="s">
        <v>344</v>
      </c>
      <c r="F1145" s="14" t="s">
        <v>343</v>
      </c>
      <c r="G1145" s="14" t="s">
        <v>343</v>
      </c>
      <c r="H1145" s="14" t="s">
        <v>343</v>
      </c>
      <c r="M1145" s="14">
        <v>1</v>
      </c>
      <c r="N1145" s="14">
        <v>1</v>
      </c>
      <c r="O1145" s="14">
        <v>1</v>
      </c>
      <c r="P1145" s="14">
        <v>1</v>
      </c>
      <c r="Q1145" s="14">
        <v>104</v>
      </c>
      <c r="R1145" s="14">
        <v>113</v>
      </c>
      <c r="S1145" s="14">
        <v>112</v>
      </c>
      <c r="T1145" s="14">
        <v>121</v>
      </c>
      <c r="U1145" s="14">
        <v>106</v>
      </c>
      <c r="V1145" s="14">
        <v>108</v>
      </c>
      <c r="W1145" s="14">
        <v>36</v>
      </c>
      <c r="X1145" s="14">
        <v>132</v>
      </c>
    </row>
    <row r="1146" spans="1:24" hidden="1" x14ac:dyDescent="0.3">
      <c r="A1146" s="14" t="s">
        <v>411</v>
      </c>
      <c r="B1146" s="14" t="s">
        <v>309</v>
      </c>
      <c r="C1146" s="14" t="s">
        <v>363</v>
      </c>
      <c r="D1146" s="14" t="s">
        <v>364</v>
      </c>
      <c r="E1146" s="14" t="s">
        <v>342</v>
      </c>
      <c r="F1146" s="14" t="s">
        <v>343</v>
      </c>
      <c r="G1146" s="14" t="s">
        <v>343</v>
      </c>
      <c r="H1146" s="14" t="s">
        <v>343</v>
      </c>
      <c r="U1146" s="14">
        <v>1.03</v>
      </c>
      <c r="V1146" s="14">
        <v>1.03</v>
      </c>
      <c r="W1146" s="14">
        <v>1.06</v>
      </c>
      <c r="X1146" s="14">
        <v>1.02</v>
      </c>
    </row>
    <row r="1147" spans="1:24" hidden="1" x14ac:dyDescent="0.3">
      <c r="A1147" s="14" t="s">
        <v>411</v>
      </c>
      <c r="B1147" s="14" t="s">
        <v>309</v>
      </c>
      <c r="C1147" s="14" t="s">
        <v>363</v>
      </c>
      <c r="D1147" s="14" t="s">
        <v>364</v>
      </c>
      <c r="E1147" s="14" t="s">
        <v>344</v>
      </c>
      <c r="F1147" s="14" t="s">
        <v>343</v>
      </c>
      <c r="G1147" s="14" t="s">
        <v>343</v>
      </c>
      <c r="H1147" s="14" t="s">
        <v>343</v>
      </c>
      <c r="U1147" s="14">
        <v>115</v>
      </c>
      <c r="V1147" s="14">
        <v>118</v>
      </c>
      <c r="W1147" s="14">
        <v>45</v>
      </c>
      <c r="X1147" s="14">
        <v>110</v>
      </c>
    </row>
    <row r="1148" spans="1:24" hidden="1" x14ac:dyDescent="0.3">
      <c r="A1148" s="14" t="s">
        <v>411</v>
      </c>
      <c r="B1148" s="14" t="s">
        <v>309</v>
      </c>
      <c r="C1148" s="14" t="s">
        <v>365</v>
      </c>
      <c r="D1148" s="14" t="s">
        <v>366</v>
      </c>
      <c r="E1148" s="14" t="s">
        <v>342</v>
      </c>
      <c r="F1148" s="14" t="s">
        <v>343</v>
      </c>
      <c r="G1148" s="14" t="s">
        <v>343</v>
      </c>
      <c r="H1148" s="14" t="s">
        <v>343</v>
      </c>
      <c r="U1148" s="14">
        <v>0.94</v>
      </c>
      <c r="V1148" s="14">
        <v>0.94</v>
      </c>
      <c r="W1148" s="14">
        <v>0.94</v>
      </c>
      <c r="X1148" s="14">
        <v>0.94</v>
      </c>
    </row>
    <row r="1149" spans="1:24" hidden="1" x14ac:dyDescent="0.3">
      <c r="A1149" s="14" t="s">
        <v>411</v>
      </c>
      <c r="B1149" s="14" t="s">
        <v>309</v>
      </c>
      <c r="C1149" s="14" t="s">
        <v>365</v>
      </c>
      <c r="D1149" s="14" t="s">
        <v>366</v>
      </c>
      <c r="E1149" s="14" t="s">
        <v>344</v>
      </c>
      <c r="F1149" s="14" t="s">
        <v>343</v>
      </c>
      <c r="G1149" s="14" t="s">
        <v>343</v>
      </c>
      <c r="H1149" s="14" t="s">
        <v>343</v>
      </c>
      <c r="U1149" s="14">
        <v>1</v>
      </c>
      <c r="V1149" s="14">
        <v>1</v>
      </c>
      <c r="W1149" s="14">
        <v>1</v>
      </c>
      <c r="X1149" s="14">
        <v>137</v>
      </c>
    </row>
    <row r="1150" spans="1:24" hidden="1" x14ac:dyDescent="0.3">
      <c r="A1150" s="14" t="s">
        <v>411</v>
      </c>
      <c r="B1150" s="14" t="s">
        <v>309</v>
      </c>
      <c r="C1150" s="14" t="s">
        <v>367</v>
      </c>
      <c r="D1150" s="14" t="s">
        <v>368</v>
      </c>
      <c r="E1150" s="14" t="s">
        <v>342</v>
      </c>
      <c r="F1150" s="14" t="s">
        <v>343</v>
      </c>
      <c r="G1150" s="14" t="s">
        <v>343</v>
      </c>
      <c r="H1150" s="14" t="s">
        <v>343</v>
      </c>
      <c r="M1150" s="14">
        <v>0.56999999999999995</v>
      </c>
      <c r="N1150" s="14">
        <v>0.57999999999999996</v>
      </c>
      <c r="O1150" s="14">
        <v>0.57999999999999996</v>
      </c>
      <c r="P1150" s="14">
        <v>0.57999999999999996</v>
      </c>
      <c r="Q1150" s="14">
        <v>0.59</v>
      </c>
      <c r="R1150" s="14">
        <v>0.61</v>
      </c>
      <c r="S1150" s="14">
        <v>0.6</v>
      </c>
      <c r="T1150" s="14">
        <v>0.61</v>
      </c>
      <c r="U1150" s="14">
        <v>0.63</v>
      </c>
      <c r="V1150" s="14">
        <v>0.61</v>
      </c>
      <c r="W1150" s="14">
        <v>0.64</v>
      </c>
      <c r="X1150" s="14">
        <v>0.7</v>
      </c>
    </row>
    <row r="1151" spans="1:24" hidden="1" x14ac:dyDescent="0.3">
      <c r="A1151" s="14" t="s">
        <v>411</v>
      </c>
      <c r="B1151" s="14" t="s">
        <v>309</v>
      </c>
      <c r="C1151" s="14" t="s">
        <v>367</v>
      </c>
      <c r="D1151" s="14" t="s">
        <v>368</v>
      </c>
      <c r="E1151" s="14" t="s">
        <v>344</v>
      </c>
      <c r="F1151" s="14" t="s">
        <v>343</v>
      </c>
      <c r="G1151" s="14" t="s">
        <v>343</v>
      </c>
      <c r="H1151" s="14" t="s">
        <v>343</v>
      </c>
      <c r="M1151" s="14">
        <v>130</v>
      </c>
      <c r="N1151" s="14">
        <v>130</v>
      </c>
      <c r="O1151" s="14">
        <v>130</v>
      </c>
      <c r="P1151" s="14">
        <v>131</v>
      </c>
      <c r="Q1151" s="14">
        <v>136</v>
      </c>
      <c r="R1151" s="14">
        <v>133</v>
      </c>
      <c r="S1151" s="14">
        <v>136</v>
      </c>
      <c r="T1151" s="14">
        <v>133</v>
      </c>
      <c r="U1151" s="14">
        <v>131</v>
      </c>
      <c r="V1151" s="14">
        <v>142</v>
      </c>
      <c r="W1151" s="14">
        <v>134</v>
      </c>
      <c r="X1151" s="14">
        <v>93</v>
      </c>
    </row>
    <row r="1152" spans="1:24" hidden="1" x14ac:dyDescent="0.3">
      <c r="A1152" s="14" t="s">
        <v>411</v>
      </c>
      <c r="B1152" s="14" t="s">
        <v>309</v>
      </c>
      <c r="C1152" s="14" t="s">
        <v>369</v>
      </c>
      <c r="D1152" s="14" t="s">
        <v>370</v>
      </c>
      <c r="E1152" s="14" t="s">
        <v>342</v>
      </c>
      <c r="F1152" s="14" t="s">
        <v>343</v>
      </c>
      <c r="G1152" s="14" t="s">
        <v>343</v>
      </c>
      <c r="H1152" s="14" t="s">
        <v>343</v>
      </c>
      <c r="M1152" s="14">
        <v>7.0000000000000007E-2</v>
      </c>
      <c r="N1152" s="14">
        <v>7.0000000000000007E-2</v>
      </c>
      <c r="O1152" s="14">
        <v>0.08</v>
      </c>
      <c r="P1152" s="14">
        <v>0.08</v>
      </c>
      <c r="Q1152" s="14">
        <v>0.08</v>
      </c>
      <c r="R1152" s="14">
        <v>0.08</v>
      </c>
      <c r="S1152" s="14">
        <v>0.08</v>
      </c>
      <c r="T1152" s="14">
        <v>0.1</v>
      </c>
      <c r="U1152" s="14">
        <v>0.1</v>
      </c>
      <c r="V1152" s="14">
        <v>0.08</v>
      </c>
      <c r="W1152" s="14">
        <v>0.08</v>
      </c>
      <c r="X1152" s="14">
        <v>0.14000000000000001</v>
      </c>
    </row>
    <row r="1153" spans="1:24" hidden="1" x14ac:dyDescent="0.3">
      <c r="A1153" s="14" t="s">
        <v>411</v>
      </c>
      <c r="B1153" s="14" t="s">
        <v>309</v>
      </c>
      <c r="C1153" s="14" t="s">
        <v>369</v>
      </c>
      <c r="D1153" s="14" t="s">
        <v>370</v>
      </c>
      <c r="E1153" s="14" t="s">
        <v>344</v>
      </c>
      <c r="F1153" s="14" t="s">
        <v>343</v>
      </c>
      <c r="G1153" s="14" t="s">
        <v>343</v>
      </c>
      <c r="H1153" s="14" t="s">
        <v>343</v>
      </c>
      <c r="M1153" s="14">
        <v>104</v>
      </c>
      <c r="N1153" s="14">
        <v>105</v>
      </c>
      <c r="O1153" s="14">
        <v>104</v>
      </c>
      <c r="P1153" s="14">
        <v>107</v>
      </c>
      <c r="Q1153" s="14">
        <v>115</v>
      </c>
      <c r="R1153" s="14">
        <v>119</v>
      </c>
      <c r="S1153" s="14">
        <v>120</v>
      </c>
      <c r="T1153" s="14">
        <v>108</v>
      </c>
      <c r="U1153" s="14">
        <v>110</v>
      </c>
      <c r="V1153" s="14">
        <v>131</v>
      </c>
      <c r="W1153" s="14">
        <v>139</v>
      </c>
      <c r="X1153" s="14">
        <v>101</v>
      </c>
    </row>
    <row r="1154" spans="1:24" hidden="1" x14ac:dyDescent="0.3">
      <c r="A1154" s="14" t="s">
        <v>411</v>
      </c>
      <c r="B1154" s="14" t="s">
        <v>309</v>
      </c>
      <c r="C1154" s="14" t="s">
        <v>371</v>
      </c>
      <c r="D1154" s="14" t="s">
        <v>372</v>
      </c>
      <c r="E1154" s="14" t="s">
        <v>342</v>
      </c>
      <c r="F1154" s="14" t="s">
        <v>343</v>
      </c>
      <c r="G1154" s="14" t="s">
        <v>343</v>
      </c>
      <c r="H1154" s="14" t="s">
        <v>343</v>
      </c>
      <c r="U1154" s="14">
        <v>0</v>
      </c>
      <c r="V1154" s="14">
        <v>0</v>
      </c>
      <c r="W1154" s="14">
        <v>0</v>
      </c>
      <c r="X1154" s="14">
        <v>0</v>
      </c>
    </row>
    <row r="1155" spans="1:24" hidden="1" x14ac:dyDescent="0.3">
      <c r="A1155" s="14" t="s">
        <v>411</v>
      </c>
      <c r="B1155" s="14" t="s">
        <v>309</v>
      </c>
      <c r="C1155" s="14" t="s">
        <v>371</v>
      </c>
      <c r="D1155" s="14" t="s">
        <v>372</v>
      </c>
      <c r="E1155" s="14" t="s">
        <v>344</v>
      </c>
      <c r="F1155" s="14" t="s">
        <v>343</v>
      </c>
      <c r="G1155" s="14" t="s">
        <v>343</v>
      </c>
      <c r="H1155" s="14" t="s">
        <v>343</v>
      </c>
      <c r="U1155" s="14">
        <v>71</v>
      </c>
      <c r="V1155" s="14">
        <v>73</v>
      </c>
      <c r="W1155" s="14">
        <v>76</v>
      </c>
      <c r="X1155" s="14">
        <v>78</v>
      </c>
    </row>
    <row r="1156" spans="1:24" hidden="1" x14ac:dyDescent="0.3">
      <c r="A1156" s="14" t="s">
        <v>411</v>
      </c>
      <c r="B1156" s="14" t="s">
        <v>309</v>
      </c>
      <c r="C1156" s="14" t="s">
        <v>373</v>
      </c>
      <c r="D1156" s="14" t="s">
        <v>374</v>
      </c>
      <c r="E1156" s="14" t="s">
        <v>342</v>
      </c>
      <c r="F1156" s="14" t="s">
        <v>343</v>
      </c>
      <c r="G1156" s="14" t="s">
        <v>343</v>
      </c>
      <c r="H1156" s="14" t="s">
        <v>343</v>
      </c>
      <c r="U1156" s="14">
        <v>0.26</v>
      </c>
      <c r="V1156" s="14">
        <v>0.18</v>
      </c>
      <c r="W1156" s="14">
        <v>0.15</v>
      </c>
      <c r="X1156" s="14">
        <v>0.38</v>
      </c>
    </row>
    <row r="1157" spans="1:24" hidden="1" x14ac:dyDescent="0.3">
      <c r="A1157" s="14" t="s">
        <v>411</v>
      </c>
      <c r="B1157" s="14" t="s">
        <v>309</v>
      </c>
      <c r="C1157" s="14" t="s">
        <v>373</v>
      </c>
      <c r="D1157" s="14" t="s">
        <v>374</v>
      </c>
      <c r="E1157" s="14" t="s">
        <v>344</v>
      </c>
      <c r="F1157" s="14" t="s">
        <v>343</v>
      </c>
      <c r="G1157" s="14" t="s">
        <v>343</v>
      </c>
      <c r="H1157" s="14" t="s">
        <v>343</v>
      </c>
      <c r="U1157" s="14">
        <v>66</v>
      </c>
      <c r="V1157" s="14">
        <v>100</v>
      </c>
      <c r="W1157" s="14">
        <v>115</v>
      </c>
      <c r="X1157" s="14">
        <v>60</v>
      </c>
    </row>
    <row r="1158" spans="1:24" hidden="1" x14ac:dyDescent="0.3">
      <c r="A1158" s="14" t="s">
        <v>411</v>
      </c>
      <c r="B1158" s="14" t="s">
        <v>309</v>
      </c>
      <c r="C1158" s="14" t="s">
        <v>375</v>
      </c>
      <c r="D1158" s="14" t="s">
        <v>376</v>
      </c>
      <c r="E1158" s="14" t="s">
        <v>342</v>
      </c>
      <c r="F1158" s="14" t="s">
        <v>343</v>
      </c>
      <c r="G1158" s="14" t="s">
        <v>343</v>
      </c>
      <c r="H1158" s="14" t="s">
        <v>343</v>
      </c>
      <c r="U1158" s="14">
        <v>0.12</v>
      </c>
      <c r="V1158" s="14">
        <v>0.12</v>
      </c>
      <c r="W1158" s="14">
        <v>0.13</v>
      </c>
      <c r="X1158" s="14">
        <v>0.17</v>
      </c>
    </row>
    <row r="1159" spans="1:24" hidden="1" x14ac:dyDescent="0.3">
      <c r="A1159" s="14" t="s">
        <v>411</v>
      </c>
      <c r="B1159" s="14" t="s">
        <v>309</v>
      </c>
      <c r="C1159" s="14" t="s">
        <v>375</v>
      </c>
      <c r="D1159" s="14" t="s">
        <v>376</v>
      </c>
      <c r="E1159" s="14" t="s">
        <v>344</v>
      </c>
      <c r="F1159" s="14" t="s">
        <v>343</v>
      </c>
      <c r="G1159" s="14" t="s">
        <v>343</v>
      </c>
      <c r="H1159" s="14" t="s">
        <v>343</v>
      </c>
      <c r="U1159" s="14">
        <v>127</v>
      </c>
      <c r="V1159" s="14">
        <v>133</v>
      </c>
      <c r="W1159" s="14">
        <v>136</v>
      </c>
      <c r="X1159" s="14">
        <v>121</v>
      </c>
    </row>
    <row r="1160" spans="1:24" hidden="1" x14ac:dyDescent="0.3">
      <c r="A1160" s="14" t="s">
        <v>412</v>
      </c>
      <c r="B1160" s="14" t="s">
        <v>60</v>
      </c>
      <c r="C1160" s="14" t="s">
        <v>340</v>
      </c>
      <c r="D1160" s="14" t="s">
        <v>341</v>
      </c>
      <c r="E1160" s="14" t="s">
        <v>342</v>
      </c>
      <c r="F1160" s="14" t="s">
        <v>343</v>
      </c>
      <c r="G1160" s="14" t="s">
        <v>343</v>
      </c>
      <c r="H1160" s="14" t="s">
        <v>343</v>
      </c>
      <c r="I1160" s="14">
        <v>0.82</v>
      </c>
      <c r="J1160" s="14">
        <v>0.83</v>
      </c>
      <c r="K1160" s="14">
        <v>0.83</v>
      </c>
      <c r="L1160" s="14">
        <v>0.84</v>
      </c>
      <c r="M1160" s="14">
        <v>0.86</v>
      </c>
      <c r="N1160" s="14">
        <v>0.86</v>
      </c>
      <c r="O1160" s="14">
        <v>0.78</v>
      </c>
      <c r="P1160" s="14">
        <v>0.85</v>
      </c>
      <c r="R1160" s="14">
        <v>0.86</v>
      </c>
      <c r="S1160" s="14">
        <v>0.86</v>
      </c>
      <c r="T1160" s="14">
        <v>0.87</v>
      </c>
      <c r="U1160" s="14">
        <v>0.88</v>
      </c>
      <c r="V1160" s="14">
        <v>0.88</v>
      </c>
      <c r="W1160" s="14">
        <v>0.88</v>
      </c>
      <c r="X1160" s="14">
        <v>0.97</v>
      </c>
    </row>
    <row r="1161" spans="1:24" hidden="1" x14ac:dyDescent="0.3">
      <c r="A1161" s="14" t="s">
        <v>412</v>
      </c>
      <c r="B1161" s="14" t="s">
        <v>60</v>
      </c>
      <c r="C1161" s="14" t="s">
        <v>340</v>
      </c>
      <c r="D1161" s="14" t="s">
        <v>341</v>
      </c>
      <c r="E1161" s="14" t="s">
        <v>344</v>
      </c>
      <c r="F1161" s="14" t="s">
        <v>343</v>
      </c>
      <c r="G1161" s="14" t="s">
        <v>343</v>
      </c>
      <c r="H1161" s="14" t="s">
        <v>343</v>
      </c>
      <c r="I1161" s="14">
        <v>101</v>
      </c>
      <c r="J1161" s="14">
        <v>115</v>
      </c>
      <c r="K1161" s="14">
        <v>119</v>
      </c>
      <c r="L1161" s="14">
        <v>122</v>
      </c>
      <c r="M1161" s="14">
        <v>117</v>
      </c>
      <c r="N1161" s="14">
        <v>118</v>
      </c>
      <c r="O1161" s="14">
        <v>126</v>
      </c>
      <c r="P1161" s="14">
        <v>122</v>
      </c>
      <c r="R1161" s="14">
        <v>130</v>
      </c>
      <c r="S1161" s="14">
        <v>130</v>
      </c>
      <c r="T1161" s="14">
        <v>129</v>
      </c>
      <c r="U1161" s="14">
        <v>133</v>
      </c>
      <c r="V1161" s="14">
        <v>136</v>
      </c>
      <c r="W1161" s="14">
        <v>137</v>
      </c>
      <c r="X1161" s="14">
        <v>105</v>
      </c>
    </row>
    <row r="1162" spans="1:24" hidden="1" x14ac:dyDescent="0.3">
      <c r="A1162" s="14" t="s">
        <v>412</v>
      </c>
      <c r="B1162" s="14" t="s">
        <v>60</v>
      </c>
      <c r="C1162" s="14" t="s">
        <v>345</v>
      </c>
      <c r="D1162" s="14" t="s">
        <v>346</v>
      </c>
      <c r="E1162" s="14" t="s">
        <v>342</v>
      </c>
      <c r="F1162" s="14" t="s">
        <v>343</v>
      </c>
      <c r="G1162" s="14" t="s">
        <v>343</v>
      </c>
      <c r="H1162" s="14" t="s">
        <v>343</v>
      </c>
      <c r="U1162" s="14">
        <v>1</v>
      </c>
      <c r="V1162" s="14">
        <v>0.47</v>
      </c>
      <c r="W1162" s="14">
        <v>0.48</v>
      </c>
      <c r="X1162" s="14">
        <v>0.78</v>
      </c>
    </row>
    <row r="1163" spans="1:24" hidden="1" x14ac:dyDescent="0.3">
      <c r="A1163" s="14" t="s">
        <v>412</v>
      </c>
      <c r="B1163" s="14" t="s">
        <v>60</v>
      </c>
      <c r="C1163" s="14" t="s">
        <v>345</v>
      </c>
      <c r="D1163" s="14" t="s">
        <v>346</v>
      </c>
      <c r="E1163" s="14" t="s">
        <v>344</v>
      </c>
      <c r="F1163" s="14" t="s">
        <v>343</v>
      </c>
      <c r="G1163" s="14" t="s">
        <v>343</v>
      </c>
      <c r="H1163" s="14" t="s">
        <v>343</v>
      </c>
      <c r="U1163" s="14">
        <v>1</v>
      </c>
      <c r="V1163" s="14">
        <v>122</v>
      </c>
      <c r="W1163" s="14">
        <v>121</v>
      </c>
      <c r="X1163" s="14">
        <v>18</v>
      </c>
    </row>
    <row r="1164" spans="1:24" hidden="1" x14ac:dyDescent="0.3">
      <c r="A1164" s="14" t="s">
        <v>412</v>
      </c>
      <c r="B1164" s="14" t="s">
        <v>60</v>
      </c>
      <c r="C1164" s="14" t="s">
        <v>347</v>
      </c>
      <c r="D1164" s="14" t="s">
        <v>348</v>
      </c>
      <c r="E1164" s="14" t="s">
        <v>342</v>
      </c>
      <c r="F1164" s="14" t="s">
        <v>343</v>
      </c>
      <c r="G1164" s="14" t="s">
        <v>343</v>
      </c>
      <c r="H1164" s="14" t="s">
        <v>343</v>
      </c>
      <c r="U1164" s="14">
        <v>0.88</v>
      </c>
      <c r="V1164" s="14">
        <v>0.88</v>
      </c>
      <c r="W1164" s="14">
        <v>0.88</v>
      </c>
      <c r="X1164" s="14">
        <v>0.86</v>
      </c>
    </row>
    <row r="1165" spans="1:24" hidden="1" x14ac:dyDescent="0.3">
      <c r="A1165" s="14" t="s">
        <v>412</v>
      </c>
      <c r="B1165" s="14" t="s">
        <v>60</v>
      </c>
      <c r="C1165" s="14" t="s">
        <v>347</v>
      </c>
      <c r="D1165" s="14" t="s">
        <v>348</v>
      </c>
      <c r="E1165" s="14" t="s">
        <v>344</v>
      </c>
      <c r="F1165" s="14" t="s">
        <v>343</v>
      </c>
      <c r="G1165" s="14" t="s">
        <v>343</v>
      </c>
      <c r="H1165" s="14" t="s">
        <v>343</v>
      </c>
      <c r="U1165" s="14">
        <v>50</v>
      </c>
      <c r="V1165" s="14">
        <v>51</v>
      </c>
      <c r="W1165" s="14">
        <v>51</v>
      </c>
      <c r="X1165" s="14">
        <v>41</v>
      </c>
    </row>
    <row r="1166" spans="1:24" hidden="1" x14ac:dyDescent="0.3">
      <c r="A1166" s="14" t="s">
        <v>412</v>
      </c>
      <c r="B1166" s="14" t="s">
        <v>60</v>
      </c>
      <c r="C1166" s="14" t="s">
        <v>349</v>
      </c>
      <c r="D1166" s="14" t="s">
        <v>350</v>
      </c>
      <c r="E1166" s="14" t="s">
        <v>342</v>
      </c>
      <c r="F1166" s="14" t="s">
        <v>343</v>
      </c>
      <c r="G1166" s="14" t="s">
        <v>343</v>
      </c>
      <c r="H1166" s="14" t="s">
        <v>343</v>
      </c>
      <c r="U1166" s="14">
        <v>0.97</v>
      </c>
      <c r="V1166" s="14">
        <v>0.97</v>
      </c>
      <c r="W1166" s="14">
        <v>0.97</v>
      </c>
      <c r="X1166" s="14">
        <v>0.45</v>
      </c>
    </row>
    <row r="1167" spans="1:24" hidden="1" x14ac:dyDescent="0.3">
      <c r="A1167" s="14" t="s">
        <v>412</v>
      </c>
      <c r="B1167" s="14" t="s">
        <v>60</v>
      </c>
      <c r="C1167" s="14" t="s">
        <v>349</v>
      </c>
      <c r="D1167" s="14" t="s">
        <v>350</v>
      </c>
      <c r="E1167" s="14" t="s">
        <v>344</v>
      </c>
      <c r="F1167" s="14" t="s">
        <v>343</v>
      </c>
      <c r="G1167" s="14" t="s">
        <v>343</v>
      </c>
      <c r="H1167" s="14" t="s">
        <v>343</v>
      </c>
      <c r="U1167" s="14">
        <v>6</v>
      </c>
      <c r="V1167" s="14">
        <v>7</v>
      </c>
      <c r="W1167" s="14">
        <v>14</v>
      </c>
      <c r="X1167" s="14">
        <v>86</v>
      </c>
    </row>
    <row r="1168" spans="1:24" hidden="1" x14ac:dyDescent="0.3">
      <c r="A1168" s="14" t="s">
        <v>412</v>
      </c>
      <c r="B1168" s="14" t="s">
        <v>60</v>
      </c>
      <c r="C1168" s="14" t="s">
        <v>351</v>
      </c>
      <c r="D1168" s="14" t="s">
        <v>352</v>
      </c>
      <c r="E1168" s="14" t="s">
        <v>342</v>
      </c>
      <c r="F1168" s="14" t="s">
        <v>343</v>
      </c>
      <c r="G1168" s="14" t="s">
        <v>343</v>
      </c>
      <c r="H1168" s="14" t="s">
        <v>343</v>
      </c>
      <c r="U1168" s="14">
        <v>0.56000000000000005</v>
      </c>
      <c r="V1168" s="14">
        <v>0.56000000000000005</v>
      </c>
      <c r="W1168" s="14">
        <v>0.56000000000000005</v>
      </c>
      <c r="X1168" s="14">
        <v>0.67</v>
      </c>
    </row>
    <row r="1169" spans="1:24" hidden="1" x14ac:dyDescent="0.3">
      <c r="A1169" s="14" t="s">
        <v>412</v>
      </c>
      <c r="B1169" s="14" t="s">
        <v>60</v>
      </c>
      <c r="C1169" s="14" t="s">
        <v>351</v>
      </c>
      <c r="D1169" s="14" t="s">
        <v>352</v>
      </c>
      <c r="E1169" s="14" t="s">
        <v>344</v>
      </c>
      <c r="F1169" s="14" t="s">
        <v>343</v>
      </c>
      <c r="G1169" s="14" t="s">
        <v>343</v>
      </c>
      <c r="H1169" s="14" t="s">
        <v>343</v>
      </c>
      <c r="U1169" s="14">
        <v>116</v>
      </c>
      <c r="V1169" s="14">
        <v>121</v>
      </c>
      <c r="W1169" s="14">
        <v>118</v>
      </c>
      <c r="X1169" s="14">
        <v>102</v>
      </c>
    </row>
    <row r="1170" spans="1:24" hidden="1" x14ac:dyDescent="0.3">
      <c r="A1170" s="14" t="s">
        <v>412</v>
      </c>
      <c r="B1170" s="14" t="s">
        <v>60</v>
      </c>
      <c r="C1170" s="14" t="s">
        <v>378</v>
      </c>
      <c r="D1170" s="14" t="s">
        <v>379</v>
      </c>
      <c r="E1170" s="14" t="s">
        <v>342</v>
      </c>
      <c r="F1170" s="14" t="s">
        <v>343</v>
      </c>
      <c r="G1170" s="14" t="s">
        <v>343</v>
      </c>
      <c r="H1170" s="14" t="s">
        <v>343</v>
      </c>
      <c r="S1170" s="14">
        <v>0.67</v>
      </c>
      <c r="U1170" s="14">
        <v>0.67</v>
      </c>
      <c r="V1170" s="14">
        <v>0.64</v>
      </c>
      <c r="W1170" s="14">
        <v>0.69</v>
      </c>
      <c r="X1170" s="14">
        <v>0.7</v>
      </c>
    </row>
    <row r="1171" spans="1:24" hidden="1" x14ac:dyDescent="0.3">
      <c r="A1171" s="14" t="s">
        <v>412</v>
      </c>
      <c r="B1171" s="14" t="s">
        <v>60</v>
      </c>
      <c r="C1171" s="14" t="s">
        <v>378</v>
      </c>
      <c r="D1171" s="14" t="s">
        <v>379</v>
      </c>
      <c r="E1171" s="14" t="s">
        <v>344</v>
      </c>
      <c r="F1171" s="14" t="s">
        <v>343</v>
      </c>
      <c r="G1171" s="14" t="s">
        <v>343</v>
      </c>
      <c r="H1171" s="14" t="s">
        <v>343</v>
      </c>
      <c r="S1171" s="14">
        <v>53</v>
      </c>
      <c r="U1171" s="14">
        <v>61</v>
      </c>
      <c r="V1171" s="14">
        <v>81</v>
      </c>
      <c r="W1171" s="14">
        <v>63</v>
      </c>
      <c r="X1171" s="14">
        <v>52</v>
      </c>
    </row>
    <row r="1172" spans="1:24" hidden="1" x14ac:dyDescent="0.3">
      <c r="A1172" s="14" t="s">
        <v>412</v>
      </c>
      <c r="B1172" s="14" t="s">
        <v>60</v>
      </c>
      <c r="C1172" s="14" t="s">
        <v>353</v>
      </c>
      <c r="D1172" s="14" t="s">
        <v>354</v>
      </c>
      <c r="E1172" s="14" t="s">
        <v>342</v>
      </c>
      <c r="F1172" s="14" t="s">
        <v>343</v>
      </c>
      <c r="G1172" s="14" t="s">
        <v>343</v>
      </c>
      <c r="H1172" s="14" t="s">
        <v>343</v>
      </c>
      <c r="U1172" s="14">
        <v>0.83</v>
      </c>
      <c r="V1172" s="14">
        <v>0.87</v>
      </c>
      <c r="W1172" s="14">
        <v>0.87</v>
      </c>
      <c r="X1172" s="14">
        <v>0.87</v>
      </c>
    </row>
    <row r="1173" spans="1:24" hidden="1" x14ac:dyDescent="0.3">
      <c r="A1173" s="14" t="s">
        <v>412</v>
      </c>
      <c r="B1173" s="14" t="s">
        <v>60</v>
      </c>
      <c r="C1173" s="14" t="s">
        <v>353</v>
      </c>
      <c r="D1173" s="14" t="s">
        <v>354</v>
      </c>
      <c r="E1173" s="14" t="s">
        <v>344</v>
      </c>
      <c r="F1173" s="14" t="s">
        <v>343</v>
      </c>
      <c r="G1173" s="14" t="s">
        <v>343</v>
      </c>
      <c r="H1173" s="14" t="s">
        <v>343</v>
      </c>
      <c r="U1173" s="14">
        <v>116</v>
      </c>
      <c r="V1173" s="14">
        <v>120</v>
      </c>
      <c r="W1173" s="14">
        <v>122</v>
      </c>
      <c r="X1173" s="14">
        <v>113</v>
      </c>
    </row>
    <row r="1174" spans="1:24" hidden="1" x14ac:dyDescent="0.3">
      <c r="A1174" s="14" t="s">
        <v>412</v>
      </c>
      <c r="B1174" s="14" t="s">
        <v>60</v>
      </c>
      <c r="C1174" s="14" t="s">
        <v>380</v>
      </c>
      <c r="D1174" s="14" t="s">
        <v>381</v>
      </c>
      <c r="E1174" s="14" t="s">
        <v>342</v>
      </c>
      <c r="F1174" s="14" t="s">
        <v>343</v>
      </c>
      <c r="G1174" s="14" t="s">
        <v>343</v>
      </c>
      <c r="H1174" s="14" t="s">
        <v>343</v>
      </c>
      <c r="U1174" s="14">
        <v>0.92</v>
      </c>
      <c r="V1174" s="14">
        <v>0.92</v>
      </c>
      <c r="W1174" s="14">
        <v>0.92</v>
      </c>
      <c r="X1174" s="14">
        <v>1</v>
      </c>
    </row>
    <row r="1175" spans="1:24" hidden="1" x14ac:dyDescent="0.3">
      <c r="A1175" s="14" t="s">
        <v>412</v>
      </c>
      <c r="B1175" s="14" t="s">
        <v>60</v>
      </c>
      <c r="C1175" s="14" t="s">
        <v>380</v>
      </c>
      <c r="D1175" s="14" t="s">
        <v>381</v>
      </c>
      <c r="E1175" s="14" t="s">
        <v>344</v>
      </c>
      <c r="F1175" s="14" t="s">
        <v>343</v>
      </c>
      <c r="G1175" s="14" t="s">
        <v>343</v>
      </c>
      <c r="H1175" s="14" t="s">
        <v>343</v>
      </c>
      <c r="U1175" s="14">
        <v>127</v>
      </c>
      <c r="V1175" s="14">
        <v>137</v>
      </c>
      <c r="W1175" s="14">
        <v>138</v>
      </c>
      <c r="X1175" s="14">
        <v>84</v>
      </c>
    </row>
    <row r="1176" spans="1:24" hidden="1" x14ac:dyDescent="0.3">
      <c r="A1176" s="14" t="s">
        <v>412</v>
      </c>
      <c r="B1176" s="14" t="s">
        <v>60</v>
      </c>
      <c r="C1176" s="14" t="s">
        <v>355</v>
      </c>
      <c r="D1176" s="14" t="s">
        <v>356</v>
      </c>
      <c r="E1176" s="14" t="s">
        <v>342</v>
      </c>
      <c r="F1176" s="14" t="s">
        <v>343</v>
      </c>
      <c r="G1176" s="14" t="s">
        <v>343</v>
      </c>
      <c r="H1176" s="14" t="s">
        <v>343</v>
      </c>
      <c r="U1176" s="14">
        <v>0.88</v>
      </c>
      <c r="V1176" s="14">
        <v>0.88</v>
      </c>
      <c r="W1176" s="14">
        <v>0.88</v>
      </c>
      <c r="X1176" s="14">
        <v>1</v>
      </c>
    </row>
    <row r="1177" spans="1:24" hidden="1" x14ac:dyDescent="0.3">
      <c r="A1177" s="14" t="s">
        <v>412</v>
      </c>
      <c r="B1177" s="14" t="s">
        <v>60</v>
      </c>
      <c r="C1177" s="14" t="s">
        <v>355</v>
      </c>
      <c r="D1177" s="14" t="s">
        <v>356</v>
      </c>
      <c r="E1177" s="14" t="s">
        <v>344</v>
      </c>
      <c r="F1177" s="14" t="s">
        <v>343</v>
      </c>
      <c r="G1177" s="14" t="s">
        <v>343</v>
      </c>
      <c r="H1177" s="14" t="s">
        <v>343</v>
      </c>
      <c r="U1177" s="14">
        <v>135</v>
      </c>
      <c r="V1177" s="14">
        <v>137</v>
      </c>
      <c r="W1177" s="14">
        <v>136</v>
      </c>
      <c r="X1177" s="14">
        <v>1</v>
      </c>
    </row>
    <row r="1178" spans="1:24" hidden="1" x14ac:dyDescent="0.3">
      <c r="A1178" s="14" t="s">
        <v>412</v>
      </c>
      <c r="B1178" s="14" t="s">
        <v>60</v>
      </c>
      <c r="C1178" s="14" t="s">
        <v>357</v>
      </c>
      <c r="D1178" s="14" t="s">
        <v>358</v>
      </c>
      <c r="E1178" s="14" t="s">
        <v>342</v>
      </c>
      <c r="F1178" s="14" t="s">
        <v>343</v>
      </c>
      <c r="G1178" s="14" t="s">
        <v>343</v>
      </c>
      <c r="H1178" s="14" t="s">
        <v>343</v>
      </c>
      <c r="U1178" s="14">
        <v>0.79</v>
      </c>
      <c r="V1178" s="14">
        <v>0.81</v>
      </c>
      <c r="W1178" s="14">
        <v>0.81</v>
      </c>
      <c r="X1178" s="14">
        <v>0.94</v>
      </c>
    </row>
    <row r="1179" spans="1:24" hidden="1" x14ac:dyDescent="0.3">
      <c r="A1179" s="14" t="s">
        <v>412</v>
      </c>
      <c r="B1179" s="14" t="s">
        <v>60</v>
      </c>
      <c r="C1179" s="14" t="s">
        <v>357</v>
      </c>
      <c r="D1179" s="14" t="s">
        <v>358</v>
      </c>
      <c r="E1179" s="14" t="s">
        <v>344</v>
      </c>
      <c r="F1179" s="14" t="s">
        <v>343</v>
      </c>
      <c r="G1179" s="14" t="s">
        <v>343</v>
      </c>
      <c r="H1179" s="14" t="s">
        <v>343</v>
      </c>
      <c r="U1179" s="14">
        <v>112</v>
      </c>
      <c r="V1179" s="14">
        <v>117</v>
      </c>
      <c r="W1179" s="14">
        <v>118</v>
      </c>
      <c r="X1179" s="14">
        <v>106</v>
      </c>
    </row>
    <row r="1180" spans="1:24" hidden="1" x14ac:dyDescent="0.3">
      <c r="A1180" s="14" t="s">
        <v>412</v>
      </c>
      <c r="B1180" s="14" t="s">
        <v>60</v>
      </c>
      <c r="C1180" s="14" t="s">
        <v>359</v>
      </c>
      <c r="D1180" s="14" t="s">
        <v>360</v>
      </c>
      <c r="E1180" s="14" t="s">
        <v>342</v>
      </c>
      <c r="F1180" s="14" t="s">
        <v>343</v>
      </c>
      <c r="G1180" s="14" t="s">
        <v>343</v>
      </c>
      <c r="H1180" s="14" t="s">
        <v>343</v>
      </c>
      <c r="I1180" s="14">
        <v>0.5</v>
      </c>
      <c r="J1180" s="14">
        <v>0.51</v>
      </c>
      <c r="K1180" s="14">
        <v>0.52</v>
      </c>
      <c r="L1180" s="14">
        <v>0.55000000000000004</v>
      </c>
      <c r="M1180" s="14">
        <v>0.54</v>
      </c>
      <c r="N1180" s="14">
        <v>0.53</v>
      </c>
      <c r="O1180" s="14">
        <v>0.68</v>
      </c>
      <c r="P1180" s="14">
        <v>0.73</v>
      </c>
      <c r="R1180" s="14">
        <v>0.72</v>
      </c>
      <c r="S1180" s="14">
        <v>0.73</v>
      </c>
      <c r="T1180" s="14">
        <v>0.72</v>
      </c>
      <c r="U1180" s="14">
        <v>0.82</v>
      </c>
      <c r="V1180" s="14">
        <v>0.69</v>
      </c>
      <c r="W1180" s="14">
        <v>0.71</v>
      </c>
      <c r="X1180" s="14">
        <v>0.71</v>
      </c>
    </row>
    <row r="1181" spans="1:24" hidden="1" x14ac:dyDescent="0.3">
      <c r="A1181" s="14" t="s">
        <v>412</v>
      </c>
      <c r="B1181" s="14" t="s">
        <v>60</v>
      </c>
      <c r="C1181" s="14" t="s">
        <v>359</v>
      </c>
      <c r="D1181" s="14" t="s">
        <v>360</v>
      </c>
      <c r="E1181" s="14" t="s">
        <v>344</v>
      </c>
      <c r="F1181" s="14" t="s">
        <v>343</v>
      </c>
      <c r="G1181" s="14" t="s">
        <v>343</v>
      </c>
      <c r="H1181" s="14" t="s">
        <v>343</v>
      </c>
      <c r="I1181" s="14">
        <v>94</v>
      </c>
      <c r="J1181" s="14">
        <v>107</v>
      </c>
      <c r="K1181" s="14">
        <v>104</v>
      </c>
      <c r="L1181" s="14">
        <v>107</v>
      </c>
      <c r="M1181" s="14">
        <v>105</v>
      </c>
      <c r="N1181" s="14">
        <v>112</v>
      </c>
      <c r="O1181" s="14">
        <v>52</v>
      </c>
      <c r="P1181" s="14">
        <v>40</v>
      </c>
      <c r="R1181" s="14">
        <v>44</v>
      </c>
      <c r="S1181" s="14">
        <v>39</v>
      </c>
      <c r="T1181" s="14">
        <v>40</v>
      </c>
      <c r="U1181" s="14">
        <v>8</v>
      </c>
      <c r="V1181" s="14">
        <v>66</v>
      </c>
      <c r="W1181" s="14">
        <v>61</v>
      </c>
      <c r="X1181" s="14">
        <v>61</v>
      </c>
    </row>
    <row r="1182" spans="1:24" x14ac:dyDescent="0.3">
      <c r="A1182" s="14" t="s">
        <v>412</v>
      </c>
      <c r="B1182" s="14" t="s">
        <v>60</v>
      </c>
      <c r="C1182" s="14" t="s">
        <v>361</v>
      </c>
      <c r="D1182" s="14" t="s">
        <v>362</v>
      </c>
      <c r="E1182" s="14" t="s">
        <v>342</v>
      </c>
      <c r="F1182" s="14" t="s">
        <v>343</v>
      </c>
      <c r="G1182" s="14" t="s">
        <v>343</v>
      </c>
      <c r="H1182" s="14" t="s">
        <v>343</v>
      </c>
      <c r="I1182" s="14">
        <v>0.97</v>
      </c>
      <c r="J1182" s="14">
        <v>0.97</v>
      </c>
      <c r="K1182" s="14">
        <v>0.97</v>
      </c>
      <c r="L1182" s="14">
        <v>0.97</v>
      </c>
      <c r="M1182" s="14">
        <v>0.96</v>
      </c>
      <c r="N1182" s="14">
        <v>0.96</v>
      </c>
      <c r="O1182" s="14">
        <v>0.96</v>
      </c>
      <c r="P1182" s="14">
        <v>0.96</v>
      </c>
      <c r="R1182" s="14">
        <v>0.97</v>
      </c>
      <c r="S1182" s="14">
        <v>0.97</v>
      </c>
      <c r="T1182" s="14">
        <v>0.97</v>
      </c>
      <c r="U1182" s="14">
        <v>0.97</v>
      </c>
      <c r="V1182" s="14">
        <v>0.97</v>
      </c>
      <c r="W1182" s="14">
        <v>0.97</v>
      </c>
      <c r="X1182" s="14">
        <v>0.98</v>
      </c>
    </row>
    <row r="1183" spans="1:24" hidden="1" x14ac:dyDescent="0.3">
      <c r="A1183" s="14" t="s">
        <v>412</v>
      </c>
      <c r="B1183" s="14" t="s">
        <v>60</v>
      </c>
      <c r="C1183" s="14" t="s">
        <v>361</v>
      </c>
      <c r="D1183" s="14" t="s">
        <v>362</v>
      </c>
      <c r="E1183" s="14" t="s">
        <v>344</v>
      </c>
      <c r="F1183" s="14" t="s">
        <v>343</v>
      </c>
      <c r="G1183" s="14" t="s">
        <v>343</v>
      </c>
      <c r="H1183" s="14" t="s">
        <v>343</v>
      </c>
      <c r="I1183" s="14">
        <v>97</v>
      </c>
      <c r="J1183" s="14">
        <v>100</v>
      </c>
      <c r="K1183" s="14">
        <v>101</v>
      </c>
      <c r="L1183" s="14">
        <v>106</v>
      </c>
      <c r="M1183" s="14">
        <v>110</v>
      </c>
      <c r="N1183" s="14">
        <v>111</v>
      </c>
      <c r="O1183" s="14">
        <v>111</v>
      </c>
      <c r="P1183" s="14">
        <v>112</v>
      </c>
      <c r="R1183" s="14">
        <v>115</v>
      </c>
      <c r="S1183" s="14">
        <v>114</v>
      </c>
      <c r="T1183" s="14">
        <v>92</v>
      </c>
      <c r="U1183" s="14">
        <v>89</v>
      </c>
      <c r="V1183" s="14">
        <v>88</v>
      </c>
      <c r="W1183" s="14">
        <v>67</v>
      </c>
      <c r="X1183" s="14">
        <v>42</v>
      </c>
    </row>
    <row r="1184" spans="1:24" hidden="1" x14ac:dyDescent="0.3">
      <c r="A1184" s="14" t="s">
        <v>412</v>
      </c>
      <c r="B1184" s="14" t="s">
        <v>60</v>
      </c>
      <c r="C1184" s="14" t="s">
        <v>363</v>
      </c>
      <c r="D1184" s="14" t="s">
        <v>364</v>
      </c>
      <c r="E1184" s="14" t="s">
        <v>342</v>
      </c>
      <c r="F1184" s="14" t="s">
        <v>343</v>
      </c>
      <c r="G1184" s="14" t="s">
        <v>343</v>
      </c>
      <c r="H1184" s="14" t="s">
        <v>343</v>
      </c>
      <c r="U1184" s="14">
        <v>1.04</v>
      </c>
      <c r="V1184" s="14">
        <v>1.04</v>
      </c>
      <c r="W1184" s="14">
        <v>1.04</v>
      </c>
      <c r="X1184" s="14">
        <v>1.05</v>
      </c>
    </row>
    <row r="1185" spans="1:24" hidden="1" x14ac:dyDescent="0.3">
      <c r="A1185" s="14" t="s">
        <v>412</v>
      </c>
      <c r="B1185" s="14" t="s">
        <v>60</v>
      </c>
      <c r="C1185" s="14" t="s">
        <v>363</v>
      </c>
      <c r="D1185" s="14" t="s">
        <v>364</v>
      </c>
      <c r="E1185" s="14" t="s">
        <v>344</v>
      </c>
      <c r="F1185" s="14" t="s">
        <v>343</v>
      </c>
      <c r="G1185" s="14" t="s">
        <v>343</v>
      </c>
      <c r="H1185" s="14" t="s">
        <v>343</v>
      </c>
      <c r="U1185" s="14">
        <v>98</v>
      </c>
      <c r="V1185" s="14">
        <v>101</v>
      </c>
      <c r="W1185" s="14">
        <v>74</v>
      </c>
      <c r="X1185" s="14">
        <v>49</v>
      </c>
    </row>
    <row r="1186" spans="1:24" hidden="1" x14ac:dyDescent="0.3">
      <c r="A1186" s="14" t="s">
        <v>412</v>
      </c>
      <c r="B1186" s="14" t="s">
        <v>60</v>
      </c>
      <c r="C1186" s="14" t="s">
        <v>365</v>
      </c>
      <c r="D1186" s="14" t="s">
        <v>366</v>
      </c>
      <c r="E1186" s="14" t="s">
        <v>342</v>
      </c>
      <c r="F1186" s="14" t="s">
        <v>343</v>
      </c>
      <c r="G1186" s="14" t="s">
        <v>343</v>
      </c>
      <c r="H1186" s="14" t="s">
        <v>343</v>
      </c>
      <c r="U1186" s="14">
        <v>0.94</v>
      </c>
      <c r="V1186" s="14">
        <v>0.94</v>
      </c>
      <c r="W1186" s="14">
        <v>0.94</v>
      </c>
      <c r="X1186" s="14">
        <v>0.94</v>
      </c>
    </row>
    <row r="1187" spans="1:24" hidden="1" x14ac:dyDescent="0.3">
      <c r="A1187" s="14" t="s">
        <v>412</v>
      </c>
      <c r="B1187" s="14" t="s">
        <v>60</v>
      </c>
      <c r="C1187" s="14" t="s">
        <v>365</v>
      </c>
      <c r="D1187" s="14" t="s">
        <v>366</v>
      </c>
      <c r="E1187" s="14" t="s">
        <v>344</v>
      </c>
      <c r="F1187" s="14" t="s">
        <v>343</v>
      </c>
      <c r="G1187" s="14" t="s">
        <v>343</v>
      </c>
      <c r="H1187" s="14" t="s">
        <v>343</v>
      </c>
      <c r="U1187" s="14">
        <v>1</v>
      </c>
      <c r="V1187" s="14">
        <v>1</v>
      </c>
      <c r="W1187" s="14">
        <v>1</v>
      </c>
      <c r="X1187" s="14">
        <v>1</v>
      </c>
    </row>
    <row r="1188" spans="1:24" hidden="1" x14ac:dyDescent="0.3">
      <c r="A1188" s="14" t="s">
        <v>412</v>
      </c>
      <c r="B1188" s="14" t="s">
        <v>60</v>
      </c>
      <c r="C1188" s="14" t="s">
        <v>367</v>
      </c>
      <c r="D1188" s="14" t="s">
        <v>368</v>
      </c>
      <c r="E1188" s="14" t="s">
        <v>342</v>
      </c>
      <c r="F1188" s="14" t="s">
        <v>343</v>
      </c>
      <c r="G1188" s="14" t="s">
        <v>343</v>
      </c>
      <c r="H1188" s="14" t="s">
        <v>343</v>
      </c>
      <c r="I1188" s="14">
        <v>0.59</v>
      </c>
      <c r="J1188" s="14">
        <v>0.59</v>
      </c>
      <c r="K1188" s="14">
        <v>0.6</v>
      </c>
      <c r="L1188" s="14">
        <v>0.61</v>
      </c>
      <c r="M1188" s="14">
        <v>0.61</v>
      </c>
      <c r="N1188" s="14">
        <v>0.61</v>
      </c>
      <c r="O1188" s="14">
        <v>0.63</v>
      </c>
      <c r="P1188" s="14">
        <v>0.66</v>
      </c>
      <c r="R1188" s="14">
        <v>0.68</v>
      </c>
      <c r="S1188" s="14">
        <v>0.68</v>
      </c>
      <c r="T1188" s="14">
        <v>0.69</v>
      </c>
      <c r="U1188" s="14">
        <v>0.71</v>
      </c>
      <c r="V1188" s="14">
        <v>0.69</v>
      </c>
      <c r="W1188" s="14">
        <v>0.69</v>
      </c>
      <c r="X1188" s="14">
        <v>0.69</v>
      </c>
    </row>
    <row r="1189" spans="1:24" hidden="1" x14ac:dyDescent="0.3">
      <c r="A1189" s="14" t="s">
        <v>412</v>
      </c>
      <c r="B1189" s="14" t="s">
        <v>60</v>
      </c>
      <c r="C1189" s="14" t="s">
        <v>367</v>
      </c>
      <c r="D1189" s="14" t="s">
        <v>368</v>
      </c>
      <c r="E1189" s="14" t="s">
        <v>344</v>
      </c>
      <c r="F1189" s="14" t="s">
        <v>343</v>
      </c>
      <c r="G1189" s="14" t="s">
        <v>343</v>
      </c>
      <c r="H1189" s="14" t="s">
        <v>343</v>
      </c>
      <c r="I1189" s="14">
        <v>103</v>
      </c>
      <c r="J1189" s="14">
        <v>116</v>
      </c>
      <c r="K1189" s="14">
        <v>117</v>
      </c>
      <c r="L1189" s="14">
        <v>118</v>
      </c>
      <c r="M1189" s="14">
        <v>114</v>
      </c>
      <c r="N1189" s="14">
        <v>119</v>
      </c>
      <c r="O1189" s="14">
        <v>112</v>
      </c>
      <c r="P1189" s="14">
        <v>100</v>
      </c>
      <c r="R1189" s="14">
        <v>90</v>
      </c>
      <c r="S1189" s="14">
        <v>85</v>
      </c>
      <c r="T1189" s="14">
        <v>87</v>
      </c>
      <c r="U1189" s="14">
        <v>57</v>
      </c>
      <c r="V1189" s="14">
        <v>96</v>
      </c>
      <c r="W1189" s="14">
        <v>96</v>
      </c>
      <c r="X1189" s="14">
        <v>98</v>
      </c>
    </row>
    <row r="1190" spans="1:24" hidden="1" x14ac:dyDescent="0.3">
      <c r="A1190" s="14" t="s">
        <v>412</v>
      </c>
      <c r="B1190" s="14" t="s">
        <v>60</v>
      </c>
      <c r="C1190" s="14" t="s">
        <v>369</v>
      </c>
      <c r="D1190" s="14" t="s">
        <v>370</v>
      </c>
      <c r="E1190" s="14" t="s">
        <v>342</v>
      </c>
      <c r="F1190" s="14" t="s">
        <v>343</v>
      </c>
      <c r="G1190" s="14" t="s">
        <v>343</v>
      </c>
      <c r="H1190" s="14" t="s">
        <v>343</v>
      </c>
      <c r="I1190" s="14">
        <v>0.06</v>
      </c>
      <c r="J1190" s="14">
        <v>0.06</v>
      </c>
      <c r="K1190" s="14">
        <v>0.08</v>
      </c>
      <c r="L1190" s="14">
        <v>0.08</v>
      </c>
      <c r="M1190" s="14">
        <v>0.08</v>
      </c>
      <c r="N1190" s="14">
        <v>0.08</v>
      </c>
      <c r="O1190" s="14">
        <v>0.09</v>
      </c>
      <c r="P1190" s="14">
        <v>0.09</v>
      </c>
      <c r="R1190" s="14">
        <v>0.18</v>
      </c>
      <c r="S1190" s="14">
        <v>0.18</v>
      </c>
      <c r="T1190" s="14">
        <v>0.19</v>
      </c>
      <c r="U1190" s="14">
        <v>0.19</v>
      </c>
      <c r="V1190" s="14">
        <v>0.2</v>
      </c>
      <c r="W1190" s="14">
        <v>0.2</v>
      </c>
      <c r="X1190" s="14">
        <v>0.11</v>
      </c>
    </row>
    <row r="1191" spans="1:24" hidden="1" x14ac:dyDescent="0.3">
      <c r="A1191" s="14" t="s">
        <v>412</v>
      </c>
      <c r="B1191" s="14" t="s">
        <v>60</v>
      </c>
      <c r="C1191" s="14" t="s">
        <v>369</v>
      </c>
      <c r="D1191" s="14" t="s">
        <v>370</v>
      </c>
      <c r="E1191" s="14" t="s">
        <v>344</v>
      </c>
      <c r="F1191" s="14" t="s">
        <v>343</v>
      </c>
      <c r="G1191" s="14" t="s">
        <v>343</v>
      </c>
      <c r="H1191" s="14" t="s">
        <v>343</v>
      </c>
      <c r="I1191" s="14">
        <v>85</v>
      </c>
      <c r="J1191" s="14">
        <v>97</v>
      </c>
      <c r="K1191" s="14">
        <v>97</v>
      </c>
      <c r="L1191" s="14">
        <v>95</v>
      </c>
      <c r="M1191" s="14">
        <v>93</v>
      </c>
      <c r="N1191" s="14">
        <v>96</v>
      </c>
      <c r="O1191" s="14">
        <v>92</v>
      </c>
      <c r="P1191" s="14">
        <v>99</v>
      </c>
      <c r="R1191" s="14">
        <v>63</v>
      </c>
      <c r="S1191" s="14">
        <v>65</v>
      </c>
      <c r="T1191" s="14">
        <v>64</v>
      </c>
      <c r="U1191" s="14">
        <v>61</v>
      </c>
      <c r="V1191" s="14">
        <v>70</v>
      </c>
      <c r="W1191" s="14">
        <v>74</v>
      </c>
      <c r="X1191" s="14">
        <v>121</v>
      </c>
    </row>
    <row r="1192" spans="1:24" hidden="1" x14ac:dyDescent="0.3">
      <c r="A1192" s="14" t="s">
        <v>412</v>
      </c>
      <c r="B1192" s="14" t="s">
        <v>60</v>
      </c>
      <c r="C1192" s="14" t="s">
        <v>371</v>
      </c>
      <c r="D1192" s="14" t="s">
        <v>372</v>
      </c>
      <c r="E1192" s="14" t="s">
        <v>342</v>
      </c>
      <c r="F1192" s="14" t="s">
        <v>343</v>
      </c>
      <c r="G1192" s="14" t="s">
        <v>343</v>
      </c>
      <c r="H1192" s="14" t="s">
        <v>343</v>
      </c>
      <c r="U1192" s="14">
        <v>0</v>
      </c>
      <c r="V1192" s="14">
        <v>0</v>
      </c>
      <c r="W1192" s="14">
        <v>0</v>
      </c>
      <c r="X1192" s="14">
        <v>0</v>
      </c>
    </row>
    <row r="1193" spans="1:24" hidden="1" x14ac:dyDescent="0.3">
      <c r="A1193" s="14" t="s">
        <v>412</v>
      </c>
      <c r="B1193" s="14" t="s">
        <v>60</v>
      </c>
      <c r="C1193" s="14" t="s">
        <v>371</v>
      </c>
      <c r="D1193" s="14" t="s">
        <v>372</v>
      </c>
      <c r="E1193" s="14" t="s">
        <v>344</v>
      </c>
      <c r="F1193" s="14" t="s">
        <v>343</v>
      </c>
      <c r="G1193" s="14" t="s">
        <v>343</v>
      </c>
      <c r="H1193" s="14" t="s">
        <v>343</v>
      </c>
      <c r="U1193" s="14">
        <v>71</v>
      </c>
      <c r="V1193" s="14">
        <v>73</v>
      </c>
      <c r="W1193" s="14">
        <v>76</v>
      </c>
      <c r="X1193" s="14">
        <v>78</v>
      </c>
    </row>
    <row r="1194" spans="1:24" hidden="1" x14ac:dyDescent="0.3">
      <c r="A1194" s="14" t="s">
        <v>412</v>
      </c>
      <c r="B1194" s="14" t="s">
        <v>60</v>
      </c>
      <c r="C1194" s="14" t="s">
        <v>373</v>
      </c>
      <c r="D1194" s="14" t="s">
        <v>374</v>
      </c>
      <c r="E1194" s="14" t="s">
        <v>342</v>
      </c>
      <c r="F1194" s="14" t="s">
        <v>343</v>
      </c>
      <c r="G1194" s="14" t="s">
        <v>343</v>
      </c>
      <c r="H1194" s="14" t="s">
        <v>343</v>
      </c>
      <c r="U1194" s="14">
        <v>0.21</v>
      </c>
      <c r="V1194" s="14">
        <v>0.23</v>
      </c>
      <c r="W1194" s="14">
        <v>0.18</v>
      </c>
      <c r="X1194" s="14">
        <v>0.1</v>
      </c>
    </row>
    <row r="1195" spans="1:24" hidden="1" x14ac:dyDescent="0.3">
      <c r="A1195" s="14" t="s">
        <v>412</v>
      </c>
      <c r="B1195" s="14" t="s">
        <v>60</v>
      </c>
      <c r="C1195" s="14" t="s">
        <v>373</v>
      </c>
      <c r="D1195" s="14" t="s">
        <v>374</v>
      </c>
      <c r="E1195" s="14" t="s">
        <v>344</v>
      </c>
      <c r="F1195" s="14" t="s">
        <v>343</v>
      </c>
      <c r="G1195" s="14" t="s">
        <v>343</v>
      </c>
      <c r="H1195" s="14" t="s">
        <v>343</v>
      </c>
      <c r="U1195" s="14">
        <v>84</v>
      </c>
      <c r="V1195" s="14">
        <v>87</v>
      </c>
      <c r="W1195" s="14">
        <v>104</v>
      </c>
      <c r="X1195" s="14">
        <v>124</v>
      </c>
    </row>
    <row r="1196" spans="1:24" hidden="1" x14ac:dyDescent="0.3">
      <c r="A1196" s="14" t="s">
        <v>412</v>
      </c>
      <c r="B1196" s="14" t="s">
        <v>60</v>
      </c>
      <c r="C1196" s="14" t="s">
        <v>375</v>
      </c>
      <c r="D1196" s="14" t="s">
        <v>376</v>
      </c>
      <c r="E1196" s="14" t="s">
        <v>342</v>
      </c>
      <c r="F1196" s="14" t="s">
        <v>343</v>
      </c>
      <c r="G1196" s="14" t="s">
        <v>343</v>
      </c>
      <c r="H1196" s="14" t="s">
        <v>343</v>
      </c>
      <c r="U1196" s="14">
        <v>0.45</v>
      </c>
      <c r="V1196" s="14">
        <v>0.45</v>
      </c>
      <c r="W1196" s="14">
        <v>0.51</v>
      </c>
      <c r="X1196" s="14">
        <v>0.26</v>
      </c>
    </row>
    <row r="1197" spans="1:24" hidden="1" x14ac:dyDescent="0.3">
      <c r="A1197" s="14" t="s">
        <v>412</v>
      </c>
      <c r="B1197" s="14" t="s">
        <v>60</v>
      </c>
      <c r="C1197" s="14" t="s">
        <v>375</v>
      </c>
      <c r="D1197" s="14" t="s">
        <v>376</v>
      </c>
      <c r="E1197" s="14" t="s">
        <v>344</v>
      </c>
      <c r="F1197" s="14" t="s">
        <v>343</v>
      </c>
      <c r="G1197" s="14" t="s">
        <v>343</v>
      </c>
      <c r="H1197" s="14" t="s">
        <v>343</v>
      </c>
      <c r="U1197" s="14">
        <v>39</v>
      </c>
      <c r="V1197" s="14">
        <v>39</v>
      </c>
      <c r="W1197" s="14">
        <v>36</v>
      </c>
      <c r="X1197" s="14">
        <v>93</v>
      </c>
    </row>
    <row r="1198" spans="1:24" hidden="1" x14ac:dyDescent="0.3">
      <c r="A1198" s="14" t="s">
        <v>413</v>
      </c>
      <c r="B1198" s="14" t="s">
        <v>414</v>
      </c>
      <c r="C1198" s="14" t="s">
        <v>340</v>
      </c>
      <c r="D1198" s="14" t="s">
        <v>341</v>
      </c>
      <c r="E1198" s="14" t="s">
        <v>342</v>
      </c>
      <c r="F1198" s="14" t="s">
        <v>343</v>
      </c>
      <c r="G1198" s="14" t="s">
        <v>343</v>
      </c>
      <c r="H1198" s="14" t="s">
        <v>343</v>
      </c>
      <c r="U1198" s="14">
        <v>0.67</v>
      </c>
      <c r="V1198" s="14">
        <v>0.66</v>
      </c>
      <c r="W1198" s="14">
        <v>0.66</v>
      </c>
      <c r="X1198" s="14">
        <v>0.66</v>
      </c>
    </row>
    <row r="1199" spans="1:24" hidden="1" x14ac:dyDescent="0.3">
      <c r="A1199" s="14" t="s">
        <v>413</v>
      </c>
      <c r="B1199" s="14" t="s">
        <v>414</v>
      </c>
      <c r="C1199" s="14" t="s">
        <v>340</v>
      </c>
      <c r="D1199" s="14" t="s">
        <v>341</v>
      </c>
      <c r="E1199" s="14" t="s">
        <v>344</v>
      </c>
      <c r="F1199" s="14" t="s">
        <v>343</v>
      </c>
      <c r="G1199" s="14" t="s">
        <v>343</v>
      </c>
      <c r="H1199" s="14" t="s">
        <v>343</v>
      </c>
      <c r="U1199" s="14">
        <v>148</v>
      </c>
      <c r="V1199" s="14">
        <v>152</v>
      </c>
      <c r="W1199" s="14">
        <v>154</v>
      </c>
      <c r="X1199" s="14">
        <v>144</v>
      </c>
    </row>
    <row r="1200" spans="1:24" hidden="1" x14ac:dyDescent="0.3">
      <c r="A1200" s="14" t="s">
        <v>413</v>
      </c>
      <c r="B1200" s="14" t="s">
        <v>414</v>
      </c>
      <c r="C1200" s="14" t="s">
        <v>345</v>
      </c>
      <c r="D1200" s="14" t="s">
        <v>346</v>
      </c>
      <c r="E1200" s="14" t="s">
        <v>342</v>
      </c>
      <c r="F1200" s="14" t="s">
        <v>343</v>
      </c>
      <c r="G1200" s="14" t="s">
        <v>343</v>
      </c>
      <c r="H1200" s="14" t="s">
        <v>343</v>
      </c>
      <c r="V1200" s="14">
        <v>0.64</v>
      </c>
      <c r="W1200" s="14">
        <v>0.64</v>
      </c>
      <c r="X1200" s="14">
        <v>0.63</v>
      </c>
    </row>
    <row r="1201" spans="1:24" hidden="1" x14ac:dyDescent="0.3">
      <c r="A1201" s="14" t="s">
        <v>413</v>
      </c>
      <c r="B1201" s="14" t="s">
        <v>414</v>
      </c>
      <c r="C1201" s="14" t="s">
        <v>345</v>
      </c>
      <c r="D1201" s="14" t="s">
        <v>346</v>
      </c>
      <c r="E1201" s="14" t="s">
        <v>344</v>
      </c>
      <c r="F1201" s="14" t="s">
        <v>343</v>
      </c>
      <c r="G1201" s="14" t="s">
        <v>343</v>
      </c>
      <c r="H1201" s="14" t="s">
        <v>343</v>
      </c>
      <c r="V1201" s="14">
        <v>65</v>
      </c>
      <c r="W1201" s="14">
        <v>67</v>
      </c>
      <c r="X1201" s="14">
        <v>76</v>
      </c>
    </row>
    <row r="1202" spans="1:24" hidden="1" x14ac:dyDescent="0.3">
      <c r="A1202" s="14" t="s">
        <v>413</v>
      </c>
      <c r="B1202" s="14" t="s">
        <v>414</v>
      </c>
      <c r="C1202" s="14" t="s">
        <v>347</v>
      </c>
      <c r="D1202" s="14" t="s">
        <v>348</v>
      </c>
      <c r="E1202" s="14" t="s">
        <v>342</v>
      </c>
      <c r="F1202" s="14" t="s">
        <v>343</v>
      </c>
      <c r="G1202" s="14" t="s">
        <v>343</v>
      </c>
      <c r="H1202" s="14" t="s">
        <v>343</v>
      </c>
      <c r="U1202" s="14">
        <v>0.98</v>
      </c>
      <c r="V1202" s="14">
        <v>0.93</v>
      </c>
      <c r="W1202" s="14">
        <v>0.93</v>
      </c>
      <c r="X1202" s="14">
        <v>0.89</v>
      </c>
    </row>
    <row r="1203" spans="1:24" hidden="1" x14ac:dyDescent="0.3">
      <c r="A1203" s="14" t="s">
        <v>413</v>
      </c>
      <c r="B1203" s="14" t="s">
        <v>414</v>
      </c>
      <c r="C1203" s="14" t="s">
        <v>347</v>
      </c>
      <c r="D1203" s="14" t="s">
        <v>348</v>
      </c>
      <c r="E1203" s="14" t="s">
        <v>344</v>
      </c>
      <c r="F1203" s="14" t="s">
        <v>343</v>
      </c>
      <c r="G1203" s="14" t="s">
        <v>343</v>
      </c>
      <c r="H1203" s="14" t="s">
        <v>343</v>
      </c>
      <c r="U1203" s="14">
        <v>7</v>
      </c>
      <c r="V1203" s="14">
        <v>24</v>
      </c>
      <c r="W1203" s="14">
        <v>20</v>
      </c>
      <c r="X1203" s="14">
        <v>22</v>
      </c>
    </row>
    <row r="1204" spans="1:24" hidden="1" x14ac:dyDescent="0.3">
      <c r="A1204" s="14" t="s">
        <v>413</v>
      </c>
      <c r="B1204" s="14" t="s">
        <v>414</v>
      </c>
      <c r="C1204" s="14" t="s">
        <v>349</v>
      </c>
      <c r="D1204" s="14" t="s">
        <v>350</v>
      </c>
      <c r="E1204" s="14" t="s">
        <v>342</v>
      </c>
      <c r="F1204" s="14" t="s">
        <v>343</v>
      </c>
      <c r="G1204" s="14" t="s">
        <v>343</v>
      </c>
      <c r="H1204" s="14" t="s">
        <v>343</v>
      </c>
      <c r="U1204" s="14">
        <v>0.25</v>
      </c>
      <c r="V1204" s="14">
        <v>0.25</v>
      </c>
      <c r="W1204" s="14">
        <v>0.25</v>
      </c>
      <c r="X1204" s="14">
        <v>0.25</v>
      </c>
    </row>
    <row r="1205" spans="1:24" hidden="1" x14ac:dyDescent="0.3">
      <c r="A1205" s="14" t="s">
        <v>413</v>
      </c>
      <c r="B1205" s="14" t="s">
        <v>414</v>
      </c>
      <c r="C1205" s="14" t="s">
        <v>349</v>
      </c>
      <c r="D1205" s="14" t="s">
        <v>350</v>
      </c>
      <c r="E1205" s="14" t="s">
        <v>344</v>
      </c>
      <c r="F1205" s="14" t="s">
        <v>343</v>
      </c>
      <c r="G1205" s="14" t="s">
        <v>343</v>
      </c>
      <c r="H1205" s="14" t="s">
        <v>343</v>
      </c>
      <c r="U1205" s="14">
        <v>113</v>
      </c>
      <c r="V1205" s="14">
        <v>117</v>
      </c>
      <c r="W1205" s="14">
        <v>124</v>
      </c>
      <c r="X1205" s="14">
        <v>115</v>
      </c>
    </row>
    <row r="1206" spans="1:24" hidden="1" x14ac:dyDescent="0.3">
      <c r="A1206" s="14" t="s">
        <v>413</v>
      </c>
      <c r="B1206" s="14" t="s">
        <v>414</v>
      </c>
      <c r="C1206" s="14" t="s">
        <v>351</v>
      </c>
      <c r="D1206" s="14" t="s">
        <v>352</v>
      </c>
      <c r="E1206" s="14" t="s">
        <v>342</v>
      </c>
      <c r="F1206" s="14" t="s">
        <v>343</v>
      </c>
      <c r="G1206" s="14" t="s">
        <v>343</v>
      </c>
      <c r="H1206" s="14" t="s">
        <v>343</v>
      </c>
      <c r="U1206" s="14">
        <v>0.32</v>
      </c>
      <c r="V1206" s="14">
        <v>0.32</v>
      </c>
      <c r="W1206" s="14">
        <v>0.22</v>
      </c>
      <c r="X1206" s="14">
        <v>0.32</v>
      </c>
    </row>
    <row r="1207" spans="1:24" hidden="1" x14ac:dyDescent="0.3">
      <c r="A1207" s="14" t="s">
        <v>413</v>
      </c>
      <c r="B1207" s="14" t="s">
        <v>414</v>
      </c>
      <c r="C1207" s="14" t="s">
        <v>351</v>
      </c>
      <c r="D1207" s="14" t="s">
        <v>352</v>
      </c>
      <c r="E1207" s="14" t="s">
        <v>344</v>
      </c>
      <c r="F1207" s="14" t="s">
        <v>343</v>
      </c>
      <c r="G1207" s="14" t="s">
        <v>343</v>
      </c>
      <c r="H1207" s="14" t="s">
        <v>343</v>
      </c>
      <c r="U1207" s="14">
        <v>135</v>
      </c>
      <c r="V1207" s="14">
        <v>139</v>
      </c>
      <c r="W1207" s="14">
        <v>151</v>
      </c>
      <c r="X1207" s="14">
        <v>129</v>
      </c>
    </row>
    <row r="1208" spans="1:24" hidden="1" x14ac:dyDescent="0.3">
      <c r="A1208" s="14" t="s">
        <v>413</v>
      </c>
      <c r="B1208" s="14" t="s">
        <v>414</v>
      </c>
      <c r="C1208" s="14" t="s">
        <v>378</v>
      </c>
      <c r="D1208" s="14" t="s">
        <v>379</v>
      </c>
      <c r="E1208" s="14" t="s">
        <v>342</v>
      </c>
      <c r="F1208" s="14" t="s">
        <v>343</v>
      </c>
      <c r="G1208" s="14" t="s">
        <v>343</v>
      </c>
      <c r="H1208" s="14" t="s">
        <v>343</v>
      </c>
      <c r="U1208" s="14">
        <v>0.66</v>
      </c>
      <c r="V1208" s="14">
        <v>0.6</v>
      </c>
      <c r="W1208" s="14">
        <v>0.57999999999999996</v>
      </c>
      <c r="X1208" s="14">
        <v>0.55000000000000004</v>
      </c>
    </row>
    <row r="1209" spans="1:24" hidden="1" x14ac:dyDescent="0.3">
      <c r="A1209" s="14" t="s">
        <v>413</v>
      </c>
      <c r="B1209" s="14" t="s">
        <v>414</v>
      </c>
      <c r="C1209" s="14" t="s">
        <v>378</v>
      </c>
      <c r="D1209" s="14" t="s">
        <v>379</v>
      </c>
      <c r="E1209" s="14" t="s">
        <v>344</v>
      </c>
      <c r="F1209" s="14" t="s">
        <v>343</v>
      </c>
      <c r="G1209" s="14" t="s">
        <v>343</v>
      </c>
      <c r="H1209" s="14" t="s">
        <v>343</v>
      </c>
      <c r="U1209" s="14">
        <v>63</v>
      </c>
      <c r="V1209" s="14">
        <v>97</v>
      </c>
      <c r="W1209" s="14">
        <v>109</v>
      </c>
      <c r="X1209" s="14">
        <v>118</v>
      </c>
    </row>
    <row r="1210" spans="1:24" hidden="1" x14ac:dyDescent="0.3">
      <c r="A1210" s="14" t="s">
        <v>413</v>
      </c>
      <c r="B1210" s="14" t="s">
        <v>414</v>
      </c>
      <c r="C1210" s="14" t="s">
        <v>353</v>
      </c>
      <c r="D1210" s="14" t="s">
        <v>354</v>
      </c>
      <c r="E1210" s="14" t="s">
        <v>342</v>
      </c>
      <c r="F1210" s="14" t="s">
        <v>343</v>
      </c>
      <c r="G1210" s="14" t="s">
        <v>343</v>
      </c>
      <c r="H1210" s="14" t="s">
        <v>343</v>
      </c>
      <c r="U1210" s="14">
        <v>0.75</v>
      </c>
      <c r="V1210" s="14">
        <v>0.75</v>
      </c>
      <c r="W1210" s="14">
        <v>0.75</v>
      </c>
      <c r="X1210" s="14">
        <v>0.75</v>
      </c>
    </row>
    <row r="1211" spans="1:24" hidden="1" x14ac:dyDescent="0.3">
      <c r="A1211" s="14" t="s">
        <v>413</v>
      </c>
      <c r="B1211" s="14" t="s">
        <v>414</v>
      </c>
      <c r="C1211" s="14" t="s">
        <v>353</v>
      </c>
      <c r="D1211" s="14" t="s">
        <v>354</v>
      </c>
      <c r="E1211" s="14" t="s">
        <v>344</v>
      </c>
      <c r="F1211" s="14" t="s">
        <v>343</v>
      </c>
      <c r="G1211" s="14" t="s">
        <v>343</v>
      </c>
      <c r="H1211" s="14" t="s">
        <v>343</v>
      </c>
      <c r="U1211" s="14">
        <v>122</v>
      </c>
      <c r="V1211" s="14">
        <v>134</v>
      </c>
      <c r="W1211" s="14">
        <v>135</v>
      </c>
      <c r="X1211" s="14">
        <v>126</v>
      </c>
    </row>
    <row r="1212" spans="1:24" hidden="1" x14ac:dyDescent="0.3">
      <c r="A1212" s="14" t="s">
        <v>413</v>
      </c>
      <c r="B1212" s="14" t="s">
        <v>414</v>
      </c>
      <c r="C1212" s="14" t="s">
        <v>355</v>
      </c>
      <c r="D1212" s="14" t="s">
        <v>356</v>
      </c>
      <c r="E1212" s="14" t="s">
        <v>342</v>
      </c>
      <c r="F1212" s="14" t="s">
        <v>343</v>
      </c>
      <c r="G1212" s="14" t="s">
        <v>343</v>
      </c>
      <c r="H1212" s="14" t="s">
        <v>343</v>
      </c>
      <c r="U1212" s="14">
        <v>0.67</v>
      </c>
      <c r="V1212" s="14">
        <v>0.63</v>
      </c>
      <c r="W1212" s="14">
        <v>0.63</v>
      </c>
      <c r="X1212" s="14">
        <v>0.64</v>
      </c>
    </row>
    <row r="1213" spans="1:24" hidden="1" x14ac:dyDescent="0.3">
      <c r="A1213" s="14" t="s">
        <v>413</v>
      </c>
      <c r="B1213" s="14" t="s">
        <v>414</v>
      </c>
      <c r="C1213" s="14" t="s">
        <v>355</v>
      </c>
      <c r="D1213" s="14" t="s">
        <v>356</v>
      </c>
      <c r="E1213" s="14" t="s">
        <v>344</v>
      </c>
      <c r="F1213" s="14" t="s">
        <v>343</v>
      </c>
      <c r="G1213" s="14" t="s">
        <v>343</v>
      </c>
      <c r="H1213" s="14" t="s">
        <v>343</v>
      </c>
      <c r="U1213" s="14">
        <v>145</v>
      </c>
      <c r="V1213" s="14">
        <v>150</v>
      </c>
      <c r="W1213" s="14">
        <v>152</v>
      </c>
      <c r="X1213" s="14">
        <v>135</v>
      </c>
    </row>
    <row r="1214" spans="1:24" hidden="1" x14ac:dyDescent="0.3">
      <c r="A1214" s="14" t="s">
        <v>413</v>
      </c>
      <c r="B1214" s="14" t="s">
        <v>414</v>
      </c>
      <c r="C1214" s="14" t="s">
        <v>357</v>
      </c>
      <c r="D1214" s="14" t="s">
        <v>358</v>
      </c>
      <c r="E1214" s="14" t="s">
        <v>342</v>
      </c>
      <c r="F1214" s="14" t="s">
        <v>343</v>
      </c>
      <c r="G1214" s="14" t="s">
        <v>343</v>
      </c>
      <c r="H1214" s="14" t="s">
        <v>343</v>
      </c>
      <c r="U1214" s="14">
        <v>0.56000000000000005</v>
      </c>
      <c r="V1214" s="14">
        <v>0.56000000000000005</v>
      </c>
      <c r="W1214" s="14">
        <v>0.56000000000000005</v>
      </c>
      <c r="X1214" s="14">
        <v>0.56000000000000005</v>
      </c>
    </row>
    <row r="1215" spans="1:24" hidden="1" x14ac:dyDescent="0.3">
      <c r="A1215" s="14" t="s">
        <v>413</v>
      </c>
      <c r="B1215" s="14" t="s">
        <v>414</v>
      </c>
      <c r="C1215" s="14" t="s">
        <v>357</v>
      </c>
      <c r="D1215" s="14" t="s">
        <v>358</v>
      </c>
      <c r="E1215" s="14" t="s">
        <v>344</v>
      </c>
      <c r="F1215" s="14" t="s">
        <v>343</v>
      </c>
      <c r="G1215" s="14" t="s">
        <v>343</v>
      </c>
      <c r="H1215" s="14" t="s">
        <v>343</v>
      </c>
      <c r="U1215" s="14">
        <v>128</v>
      </c>
      <c r="V1215" s="14">
        <v>137</v>
      </c>
      <c r="W1215" s="14">
        <v>138</v>
      </c>
      <c r="X1215" s="14">
        <v>130</v>
      </c>
    </row>
    <row r="1216" spans="1:24" hidden="1" x14ac:dyDescent="0.3">
      <c r="A1216" s="14" t="s">
        <v>413</v>
      </c>
      <c r="B1216" s="14" t="s">
        <v>414</v>
      </c>
      <c r="C1216" s="14" t="s">
        <v>359</v>
      </c>
      <c r="D1216" s="14" t="s">
        <v>360</v>
      </c>
      <c r="E1216" s="14" t="s">
        <v>342</v>
      </c>
      <c r="F1216" s="14" t="s">
        <v>343</v>
      </c>
      <c r="G1216" s="14" t="s">
        <v>343</v>
      </c>
      <c r="H1216" s="14" t="s">
        <v>343</v>
      </c>
      <c r="U1216" s="14">
        <v>0.61</v>
      </c>
      <c r="V1216" s="14">
        <v>0.59</v>
      </c>
      <c r="W1216" s="14">
        <v>0.56999999999999995</v>
      </c>
      <c r="X1216" s="14">
        <v>0.56000000000000005</v>
      </c>
    </row>
    <row r="1217" spans="1:24" hidden="1" x14ac:dyDescent="0.3">
      <c r="A1217" s="14" t="s">
        <v>413</v>
      </c>
      <c r="B1217" s="14" t="s">
        <v>414</v>
      </c>
      <c r="C1217" s="14" t="s">
        <v>359</v>
      </c>
      <c r="D1217" s="14" t="s">
        <v>360</v>
      </c>
      <c r="E1217" s="14" t="s">
        <v>344</v>
      </c>
      <c r="F1217" s="14" t="s">
        <v>343</v>
      </c>
      <c r="G1217" s="14" t="s">
        <v>343</v>
      </c>
      <c r="H1217" s="14" t="s">
        <v>343</v>
      </c>
      <c r="U1217" s="14">
        <v>107</v>
      </c>
      <c r="V1217" s="14">
        <v>121</v>
      </c>
      <c r="W1217" s="14">
        <v>126</v>
      </c>
      <c r="X1217" s="14">
        <v>120</v>
      </c>
    </row>
    <row r="1218" spans="1:24" hidden="1" x14ac:dyDescent="0.3">
      <c r="A1218" s="14" t="s">
        <v>413</v>
      </c>
      <c r="B1218" s="14" t="s">
        <v>414</v>
      </c>
      <c r="C1218" s="14" t="s">
        <v>361</v>
      </c>
      <c r="D1218" s="14" t="s">
        <v>362</v>
      </c>
      <c r="E1218" s="14" t="s">
        <v>342</v>
      </c>
      <c r="F1218" s="14" t="s">
        <v>343</v>
      </c>
      <c r="G1218" s="14" t="s">
        <v>343</v>
      </c>
      <c r="H1218" s="14" t="s">
        <v>343</v>
      </c>
      <c r="U1218" s="14">
        <v>0.98</v>
      </c>
      <c r="V1218" s="14">
        <v>0.98</v>
      </c>
      <c r="W1218" s="14">
        <v>0.98</v>
      </c>
      <c r="X1218" s="14">
        <v>0.98</v>
      </c>
    </row>
    <row r="1219" spans="1:24" hidden="1" x14ac:dyDescent="0.3">
      <c r="A1219" s="14" t="s">
        <v>413</v>
      </c>
      <c r="B1219" s="14" t="s">
        <v>414</v>
      </c>
      <c r="C1219" s="14" t="s">
        <v>361</v>
      </c>
      <c r="D1219" s="14" t="s">
        <v>362</v>
      </c>
      <c r="E1219" s="14" t="s">
        <v>344</v>
      </c>
      <c r="F1219" s="14" t="s">
        <v>343</v>
      </c>
      <c r="G1219" s="14" t="s">
        <v>343</v>
      </c>
      <c r="H1219" s="14" t="s">
        <v>343</v>
      </c>
      <c r="U1219" s="14">
        <v>70</v>
      </c>
      <c r="V1219" s="14">
        <v>67</v>
      </c>
      <c r="W1219" s="14">
        <v>51</v>
      </c>
      <c r="X1219" s="14">
        <v>49</v>
      </c>
    </row>
    <row r="1220" spans="1:24" hidden="1" x14ac:dyDescent="0.3">
      <c r="A1220" s="14" t="s">
        <v>413</v>
      </c>
      <c r="B1220" s="14" t="s">
        <v>414</v>
      </c>
      <c r="C1220" s="14" t="s">
        <v>363</v>
      </c>
      <c r="D1220" s="14" t="s">
        <v>364</v>
      </c>
      <c r="E1220" s="14" t="s">
        <v>342</v>
      </c>
      <c r="F1220" s="14" t="s">
        <v>343</v>
      </c>
      <c r="G1220" s="14" t="s">
        <v>343</v>
      </c>
      <c r="H1220" s="14" t="s">
        <v>343</v>
      </c>
      <c r="U1220" s="14">
        <v>1.05</v>
      </c>
      <c r="V1220" s="14">
        <v>1.05</v>
      </c>
      <c r="W1220" s="14">
        <v>1.05</v>
      </c>
      <c r="X1220" s="14">
        <v>1.05</v>
      </c>
    </row>
    <row r="1221" spans="1:24" hidden="1" x14ac:dyDescent="0.3">
      <c r="A1221" s="14" t="s">
        <v>413</v>
      </c>
      <c r="B1221" s="14" t="s">
        <v>414</v>
      </c>
      <c r="C1221" s="14" t="s">
        <v>363</v>
      </c>
      <c r="D1221" s="14" t="s">
        <v>364</v>
      </c>
      <c r="E1221" s="14" t="s">
        <v>344</v>
      </c>
      <c r="F1221" s="14" t="s">
        <v>343</v>
      </c>
      <c r="G1221" s="14" t="s">
        <v>343</v>
      </c>
      <c r="H1221" s="14" t="s">
        <v>343</v>
      </c>
      <c r="U1221" s="14">
        <v>78</v>
      </c>
      <c r="V1221" s="14">
        <v>81</v>
      </c>
      <c r="W1221" s="14">
        <v>60</v>
      </c>
      <c r="X1221" s="14">
        <v>55</v>
      </c>
    </row>
    <row r="1222" spans="1:24" hidden="1" x14ac:dyDescent="0.3">
      <c r="A1222" s="14" t="s">
        <v>413</v>
      </c>
      <c r="B1222" s="14" t="s">
        <v>414</v>
      </c>
      <c r="C1222" s="14" t="s">
        <v>365</v>
      </c>
      <c r="D1222" s="14" t="s">
        <v>366</v>
      </c>
      <c r="E1222" s="14" t="s">
        <v>342</v>
      </c>
      <c r="F1222" s="14" t="s">
        <v>343</v>
      </c>
      <c r="G1222" s="14" t="s">
        <v>343</v>
      </c>
      <c r="H1222" s="14" t="s">
        <v>343</v>
      </c>
      <c r="U1222" s="14">
        <v>0.94</v>
      </c>
      <c r="V1222" s="14">
        <v>0.94</v>
      </c>
      <c r="W1222" s="14">
        <v>0.94</v>
      </c>
      <c r="X1222" s="14">
        <v>0.94</v>
      </c>
    </row>
    <row r="1223" spans="1:24" hidden="1" x14ac:dyDescent="0.3">
      <c r="A1223" s="14" t="s">
        <v>413</v>
      </c>
      <c r="B1223" s="14" t="s">
        <v>414</v>
      </c>
      <c r="C1223" s="14" t="s">
        <v>365</v>
      </c>
      <c r="D1223" s="14" t="s">
        <v>366</v>
      </c>
      <c r="E1223" s="14" t="s">
        <v>344</v>
      </c>
      <c r="F1223" s="14" t="s">
        <v>343</v>
      </c>
      <c r="G1223" s="14" t="s">
        <v>343</v>
      </c>
      <c r="H1223" s="14" t="s">
        <v>343</v>
      </c>
      <c r="U1223" s="14">
        <v>1</v>
      </c>
      <c r="V1223" s="14">
        <v>1</v>
      </c>
      <c r="W1223" s="14">
        <v>1</v>
      </c>
      <c r="X1223" s="14">
        <v>1</v>
      </c>
    </row>
    <row r="1224" spans="1:24" hidden="1" x14ac:dyDescent="0.3">
      <c r="A1224" s="14" t="s">
        <v>413</v>
      </c>
      <c r="B1224" s="14" t="s">
        <v>414</v>
      </c>
      <c r="C1224" s="14" t="s">
        <v>367</v>
      </c>
      <c r="D1224" s="14" t="s">
        <v>368</v>
      </c>
      <c r="E1224" s="14" t="s">
        <v>342</v>
      </c>
      <c r="F1224" s="14" t="s">
        <v>343</v>
      </c>
      <c r="G1224" s="14" t="s">
        <v>343</v>
      </c>
      <c r="H1224" s="14" t="s">
        <v>343</v>
      </c>
      <c r="U1224" s="14">
        <v>0.57999999999999996</v>
      </c>
      <c r="V1224" s="14">
        <v>0.57999999999999996</v>
      </c>
      <c r="W1224" s="14">
        <v>0.57999999999999996</v>
      </c>
      <c r="X1224" s="14">
        <v>0.56999999999999995</v>
      </c>
    </row>
    <row r="1225" spans="1:24" hidden="1" x14ac:dyDescent="0.3">
      <c r="A1225" s="14" t="s">
        <v>413</v>
      </c>
      <c r="B1225" s="14" t="s">
        <v>414</v>
      </c>
      <c r="C1225" s="14" t="s">
        <v>367</v>
      </c>
      <c r="D1225" s="14" t="s">
        <v>368</v>
      </c>
      <c r="E1225" s="14" t="s">
        <v>344</v>
      </c>
      <c r="F1225" s="14" t="s">
        <v>343</v>
      </c>
      <c r="G1225" s="14" t="s">
        <v>343</v>
      </c>
      <c r="H1225" s="14" t="s">
        <v>343</v>
      </c>
      <c r="U1225" s="14">
        <v>144</v>
      </c>
      <c r="V1225" s="14">
        <v>149</v>
      </c>
      <c r="W1225" s="14">
        <v>151</v>
      </c>
      <c r="X1225" s="14">
        <v>144</v>
      </c>
    </row>
    <row r="1226" spans="1:24" hidden="1" x14ac:dyDescent="0.3">
      <c r="A1226" s="14" t="s">
        <v>413</v>
      </c>
      <c r="B1226" s="14" t="s">
        <v>414</v>
      </c>
      <c r="C1226" s="14" t="s">
        <v>369</v>
      </c>
      <c r="D1226" s="14" t="s">
        <v>370</v>
      </c>
      <c r="E1226" s="14" t="s">
        <v>342</v>
      </c>
      <c r="F1226" s="14" t="s">
        <v>343</v>
      </c>
      <c r="G1226" s="14" t="s">
        <v>343</v>
      </c>
      <c r="H1226" s="14" t="s">
        <v>343</v>
      </c>
      <c r="U1226" s="14">
        <v>0.06</v>
      </c>
      <c r="V1226" s="14">
        <v>0.09</v>
      </c>
      <c r="W1226" s="14">
        <v>0.1</v>
      </c>
      <c r="X1226" s="14">
        <v>0.1</v>
      </c>
    </row>
    <row r="1227" spans="1:24" hidden="1" x14ac:dyDescent="0.3">
      <c r="A1227" s="14" t="s">
        <v>413</v>
      </c>
      <c r="B1227" s="14" t="s">
        <v>414</v>
      </c>
      <c r="C1227" s="14" t="s">
        <v>369</v>
      </c>
      <c r="D1227" s="14" t="s">
        <v>370</v>
      </c>
      <c r="E1227" s="14" t="s">
        <v>344</v>
      </c>
      <c r="F1227" s="14" t="s">
        <v>343</v>
      </c>
      <c r="G1227" s="14" t="s">
        <v>343</v>
      </c>
      <c r="H1227" s="14" t="s">
        <v>343</v>
      </c>
      <c r="U1227" s="14">
        <v>136</v>
      </c>
      <c r="V1227" s="14">
        <v>126</v>
      </c>
      <c r="W1227" s="14">
        <v>130</v>
      </c>
      <c r="X1227" s="14">
        <v>124</v>
      </c>
    </row>
    <row r="1228" spans="1:24" hidden="1" x14ac:dyDescent="0.3">
      <c r="A1228" s="14" t="s">
        <v>413</v>
      </c>
      <c r="B1228" s="14" t="s">
        <v>414</v>
      </c>
      <c r="C1228" s="14" t="s">
        <v>371</v>
      </c>
      <c r="D1228" s="14" t="s">
        <v>372</v>
      </c>
      <c r="E1228" s="14" t="s">
        <v>342</v>
      </c>
      <c r="F1228" s="14" t="s">
        <v>343</v>
      </c>
      <c r="G1228" s="14" t="s">
        <v>343</v>
      </c>
      <c r="H1228" s="14" t="s">
        <v>343</v>
      </c>
      <c r="U1228" s="14">
        <v>0</v>
      </c>
      <c r="V1228" s="14">
        <v>0</v>
      </c>
      <c r="W1228" s="14">
        <v>0</v>
      </c>
      <c r="X1228" s="14">
        <v>0</v>
      </c>
    </row>
    <row r="1229" spans="1:24" hidden="1" x14ac:dyDescent="0.3">
      <c r="A1229" s="14" t="s">
        <v>413</v>
      </c>
      <c r="B1229" s="14" t="s">
        <v>414</v>
      </c>
      <c r="C1229" s="14" t="s">
        <v>371</v>
      </c>
      <c r="D1229" s="14" t="s">
        <v>372</v>
      </c>
      <c r="E1229" s="14" t="s">
        <v>344</v>
      </c>
      <c r="F1229" s="14" t="s">
        <v>343</v>
      </c>
      <c r="G1229" s="14" t="s">
        <v>343</v>
      </c>
      <c r="H1229" s="14" t="s">
        <v>343</v>
      </c>
      <c r="U1229" s="14">
        <v>71</v>
      </c>
      <c r="V1229" s="14">
        <v>73</v>
      </c>
      <c r="W1229" s="14">
        <v>76</v>
      </c>
      <c r="X1229" s="14">
        <v>78</v>
      </c>
    </row>
    <row r="1230" spans="1:24" hidden="1" x14ac:dyDescent="0.3">
      <c r="A1230" s="14" t="s">
        <v>413</v>
      </c>
      <c r="B1230" s="14" t="s">
        <v>414</v>
      </c>
      <c r="C1230" s="14" t="s">
        <v>373</v>
      </c>
      <c r="D1230" s="14" t="s">
        <v>374</v>
      </c>
      <c r="E1230" s="14" t="s">
        <v>342</v>
      </c>
      <c r="F1230" s="14" t="s">
        <v>343</v>
      </c>
      <c r="G1230" s="14" t="s">
        <v>343</v>
      </c>
      <c r="H1230" s="14" t="s">
        <v>343</v>
      </c>
      <c r="U1230" s="14">
        <v>0.13</v>
      </c>
      <c r="V1230" s="14">
        <v>0.22</v>
      </c>
      <c r="W1230" s="14">
        <v>0.22</v>
      </c>
      <c r="X1230" s="14">
        <v>0.22</v>
      </c>
    </row>
    <row r="1231" spans="1:24" hidden="1" x14ac:dyDescent="0.3">
      <c r="A1231" s="14" t="s">
        <v>413</v>
      </c>
      <c r="B1231" s="14" t="s">
        <v>414</v>
      </c>
      <c r="C1231" s="14" t="s">
        <v>373</v>
      </c>
      <c r="D1231" s="14" t="s">
        <v>374</v>
      </c>
      <c r="E1231" s="14" t="s">
        <v>344</v>
      </c>
      <c r="F1231" s="14" t="s">
        <v>343</v>
      </c>
      <c r="G1231" s="14" t="s">
        <v>343</v>
      </c>
      <c r="H1231" s="14" t="s">
        <v>343</v>
      </c>
      <c r="U1231" s="14">
        <v>108</v>
      </c>
      <c r="V1231" s="14">
        <v>93</v>
      </c>
      <c r="W1231" s="14">
        <v>90</v>
      </c>
      <c r="X1231" s="14">
        <v>85</v>
      </c>
    </row>
    <row r="1232" spans="1:24" hidden="1" x14ac:dyDescent="0.3">
      <c r="A1232" s="14" t="s">
        <v>413</v>
      </c>
      <c r="B1232" s="14" t="s">
        <v>414</v>
      </c>
      <c r="C1232" s="14" t="s">
        <v>375</v>
      </c>
      <c r="D1232" s="14" t="s">
        <v>376</v>
      </c>
      <c r="E1232" s="14" t="s">
        <v>342</v>
      </c>
      <c r="F1232" s="14" t="s">
        <v>343</v>
      </c>
      <c r="G1232" s="14" t="s">
        <v>343</v>
      </c>
      <c r="H1232" s="14" t="s">
        <v>343</v>
      </c>
      <c r="U1232" s="14">
        <v>0.1</v>
      </c>
      <c r="V1232" s="14">
        <v>0.11</v>
      </c>
      <c r="W1232" s="14">
        <v>0.15</v>
      </c>
      <c r="X1232" s="14">
        <v>0.15</v>
      </c>
    </row>
    <row r="1233" spans="1:24" hidden="1" x14ac:dyDescent="0.3">
      <c r="A1233" s="14" t="s">
        <v>413</v>
      </c>
      <c r="B1233" s="14" t="s">
        <v>414</v>
      </c>
      <c r="C1233" s="14" t="s">
        <v>375</v>
      </c>
      <c r="D1233" s="14" t="s">
        <v>376</v>
      </c>
      <c r="E1233" s="14" t="s">
        <v>344</v>
      </c>
      <c r="F1233" s="14" t="s">
        <v>343</v>
      </c>
      <c r="G1233" s="14" t="s">
        <v>343</v>
      </c>
      <c r="H1233" s="14" t="s">
        <v>343</v>
      </c>
      <c r="U1233" s="14">
        <v>135</v>
      </c>
      <c r="V1233" s="14">
        <v>136</v>
      </c>
      <c r="W1233" s="14">
        <v>130</v>
      </c>
      <c r="X1233" s="14">
        <v>125</v>
      </c>
    </row>
    <row r="1234" spans="1:24" hidden="1" x14ac:dyDescent="0.3">
      <c r="A1234" s="14" t="s">
        <v>415</v>
      </c>
      <c r="B1234" s="14" t="s">
        <v>71</v>
      </c>
      <c r="C1234" s="14" t="s">
        <v>340</v>
      </c>
      <c r="D1234" s="14" t="s">
        <v>341</v>
      </c>
      <c r="E1234" s="14" t="s">
        <v>342</v>
      </c>
      <c r="F1234" s="14" t="s">
        <v>343</v>
      </c>
      <c r="G1234" s="14" t="s">
        <v>343</v>
      </c>
      <c r="H1234" s="14" t="s">
        <v>343</v>
      </c>
      <c r="I1234" s="14">
        <v>1</v>
      </c>
      <c r="J1234" s="14">
        <v>1</v>
      </c>
      <c r="K1234" s="14">
        <v>1</v>
      </c>
      <c r="L1234" s="14">
        <v>1</v>
      </c>
      <c r="M1234" s="14">
        <v>1</v>
      </c>
      <c r="N1234" s="14">
        <v>1</v>
      </c>
      <c r="O1234" s="14">
        <v>0.99</v>
      </c>
      <c r="P1234" s="14">
        <v>1</v>
      </c>
      <c r="Q1234" s="14">
        <v>1</v>
      </c>
      <c r="R1234" s="14">
        <v>0.99</v>
      </c>
      <c r="S1234" s="14">
        <v>1</v>
      </c>
      <c r="T1234" s="14">
        <v>1</v>
      </c>
      <c r="U1234" s="14">
        <v>1</v>
      </c>
      <c r="V1234" s="14">
        <v>1</v>
      </c>
      <c r="W1234" s="14">
        <v>1</v>
      </c>
      <c r="X1234" s="14">
        <v>1</v>
      </c>
    </row>
    <row r="1235" spans="1:24" hidden="1" x14ac:dyDescent="0.3">
      <c r="A1235" s="14" t="s">
        <v>415</v>
      </c>
      <c r="B1235" s="14" t="s">
        <v>71</v>
      </c>
      <c r="C1235" s="14" t="s">
        <v>340</v>
      </c>
      <c r="D1235" s="14" t="s">
        <v>341</v>
      </c>
      <c r="E1235" s="14" t="s">
        <v>344</v>
      </c>
      <c r="F1235" s="14" t="s">
        <v>343</v>
      </c>
      <c r="G1235" s="14" t="s">
        <v>343</v>
      </c>
      <c r="H1235" s="14" t="s">
        <v>343</v>
      </c>
      <c r="I1235" s="14">
        <v>14</v>
      </c>
      <c r="J1235" s="14">
        <v>16</v>
      </c>
      <c r="K1235" s="14">
        <v>32</v>
      </c>
      <c r="L1235" s="14">
        <v>28</v>
      </c>
      <c r="M1235" s="14">
        <v>44</v>
      </c>
      <c r="N1235" s="14">
        <v>42</v>
      </c>
      <c r="O1235" s="14">
        <v>51</v>
      </c>
      <c r="P1235" s="14">
        <v>45</v>
      </c>
      <c r="Q1235" s="14">
        <v>51</v>
      </c>
      <c r="R1235" s="14">
        <v>61</v>
      </c>
      <c r="S1235" s="14">
        <v>37</v>
      </c>
      <c r="T1235" s="14">
        <v>30</v>
      </c>
      <c r="U1235" s="14">
        <v>1</v>
      </c>
      <c r="V1235" s="14">
        <v>1</v>
      </c>
      <c r="W1235" s="14">
        <v>1</v>
      </c>
      <c r="X1235" s="14">
        <v>1</v>
      </c>
    </row>
    <row r="1236" spans="1:24" hidden="1" x14ac:dyDescent="0.3">
      <c r="A1236" s="14" t="s">
        <v>415</v>
      </c>
      <c r="B1236" s="14" t="s">
        <v>71</v>
      </c>
      <c r="C1236" s="14" t="s">
        <v>345</v>
      </c>
      <c r="D1236" s="14" t="s">
        <v>346</v>
      </c>
      <c r="E1236" s="14" t="s">
        <v>342</v>
      </c>
      <c r="F1236" s="14" t="s">
        <v>343</v>
      </c>
      <c r="G1236" s="14" t="s">
        <v>343</v>
      </c>
      <c r="H1236" s="14" t="s">
        <v>343</v>
      </c>
      <c r="U1236" s="14">
        <v>0.68</v>
      </c>
      <c r="V1236" s="14">
        <v>0.68</v>
      </c>
      <c r="W1236" s="14">
        <v>0.54</v>
      </c>
      <c r="X1236" s="14">
        <v>0.69</v>
      </c>
    </row>
    <row r="1237" spans="1:24" hidden="1" x14ac:dyDescent="0.3">
      <c r="A1237" s="14" t="s">
        <v>415</v>
      </c>
      <c r="B1237" s="14" t="s">
        <v>71</v>
      </c>
      <c r="C1237" s="14" t="s">
        <v>345</v>
      </c>
      <c r="D1237" s="14" t="s">
        <v>346</v>
      </c>
      <c r="E1237" s="14" t="s">
        <v>344</v>
      </c>
      <c r="F1237" s="14" t="s">
        <v>343</v>
      </c>
      <c r="G1237" s="14" t="s">
        <v>343</v>
      </c>
      <c r="H1237" s="14" t="s">
        <v>343</v>
      </c>
      <c r="U1237" s="14">
        <v>40</v>
      </c>
      <c r="V1237" s="14">
        <v>44</v>
      </c>
      <c r="W1237" s="14">
        <v>111</v>
      </c>
      <c r="X1237" s="14">
        <v>52</v>
      </c>
    </row>
    <row r="1238" spans="1:24" hidden="1" x14ac:dyDescent="0.3">
      <c r="A1238" s="14" t="s">
        <v>415</v>
      </c>
      <c r="B1238" s="14" t="s">
        <v>71</v>
      </c>
      <c r="C1238" s="14" t="s">
        <v>347</v>
      </c>
      <c r="D1238" s="14" t="s">
        <v>348</v>
      </c>
      <c r="E1238" s="14" t="s">
        <v>342</v>
      </c>
      <c r="F1238" s="14" t="s">
        <v>343</v>
      </c>
      <c r="G1238" s="14" t="s">
        <v>343</v>
      </c>
      <c r="H1238" s="14" t="s">
        <v>343</v>
      </c>
      <c r="U1238" s="14">
        <v>0.74</v>
      </c>
      <c r="V1238" s="14">
        <v>0.74</v>
      </c>
      <c r="W1238" s="14">
        <v>0.73</v>
      </c>
      <c r="X1238" s="14">
        <v>0.67</v>
      </c>
    </row>
    <row r="1239" spans="1:24" hidden="1" x14ac:dyDescent="0.3">
      <c r="A1239" s="14" t="s">
        <v>415</v>
      </c>
      <c r="B1239" s="14" t="s">
        <v>71</v>
      </c>
      <c r="C1239" s="14" t="s">
        <v>347</v>
      </c>
      <c r="D1239" s="14" t="s">
        <v>348</v>
      </c>
      <c r="E1239" s="14" t="s">
        <v>344</v>
      </c>
      <c r="F1239" s="14" t="s">
        <v>343</v>
      </c>
      <c r="G1239" s="14" t="s">
        <v>343</v>
      </c>
      <c r="H1239" s="14" t="s">
        <v>343</v>
      </c>
      <c r="U1239" s="14">
        <v>92</v>
      </c>
      <c r="V1239" s="14">
        <v>97</v>
      </c>
      <c r="W1239" s="14">
        <v>103</v>
      </c>
      <c r="X1239" s="14">
        <v>104</v>
      </c>
    </row>
    <row r="1240" spans="1:24" hidden="1" x14ac:dyDescent="0.3">
      <c r="A1240" s="14" t="s">
        <v>415</v>
      </c>
      <c r="B1240" s="14" t="s">
        <v>71</v>
      </c>
      <c r="C1240" s="14" t="s">
        <v>349</v>
      </c>
      <c r="D1240" s="14" t="s">
        <v>350</v>
      </c>
      <c r="E1240" s="14" t="s">
        <v>342</v>
      </c>
      <c r="F1240" s="14" t="s">
        <v>343</v>
      </c>
      <c r="G1240" s="14" t="s">
        <v>343</v>
      </c>
      <c r="H1240" s="14" t="s">
        <v>343</v>
      </c>
      <c r="U1240" s="14">
        <v>1</v>
      </c>
      <c r="V1240" s="14">
        <v>1</v>
      </c>
      <c r="W1240" s="14">
        <v>1</v>
      </c>
    </row>
    <row r="1241" spans="1:24" hidden="1" x14ac:dyDescent="0.3">
      <c r="A1241" s="14" t="s">
        <v>415</v>
      </c>
      <c r="B1241" s="14" t="s">
        <v>71</v>
      </c>
      <c r="C1241" s="14" t="s">
        <v>349</v>
      </c>
      <c r="D1241" s="14" t="s">
        <v>350</v>
      </c>
      <c r="E1241" s="14" t="s">
        <v>344</v>
      </c>
      <c r="F1241" s="14" t="s">
        <v>343</v>
      </c>
      <c r="G1241" s="14" t="s">
        <v>343</v>
      </c>
      <c r="H1241" s="14" t="s">
        <v>343</v>
      </c>
      <c r="U1241" s="14">
        <v>1</v>
      </c>
      <c r="V1241" s="14">
        <v>1</v>
      </c>
      <c r="W1241" s="14">
        <v>1</v>
      </c>
    </row>
    <row r="1242" spans="1:24" hidden="1" x14ac:dyDescent="0.3">
      <c r="A1242" s="14" t="s">
        <v>415</v>
      </c>
      <c r="B1242" s="14" t="s">
        <v>71</v>
      </c>
      <c r="C1242" s="14" t="s">
        <v>351</v>
      </c>
      <c r="D1242" s="14" t="s">
        <v>352</v>
      </c>
      <c r="E1242" s="14" t="s">
        <v>342</v>
      </c>
      <c r="F1242" s="14" t="s">
        <v>343</v>
      </c>
      <c r="G1242" s="14" t="s">
        <v>343</v>
      </c>
      <c r="H1242" s="14" t="s">
        <v>343</v>
      </c>
      <c r="U1242" s="14">
        <v>1</v>
      </c>
      <c r="V1242" s="14">
        <v>1</v>
      </c>
      <c r="W1242" s="14">
        <v>1</v>
      </c>
    </row>
    <row r="1243" spans="1:24" hidden="1" x14ac:dyDescent="0.3">
      <c r="A1243" s="14" t="s">
        <v>415</v>
      </c>
      <c r="B1243" s="14" t="s">
        <v>71</v>
      </c>
      <c r="C1243" s="14" t="s">
        <v>351</v>
      </c>
      <c r="D1243" s="14" t="s">
        <v>352</v>
      </c>
      <c r="E1243" s="14" t="s">
        <v>344</v>
      </c>
      <c r="F1243" s="14" t="s">
        <v>343</v>
      </c>
      <c r="G1243" s="14" t="s">
        <v>343</v>
      </c>
      <c r="H1243" s="14" t="s">
        <v>343</v>
      </c>
      <c r="U1243" s="14">
        <v>1</v>
      </c>
      <c r="V1243" s="14">
        <v>1</v>
      </c>
      <c r="W1243" s="14">
        <v>1</v>
      </c>
    </row>
    <row r="1244" spans="1:24" hidden="1" x14ac:dyDescent="0.3">
      <c r="A1244" s="14" t="s">
        <v>415</v>
      </c>
      <c r="B1244" s="14" t="s">
        <v>71</v>
      </c>
      <c r="C1244" s="14" t="s">
        <v>378</v>
      </c>
      <c r="D1244" s="14" t="s">
        <v>379</v>
      </c>
      <c r="E1244" s="14" t="s">
        <v>342</v>
      </c>
      <c r="F1244" s="14" t="s">
        <v>343</v>
      </c>
      <c r="G1244" s="14" t="s">
        <v>343</v>
      </c>
      <c r="H1244" s="14" t="s">
        <v>343</v>
      </c>
      <c r="S1244" s="14">
        <v>0.57999999999999996</v>
      </c>
      <c r="U1244" s="14">
        <v>0.53</v>
      </c>
      <c r="V1244" s="14">
        <v>0.54</v>
      </c>
      <c r="W1244" s="14">
        <v>0.56000000000000005</v>
      </c>
      <c r="X1244" s="14">
        <v>0.61</v>
      </c>
    </row>
    <row r="1245" spans="1:24" hidden="1" x14ac:dyDescent="0.3">
      <c r="A1245" s="14" t="s">
        <v>415</v>
      </c>
      <c r="B1245" s="14" t="s">
        <v>71</v>
      </c>
      <c r="C1245" s="14" t="s">
        <v>378</v>
      </c>
      <c r="D1245" s="14" t="s">
        <v>379</v>
      </c>
      <c r="E1245" s="14" t="s">
        <v>344</v>
      </c>
      <c r="F1245" s="14" t="s">
        <v>343</v>
      </c>
      <c r="G1245" s="14" t="s">
        <v>343</v>
      </c>
      <c r="H1245" s="14" t="s">
        <v>343</v>
      </c>
      <c r="S1245" s="14">
        <v>102</v>
      </c>
      <c r="U1245" s="14">
        <v>119</v>
      </c>
      <c r="V1245" s="14">
        <v>122</v>
      </c>
      <c r="W1245" s="14">
        <v>120</v>
      </c>
      <c r="X1245" s="14">
        <v>96</v>
      </c>
    </row>
    <row r="1246" spans="1:24" hidden="1" x14ac:dyDescent="0.3">
      <c r="A1246" s="14" t="s">
        <v>415</v>
      </c>
      <c r="B1246" s="14" t="s">
        <v>71</v>
      </c>
      <c r="C1246" s="14" t="s">
        <v>353</v>
      </c>
      <c r="D1246" s="14" t="s">
        <v>354</v>
      </c>
      <c r="E1246" s="14" t="s">
        <v>342</v>
      </c>
      <c r="F1246" s="14" t="s">
        <v>343</v>
      </c>
      <c r="G1246" s="14" t="s">
        <v>343</v>
      </c>
      <c r="H1246" s="14" t="s">
        <v>343</v>
      </c>
      <c r="U1246" s="14">
        <v>1</v>
      </c>
      <c r="V1246" s="14">
        <v>1</v>
      </c>
      <c r="W1246" s="14">
        <v>1</v>
      </c>
      <c r="X1246" s="14">
        <v>1</v>
      </c>
    </row>
    <row r="1247" spans="1:24" hidden="1" x14ac:dyDescent="0.3">
      <c r="A1247" s="14" t="s">
        <v>415</v>
      </c>
      <c r="B1247" s="14" t="s">
        <v>71</v>
      </c>
      <c r="C1247" s="14" t="s">
        <v>353</v>
      </c>
      <c r="D1247" s="14" t="s">
        <v>354</v>
      </c>
      <c r="E1247" s="14" t="s">
        <v>344</v>
      </c>
      <c r="F1247" s="14" t="s">
        <v>343</v>
      </c>
      <c r="G1247" s="14" t="s">
        <v>343</v>
      </c>
      <c r="H1247" s="14" t="s">
        <v>343</v>
      </c>
      <c r="U1247" s="14">
        <v>1</v>
      </c>
      <c r="V1247" s="14">
        <v>1</v>
      </c>
      <c r="W1247" s="14">
        <v>1</v>
      </c>
      <c r="X1247" s="14">
        <v>1</v>
      </c>
    </row>
    <row r="1248" spans="1:24" hidden="1" x14ac:dyDescent="0.3">
      <c r="A1248" s="14" t="s">
        <v>415</v>
      </c>
      <c r="B1248" s="14" t="s">
        <v>71</v>
      </c>
      <c r="C1248" s="14" t="s">
        <v>380</v>
      </c>
      <c r="D1248" s="14" t="s">
        <v>381</v>
      </c>
      <c r="E1248" s="14" t="s">
        <v>342</v>
      </c>
      <c r="F1248" s="14" t="s">
        <v>343</v>
      </c>
      <c r="G1248" s="14" t="s">
        <v>343</v>
      </c>
      <c r="H1248" s="14" t="s">
        <v>343</v>
      </c>
      <c r="U1248" s="14">
        <v>1</v>
      </c>
      <c r="V1248" s="14">
        <v>1</v>
      </c>
      <c r="W1248" s="14">
        <v>1</v>
      </c>
      <c r="X1248" s="14">
        <v>1</v>
      </c>
    </row>
    <row r="1249" spans="1:24" hidden="1" x14ac:dyDescent="0.3">
      <c r="A1249" s="14" t="s">
        <v>415</v>
      </c>
      <c r="B1249" s="14" t="s">
        <v>71</v>
      </c>
      <c r="C1249" s="14" t="s">
        <v>380</v>
      </c>
      <c r="D1249" s="14" t="s">
        <v>381</v>
      </c>
      <c r="E1249" s="14" t="s">
        <v>344</v>
      </c>
      <c r="F1249" s="14" t="s">
        <v>343</v>
      </c>
      <c r="G1249" s="14" t="s">
        <v>343</v>
      </c>
      <c r="H1249" s="14" t="s">
        <v>343</v>
      </c>
      <c r="U1249" s="14">
        <v>1</v>
      </c>
      <c r="V1249" s="14">
        <v>1</v>
      </c>
      <c r="W1249" s="14">
        <v>1</v>
      </c>
      <c r="X1249" s="14">
        <v>1</v>
      </c>
    </row>
    <row r="1250" spans="1:24" hidden="1" x14ac:dyDescent="0.3">
      <c r="A1250" s="14" t="s">
        <v>415</v>
      </c>
      <c r="B1250" s="14" t="s">
        <v>71</v>
      </c>
      <c r="C1250" s="14" t="s">
        <v>355</v>
      </c>
      <c r="D1250" s="14" t="s">
        <v>356</v>
      </c>
      <c r="E1250" s="14" t="s">
        <v>342</v>
      </c>
      <c r="F1250" s="14" t="s">
        <v>343</v>
      </c>
      <c r="G1250" s="14" t="s">
        <v>343</v>
      </c>
      <c r="H1250" s="14" t="s">
        <v>343</v>
      </c>
      <c r="U1250" s="14">
        <v>1</v>
      </c>
      <c r="V1250" s="14">
        <v>1</v>
      </c>
      <c r="W1250" s="14">
        <v>1</v>
      </c>
      <c r="X1250" s="14">
        <v>1</v>
      </c>
    </row>
    <row r="1251" spans="1:24" hidden="1" x14ac:dyDescent="0.3">
      <c r="A1251" s="14" t="s">
        <v>415</v>
      </c>
      <c r="B1251" s="14" t="s">
        <v>71</v>
      </c>
      <c r="C1251" s="14" t="s">
        <v>355</v>
      </c>
      <c r="D1251" s="14" t="s">
        <v>356</v>
      </c>
      <c r="E1251" s="14" t="s">
        <v>344</v>
      </c>
      <c r="F1251" s="14" t="s">
        <v>343</v>
      </c>
      <c r="G1251" s="14" t="s">
        <v>343</v>
      </c>
      <c r="H1251" s="14" t="s">
        <v>343</v>
      </c>
      <c r="U1251" s="14">
        <v>1</v>
      </c>
      <c r="V1251" s="14">
        <v>1</v>
      </c>
      <c r="W1251" s="14">
        <v>1</v>
      </c>
      <c r="X1251" s="14">
        <v>1</v>
      </c>
    </row>
    <row r="1252" spans="1:24" hidden="1" x14ac:dyDescent="0.3">
      <c r="A1252" s="14" t="s">
        <v>415</v>
      </c>
      <c r="B1252" s="14" t="s">
        <v>71</v>
      </c>
      <c r="C1252" s="14" t="s">
        <v>357</v>
      </c>
      <c r="D1252" s="14" t="s">
        <v>358</v>
      </c>
      <c r="E1252" s="14" t="s">
        <v>342</v>
      </c>
      <c r="F1252" s="14" t="s">
        <v>343</v>
      </c>
      <c r="G1252" s="14" t="s">
        <v>343</v>
      </c>
      <c r="H1252" s="14" t="s">
        <v>343</v>
      </c>
      <c r="U1252" s="14">
        <v>1</v>
      </c>
      <c r="V1252" s="14">
        <v>1</v>
      </c>
      <c r="W1252" s="14">
        <v>1</v>
      </c>
      <c r="X1252" s="14">
        <v>1</v>
      </c>
    </row>
    <row r="1253" spans="1:24" hidden="1" x14ac:dyDescent="0.3">
      <c r="A1253" s="14" t="s">
        <v>415</v>
      </c>
      <c r="B1253" s="14" t="s">
        <v>71</v>
      </c>
      <c r="C1253" s="14" t="s">
        <v>357</v>
      </c>
      <c r="D1253" s="14" t="s">
        <v>358</v>
      </c>
      <c r="E1253" s="14" t="s">
        <v>344</v>
      </c>
      <c r="F1253" s="14" t="s">
        <v>343</v>
      </c>
      <c r="G1253" s="14" t="s">
        <v>343</v>
      </c>
      <c r="H1253" s="14" t="s">
        <v>343</v>
      </c>
      <c r="U1253" s="14">
        <v>1</v>
      </c>
      <c r="V1253" s="14">
        <v>1</v>
      </c>
      <c r="W1253" s="14">
        <v>1</v>
      </c>
      <c r="X1253" s="14">
        <v>1</v>
      </c>
    </row>
    <row r="1254" spans="1:24" hidden="1" x14ac:dyDescent="0.3">
      <c r="A1254" s="14" t="s">
        <v>415</v>
      </c>
      <c r="B1254" s="14" t="s">
        <v>71</v>
      </c>
      <c r="C1254" s="14" t="s">
        <v>359</v>
      </c>
      <c r="D1254" s="14" t="s">
        <v>360</v>
      </c>
      <c r="E1254" s="14" t="s">
        <v>342</v>
      </c>
      <c r="F1254" s="14" t="s">
        <v>343</v>
      </c>
      <c r="G1254" s="14" t="s">
        <v>343</v>
      </c>
      <c r="H1254" s="14" t="s">
        <v>343</v>
      </c>
      <c r="I1254" s="14">
        <v>0.66</v>
      </c>
      <c r="J1254" s="14">
        <v>0.69</v>
      </c>
      <c r="K1254" s="14">
        <v>0.7</v>
      </c>
      <c r="L1254" s="14">
        <v>0.69</v>
      </c>
      <c r="M1254" s="14">
        <v>0.69</v>
      </c>
      <c r="N1254" s="14">
        <v>0.6</v>
      </c>
      <c r="O1254" s="14">
        <v>0.62</v>
      </c>
      <c r="P1254" s="14">
        <v>0.73</v>
      </c>
      <c r="Q1254" s="14">
        <v>0.71</v>
      </c>
      <c r="R1254" s="14">
        <v>0.75</v>
      </c>
      <c r="S1254" s="14">
        <v>0.75</v>
      </c>
      <c r="T1254" s="14">
        <v>0.74</v>
      </c>
      <c r="U1254" s="14">
        <v>0.73</v>
      </c>
      <c r="V1254" s="14">
        <v>0.74</v>
      </c>
      <c r="W1254" s="14">
        <v>0.71</v>
      </c>
      <c r="X1254" s="14">
        <v>0.65</v>
      </c>
    </row>
    <row r="1255" spans="1:24" hidden="1" x14ac:dyDescent="0.3">
      <c r="A1255" s="14" t="s">
        <v>415</v>
      </c>
      <c r="B1255" s="14" t="s">
        <v>71</v>
      </c>
      <c r="C1255" s="14" t="s">
        <v>359</v>
      </c>
      <c r="D1255" s="14" t="s">
        <v>360</v>
      </c>
      <c r="E1255" s="14" t="s">
        <v>344</v>
      </c>
      <c r="F1255" s="14" t="s">
        <v>343</v>
      </c>
      <c r="G1255" s="14" t="s">
        <v>343</v>
      </c>
      <c r="H1255" s="14" t="s">
        <v>343</v>
      </c>
      <c r="I1255" s="14">
        <v>39</v>
      </c>
      <c r="J1255" s="14">
        <v>35</v>
      </c>
      <c r="K1255" s="14">
        <v>37</v>
      </c>
      <c r="L1255" s="14">
        <v>39</v>
      </c>
      <c r="M1255" s="14">
        <v>45</v>
      </c>
      <c r="N1255" s="14">
        <v>89</v>
      </c>
      <c r="O1255" s="14">
        <v>86</v>
      </c>
      <c r="P1255" s="14">
        <v>39</v>
      </c>
      <c r="Q1255" s="14">
        <v>50</v>
      </c>
      <c r="R1255" s="14">
        <v>37</v>
      </c>
      <c r="S1255" s="14">
        <v>28</v>
      </c>
      <c r="T1255" s="14">
        <v>32</v>
      </c>
      <c r="U1255" s="14">
        <v>39</v>
      </c>
      <c r="V1255" s="14">
        <v>42</v>
      </c>
      <c r="W1255" s="14">
        <v>60</v>
      </c>
      <c r="X1255" s="14">
        <v>93</v>
      </c>
    </row>
    <row r="1256" spans="1:24" x14ac:dyDescent="0.3">
      <c r="A1256" s="14" t="s">
        <v>415</v>
      </c>
      <c r="B1256" s="14" t="s">
        <v>71</v>
      </c>
      <c r="C1256" s="14" t="s">
        <v>361</v>
      </c>
      <c r="D1256" s="14" t="s">
        <v>362</v>
      </c>
      <c r="E1256" s="14" t="s">
        <v>342</v>
      </c>
      <c r="F1256" s="14" t="s">
        <v>343</v>
      </c>
      <c r="G1256" s="14" t="s">
        <v>343</v>
      </c>
      <c r="H1256" s="14" t="s">
        <v>343</v>
      </c>
      <c r="I1256" s="14">
        <v>0.98</v>
      </c>
      <c r="J1256" s="14">
        <v>0.98</v>
      </c>
      <c r="K1256" s="14">
        <v>0.98</v>
      </c>
      <c r="L1256" s="14">
        <v>0.98</v>
      </c>
      <c r="M1256" s="14">
        <v>0.98</v>
      </c>
      <c r="N1256" s="14">
        <v>0.98</v>
      </c>
      <c r="O1256" s="14">
        <v>0.98</v>
      </c>
      <c r="P1256" s="14">
        <v>0.98</v>
      </c>
      <c r="Q1256" s="14">
        <v>0.98</v>
      </c>
      <c r="R1256" s="14">
        <v>0.98</v>
      </c>
      <c r="S1256" s="14">
        <v>0.98</v>
      </c>
      <c r="T1256" s="14">
        <v>0.98</v>
      </c>
      <c r="U1256" s="14">
        <v>0.98</v>
      </c>
      <c r="V1256" s="14">
        <v>0.98</v>
      </c>
      <c r="W1256" s="14">
        <v>0.98</v>
      </c>
      <c r="X1256" s="14">
        <v>0.98</v>
      </c>
    </row>
    <row r="1257" spans="1:24" hidden="1" x14ac:dyDescent="0.3">
      <c r="A1257" s="14" t="s">
        <v>415</v>
      </c>
      <c r="B1257" s="14" t="s">
        <v>71</v>
      </c>
      <c r="C1257" s="14" t="s">
        <v>361</v>
      </c>
      <c r="D1257" s="14" t="s">
        <v>362</v>
      </c>
      <c r="E1257" s="14" t="s">
        <v>344</v>
      </c>
      <c r="F1257" s="14" t="s">
        <v>343</v>
      </c>
      <c r="G1257" s="14" t="s">
        <v>343</v>
      </c>
      <c r="H1257" s="14" t="s">
        <v>343</v>
      </c>
      <c r="I1257" s="14">
        <v>1</v>
      </c>
      <c r="J1257" s="14">
        <v>1</v>
      </c>
      <c r="K1257" s="14">
        <v>1</v>
      </c>
      <c r="L1257" s="14">
        <v>1</v>
      </c>
      <c r="M1257" s="14">
        <v>40</v>
      </c>
      <c r="N1257" s="14">
        <v>41</v>
      </c>
      <c r="O1257" s="14">
        <v>34</v>
      </c>
      <c r="P1257" s="14">
        <v>34</v>
      </c>
      <c r="Q1257" s="14">
        <v>37</v>
      </c>
      <c r="R1257" s="14">
        <v>42</v>
      </c>
      <c r="S1257" s="14">
        <v>40</v>
      </c>
      <c r="T1257" s="14">
        <v>1</v>
      </c>
      <c r="U1257" s="14">
        <v>1</v>
      </c>
      <c r="V1257" s="14">
        <v>1</v>
      </c>
      <c r="W1257" s="14">
        <v>56</v>
      </c>
      <c r="X1257" s="14">
        <v>56</v>
      </c>
    </row>
    <row r="1258" spans="1:24" hidden="1" x14ac:dyDescent="0.3">
      <c r="A1258" s="14" t="s">
        <v>415</v>
      </c>
      <c r="B1258" s="14" t="s">
        <v>71</v>
      </c>
      <c r="C1258" s="14" t="s">
        <v>363</v>
      </c>
      <c r="D1258" s="14" t="s">
        <v>364</v>
      </c>
      <c r="E1258" s="14" t="s">
        <v>342</v>
      </c>
      <c r="F1258" s="14" t="s">
        <v>343</v>
      </c>
      <c r="G1258" s="14" t="s">
        <v>343</v>
      </c>
      <c r="H1258" s="14" t="s">
        <v>343</v>
      </c>
      <c r="U1258" s="14">
        <v>1.06</v>
      </c>
      <c r="V1258" s="14">
        <v>1.06</v>
      </c>
      <c r="W1258" s="14">
        <v>1.05</v>
      </c>
      <c r="X1258" s="14">
        <v>1.04</v>
      </c>
    </row>
    <row r="1259" spans="1:24" hidden="1" x14ac:dyDescent="0.3">
      <c r="A1259" s="14" t="s">
        <v>415</v>
      </c>
      <c r="B1259" s="14" t="s">
        <v>71</v>
      </c>
      <c r="C1259" s="14" t="s">
        <v>363</v>
      </c>
      <c r="D1259" s="14" t="s">
        <v>364</v>
      </c>
      <c r="E1259" s="14" t="s">
        <v>344</v>
      </c>
      <c r="F1259" s="14" t="s">
        <v>343</v>
      </c>
      <c r="G1259" s="14" t="s">
        <v>343</v>
      </c>
      <c r="H1259" s="14" t="s">
        <v>343</v>
      </c>
      <c r="U1259" s="14">
        <v>1</v>
      </c>
      <c r="V1259" s="14">
        <v>1</v>
      </c>
      <c r="W1259" s="14">
        <v>63</v>
      </c>
      <c r="X1259" s="14">
        <v>62</v>
      </c>
    </row>
    <row r="1260" spans="1:24" hidden="1" x14ac:dyDescent="0.3">
      <c r="A1260" s="14" t="s">
        <v>415</v>
      </c>
      <c r="B1260" s="14" t="s">
        <v>71</v>
      </c>
      <c r="C1260" s="14" t="s">
        <v>365</v>
      </c>
      <c r="D1260" s="14" t="s">
        <v>366</v>
      </c>
      <c r="E1260" s="14" t="s">
        <v>342</v>
      </c>
      <c r="F1260" s="14" t="s">
        <v>343</v>
      </c>
      <c r="G1260" s="14" t="s">
        <v>343</v>
      </c>
      <c r="H1260" s="14" t="s">
        <v>343</v>
      </c>
      <c r="U1260" s="14">
        <v>0.94</v>
      </c>
      <c r="V1260" s="14">
        <v>0.94</v>
      </c>
      <c r="W1260" s="14">
        <v>0.94</v>
      </c>
      <c r="X1260" s="14">
        <v>0.94</v>
      </c>
    </row>
    <row r="1261" spans="1:24" hidden="1" x14ac:dyDescent="0.3">
      <c r="A1261" s="14" t="s">
        <v>415</v>
      </c>
      <c r="B1261" s="14" t="s">
        <v>71</v>
      </c>
      <c r="C1261" s="14" t="s">
        <v>365</v>
      </c>
      <c r="D1261" s="14" t="s">
        <v>366</v>
      </c>
      <c r="E1261" s="14" t="s">
        <v>344</v>
      </c>
      <c r="F1261" s="14" t="s">
        <v>343</v>
      </c>
      <c r="G1261" s="14" t="s">
        <v>343</v>
      </c>
      <c r="H1261" s="14" t="s">
        <v>343</v>
      </c>
      <c r="U1261" s="14">
        <v>1</v>
      </c>
      <c r="V1261" s="14">
        <v>1</v>
      </c>
      <c r="W1261" s="14">
        <v>1</v>
      </c>
      <c r="X1261" s="14">
        <v>1</v>
      </c>
    </row>
    <row r="1262" spans="1:24" hidden="1" x14ac:dyDescent="0.3">
      <c r="A1262" s="14" t="s">
        <v>415</v>
      </c>
      <c r="B1262" s="14" t="s">
        <v>71</v>
      </c>
      <c r="C1262" s="14" t="s">
        <v>367</v>
      </c>
      <c r="D1262" s="14" t="s">
        <v>368</v>
      </c>
      <c r="E1262" s="14" t="s">
        <v>342</v>
      </c>
      <c r="F1262" s="14" t="s">
        <v>343</v>
      </c>
      <c r="G1262" s="14" t="s">
        <v>343</v>
      </c>
      <c r="H1262" s="14" t="s">
        <v>343</v>
      </c>
      <c r="I1262" s="14">
        <v>0.7</v>
      </c>
      <c r="J1262" s="14">
        <v>0.71</v>
      </c>
      <c r="K1262" s="14">
        <v>0.69</v>
      </c>
      <c r="L1262" s="14">
        <v>0.69</v>
      </c>
      <c r="M1262" s="14">
        <v>0.69</v>
      </c>
      <c r="N1262" s="14">
        <v>0.67</v>
      </c>
      <c r="O1262" s="14">
        <v>0.69</v>
      </c>
      <c r="P1262" s="14">
        <v>0.72</v>
      </c>
      <c r="Q1262" s="14">
        <v>0.71</v>
      </c>
      <c r="R1262" s="14">
        <v>0.72</v>
      </c>
      <c r="S1262" s="14">
        <v>0.73</v>
      </c>
      <c r="T1262" s="14">
        <v>0.73</v>
      </c>
      <c r="U1262" s="14">
        <v>0.73</v>
      </c>
      <c r="V1262" s="14">
        <v>0.76</v>
      </c>
      <c r="W1262" s="14">
        <v>0.72</v>
      </c>
      <c r="X1262" s="14">
        <v>0.71</v>
      </c>
    </row>
    <row r="1263" spans="1:24" hidden="1" x14ac:dyDescent="0.3">
      <c r="A1263" s="14" t="s">
        <v>415</v>
      </c>
      <c r="B1263" s="14" t="s">
        <v>71</v>
      </c>
      <c r="C1263" s="14" t="s">
        <v>367</v>
      </c>
      <c r="D1263" s="14" t="s">
        <v>368</v>
      </c>
      <c r="E1263" s="14" t="s">
        <v>344</v>
      </c>
      <c r="F1263" s="14" t="s">
        <v>343</v>
      </c>
      <c r="G1263" s="14" t="s">
        <v>343</v>
      </c>
      <c r="H1263" s="14" t="s">
        <v>343</v>
      </c>
      <c r="I1263" s="14">
        <v>22</v>
      </c>
      <c r="J1263" s="14">
        <v>24</v>
      </c>
      <c r="K1263" s="14">
        <v>50</v>
      </c>
      <c r="M1263" s="14">
        <v>55</v>
      </c>
      <c r="N1263" s="14">
        <v>80</v>
      </c>
      <c r="O1263" s="14">
        <v>63</v>
      </c>
      <c r="P1263" s="14">
        <v>35</v>
      </c>
      <c r="Q1263" s="14">
        <v>53</v>
      </c>
      <c r="R1263" s="14">
        <v>42</v>
      </c>
      <c r="S1263" s="14">
        <v>39</v>
      </c>
      <c r="T1263" s="14">
        <v>36</v>
      </c>
      <c r="U1263" s="14">
        <v>40</v>
      </c>
      <c r="V1263" s="14">
        <v>22</v>
      </c>
      <c r="W1263" s="14">
        <v>59</v>
      </c>
      <c r="X1263" s="14">
        <v>75</v>
      </c>
    </row>
    <row r="1264" spans="1:24" hidden="1" x14ac:dyDescent="0.3">
      <c r="A1264" s="14" t="s">
        <v>415</v>
      </c>
      <c r="B1264" s="14" t="s">
        <v>71</v>
      </c>
      <c r="C1264" s="14" t="s">
        <v>369</v>
      </c>
      <c r="D1264" s="14" t="s">
        <v>370</v>
      </c>
      <c r="E1264" s="14" t="s">
        <v>342</v>
      </c>
      <c r="F1264" s="14" t="s">
        <v>343</v>
      </c>
      <c r="G1264" s="14" t="s">
        <v>343</v>
      </c>
      <c r="H1264" s="14" t="s">
        <v>343</v>
      </c>
      <c r="I1264" s="14">
        <v>0.18</v>
      </c>
      <c r="J1264" s="14">
        <v>0.17</v>
      </c>
      <c r="K1264" s="14">
        <v>0.1</v>
      </c>
      <c r="L1264" s="14">
        <v>0.1</v>
      </c>
      <c r="M1264" s="14">
        <v>0.1</v>
      </c>
      <c r="N1264" s="14">
        <v>0.11</v>
      </c>
      <c r="O1264" s="14">
        <v>0.17</v>
      </c>
      <c r="P1264" s="14">
        <v>0.17</v>
      </c>
      <c r="Q1264" s="14">
        <v>0.16</v>
      </c>
      <c r="R1264" s="14">
        <v>0.18</v>
      </c>
      <c r="S1264" s="14">
        <v>0.18</v>
      </c>
      <c r="T1264" s="14">
        <v>0.21</v>
      </c>
      <c r="U1264" s="14">
        <v>0.2</v>
      </c>
      <c r="V1264" s="14">
        <v>0.32</v>
      </c>
      <c r="W1264" s="14">
        <v>0.22</v>
      </c>
      <c r="X1264" s="14">
        <v>0.22</v>
      </c>
    </row>
    <row r="1265" spans="1:24" hidden="1" x14ac:dyDescent="0.3">
      <c r="A1265" s="14" t="s">
        <v>415</v>
      </c>
      <c r="B1265" s="14" t="s">
        <v>71</v>
      </c>
      <c r="C1265" s="14" t="s">
        <v>369</v>
      </c>
      <c r="D1265" s="14" t="s">
        <v>370</v>
      </c>
      <c r="E1265" s="14" t="s">
        <v>344</v>
      </c>
      <c r="F1265" s="14" t="s">
        <v>343</v>
      </c>
      <c r="G1265" s="14" t="s">
        <v>343</v>
      </c>
      <c r="H1265" s="14" t="s">
        <v>343</v>
      </c>
      <c r="I1265" s="14">
        <v>27</v>
      </c>
      <c r="J1265" s="14">
        <v>33</v>
      </c>
      <c r="K1265" s="14">
        <v>79</v>
      </c>
      <c r="L1265" s="14">
        <v>84</v>
      </c>
      <c r="M1265" s="14">
        <v>83</v>
      </c>
      <c r="N1265" s="14">
        <v>74</v>
      </c>
      <c r="O1265" s="14">
        <v>51</v>
      </c>
      <c r="P1265" s="14">
        <v>55</v>
      </c>
      <c r="Q1265" s="14">
        <v>67</v>
      </c>
      <c r="R1265" s="14">
        <v>64</v>
      </c>
      <c r="S1265" s="14">
        <v>66</v>
      </c>
      <c r="T1265" s="14">
        <v>59</v>
      </c>
      <c r="U1265" s="14">
        <v>59</v>
      </c>
      <c r="V1265" s="14">
        <v>33</v>
      </c>
      <c r="W1265" s="14">
        <v>67</v>
      </c>
      <c r="X1265" s="14">
        <v>70</v>
      </c>
    </row>
    <row r="1266" spans="1:24" hidden="1" x14ac:dyDescent="0.3">
      <c r="A1266" s="14" t="s">
        <v>415</v>
      </c>
      <c r="B1266" s="14" t="s">
        <v>71</v>
      </c>
      <c r="C1266" s="14" t="s">
        <v>371</v>
      </c>
      <c r="D1266" s="14" t="s">
        <v>372</v>
      </c>
      <c r="E1266" s="14" t="s">
        <v>342</v>
      </c>
      <c r="F1266" s="14" t="s">
        <v>343</v>
      </c>
      <c r="G1266" s="14" t="s">
        <v>343</v>
      </c>
      <c r="H1266" s="14" t="s">
        <v>343</v>
      </c>
      <c r="U1266" s="14">
        <v>0</v>
      </c>
      <c r="V1266" s="14">
        <v>0</v>
      </c>
      <c r="W1266" s="14">
        <v>0</v>
      </c>
      <c r="X1266" s="14">
        <v>0</v>
      </c>
    </row>
    <row r="1267" spans="1:24" hidden="1" x14ac:dyDescent="0.3">
      <c r="A1267" s="14" t="s">
        <v>415</v>
      </c>
      <c r="B1267" s="14" t="s">
        <v>71</v>
      </c>
      <c r="C1267" s="14" t="s">
        <v>371</v>
      </c>
      <c r="D1267" s="14" t="s">
        <v>372</v>
      </c>
      <c r="E1267" s="14" t="s">
        <v>344</v>
      </c>
      <c r="F1267" s="14" t="s">
        <v>343</v>
      </c>
      <c r="G1267" s="14" t="s">
        <v>343</v>
      </c>
      <c r="H1267" s="14" t="s">
        <v>343</v>
      </c>
      <c r="U1267" s="14">
        <v>71</v>
      </c>
      <c r="V1267" s="14">
        <v>73</v>
      </c>
      <c r="W1267" s="14">
        <v>76</v>
      </c>
      <c r="X1267" s="14">
        <v>78</v>
      </c>
    </row>
    <row r="1268" spans="1:24" hidden="1" x14ac:dyDescent="0.3">
      <c r="A1268" s="14" t="s">
        <v>415</v>
      </c>
      <c r="B1268" s="14" t="s">
        <v>71</v>
      </c>
      <c r="C1268" s="14" t="s">
        <v>373</v>
      </c>
      <c r="D1268" s="14" t="s">
        <v>374</v>
      </c>
      <c r="E1268" s="14" t="s">
        <v>342</v>
      </c>
      <c r="F1268" s="14" t="s">
        <v>343</v>
      </c>
      <c r="G1268" s="14" t="s">
        <v>343</v>
      </c>
      <c r="H1268" s="14" t="s">
        <v>343</v>
      </c>
      <c r="U1268" s="14">
        <v>0.55000000000000004</v>
      </c>
      <c r="V1268" s="14">
        <v>1</v>
      </c>
      <c r="W1268" s="14">
        <v>0.57999999999999996</v>
      </c>
      <c r="X1268" s="14">
        <v>0.57999999999999996</v>
      </c>
    </row>
    <row r="1269" spans="1:24" hidden="1" x14ac:dyDescent="0.3">
      <c r="A1269" s="14" t="s">
        <v>415</v>
      </c>
      <c r="B1269" s="14" t="s">
        <v>71</v>
      </c>
      <c r="C1269" s="14" t="s">
        <v>373</v>
      </c>
      <c r="D1269" s="14" t="s">
        <v>374</v>
      </c>
      <c r="E1269" s="14" t="s">
        <v>344</v>
      </c>
      <c r="F1269" s="14" t="s">
        <v>343</v>
      </c>
      <c r="G1269" s="14" t="s">
        <v>343</v>
      </c>
      <c r="H1269" s="14" t="s">
        <v>343</v>
      </c>
      <c r="U1269" s="14">
        <v>20</v>
      </c>
      <c r="V1269" s="14">
        <v>1</v>
      </c>
      <c r="W1269" s="14">
        <v>32</v>
      </c>
      <c r="X1269" s="14">
        <v>32</v>
      </c>
    </row>
    <row r="1270" spans="1:24" hidden="1" x14ac:dyDescent="0.3">
      <c r="A1270" s="14" t="s">
        <v>415</v>
      </c>
      <c r="B1270" s="14" t="s">
        <v>71</v>
      </c>
      <c r="C1270" s="14" t="s">
        <v>375</v>
      </c>
      <c r="D1270" s="14" t="s">
        <v>376</v>
      </c>
      <c r="E1270" s="14" t="s">
        <v>342</v>
      </c>
      <c r="F1270" s="14" t="s">
        <v>343</v>
      </c>
      <c r="G1270" s="14" t="s">
        <v>343</v>
      </c>
      <c r="H1270" s="14" t="s">
        <v>343</v>
      </c>
      <c r="U1270" s="14">
        <v>0.22</v>
      </c>
      <c r="V1270" s="14">
        <v>0.23</v>
      </c>
      <c r="W1270" s="14">
        <v>0.23</v>
      </c>
      <c r="X1270" s="14">
        <v>0.23</v>
      </c>
    </row>
    <row r="1271" spans="1:24" hidden="1" x14ac:dyDescent="0.3">
      <c r="A1271" s="14" t="s">
        <v>415</v>
      </c>
      <c r="B1271" s="14" t="s">
        <v>71</v>
      </c>
      <c r="C1271" s="14" t="s">
        <v>375</v>
      </c>
      <c r="D1271" s="14" t="s">
        <v>376</v>
      </c>
      <c r="E1271" s="14" t="s">
        <v>344</v>
      </c>
      <c r="F1271" s="14" t="s">
        <v>343</v>
      </c>
      <c r="G1271" s="14" t="s">
        <v>343</v>
      </c>
      <c r="H1271" s="14" t="s">
        <v>343</v>
      </c>
      <c r="U1271" s="14">
        <v>95</v>
      </c>
      <c r="V1271" s="14">
        <v>100</v>
      </c>
      <c r="W1271" s="14">
        <v>108</v>
      </c>
      <c r="X1271" s="14">
        <v>104</v>
      </c>
    </row>
    <row r="1272" spans="1:24" hidden="1" x14ac:dyDescent="0.3">
      <c r="A1272" s="14" t="s">
        <v>416</v>
      </c>
      <c r="B1272" s="14" t="s">
        <v>72</v>
      </c>
      <c r="C1272" s="14" t="s">
        <v>340</v>
      </c>
      <c r="D1272" s="14" t="s">
        <v>341</v>
      </c>
      <c r="E1272" s="14" t="s">
        <v>342</v>
      </c>
      <c r="F1272" s="14" t="s">
        <v>343</v>
      </c>
      <c r="G1272" s="14" t="s">
        <v>343</v>
      </c>
      <c r="H1272" s="14" t="s">
        <v>343</v>
      </c>
      <c r="X1272" s="14">
        <v>0.94</v>
      </c>
    </row>
    <row r="1273" spans="1:24" hidden="1" x14ac:dyDescent="0.3">
      <c r="A1273" s="14" t="s">
        <v>416</v>
      </c>
      <c r="B1273" s="14" t="s">
        <v>72</v>
      </c>
      <c r="C1273" s="14" t="s">
        <v>340</v>
      </c>
      <c r="D1273" s="14" t="s">
        <v>341</v>
      </c>
      <c r="E1273" s="14" t="s">
        <v>344</v>
      </c>
      <c r="F1273" s="14" t="s">
        <v>343</v>
      </c>
      <c r="G1273" s="14" t="s">
        <v>343</v>
      </c>
      <c r="H1273" s="14" t="s">
        <v>343</v>
      </c>
      <c r="X1273" s="14">
        <v>116</v>
      </c>
    </row>
    <row r="1274" spans="1:24" hidden="1" x14ac:dyDescent="0.3">
      <c r="A1274" s="14" t="s">
        <v>416</v>
      </c>
      <c r="B1274" s="14" t="s">
        <v>72</v>
      </c>
      <c r="C1274" s="14" t="s">
        <v>345</v>
      </c>
      <c r="D1274" s="14" t="s">
        <v>346</v>
      </c>
      <c r="E1274" s="14" t="s">
        <v>342</v>
      </c>
      <c r="F1274" s="14" t="s">
        <v>343</v>
      </c>
      <c r="G1274" s="14" t="s">
        <v>343</v>
      </c>
      <c r="H1274" s="14" t="s">
        <v>343</v>
      </c>
      <c r="X1274" s="14">
        <v>0.56999999999999995</v>
      </c>
    </row>
    <row r="1275" spans="1:24" hidden="1" x14ac:dyDescent="0.3">
      <c r="A1275" s="14" t="s">
        <v>416</v>
      </c>
      <c r="B1275" s="14" t="s">
        <v>72</v>
      </c>
      <c r="C1275" s="14" t="s">
        <v>345</v>
      </c>
      <c r="D1275" s="14" t="s">
        <v>346</v>
      </c>
      <c r="E1275" s="14" t="s">
        <v>344</v>
      </c>
      <c r="F1275" s="14" t="s">
        <v>343</v>
      </c>
      <c r="G1275" s="14" t="s">
        <v>343</v>
      </c>
      <c r="H1275" s="14" t="s">
        <v>343</v>
      </c>
      <c r="X1275" s="14">
        <v>97</v>
      </c>
    </row>
    <row r="1276" spans="1:24" hidden="1" x14ac:dyDescent="0.3">
      <c r="A1276" s="14" t="s">
        <v>416</v>
      </c>
      <c r="B1276" s="14" t="s">
        <v>72</v>
      </c>
      <c r="C1276" s="14" t="s">
        <v>347</v>
      </c>
      <c r="D1276" s="14" t="s">
        <v>348</v>
      </c>
      <c r="E1276" s="14" t="s">
        <v>342</v>
      </c>
      <c r="F1276" s="14" t="s">
        <v>343</v>
      </c>
      <c r="G1276" s="14" t="s">
        <v>343</v>
      </c>
      <c r="H1276" s="14" t="s">
        <v>343</v>
      </c>
      <c r="X1276" s="14">
        <v>0.59</v>
      </c>
    </row>
    <row r="1277" spans="1:24" hidden="1" x14ac:dyDescent="0.3">
      <c r="A1277" s="14" t="s">
        <v>416</v>
      </c>
      <c r="B1277" s="14" t="s">
        <v>72</v>
      </c>
      <c r="C1277" s="14" t="s">
        <v>347</v>
      </c>
      <c r="D1277" s="14" t="s">
        <v>348</v>
      </c>
      <c r="E1277" s="14" t="s">
        <v>344</v>
      </c>
      <c r="F1277" s="14" t="s">
        <v>343</v>
      </c>
      <c r="G1277" s="14" t="s">
        <v>343</v>
      </c>
      <c r="H1277" s="14" t="s">
        <v>343</v>
      </c>
      <c r="X1277" s="14">
        <v>120</v>
      </c>
    </row>
    <row r="1278" spans="1:24" hidden="1" x14ac:dyDescent="0.3">
      <c r="A1278" s="14" t="s">
        <v>416</v>
      </c>
      <c r="B1278" s="14" t="s">
        <v>72</v>
      </c>
      <c r="C1278" s="14" t="s">
        <v>349</v>
      </c>
      <c r="D1278" s="14" t="s">
        <v>350</v>
      </c>
      <c r="E1278" s="14" t="s">
        <v>342</v>
      </c>
      <c r="F1278" s="14" t="s">
        <v>343</v>
      </c>
      <c r="G1278" s="14" t="s">
        <v>343</v>
      </c>
      <c r="H1278" s="14" t="s">
        <v>343</v>
      </c>
      <c r="X1278" s="14">
        <v>0.34</v>
      </c>
    </row>
    <row r="1279" spans="1:24" hidden="1" x14ac:dyDescent="0.3">
      <c r="A1279" s="14" t="s">
        <v>416</v>
      </c>
      <c r="B1279" s="14" t="s">
        <v>72</v>
      </c>
      <c r="C1279" s="14" t="s">
        <v>349</v>
      </c>
      <c r="D1279" s="14" t="s">
        <v>350</v>
      </c>
      <c r="E1279" s="14" t="s">
        <v>344</v>
      </c>
      <c r="F1279" s="14" t="s">
        <v>343</v>
      </c>
      <c r="G1279" s="14" t="s">
        <v>343</v>
      </c>
      <c r="H1279" s="14" t="s">
        <v>343</v>
      </c>
      <c r="X1279" s="14">
        <v>103</v>
      </c>
    </row>
    <row r="1280" spans="1:24" hidden="1" x14ac:dyDescent="0.3">
      <c r="A1280" s="14" t="s">
        <v>416</v>
      </c>
      <c r="B1280" s="14" t="s">
        <v>72</v>
      </c>
      <c r="C1280" s="14" t="s">
        <v>351</v>
      </c>
      <c r="D1280" s="14" t="s">
        <v>352</v>
      </c>
      <c r="E1280" s="14" t="s">
        <v>342</v>
      </c>
      <c r="F1280" s="14" t="s">
        <v>343</v>
      </c>
      <c r="G1280" s="14" t="s">
        <v>343</v>
      </c>
      <c r="H1280" s="14" t="s">
        <v>343</v>
      </c>
      <c r="X1280" s="14">
        <v>0.55000000000000004</v>
      </c>
    </row>
    <row r="1281" spans="1:24" hidden="1" x14ac:dyDescent="0.3">
      <c r="A1281" s="14" t="s">
        <v>416</v>
      </c>
      <c r="B1281" s="14" t="s">
        <v>72</v>
      </c>
      <c r="C1281" s="14" t="s">
        <v>351</v>
      </c>
      <c r="D1281" s="14" t="s">
        <v>352</v>
      </c>
      <c r="E1281" s="14" t="s">
        <v>344</v>
      </c>
      <c r="F1281" s="14" t="s">
        <v>343</v>
      </c>
      <c r="G1281" s="14" t="s">
        <v>343</v>
      </c>
      <c r="H1281" s="14" t="s">
        <v>343</v>
      </c>
      <c r="X1281" s="14">
        <v>111</v>
      </c>
    </row>
    <row r="1282" spans="1:24" hidden="1" x14ac:dyDescent="0.3">
      <c r="A1282" s="14" t="s">
        <v>416</v>
      </c>
      <c r="B1282" s="14" t="s">
        <v>72</v>
      </c>
      <c r="C1282" s="14" t="s">
        <v>353</v>
      </c>
      <c r="D1282" s="14" t="s">
        <v>354</v>
      </c>
      <c r="E1282" s="14" t="s">
        <v>342</v>
      </c>
      <c r="F1282" s="14" t="s">
        <v>343</v>
      </c>
      <c r="G1282" s="14" t="s">
        <v>343</v>
      </c>
      <c r="H1282" s="14" t="s">
        <v>343</v>
      </c>
      <c r="X1282" s="14">
        <v>0.82</v>
      </c>
    </row>
    <row r="1283" spans="1:24" hidden="1" x14ac:dyDescent="0.3">
      <c r="A1283" s="14" t="s">
        <v>416</v>
      </c>
      <c r="B1283" s="14" t="s">
        <v>72</v>
      </c>
      <c r="C1283" s="14" t="s">
        <v>353</v>
      </c>
      <c r="D1283" s="14" t="s">
        <v>354</v>
      </c>
      <c r="E1283" s="14" t="s">
        <v>344</v>
      </c>
      <c r="F1283" s="14" t="s">
        <v>343</v>
      </c>
      <c r="G1283" s="14" t="s">
        <v>343</v>
      </c>
      <c r="H1283" s="14" t="s">
        <v>343</v>
      </c>
      <c r="X1283" s="14">
        <v>119</v>
      </c>
    </row>
    <row r="1284" spans="1:24" hidden="1" x14ac:dyDescent="0.3">
      <c r="A1284" s="14" t="s">
        <v>416</v>
      </c>
      <c r="B1284" s="14" t="s">
        <v>72</v>
      </c>
      <c r="C1284" s="14" t="s">
        <v>380</v>
      </c>
      <c r="D1284" s="14" t="s">
        <v>381</v>
      </c>
      <c r="E1284" s="14" t="s">
        <v>342</v>
      </c>
      <c r="F1284" s="14" t="s">
        <v>343</v>
      </c>
      <c r="G1284" s="14" t="s">
        <v>343</v>
      </c>
      <c r="H1284" s="14" t="s">
        <v>343</v>
      </c>
      <c r="X1284" s="14">
        <v>1</v>
      </c>
    </row>
    <row r="1285" spans="1:24" hidden="1" x14ac:dyDescent="0.3">
      <c r="A1285" s="14" t="s">
        <v>416</v>
      </c>
      <c r="B1285" s="14" t="s">
        <v>72</v>
      </c>
      <c r="C1285" s="14" t="s">
        <v>380</v>
      </c>
      <c r="D1285" s="14" t="s">
        <v>381</v>
      </c>
      <c r="E1285" s="14" t="s">
        <v>344</v>
      </c>
      <c r="F1285" s="14" t="s">
        <v>343</v>
      </c>
      <c r="G1285" s="14" t="s">
        <v>343</v>
      </c>
      <c r="H1285" s="14" t="s">
        <v>343</v>
      </c>
      <c r="X1285" s="14">
        <v>71</v>
      </c>
    </row>
    <row r="1286" spans="1:24" hidden="1" x14ac:dyDescent="0.3">
      <c r="A1286" s="14" t="s">
        <v>416</v>
      </c>
      <c r="B1286" s="14" t="s">
        <v>72</v>
      </c>
      <c r="C1286" s="14" t="s">
        <v>355</v>
      </c>
      <c r="D1286" s="14" t="s">
        <v>356</v>
      </c>
      <c r="E1286" s="14" t="s">
        <v>342</v>
      </c>
      <c r="F1286" s="14" t="s">
        <v>343</v>
      </c>
      <c r="G1286" s="14" t="s">
        <v>343</v>
      </c>
      <c r="H1286" s="14" t="s">
        <v>343</v>
      </c>
      <c r="X1286" s="14">
        <v>1</v>
      </c>
    </row>
    <row r="1287" spans="1:24" hidden="1" x14ac:dyDescent="0.3">
      <c r="A1287" s="14" t="s">
        <v>416</v>
      </c>
      <c r="B1287" s="14" t="s">
        <v>72</v>
      </c>
      <c r="C1287" s="14" t="s">
        <v>355</v>
      </c>
      <c r="D1287" s="14" t="s">
        <v>356</v>
      </c>
      <c r="E1287" s="14" t="s">
        <v>344</v>
      </c>
      <c r="F1287" s="14" t="s">
        <v>343</v>
      </c>
      <c r="G1287" s="14" t="s">
        <v>343</v>
      </c>
      <c r="H1287" s="14" t="s">
        <v>343</v>
      </c>
      <c r="X1287" s="14">
        <v>1</v>
      </c>
    </row>
    <row r="1288" spans="1:24" hidden="1" x14ac:dyDescent="0.3">
      <c r="A1288" s="14" t="s">
        <v>416</v>
      </c>
      <c r="B1288" s="14" t="s">
        <v>72</v>
      </c>
      <c r="C1288" s="14" t="s">
        <v>357</v>
      </c>
      <c r="D1288" s="14" t="s">
        <v>358</v>
      </c>
      <c r="E1288" s="14" t="s">
        <v>342</v>
      </c>
      <c r="F1288" s="14" t="s">
        <v>343</v>
      </c>
      <c r="G1288" s="14" t="s">
        <v>343</v>
      </c>
      <c r="H1288" s="14" t="s">
        <v>343</v>
      </c>
      <c r="X1288" s="14">
        <v>0.81</v>
      </c>
    </row>
    <row r="1289" spans="1:24" hidden="1" x14ac:dyDescent="0.3">
      <c r="A1289" s="14" t="s">
        <v>416</v>
      </c>
      <c r="B1289" s="14" t="s">
        <v>72</v>
      </c>
      <c r="C1289" s="14" t="s">
        <v>357</v>
      </c>
      <c r="D1289" s="14" t="s">
        <v>358</v>
      </c>
      <c r="E1289" s="14" t="s">
        <v>344</v>
      </c>
      <c r="F1289" s="14" t="s">
        <v>343</v>
      </c>
      <c r="G1289" s="14" t="s">
        <v>343</v>
      </c>
      <c r="H1289" s="14" t="s">
        <v>343</v>
      </c>
      <c r="X1289" s="14">
        <v>114</v>
      </c>
    </row>
    <row r="1290" spans="1:24" hidden="1" x14ac:dyDescent="0.3">
      <c r="A1290" s="14" t="s">
        <v>416</v>
      </c>
      <c r="B1290" s="14" t="s">
        <v>72</v>
      </c>
      <c r="C1290" s="14" t="s">
        <v>359</v>
      </c>
      <c r="D1290" s="14" t="s">
        <v>360</v>
      </c>
      <c r="E1290" s="14" t="s">
        <v>342</v>
      </c>
      <c r="F1290" s="14" t="s">
        <v>343</v>
      </c>
      <c r="G1290" s="14" t="s">
        <v>343</v>
      </c>
      <c r="H1290" s="14" t="s">
        <v>343</v>
      </c>
      <c r="X1290" s="14">
        <v>0.52</v>
      </c>
    </row>
    <row r="1291" spans="1:24" hidden="1" x14ac:dyDescent="0.3">
      <c r="A1291" s="14" t="s">
        <v>416</v>
      </c>
      <c r="B1291" s="14" t="s">
        <v>72</v>
      </c>
      <c r="C1291" s="14" t="s">
        <v>359</v>
      </c>
      <c r="D1291" s="14" t="s">
        <v>360</v>
      </c>
      <c r="E1291" s="14" t="s">
        <v>344</v>
      </c>
      <c r="F1291" s="14" t="s">
        <v>343</v>
      </c>
      <c r="G1291" s="14" t="s">
        <v>343</v>
      </c>
      <c r="H1291" s="14" t="s">
        <v>343</v>
      </c>
      <c r="X1291" s="14">
        <v>129</v>
      </c>
    </row>
    <row r="1292" spans="1:24" hidden="1" x14ac:dyDescent="0.3">
      <c r="A1292" s="14" t="s">
        <v>416</v>
      </c>
      <c r="B1292" s="14" t="s">
        <v>72</v>
      </c>
      <c r="C1292" s="14" t="s">
        <v>361</v>
      </c>
      <c r="D1292" s="14" t="s">
        <v>362</v>
      </c>
      <c r="E1292" s="14" t="s">
        <v>342</v>
      </c>
      <c r="F1292" s="14" t="s">
        <v>343</v>
      </c>
      <c r="G1292" s="14" t="s">
        <v>343</v>
      </c>
      <c r="H1292" s="14" t="s">
        <v>343</v>
      </c>
      <c r="X1292" s="14">
        <v>0.97</v>
      </c>
    </row>
    <row r="1293" spans="1:24" hidden="1" x14ac:dyDescent="0.3">
      <c r="A1293" s="14" t="s">
        <v>416</v>
      </c>
      <c r="B1293" s="14" t="s">
        <v>72</v>
      </c>
      <c r="C1293" s="14" t="s">
        <v>361</v>
      </c>
      <c r="D1293" s="14" t="s">
        <v>362</v>
      </c>
      <c r="E1293" s="14" t="s">
        <v>344</v>
      </c>
      <c r="F1293" s="14" t="s">
        <v>343</v>
      </c>
      <c r="G1293" s="14" t="s">
        <v>343</v>
      </c>
      <c r="H1293" s="14" t="s">
        <v>343</v>
      </c>
      <c r="X1293" s="14">
        <v>87</v>
      </c>
    </row>
    <row r="1294" spans="1:24" hidden="1" x14ac:dyDescent="0.3">
      <c r="A1294" s="14" t="s">
        <v>416</v>
      </c>
      <c r="B1294" s="14" t="s">
        <v>72</v>
      </c>
      <c r="C1294" s="14" t="s">
        <v>363</v>
      </c>
      <c r="D1294" s="14" t="s">
        <v>364</v>
      </c>
      <c r="E1294" s="14" t="s">
        <v>342</v>
      </c>
      <c r="F1294" s="14" t="s">
        <v>343</v>
      </c>
      <c r="G1294" s="14" t="s">
        <v>343</v>
      </c>
      <c r="H1294" s="14" t="s">
        <v>343</v>
      </c>
      <c r="X1294" s="14">
        <v>1.02</v>
      </c>
    </row>
    <row r="1295" spans="1:24" hidden="1" x14ac:dyDescent="0.3">
      <c r="A1295" s="14" t="s">
        <v>416</v>
      </c>
      <c r="B1295" s="14" t="s">
        <v>72</v>
      </c>
      <c r="C1295" s="14" t="s">
        <v>363</v>
      </c>
      <c r="D1295" s="14" t="s">
        <v>364</v>
      </c>
      <c r="E1295" s="14" t="s">
        <v>344</v>
      </c>
      <c r="F1295" s="14" t="s">
        <v>343</v>
      </c>
      <c r="G1295" s="14" t="s">
        <v>343</v>
      </c>
      <c r="H1295" s="14" t="s">
        <v>343</v>
      </c>
      <c r="X1295" s="14">
        <v>95</v>
      </c>
    </row>
    <row r="1296" spans="1:24" hidden="1" x14ac:dyDescent="0.3">
      <c r="A1296" s="14" t="s">
        <v>416</v>
      </c>
      <c r="B1296" s="14" t="s">
        <v>72</v>
      </c>
      <c r="C1296" s="14" t="s">
        <v>365</v>
      </c>
      <c r="D1296" s="14" t="s">
        <v>366</v>
      </c>
      <c r="E1296" s="14" t="s">
        <v>342</v>
      </c>
      <c r="F1296" s="14" t="s">
        <v>343</v>
      </c>
      <c r="G1296" s="14" t="s">
        <v>343</v>
      </c>
      <c r="H1296" s="14" t="s">
        <v>343</v>
      </c>
      <c r="X1296" s="14">
        <v>0.94</v>
      </c>
    </row>
    <row r="1297" spans="1:24" hidden="1" x14ac:dyDescent="0.3">
      <c r="A1297" s="14" t="s">
        <v>416</v>
      </c>
      <c r="B1297" s="14" t="s">
        <v>72</v>
      </c>
      <c r="C1297" s="14" t="s">
        <v>365</v>
      </c>
      <c r="D1297" s="14" t="s">
        <v>366</v>
      </c>
      <c r="E1297" s="14" t="s">
        <v>344</v>
      </c>
      <c r="F1297" s="14" t="s">
        <v>343</v>
      </c>
      <c r="G1297" s="14" t="s">
        <v>343</v>
      </c>
      <c r="H1297" s="14" t="s">
        <v>343</v>
      </c>
      <c r="X1297" s="14">
        <v>1</v>
      </c>
    </row>
    <row r="1298" spans="1:24" hidden="1" x14ac:dyDescent="0.3">
      <c r="A1298" s="14" t="s">
        <v>416</v>
      </c>
      <c r="B1298" s="14" t="s">
        <v>72</v>
      </c>
      <c r="C1298" s="14" t="s">
        <v>367</v>
      </c>
      <c r="D1298" s="14" t="s">
        <v>368</v>
      </c>
      <c r="E1298" s="14" t="s">
        <v>342</v>
      </c>
      <c r="F1298" s="14" t="s">
        <v>343</v>
      </c>
      <c r="G1298" s="14" t="s">
        <v>343</v>
      </c>
      <c r="H1298" s="14" t="s">
        <v>343</v>
      </c>
      <c r="X1298" s="14">
        <v>0.63</v>
      </c>
    </row>
    <row r="1299" spans="1:24" hidden="1" x14ac:dyDescent="0.3">
      <c r="A1299" s="14" t="s">
        <v>416</v>
      </c>
      <c r="B1299" s="14" t="s">
        <v>72</v>
      </c>
      <c r="C1299" s="14" t="s">
        <v>367</v>
      </c>
      <c r="D1299" s="14" t="s">
        <v>368</v>
      </c>
      <c r="E1299" s="14" t="s">
        <v>344</v>
      </c>
      <c r="F1299" s="14" t="s">
        <v>343</v>
      </c>
      <c r="G1299" s="14" t="s">
        <v>343</v>
      </c>
      <c r="H1299" s="14" t="s">
        <v>343</v>
      </c>
      <c r="X1299" s="14">
        <v>134</v>
      </c>
    </row>
    <row r="1300" spans="1:24" hidden="1" x14ac:dyDescent="0.3">
      <c r="A1300" s="14" t="s">
        <v>416</v>
      </c>
      <c r="B1300" s="14" t="s">
        <v>72</v>
      </c>
      <c r="C1300" s="14" t="s">
        <v>369</v>
      </c>
      <c r="D1300" s="14" t="s">
        <v>370</v>
      </c>
      <c r="E1300" s="14" t="s">
        <v>342</v>
      </c>
      <c r="F1300" s="14" t="s">
        <v>343</v>
      </c>
      <c r="G1300" s="14" t="s">
        <v>343</v>
      </c>
      <c r="H1300" s="14" t="s">
        <v>343</v>
      </c>
      <c r="X1300" s="14">
        <v>0.09</v>
      </c>
    </row>
    <row r="1301" spans="1:24" hidden="1" x14ac:dyDescent="0.3">
      <c r="A1301" s="14" t="s">
        <v>416</v>
      </c>
      <c r="B1301" s="14" t="s">
        <v>72</v>
      </c>
      <c r="C1301" s="14" t="s">
        <v>369</v>
      </c>
      <c r="D1301" s="14" t="s">
        <v>370</v>
      </c>
      <c r="E1301" s="14" t="s">
        <v>344</v>
      </c>
      <c r="F1301" s="14" t="s">
        <v>343</v>
      </c>
      <c r="G1301" s="14" t="s">
        <v>343</v>
      </c>
      <c r="H1301" s="14" t="s">
        <v>343</v>
      </c>
      <c r="X1301" s="14">
        <v>127</v>
      </c>
    </row>
    <row r="1302" spans="1:24" hidden="1" x14ac:dyDescent="0.3">
      <c r="A1302" s="14" t="s">
        <v>416</v>
      </c>
      <c r="B1302" s="14" t="s">
        <v>72</v>
      </c>
      <c r="C1302" s="14" t="s">
        <v>371</v>
      </c>
      <c r="D1302" s="14" t="s">
        <v>372</v>
      </c>
      <c r="E1302" s="14" t="s">
        <v>342</v>
      </c>
      <c r="F1302" s="14" t="s">
        <v>343</v>
      </c>
      <c r="G1302" s="14" t="s">
        <v>343</v>
      </c>
      <c r="H1302" s="14" t="s">
        <v>343</v>
      </c>
      <c r="X1302" s="14">
        <v>0</v>
      </c>
    </row>
    <row r="1303" spans="1:24" hidden="1" x14ac:dyDescent="0.3">
      <c r="A1303" s="14" t="s">
        <v>416</v>
      </c>
      <c r="B1303" s="14" t="s">
        <v>72</v>
      </c>
      <c r="C1303" s="14" t="s">
        <v>371</v>
      </c>
      <c r="D1303" s="14" t="s">
        <v>372</v>
      </c>
      <c r="E1303" s="14" t="s">
        <v>344</v>
      </c>
      <c r="F1303" s="14" t="s">
        <v>343</v>
      </c>
      <c r="G1303" s="14" t="s">
        <v>343</v>
      </c>
      <c r="H1303" s="14" t="s">
        <v>343</v>
      </c>
      <c r="X1303" s="14">
        <v>78</v>
      </c>
    </row>
    <row r="1304" spans="1:24" hidden="1" x14ac:dyDescent="0.3">
      <c r="A1304" s="14" t="s">
        <v>416</v>
      </c>
      <c r="B1304" s="14" t="s">
        <v>72</v>
      </c>
      <c r="C1304" s="14" t="s">
        <v>373</v>
      </c>
      <c r="D1304" s="14" t="s">
        <v>374</v>
      </c>
      <c r="E1304" s="14" t="s">
        <v>342</v>
      </c>
      <c r="F1304" s="14" t="s">
        <v>343</v>
      </c>
      <c r="G1304" s="14" t="s">
        <v>343</v>
      </c>
      <c r="H1304" s="14" t="s">
        <v>343</v>
      </c>
      <c r="X1304" s="14">
        <v>0.11</v>
      </c>
    </row>
    <row r="1305" spans="1:24" hidden="1" x14ac:dyDescent="0.3">
      <c r="A1305" s="14" t="s">
        <v>416</v>
      </c>
      <c r="B1305" s="14" t="s">
        <v>72</v>
      </c>
      <c r="C1305" s="14" t="s">
        <v>373</v>
      </c>
      <c r="D1305" s="14" t="s">
        <v>374</v>
      </c>
      <c r="E1305" s="14" t="s">
        <v>344</v>
      </c>
      <c r="F1305" s="14" t="s">
        <v>343</v>
      </c>
      <c r="G1305" s="14" t="s">
        <v>343</v>
      </c>
      <c r="H1305" s="14" t="s">
        <v>343</v>
      </c>
      <c r="X1305" s="14">
        <v>120</v>
      </c>
    </row>
    <row r="1306" spans="1:24" hidden="1" x14ac:dyDescent="0.3">
      <c r="A1306" s="14" t="s">
        <v>416</v>
      </c>
      <c r="B1306" s="14" t="s">
        <v>72</v>
      </c>
      <c r="C1306" s="14" t="s">
        <v>375</v>
      </c>
      <c r="D1306" s="14" t="s">
        <v>376</v>
      </c>
      <c r="E1306" s="14" t="s">
        <v>342</v>
      </c>
      <c r="F1306" s="14" t="s">
        <v>343</v>
      </c>
      <c r="G1306" s="14" t="s">
        <v>343</v>
      </c>
      <c r="H1306" s="14" t="s">
        <v>343</v>
      </c>
      <c r="X1306" s="14">
        <v>0.2</v>
      </c>
    </row>
    <row r="1307" spans="1:24" hidden="1" x14ac:dyDescent="0.3">
      <c r="A1307" s="14" t="s">
        <v>416</v>
      </c>
      <c r="B1307" s="14" t="s">
        <v>72</v>
      </c>
      <c r="C1307" s="14" t="s">
        <v>375</v>
      </c>
      <c r="D1307" s="14" t="s">
        <v>376</v>
      </c>
      <c r="E1307" s="14" t="s">
        <v>344</v>
      </c>
      <c r="F1307" s="14" t="s">
        <v>343</v>
      </c>
      <c r="G1307" s="14" t="s">
        <v>343</v>
      </c>
      <c r="H1307" s="14" t="s">
        <v>343</v>
      </c>
      <c r="X1307" s="14">
        <v>112</v>
      </c>
    </row>
    <row r="1308" spans="1:24" hidden="1" x14ac:dyDescent="0.3">
      <c r="A1308" s="14" t="s">
        <v>417</v>
      </c>
      <c r="B1308" s="14" t="s">
        <v>62</v>
      </c>
      <c r="C1308" s="14" t="s">
        <v>340</v>
      </c>
      <c r="D1308" s="14" t="s">
        <v>341</v>
      </c>
      <c r="E1308" s="14" t="s">
        <v>342</v>
      </c>
      <c r="F1308" s="14" t="s">
        <v>343</v>
      </c>
      <c r="G1308" s="14" t="s">
        <v>343</v>
      </c>
      <c r="H1308" s="14" t="s">
        <v>343</v>
      </c>
      <c r="O1308" s="14">
        <v>0.97</v>
      </c>
      <c r="P1308" s="14">
        <v>0.97</v>
      </c>
      <c r="Q1308" s="14">
        <v>0.96</v>
      </c>
      <c r="R1308" s="14">
        <v>0.97</v>
      </c>
      <c r="S1308" s="14">
        <v>0.98</v>
      </c>
      <c r="T1308" s="14">
        <v>0.98</v>
      </c>
      <c r="U1308" s="14">
        <v>0.97</v>
      </c>
      <c r="V1308" s="14">
        <v>0.97</v>
      </c>
      <c r="W1308" s="14">
        <v>0.97</v>
      </c>
      <c r="X1308" s="14">
        <v>1</v>
      </c>
    </row>
    <row r="1309" spans="1:24" hidden="1" x14ac:dyDescent="0.3">
      <c r="A1309" s="14" t="s">
        <v>417</v>
      </c>
      <c r="B1309" s="14" t="s">
        <v>62</v>
      </c>
      <c r="C1309" s="14" t="s">
        <v>340</v>
      </c>
      <c r="D1309" s="14" t="s">
        <v>341</v>
      </c>
      <c r="E1309" s="14" t="s">
        <v>344</v>
      </c>
      <c r="F1309" s="14" t="s">
        <v>343</v>
      </c>
      <c r="G1309" s="14" t="s">
        <v>343</v>
      </c>
      <c r="H1309" s="14" t="s">
        <v>343</v>
      </c>
      <c r="O1309" s="14">
        <v>97</v>
      </c>
      <c r="P1309" s="14">
        <v>97</v>
      </c>
      <c r="Q1309" s="14">
        <v>102</v>
      </c>
      <c r="R1309" s="14">
        <v>99</v>
      </c>
      <c r="S1309" s="14">
        <v>90</v>
      </c>
      <c r="T1309" s="14">
        <v>93</v>
      </c>
      <c r="U1309" s="14">
        <v>102</v>
      </c>
      <c r="V1309" s="14">
        <v>104</v>
      </c>
      <c r="W1309" s="14">
        <v>106</v>
      </c>
      <c r="X1309" s="14">
        <v>1</v>
      </c>
    </row>
    <row r="1310" spans="1:24" hidden="1" x14ac:dyDescent="0.3">
      <c r="A1310" s="14" t="s">
        <v>417</v>
      </c>
      <c r="B1310" s="14" t="s">
        <v>62</v>
      </c>
      <c r="C1310" s="14" t="s">
        <v>345</v>
      </c>
      <c r="D1310" s="14" t="s">
        <v>346</v>
      </c>
      <c r="E1310" s="14" t="s">
        <v>342</v>
      </c>
      <c r="F1310" s="14" t="s">
        <v>343</v>
      </c>
      <c r="G1310" s="14" t="s">
        <v>343</v>
      </c>
      <c r="H1310" s="14" t="s">
        <v>343</v>
      </c>
      <c r="U1310" s="14">
        <v>0.49</v>
      </c>
      <c r="V1310" s="14">
        <v>0.83</v>
      </c>
      <c r="W1310" s="14">
        <v>0.69</v>
      </c>
      <c r="X1310" s="14">
        <v>0.7</v>
      </c>
    </row>
    <row r="1311" spans="1:24" hidden="1" x14ac:dyDescent="0.3">
      <c r="A1311" s="14" t="s">
        <v>417</v>
      </c>
      <c r="B1311" s="14" t="s">
        <v>62</v>
      </c>
      <c r="C1311" s="14" t="s">
        <v>345</v>
      </c>
      <c r="D1311" s="14" t="s">
        <v>346</v>
      </c>
      <c r="E1311" s="14" t="s">
        <v>344</v>
      </c>
      <c r="F1311" s="14" t="s">
        <v>343</v>
      </c>
      <c r="G1311" s="14" t="s">
        <v>343</v>
      </c>
      <c r="H1311" s="14" t="s">
        <v>343</v>
      </c>
      <c r="U1311" s="14">
        <v>112</v>
      </c>
      <c r="V1311" s="14">
        <v>7</v>
      </c>
      <c r="W1311" s="14">
        <v>46</v>
      </c>
      <c r="X1311" s="14">
        <v>47</v>
      </c>
    </row>
    <row r="1312" spans="1:24" hidden="1" x14ac:dyDescent="0.3">
      <c r="A1312" s="14" t="s">
        <v>417</v>
      </c>
      <c r="B1312" s="14" t="s">
        <v>62</v>
      </c>
      <c r="C1312" s="14" t="s">
        <v>347</v>
      </c>
      <c r="D1312" s="14" t="s">
        <v>348</v>
      </c>
      <c r="E1312" s="14" t="s">
        <v>342</v>
      </c>
      <c r="F1312" s="14" t="s">
        <v>343</v>
      </c>
      <c r="G1312" s="14" t="s">
        <v>343</v>
      </c>
      <c r="H1312" s="14" t="s">
        <v>343</v>
      </c>
      <c r="U1312" s="14">
        <v>0.72</v>
      </c>
      <c r="V1312" s="14">
        <v>0.92</v>
      </c>
      <c r="W1312" s="14">
        <v>0.82</v>
      </c>
      <c r="X1312" s="14">
        <v>0.87</v>
      </c>
    </row>
    <row r="1313" spans="1:24" hidden="1" x14ac:dyDescent="0.3">
      <c r="A1313" s="14" t="s">
        <v>417</v>
      </c>
      <c r="B1313" s="14" t="s">
        <v>62</v>
      </c>
      <c r="C1313" s="14" t="s">
        <v>347</v>
      </c>
      <c r="D1313" s="14" t="s">
        <v>348</v>
      </c>
      <c r="E1313" s="14" t="s">
        <v>344</v>
      </c>
      <c r="F1313" s="14" t="s">
        <v>343</v>
      </c>
      <c r="G1313" s="14" t="s">
        <v>343</v>
      </c>
      <c r="H1313" s="14" t="s">
        <v>343</v>
      </c>
      <c r="U1313" s="14">
        <v>96</v>
      </c>
      <c r="V1313" s="14">
        <v>31</v>
      </c>
      <c r="W1313" s="14">
        <v>75</v>
      </c>
      <c r="X1313" s="14">
        <v>31</v>
      </c>
    </row>
    <row r="1314" spans="1:24" hidden="1" x14ac:dyDescent="0.3">
      <c r="A1314" s="14" t="s">
        <v>417</v>
      </c>
      <c r="B1314" s="14" t="s">
        <v>62</v>
      </c>
      <c r="C1314" s="14" t="s">
        <v>349</v>
      </c>
      <c r="D1314" s="14" t="s">
        <v>350</v>
      </c>
      <c r="E1314" s="14" t="s">
        <v>342</v>
      </c>
      <c r="F1314" s="14" t="s">
        <v>343</v>
      </c>
      <c r="G1314" s="14" t="s">
        <v>343</v>
      </c>
      <c r="H1314" s="14" t="s">
        <v>343</v>
      </c>
      <c r="U1314" s="14">
        <v>0.78</v>
      </c>
      <c r="V1314" s="14">
        <v>0.74</v>
      </c>
      <c r="W1314" s="14">
        <v>0.85</v>
      </c>
      <c r="X1314" s="14">
        <v>0.55000000000000004</v>
      </c>
    </row>
    <row r="1315" spans="1:24" hidden="1" x14ac:dyDescent="0.3">
      <c r="A1315" s="14" t="s">
        <v>417</v>
      </c>
      <c r="B1315" s="14" t="s">
        <v>62</v>
      </c>
      <c r="C1315" s="14" t="s">
        <v>349</v>
      </c>
      <c r="D1315" s="14" t="s">
        <v>350</v>
      </c>
      <c r="E1315" s="14" t="s">
        <v>344</v>
      </c>
      <c r="F1315" s="14" t="s">
        <v>343</v>
      </c>
      <c r="G1315" s="14" t="s">
        <v>343</v>
      </c>
      <c r="H1315" s="14" t="s">
        <v>343</v>
      </c>
      <c r="U1315" s="14">
        <v>12</v>
      </c>
      <c r="V1315" s="14">
        <v>17</v>
      </c>
      <c r="W1315" s="14">
        <v>17</v>
      </c>
      <c r="X1315" s="14">
        <v>62</v>
      </c>
    </row>
    <row r="1316" spans="1:24" hidden="1" x14ac:dyDescent="0.3">
      <c r="A1316" s="14" t="s">
        <v>417</v>
      </c>
      <c r="B1316" s="14" t="s">
        <v>62</v>
      </c>
      <c r="C1316" s="14" t="s">
        <v>351</v>
      </c>
      <c r="D1316" s="14" t="s">
        <v>352</v>
      </c>
      <c r="E1316" s="14" t="s">
        <v>342</v>
      </c>
      <c r="F1316" s="14" t="s">
        <v>343</v>
      </c>
      <c r="G1316" s="14" t="s">
        <v>343</v>
      </c>
      <c r="H1316" s="14" t="s">
        <v>343</v>
      </c>
      <c r="U1316" s="14">
        <v>0.93</v>
      </c>
      <c r="V1316" s="14">
        <v>0.95</v>
      </c>
      <c r="W1316" s="14">
        <v>0.94</v>
      </c>
      <c r="X1316" s="14">
        <v>1</v>
      </c>
    </row>
    <row r="1317" spans="1:24" hidden="1" x14ac:dyDescent="0.3">
      <c r="A1317" s="14" t="s">
        <v>417</v>
      </c>
      <c r="B1317" s="14" t="s">
        <v>62</v>
      </c>
      <c r="C1317" s="14" t="s">
        <v>351</v>
      </c>
      <c r="D1317" s="14" t="s">
        <v>352</v>
      </c>
      <c r="E1317" s="14" t="s">
        <v>344</v>
      </c>
      <c r="F1317" s="14" t="s">
        <v>343</v>
      </c>
      <c r="G1317" s="14" t="s">
        <v>343</v>
      </c>
      <c r="H1317" s="14" t="s">
        <v>343</v>
      </c>
      <c r="U1317" s="14">
        <v>84</v>
      </c>
      <c r="V1317" s="14">
        <v>82</v>
      </c>
      <c r="W1317" s="14">
        <v>83</v>
      </c>
      <c r="X1317" s="14">
        <v>1</v>
      </c>
    </row>
    <row r="1318" spans="1:24" hidden="1" x14ac:dyDescent="0.3">
      <c r="A1318" s="14" t="s">
        <v>417</v>
      </c>
      <c r="B1318" s="14" t="s">
        <v>62</v>
      </c>
      <c r="C1318" s="14" t="s">
        <v>378</v>
      </c>
      <c r="D1318" s="14" t="s">
        <v>379</v>
      </c>
      <c r="E1318" s="14" t="s">
        <v>342</v>
      </c>
      <c r="F1318" s="14" t="s">
        <v>343</v>
      </c>
      <c r="G1318" s="14" t="s">
        <v>343</v>
      </c>
      <c r="H1318" s="14" t="s">
        <v>343</v>
      </c>
      <c r="S1318" s="14">
        <v>0.67</v>
      </c>
      <c r="U1318" s="14">
        <v>0.65</v>
      </c>
      <c r="V1318" s="14">
        <v>0.65</v>
      </c>
      <c r="W1318" s="14">
        <v>0.65</v>
      </c>
      <c r="X1318" s="14">
        <v>0.66</v>
      </c>
    </row>
    <row r="1319" spans="1:24" hidden="1" x14ac:dyDescent="0.3">
      <c r="A1319" s="14" t="s">
        <v>417</v>
      </c>
      <c r="B1319" s="14" t="s">
        <v>62</v>
      </c>
      <c r="C1319" s="14" t="s">
        <v>378</v>
      </c>
      <c r="D1319" s="14" t="s">
        <v>379</v>
      </c>
      <c r="E1319" s="14" t="s">
        <v>344</v>
      </c>
      <c r="F1319" s="14" t="s">
        <v>343</v>
      </c>
      <c r="G1319" s="14" t="s">
        <v>343</v>
      </c>
      <c r="H1319" s="14" t="s">
        <v>343</v>
      </c>
      <c r="S1319" s="14">
        <v>54</v>
      </c>
      <c r="U1319" s="14">
        <v>66</v>
      </c>
      <c r="V1319" s="14">
        <v>74</v>
      </c>
      <c r="W1319" s="14">
        <v>81</v>
      </c>
      <c r="X1319" s="14">
        <v>71</v>
      </c>
    </row>
    <row r="1320" spans="1:24" hidden="1" x14ac:dyDescent="0.3">
      <c r="A1320" s="14" t="s">
        <v>417</v>
      </c>
      <c r="B1320" s="14" t="s">
        <v>62</v>
      </c>
      <c r="C1320" s="14" t="s">
        <v>353</v>
      </c>
      <c r="D1320" s="14" t="s">
        <v>354</v>
      </c>
      <c r="E1320" s="14" t="s">
        <v>342</v>
      </c>
      <c r="F1320" s="14" t="s">
        <v>343</v>
      </c>
      <c r="G1320" s="14" t="s">
        <v>343</v>
      </c>
      <c r="H1320" s="14" t="s">
        <v>343</v>
      </c>
      <c r="U1320" s="14">
        <v>0.89</v>
      </c>
      <c r="V1320" s="14">
        <v>0.9</v>
      </c>
      <c r="W1320" s="14">
        <v>0.9</v>
      </c>
      <c r="X1320" s="14">
        <v>1</v>
      </c>
    </row>
    <row r="1321" spans="1:24" hidden="1" x14ac:dyDescent="0.3">
      <c r="A1321" s="14" t="s">
        <v>417</v>
      </c>
      <c r="B1321" s="14" t="s">
        <v>62</v>
      </c>
      <c r="C1321" s="14" t="s">
        <v>353</v>
      </c>
      <c r="D1321" s="14" t="s">
        <v>354</v>
      </c>
      <c r="E1321" s="14" t="s">
        <v>344</v>
      </c>
      <c r="F1321" s="14" t="s">
        <v>343</v>
      </c>
      <c r="G1321" s="14" t="s">
        <v>343</v>
      </c>
      <c r="H1321" s="14" t="s">
        <v>343</v>
      </c>
      <c r="U1321" s="14">
        <v>103</v>
      </c>
      <c r="V1321" s="14">
        <v>110</v>
      </c>
      <c r="W1321" s="14">
        <v>111</v>
      </c>
      <c r="X1321" s="14">
        <v>1</v>
      </c>
    </row>
    <row r="1322" spans="1:24" hidden="1" x14ac:dyDescent="0.3">
      <c r="A1322" s="14" t="s">
        <v>417</v>
      </c>
      <c r="B1322" s="14" t="s">
        <v>62</v>
      </c>
      <c r="C1322" s="14" t="s">
        <v>380</v>
      </c>
      <c r="D1322" s="14" t="s">
        <v>381</v>
      </c>
      <c r="E1322" s="14" t="s">
        <v>342</v>
      </c>
      <c r="F1322" s="14" t="s">
        <v>343</v>
      </c>
      <c r="G1322" s="14" t="s">
        <v>343</v>
      </c>
      <c r="H1322" s="14" t="s">
        <v>343</v>
      </c>
      <c r="U1322" s="14">
        <v>0.98</v>
      </c>
      <c r="V1322" s="14">
        <v>0.98</v>
      </c>
      <c r="W1322" s="14">
        <v>0.98</v>
      </c>
    </row>
    <row r="1323" spans="1:24" hidden="1" x14ac:dyDescent="0.3">
      <c r="A1323" s="14" t="s">
        <v>417</v>
      </c>
      <c r="B1323" s="14" t="s">
        <v>62</v>
      </c>
      <c r="C1323" s="14" t="s">
        <v>380</v>
      </c>
      <c r="D1323" s="14" t="s">
        <v>381</v>
      </c>
      <c r="E1323" s="14" t="s">
        <v>344</v>
      </c>
      <c r="F1323" s="14" t="s">
        <v>343</v>
      </c>
      <c r="G1323" s="14" t="s">
        <v>343</v>
      </c>
      <c r="H1323" s="14" t="s">
        <v>343</v>
      </c>
      <c r="U1323" s="14">
        <v>116</v>
      </c>
      <c r="V1323" s="14">
        <v>126</v>
      </c>
      <c r="W1323" s="14">
        <v>126</v>
      </c>
    </row>
    <row r="1324" spans="1:24" hidden="1" x14ac:dyDescent="0.3">
      <c r="A1324" s="14" t="s">
        <v>417</v>
      </c>
      <c r="B1324" s="14" t="s">
        <v>62</v>
      </c>
      <c r="C1324" s="14" t="s">
        <v>355</v>
      </c>
      <c r="D1324" s="14" t="s">
        <v>356</v>
      </c>
      <c r="E1324" s="14" t="s">
        <v>342</v>
      </c>
      <c r="F1324" s="14" t="s">
        <v>343</v>
      </c>
      <c r="G1324" s="14" t="s">
        <v>343</v>
      </c>
      <c r="H1324" s="14" t="s">
        <v>343</v>
      </c>
      <c r="U1324" s="14">
        <v>1</v>
      </c>
      <c r="V1324" s="14">
        <v>1</v>
      </c>
      <c r="W1324" s="14">
        <v>1</v>
      </c>
      <c r="X1324" s="14">
        <v>1</v>
      </c>
    </row>
    <row r="1325" spans="1:24" hidden="1" x14ac:dyDescent="0.3">
      <c r="A1325" s="14" t="s">
        <v>417</v>
      </c>
      <c r="B1325" s="14" t="s">
        <v>62</v>
      </c>
      <c r="C1325" s="14" t="s">
        <v>355</v>
      </c>
      <c r="D1325" s="14" t="s">
        <v>356</v>
      </c>
      <c r="E1325" s="14" t="s">
        <v>344</v>
      </c>
      <c r="F1325" s="14" t="s">
        <v>343</v>
      </c>
      <c r="G1325" s="14" t="s">
        <v>343</v>
      </c>
      <c r="H1325" s="14" t="s">
        <v>343</v>
      </c>
      <c r="U1325" s="14">
        <v>1</v>
      </c>
      <c r="V1325" s="14">
        <v>1</v>
      </c>
      <c r="W1325" s="14">
        <v>1</v>
      </c>
      <c r="X1325" s="14">
        <v>1</v>
      </c>
    </row>
    <row r="1326" spans="1:24" hidden="1" x14ac:dyDescent="0.3">
      <c r="A1326" s="14" t="s">
        <v>417</v>
      </c>
      <c r="B1326" s="14" t="s">
        <v>62</v>
      </c>
      <c r="C1326" s="14" t="s">
        <v>357</v>
      </c>
      <c r="D1326" s="14" t="s">
        <v>358</v>
      </c>
      <c r="E1326" s="14" t="s">
        <v>342</v>
      </c>
      <c r="F1326" s="14" t="s">
        <v>343</v>
      </c>
      <c r="G1326" s="14" t="s">
        <v>343</v>
      </c>
      <c r="H1326" s="14" t="s">
        <v>343</v>
      </c>
      <c r="U1326" s="14">
        <v>1</v>
      </c>
      <c r="V1326" s="14">
        <v>1</v>
      </c>
      <c r="W1326" s="14">
        <v>1</v>
      </c>
      <c r="X1326" s="14">
        <v>1</v>
      </c>
    </row>
    <row r="1327" spans="1:24" hidden="1" x14ac:dyDescent="0.3">
      <c r="A1327" s="14" t="s">
        <v>417</v>
      </c>
      <c r="B1327" s="14" t="s">
        <v>62</v>
      </c>
      <c r="C1327" s="14" t="s">
        <v>357</v>
      </c>
      <c r="D1327" s="14" t="s">
        <v>358</v>
      </c>
      <c r="E1327" s="14" t="s">
        <v>344</v>
      </c>
      <c r="F1327" s="14" t="s">
        <v>343</v>
      </c>
      <c r="G1327" s="14" t="s">
        <v>343</v>
      </c>
      <c r="H1327" s="14" t="s">
        <v>343</v>
      </c>
      <c r="U1327" s="14">
        <v>1</v>
      </c>
      <c r="V1327" s="14">
        <v>1</v>
      </c>
      <c r="W1327" s="14">
        <v>1</v>
      </c>
      <c r="X1327" s="14">
        <v>1</v>
      </c>
    </row>
    <row r="1328" spans="1:24" hidden="1" x14ac:dyDescent="0.3">
      <c r="A1328" s="14" t="s">
        <v>417</v>
      </c>
      <c r="B1328" s="14" t="s">
        <v>62</v>
      </c>
      <c r="C1328" s="14" t="s">
        <v>359</v>
      </c>
      <c r="D1328" s="14" t="s">
        <v>360</v>
      </c>
      <c r="E1328" s="14" t="s">
        <v>342</v>
      </c>
      <c r="F1328" s="14" t="s">
        <v>343</v>
      </c>
      <c r="G1328" s="14" t="s">
        <v>343</v>
      </c>
      <c r="H1328" s="14" t="s">
        <v>343</v>
      </c>
      <c r="O1328" s="14">
        <v>0.62</v>
      </c>
      <c r="P1328" s="14">
        <v>0.6</v>
      </c>
      <c r="Q1328" s="14">
        <v>0.61</v>
      </c>
      <c r="R1328" s="14">
        <v>0.59</v>
      </c>
      <c r="S1328" s="14">
        <v>0.61</v>
      </c>
      <c r="T1328" s="14">
        <v>0.62</v>
      </c>
      <c r="U1328" s="14">
        <v>0.68</v>
      </c>
      <c r="V1328" s="14">
        <v>0.79</v>
      </c>
      <c r="W1328" s="14">
        <v>0.76</v>
      </c>
      <c r="X1328" s="14">
        <v>0.74</v>
      </c>
    </row>
    <row r="1329" spans="1:24" hidden="1" x14ac:dyDescent="0.3">
      <c r="A1329" s="14" t="s">
        <v>417</v>
      </c>
      <c r="B1329" s="14" t="s">
        <v>62</v>
      </c>
      <c r="C1329" s="14" t="s">
        <v>359</v>
      </c>
      <c r="D1329" s="14" t="s">
        <v>360</v>
      </c>
      <c r="E1329" s="14" t="s">
        <v>344</v>
      </c>
      <c r="F1329" s="14" t="s">
        <v>343</v>
      </c>
      <c r="G1329" s="14" t="s">
        <v>343</v>
      </c>
      <c r="H1329" s="14" t="s">
        <v>343</v>
      </c>
      <c r="O1329" s="14">
        <v>84</v>
      </c>
      <c r="P1329" s="14">
        <v>96</v>
      </c>
      <c r="Q1329" s="14">
        <v>107</v>
      </c>
      <c r="R1329" s="14">
        <v>115</v>
      </c>
      <c r="S1329" s="14">
        <v>104</v>
      </c>
      <c r="T1329" s="14">
        <v>106</v>
      </c>
      <c r="U1329" s="14">
        <v>65</v>
      </c>
      <c r="V1329" s="14">
        <v>15</v>
      </c>
      <c r="W1329" s="14">
        <v>29</v>
      </c>
      <c r="X1329" s="14">
        <v>43</v>
      </c>
    </row>
    <row r="1330" spans="1:24" x14ac:dyDescent="0.3">
      <c r="A1330" s="14" t="s">
        <v>417</v>
      </c>
      <c r="B1330" s="14" t="s">
        <v>62</v>
      </c>
      <c r="C1330" s="14" t="s">
        <v>361</v>
      </c>
      <c r="D1330" s="14" t="s">
        <v>362</v>
      </c>
      <c r="E1330" s="14" t="s">
        <v>342</v>
      </c>
      <c r="F1330" s="14" t="s">
        <v>343</v>
      </c>
      <c r="G1330" s="14" t="s">
        <v>343</v>
      </c>
      <c r="H1330" s="14" t="s">
        <v>343</v>
      </c>
      <c r="O1330" s="14">
        <v>0.98</v>
      </c>
      <c r="P1330" s="14">
        <v>0.98</v>
      </c>
      <c r="Q1330" s="14">
        <v>0.98</v>
      </c>
      <c r="R1330" s="14">
        <v>0.98</v>
      </c>
      <c r="S1330" s="14">
        <v>0.98</v>
      </c>
      <c r="T1330" s="14">
        <v>0.97</v>
      </c>
      <c r="U1330" s="14">
        <v>0.97</v>
      </c>
      <c r="V1330" s="14">
        <v>0.97</v>
      </c>
      <c r="W1330" s="14">
        <v>0.98</v>
      </c>
      <c r="X1330" s="14">
        <v>0.97</v>
      </c>
    </row>
    <row r="1331" spans="1:24" hidden="1" x14ac:dyDescent="0.3">
      <c r="A1331" s="14" t="s">
        <v>417</v>
      </c>
      <c r="B1331" s="14" t="s">
        <v>62</v>
      </c>
      <c r="C1331" s="14" t="s">
        <v>361</v>
      </c>
      <c r="D1331" s="14" t="s">
        <v>362</v>
      </c>
      <c r="E1331" s="14" t="s">
        <v>344</v>
      </c>
      <c r="F1331" s="14" t="s">
        <v>343</v>
      </c>
      <c r="G1331" s="14" t="s">
        <v>343</v>
      </c>
      <c r="H1331" s="14" t="s">
        <v>343</v>
      </c>
      <c r="O1331" s="14">
        <v>1</v>
      </c>
      <c r="P1331" s="14">
        <v>1</v>
      </c>
      <c r="Q1331" s="14">
        <v>1</v>
      </c>
      <c r="R1331" s="14">
        <v>1</v>
      </c>
      <c r="S1331" s="14">
        <v>1</v>
      </c>
      <c r="T1331" s="14">
        <v>110</v>
      </c>
      <c r="U1331" s="14">
        <v>80</v>
      </c>
      <c r="V1331" s="14">
        <v>80</v>
      </c>
      <c r="W1331" s="14">
        <v>1</v>
      </c>
      <c r="X1331" s="14">
        <v>94</v>
      </c>
    </row>
    <row r="1332" spans="1:24" hidden="1" x14ac:dyDescent="0.3">
      <c r="A1332" s="14" t="s">
        <v>417</v>
      </c>
      <c r="B1332" s="14" t="s">
        <v>62</v>
      </c>
      <c r="C1332" s="14" t="s">
        <v>363</v>
      </c>
      <c r="D1332" s="14" t="s">
        <v>364</v>
      </c>
      <c r="E1332" s="14" t="s">
        <v>342</v>
      </c>
      <c r="F1332" s="14" t="s">
        <v>343</v>
      </c>
      <c r="G1332" s="14" t="s">
        <v>343</v>
      </c>
      <c r="H1332" s="14" t="s">
        <v>343</v>
      </c>
      <c r="U1332" s="14">
        <v>1.04</v>
      </c>
      <c r="V1332" s="14">
        <v>1.04</v>
      </c>
      <c r="W1332" s="14">
        <v>1.06</v>
      </c>
      <c r="X1332" s="14">
        <v>1.02</v>
      </c>
    </row>
    <row r="1333" spans="1:24" hidden="1" x14ac:dyDescent="0.3">
      <c r="A1333" s="14" t="s">
        <v>417</v>
      </c>
      <c r="B1333" s="14" t="s">
        <v>62</v>
      </c>
      <c r="C1333" s="14" t="s">
        <v>363</v>
      </c>
      <c r="D1333" s="14" t="s">
        <v>364</v>
      </c>
      <c r="E1333" s="14" t="s">
        <v>344</v>
      </c>
      <c r="F1333" s="14" t="s">
        <v>343</v>
      </c>
      <c r="G1333" s="14" t="s">
        <v>343</v>
      </c>
      <c r="H1333" s="14" t="s">
        <v>343</v>
      </c>
      <c r="U1333" s="14">
        <v>90</v>
      </c>
      <c r="V1333" s="14">
        <v>93</v>
      </c>
      <c r="W1333" s="14">
        <v>1</v>
      </c>
      <c r="X1333" s="14">
        <v>103</v>
      </c>
    </row>
    <row r="1334" spans="1:24" hidden="1" x14ac:dyDescent="0.3">
      <c r="A1334" s="14" t="s">
        <v>417</v>
      </c>
      <c r="B1334" s="14" t="s">
        <v>62</v>
      </c>
      <c r="C1334" s="14" t="s">
        <v>365</v>
      </c>
      <c r="D1334" s="14" t="s">
        <v>366</v>
      </c>
      <c r="E1334" s="14" t="s">
        <v>342</v>
      </c>
      <c r="F1334" s="14" t="s">
        <v>343</v>
      </c>
      <c r="G1334" s="14" t="s">
        <v>343</v>
      </c>
      <c r="H1334" s="14" t="s">
        <v>343</v>
      </c>
      <c r="U1334" s="14">
        <v>0.94</v>
      </c>
      <c r="V1334" s="14">
        <v>0.94</v>
      </c>
      <c r="W1334" s="14">
        <v>0.94</v>
      </c>
      <c r="X1334" s="14">
        <v>0.94</v>
      </c>
    </row>
    <row r="1335" spans="1:24" hidden="1" x14ac:dyDescent="0.3">
      <c r="A1335" s="14" t="s">
        <v>417</v>
      </c>
      <c r="B1335" s="14" t="s">
        <v>62</v>
      </c>
      <c r="C1335" s="14" t="s">
        <v>365</v>
      </c>
      <c r="D1335" s="14" t="s">
        <v>366</v>
      </c>
      <c r="E1335" s="14" t="s">
        <v>344</v>
      </c>
      <c r="F1335" s="14" t="s">
        <v>343</v>
      </c>
      <c r="G1335" s="14" t="s">
        <v>343</v>
      </c>
      <c r="H1335" s="14" t="s">
        <v>343</v>
      </c>
      <c r="U1335" s="14">
        <v>1</v>
      </c>
      <c r="V1335" s="14">
        <v>1</v>
      </c>
      <c r="W1335" s="14">
        <v>1</v>
      </c>
      <c r="X1335" s="14">
        <v>1</v>
      </c>
    </row>
    <row r="1336" spans="1:24" hidden="1" x14ac:dyDescent="0.3">
      <c r="A1336" s="14" t="s">
        <v>417</v>
      </c>
      <c r="B1336" s="14" t="s">
        <v>62</v>
      </c>
      <c r="C1336" s="14" t="s">
        <v>367</v>
      </c>
      <c r="D1336" s="14" t="s">
        <v>368</v>
      </c>
      <c r="E1336" s="14" t="s">
        <v>342</v>
      </c>
      <c r="F1336" s="14" t="s">
        <v>343</v>
      </c>
      <c r="G1336" s="14" t="s">
        <v>343</v>
      </c>
      <c r="H1336" s="14" t="s">
        <v>343</v>
      </c>
      <c r="O1336" s="14">
        <v>0.72</v>
      </c>
      <c r="P1336" s="14">
        <v>0.71</v>
      </c>
      <c r="Q1336" s="14">
        <v>0.71</v>
      </c>
      <c r="R1336" s="14">
        <v>0.72</v>
      </c>
      <c r="S1336" s="14">
        <v>0.73</v>
      </c>
      <c r="T1336" s="14">
        <v>0.69</v>
      </c>
      <c r="U1336" s="14">
        <v>0.7</v>
      </c>
      <c r="V1336" s="14">
        <v>0.72</v>
      </c>
      <c r="W1336" s="14">
        <v>0.72</v>
      </c>
      <c r="X1336" s="14">
        <v>0.77</v>
      </c>
    </row>
    <row r="1337" spans="1:24" hidden="1" x14ac:dyDescent="0.3">
      <c r="A1337" s="14" t="s">
        <v>417</v>
      </c>
      <c r="B1337" s="14" t="s">
        <v>62</v>
      </c>
      <c r="C1337" s="14" t="s">
        <v>367</v>
      </c>
      <c r="D1337" s="14" t="s">
        <v>368</v>
      </c>
      <c r="E1337" s="14" t="s">
        <v>344</v>
      </c>
      <c r="F1337" s="14" t="s">
        <v>343</v>
      </c>
      <c r="G1337" s="14" t="s">
        <v>343</v>
      </c>
      <c r="H1337" s="14" t="s">
        <v>343</v>
      </c>
      <c r="O1337" s="14">
        <v>35</v>
      </c>
      <c r="P1337" s="14">
        <v>41</v>
      </c>
      <c r="Q1337" s="14">
        <v>50</v>
      </c>
      <c r="R1337" s="14">
        <v>50</v>
      </c>
      <c r="S1337" s="14">
        <v>36</v>
      </c>
      <c r="T1337" s="14">
        <v>89</v>
      </c>
      <c r="U1337" s="14">
        <v>72</v>
      </c>
      <c r="V1337" s="14">
        <v>52</v>
      </c>
      <c r="W1337" s="14">
        <v>68</v>
      </c>
      <c r="X1337" s="14">
        <v>25</v>
      </c>
    </row>
    <row r="1338" spans="1:24" hidden="1" x14ac:dyDescent="0.3">
      <c r="A1338" s="14" t="s">
        <v>417</v>
      </c>
      <c r="B1338" s="14" t="s">
        <v>62</v>
      </c>
      <c r="C1338" s="14" t="s">
        <v>369</v>
      </c>
      <c r="D1338" s="14" t="s">
        <v>370</v>
      </c>
      <c r="E1338" s="14" t="s">
        <v>342</v>
      </c>
      <c r="F1338" s="14" t="s">
        <v>343</v>
      </c>
      <c r="G1338" s="14" t="s">
        <v>343</v>
      </c>
      <c r="H1338" s="14" t="s">
        <v>343</v>
      </c>
      <c r="O1338" s="14">
        <v>0.3</v>
      </c>
      <c r="P1338" s="14">
        <v>0.3</v>
      </c>
      <c r="Q1338" s="14">
        <v>0.3</v>
      </c>
      <c r="R1338" s="14">
        <v>0.33</v>
      </c>
      <c r="S1338" s="14">
        <v>0.34</v>
      </c>
      <c r="T1338" s="14">
        <v>0.18</v>
      </c>
      <c r="U1338" s="14">
        <v>0.18</v>
      </c>
      <c r="V1338" s="14">
        <v>0.16</v>
      </c>
      <c r="W1338" s="14">
        <v>0.15</v>
      </c>
      <c r="X1338" s="14">
        <v>0.39</v>
      </c>
    </row>
    <row r="1339" spans="1:24" hidden="1" x14ac:dyDescent="0.3">
      <c r="A1339" s="14" t="s">
        <v>417</v>
      </c>
      <c r="B1339" s="14" t="s">
        <v>62</v>
      </c>
      <c r="C1339" s="14" t="s">
        <v>369</v>
      </c>
      <c r="D1339" s="14" t="s">
        <v>370</v>
      </c>
      <c r="E1339" s="14" t="s">
        <v>344</v>
      </c>
      <c r="F1339" s="14" t="s">
        <v>343</v>
      </c>
      <c r="G1339" s="14" t="s">
        <v>343</v>
      </c>
      <c r="H1339" s="14" t="s">
        <v>343</v>
      </c>
      <c r="O1339" s="14">
        <v>25</v>
      </c>
      <c r="P1339" s="14">
        <v>25</v>
      </c>
      <c r="Q1339" s="14">
        <v>26</v>
      </c>
      <c r="R1339" s="14">
        <v>25</v>
      </c>
      <c r="S1339" s="14">
        <v>23</v>
      </c>
      <c r="T1339" s="14">
        <v>70</v>
      </c>
      <c r="U1339" s="14">
        <v>70</v>
      </c>
      <c r="V1339" s="14">
        <v>89</v>
      </c>
      <c r="W1339" s="14">
        <v>99</v>
      </c>
      <c r="X1339" s="14">
        <v>31</v>
      </c>
    </row>
    <row r="1340" spans="1:24" hidden="1" x14ac:dyDescent="0.3">
      <c r="A1340" s="14" t="s">
        <v>417</v>
      </c>
      <c r="B1340" s="14" t="s">
        <v>62</v>
      </c>
      <c r="C1340" s="14" t="s">
        <v>371</v>
      </c>
      <c r="D1340" s="14" t="s">
        <v>372</v>
      </c>
      <c r="E1340" s="14" t="s">
        <v>342</v>
      </c>
      <c r="F1340" s="14" t="s">
        <v>343</v>
      </c>
      <c r="G1340" s="14" t="s">
        <v>343</v>
      </c>
      <c r="H1340" s="14" t="s">
        <v>343</v>
      </c>
      <c r="U1340" s="14">
        <v>0</v>
      </c>
      <c r="V1340" s="14">
        <v>0</v>
      </c>
      <c r="W1340" s="14">
        <v>0</v>
      </c>
      <c r="X1340" s="14">
        <v>0.01</v>
      </c>
    </row>
    <row r="1341" spans="1:24" hidden="1" x14ac:dyDescent="0.3">
      <c r="A1341" s="14" t="s">
        <v>417</v>
      </c>
      <c r="B1341" s="14" t="s">
        <v>62</v>
      </c>
      <c r="C1341" s="14" t="s">
        <v>371</v>
      </c>
      <c r="D1341" s="14" t="s">
        <v>372</v>
      </c>
      <c r="E1341" s="14" t="s">
        <v>344</v>
      </c>
      <c r="F1341" s="14" t="s">
        <v>343</v>
      </c>
      <c r="G1341" s="14" t="s">
        <v>343</v>
      </c>
      <c r="H1341" s="14" t="s">
        <v>343</v>
      </c>
      <c r="U1341" s="14">
        <v>71</v>
      </c>
      <c r="V1341" s="14">
        <v>73</v>
      </c>
      <c r="W1341" s="14">
        <v>76</v>
      </c>
      <c r="X1341" s="14">
        <v>68</v>
      </c>
    </row>
    <row r="1342" spans="1:24" hidden="1" x14ac:dyDescent="0.3">
      <c r="A1342" s="14" t="s">
        <v>417</v>
      </c>
      <c r="B1342" s="14" t="s">
        <v>62</v>
      </c>
      <c r="C1342" s="14" t="s">
        <v>373</v>
      </c>
      <c r="D1342" s="14" t="s">
        <v>374</v>
      </c>
      <c r="E1342" s="14" t="s">
        <v>342</v>
      </c>
      <c r="F1342" s="14" t="s">
        <v>343</v>
      </c>
      <c r="G1342" s="14" t="s">
        <v>343</v>
      </c>
      <c r="H1342" s="14" t="s">
        <v>343</v>
      </c>
      <c r="U1342" s="14">
        <v>0.33</v>
      </c>
      <c r="V1342" s="14">
        <v>0.27</v>
      </c>
      <c r="W1342" s="14">
        <v>0.17</v>
      </c>
      <c r="X1342" s="14">
        <v>1</v>
      </c>
    </row>
    <row r="1343" spans="1:24" hidden="1" x14ac:dyDescent="0.3">
      <c r="A1343" s="14" t="s">
        <v>417</v>
      </c>
      <c r="B1343" s="14" t="s">
        <v>62</v>
      </c>
      <c r="C1343" s="14" t="s">
        <v>373</v>
      </c>
      <c r="D1343" s="14" t="s">
        <v>374</v>
      </c>
      <c r="E1343" s="14" t="s">
        <v>344</v>
      </c>
      <c r="F1343" s="14" t="s">
        <v>343</v>
      </c>
      <c r="G1343" s="14" t="s">
        <v>343</v>
      </c>
      <c r="H1343" s="14" t="s">
        <v>343</v>
      </c>
      <c r="U1343" s="14">
        <v>39</v>
      </c>
      <c r="V1343" s="14">
        <v>78</v>
      </c>
      <c r="W1343" s="14">
        <v>106</v>
      </c>
      <c r="X1343" s="14">
        <v>1</v>
      </c>
    </row>
    <row r="1344" spans="1:24" hidden="1" x14ac:dyDescent="0.3">
      <c r="A1344" s="14" t="s">
        <v>417</v>
      </c>
      <c r="B1344" s="14" t="s">
        <v>62</v>
      </c>
      <c r="C1344" s="14" t="s">
        <v>375</v>
      </c>
      <c r="D1344" s="14" t="s">
        <v>376</v>
      </c>
      <c r="E1344" s="14" t="s">
        <v>342</v>
      </c>
      <c r="F1344" s="14" t="s">
        <v>343</v>
      </c>
      <c r="G1344" s="14" t="s">
        <v>343</v>
      </c>
      <c r="H1344" s="14" t="s">
        <v>343</v>
      </c>
      <c r="U1344" s="14">
        <v>0.31</v>
      </c>
      <c r="V1344" s="14">
        <v>0.31</v>
      </c>
      <c r="W1344" s="14">
        <v>0.36</v>
      </c>
      <c r="X1344" s="14">
        <v>0.44</v>
      </c>
    </row>
    <row r="1345" spans="1:24" hidden="1" x14ac:dyDescent="0.3">
      <c r="A1345" s="14" t="s">
        <v>417</v>
      </c>
      <c r="B1345" s="14" t="s">
        <v>62</v>
      </c>
      <c r="C1345" s="14" t="s">
        <v>375</v>
      </c>
      <c r="D1345" s="14" t="s">
        <v>376</v>
      </c>
      <c r="E1345" s="14" t="s">
        <v>344</v>
      </c>
      <c r="F1345" s="14" t="s">
        <v>343</v>
      </c>
      <c r="G1345" s="14" t="s">
        <v>343</v>
      </c>
      <c r="H1345" s="14" t="s">
        <v>343</v>
      </c>
      <c r="U1345" s="14">
        <v>62</v>
      </c>
      <c r="V1345" s="14">
        <v>66</v>
      </c>
      <c r="W1345" s="14">
        <v>68</v>
      </c>
      <c r="X1345" s="14">
        <v>50</v>
      </c>
    </row>
    <row r="1346" spans="1:24" hidden="1" x14ac:dyDescent="0.3">
      <c r="A1346" s="14" t="s">
        <v>418</v>
      </c>
      <c r="B1346" s="14" t="s">
        <v>75</v>
      </c>
      <c r="C1346" s="14" t="s">
        <v>340</v>
      </c>
      <c r="D1346" s="14" t="s">
        <v>341</v>
      </c>
      <c r="E1346" s="14" t="s">
        <v>342</v>
      </c>
      <c r="F1346" s="14" t="s">
        <v>343</v>
      </c>
      <c r="G1346" s="14" t="s">
        <v>343</v>
      </c>
      <c r="H1346" s="14" t="s">
        <v>343</v>
      </c>
      <c r="I1346" s="14">
        <v>1</v>
      </c>
      <c r="J1346" s="14">
        <v>1</v>
      </c>
      <c r="K1346" s="14">
        <v>1</v>
      </c>
      <c r="L1346" s="14">
        <v>1</v>
      </c>
      <c r="M1346" s="14">
        <v>1</v>
      </c>
      <c r="N1346" s="14">
        <v>1</v>
      </c>
      <c r="O1346" s="14">
        <v>1</v>
      </c>
      <c r="P1346" s="14">
        <v>1</v>
      </c>
      <c r="Q1346" s="14">
        <v>1</v>
      </c>
      <c r="R1346" s="14">
        <v>1</v>
      </c>
      <c r="S1346" s="14">
        <v>1</v>
      </c>
      <c r="T1346" s="14">
        <v>1</v>
      </c>
      <c r="U1346" s="14">
        <v>1</v>
      </c>
      <c r="V1346" s="14">
        <v>1</v>
      </c>
      <c r="W1346" s="14">
        <v>1</v>
      </c>
      <c r="X1346" s="14">
        <v>1</v>
      </c>
    </row>
    <row r="1347" spans="1:24" hidden="1" x14ac:dyDescent="0.3">
      <c r="A1347" s="14" t="s">
        <v>418</v>
      </c>
      <c r="B1347" s="14" t="s">
        <v>75</v>
      </c>
      <c r="C1347" s="14" t="s">
        <v>340</v>
      </c>
      <c r="D1347" s="14" t="s">
        <v>341</v>
      </c>
      <c r="E1347" s="14" t="s">
        <v>344</v>
      </c>
      <c r="F1347" s="14" t="s">
        <v>343</v>
      </c>
      <c r="G1347" s="14" t="s">
        <v>343</v>
      </c>
      <c r="H1347" s="14" t="s">
        <v>343</v>
      </c>
      <c r="I1347" s="14">
        <v>32</v>
      </c>
      <c r="J1347" s="14">
        <v>36</v>
      </c>
      <c r="K1347" s="14">
        <v>51</v>
      </c>
      <c r="L1347" s="14">
        <v>48</v>
      </c>
      <c r="M1347" s="14">
        <v>46</v>
      </c>
      <c r="N1347" s="14">
        <v>1</v>
      </c>
      <c r="O1347" s="14">
        <v>1</v>
      </c>
      <c r="P1347" s="14">
        <v>1</v>
      </c>
      <c r="Q1347" s="14">
        <v>1</v>
      </c>
      <c r="R1347" s="14">
        <v>1</v>
      </c>
      <c r="S1347" s="14">
        <v>30</v>
      </c>
      <c r="T1347" s="14">
        <v>40</v>
      </c>
      <c r="U1347" s="14">
        <v>1</v>
      </c>
      <c r="V1347" s="14">
        <v>33</v>
      </c>
      <c r="W1347" s="14">
        <v>35</v>
      </c>
      <c r="X1347" s="14">
        <v>31</v>
      </c>
    </row>
    <row r="1348" spans="1:24" hidden="1" x14ac:dyDescent="0.3">
      <c r="A1348" s="14" t="s">
        <v>418</v>
      </c>
      <c r="B1348" s="14" t="s">
        <v>75</v>
      </c>
      <c r="C1348" s="14" t="s">
        <v>345</v>
      </c>
      <c r="D1348" s="14" t="s">
        <v>346</v>
      </c>
      <c r="E1348" s="14" t="s">
        <v>342</v>
      </c>
      <c r="F1348" s="14" t="s">
        <v>343</v>
      </c>
      <c r="G1348" s="14" t="s">
        <v>343</v>
      </c>
      <c r="H1348" s="14" t="s">
        <v>343</v>
      </c>
      <c r="U1348" s="14">
        <v>0.59</v>
      </c>
      <c r="V1348" s="14">
        <v>0.55000000000000004</v>
      </c>
      <c r="W1348" s="14">
        <v>0.64</v>
      </c>
      <c r="X1348" s="14">
        <v>0.66</v>
      </c>
    </row>
    <row r="1349" spans="1:24" hidden="1" x14ac:dyDescent="0.3">
      <c r="A1349" s="14" t="s">
        <v>418</v>
      </c>
      <c r="B1349" s="14" t="s">
        <v>75</v>
      </c>
      <c r="C1349" s="14" t="s">
        <v>345</v>
      </c>
      <c r="D1349" s="14" t="s">
        <v>346</v>
      </c>
      <c r="E1349" s="14" t="s">
        <v>344</v>
      </c>
      <c r="F1349" s="14" t="s">
        <v>343</v>
      </c>
      <c r="G1349" s="14" t="s">
        <v>343</v>
      </c>
      <c r="H1349" s="14" t="s">
        <v>343</v>
      </c>
      <c r="U1349" s="14">
        <v>85</v>
      </c>
      <c r="V1349" s="14">
        <v>105</v>
      </c>
      <c r="W1349" s="14">
        <v>64</v>
      </c>
      <c r="X1349" s="14">
        <v>68</v>
      </c>
    </row>
    <row r="1350" spans="1:24" hidden="1" x14ac:dyDescent="0.3">
      <c r="A1350" s="14" t="s">
        <v>418</v>
      </c>
      <c r="B1350" s="14" t="s">
        <v>75</v>
      </c>
      <c r="C1350" s="14" t="s">
        <v>347</v>
      </c>
      <c r="D1350" s="14" t="s">
        <v>348</v>
      </c>
      <c r="E1350" s="14" t="s">
        <v>342</v>
      </c>
      <c r="F1350" s="14" t="s">
        <v>343</v>
      </c>
      <c r="G1350" s="14" t="s">
        <v>343</v>
      </c>
      <c r="H1350" s="14" t="s">
        <v>343</v>
      </c>
      <c r="U1350" s="14">
        <v>0.64</v>
      </c>
      <c r="V1350" s="14">
        <v>0.64</v>
      </c>
      <c r="W1350" s="14">
        <v>0.7</v>
      </c>
      <c r="X1350" s="14">
        <v>0.67</v>
      </c>
    </row>
    <row r="1351" spans="1:24" hidden="1" x14ac:dyDescent="0.3">
      <c r="A1351" s="14" t="s">
        <v>418</v>
      </c>
      <c r="B1351" s="14" t="s">
        <v>75</v>
      </c>
      <c r="C1351" s="14" t="s">
        <v>347</v>
      </c>
      <c r="D1351" s="14" t="s">
        <v>348</v>
      </c>
      <c r="E1351" s="14" t="s">
        <v>344</v>
      </c>
      <c r="F1351" s="14" t="s">
        <v>343</v>
      </c>
      <c r="G1351" s="14" t="s">
        <v>343</v>
      </c>
      <c r="H1351" s="14" t="s">
        <v>343</v>
      </c>
      <c r="U1351" s="14">
        <v>117</v>
      </c>
      <c r="V1351" s="14">
        <v>118</v>
      </c>
      <c r="W1351" s="14">
        <v>111</v>
      </c>
      <c r="X1351" s="14">
        <v>106</v>
      </c>
    </row>
    <row r="1352" spans="1:24" hidden="1" x14ac:dyDescent="0.3">
      <c r="A1352" s="14" t="s">
        <v>418</v>
      </c>
      <c r="B1352" s="14" t="s">
        <v>75</v>
      </c>
      <c r="C1352" s="14" t="s">
        <v>349</v>
      </c>
      <c r="D1352" s="14" t="s">
        <v>350</v>
      </c>
      <c r="E1352" s="14" t="s">
        <v>342</v>
      </c>
      <c r="F1352" s="14" t="s">
        <v>343</v>
      </c>
      <c r="G1352" s="14" t="s">
        <v>343</v>
      </c>
      <c r="H1352" s="14" t="s">
        <v>343</v>
      </c>
      <c r="U1352" s="14">
        <v>0.57999999999999996</v>
      </c>
      <c r="V1352" s="14">
        <v>0.51</v>
      </c>
      <c r="W1352" s="14">
        <v>0.43</v>
      </c>
    </row>
    <row r="1353" spans="1:24" hidden="1" x14ac:dyDescent="0.3">
      <c r="A1353" s="14" t="s">
        <v>418</v>
      </c>
      <c r="B1353" s="14" t="s">
        <v>75</v>
      </c>
      <c r="C1353" s="14" t="s">
        <v>349</v>
      </c>
      <c r="D1353" s="14" t="s">
        <v>350</v>
      </c>
      <c r="E1353" s="14" t="s">
        <v>344</v>
      </c>
      <c r="F1353" s="14" t="s">
        <v>343</v>
      </c>
      <c r="G1353" s="14" t="s">
        <v>343</v>
      </c>
      <c r="H1353" s="14" t="s">
        <v>343</v>
      </c>
      <c r="U1353" s="14">
        <v>41</v>
      </c>
      <c r="V1353" s="14">
        <v>66</v>
      </c>
      <c r="W1353" s="14">
        <v>90</v>
      </c>
    </row>
    <row r="1354" spans="1:24" hidden="1" x14ac:dyDescent="0.3">
      <c r="A1354" s="14" t="s">
        <v>418</v>
      </c>
      <c r="B1354" s="14" t="s">
        <v>75</v>
      </c>
      <c r="C1354" s="14" t="s">
        <v>351</v>
      </c>
      <c r="D1354" s="14" t="s">
        <v>352</v>
      </c>
      <c r="E1354" s="14" t="s">
        <v>342</v>
      </c>
      <c r="F1354" s="14" t="s">
        <v>343</v>
      </c>
      <c r="G1354" s="14" t="s">
        <v>343</v>
      </c>
      <c r="H1354" s="14" t="s">
        <v>343</v>
      </c>
      <c r="U1354" s="14">
        <v>0.81</v>
      </c>
      <c r="V1354" s="14">
        <v>0.86</v>
      </c>
      <c r="W1354" s="14">
        <v>0.75</v>
      </c>
    </row>
    <row r="1355" spans="1:24" hidden="1" x14ac:dyDescent="0.3">
      <c r="A1355" s="14" t="s">
        <v>418</v>
      </c>
      <c r="B1355" s="14" t="s">
        <v>75</v>
      </c>
      <c r="C1355" s="14" t="s">
        <v>351</v>
      </c>
      <c r="D1355" s="14" t="s">
        <v>352</v>
      </c>
      <c r="E1355" s="14" t="s">
        <v>344</v>
      </c>
      <c r="F1355" s="14" t="s">
        <v>343</v>
      </c>
      <c r="G1355" s="14" t="s">
        <v>343</v>
      </c>
      <c r="H1355" s="14" t="s">
        <v>343</v>
      </c>
      <c r="U1355" s="14">
        <v>98</v>
      </c>
      <c r="V1355" s="14">
        <v>96</v>
      </c>
      <c r="W1355" s="14">
        <v>103</v>
      </c>
    </row>
    <row r="1356" spans="1:24" hidden="1" x14ac:dyDescent="0.3">
      <c r="A1356" s="14" t="s">
        <v>418</v>
      </c>
      <c r="B1356" s="14" t="s">
        <v>75</v>
      </c>
      <c r="C1356" s="14" t="s">
        <v>378</v>
      </c>
      <c r="D1356" s="14" t="s">
        <v>379</v>
      </c>
      <c r="E1356" s="14" t="s">
        <v>342</v>
      </c>
      <c r="F1356" s="14" t="s">
        <v>343</v>
      </c>
      <c r="G1356" s="14" t="s">
        <v>343</v>
      </c>
      <c r="H1356" s="14" t="s">
        <v>343</v>
      </c>
      <c r="S1356" s="14">
        <v>0.55000000000000004</v>
      </c>
      <c r="U1356" s="14">
        <v>0.56000000000000005</v>
      </c>
      <c r="V1356" s="14">
        <v>0.56999999999999995</v>
      </c>
      <c r="W1356" s="14">
        <v>0.61</v>
      </c>
      <c r="X1356" s="14">
        <v>0.62</v>
      </c>
    </row>
    <row r="1357" spans="1:24" hidden="1" x14ac:dyDescent="0.3">
      <c r="A1357" s="14" t="s">
        <v>418</v>
      </c>
      <c r="B1357" s="14" t="s">
        <v>75</v>
      </c>
      <c r="C1357" s="14" t="s">
        <v>378</v>
      </c>
      <c r="D1357" s="14" t="s">
        <v>379</v>
      </c>
      <c r="E1357" s="14" t="s">
        <v>344</v>
      </c>
      <c r="F1357" s="14" t="s">
        <v>343</v>
      </c>
      <c r="G1357" s="14" t="s">
        <v>343</v>
      </c>
      <c r="H1357" s="14" t="s">
        <v>343</v>
      </c>
      <c r="S1357" s="14">
        <v>116</v>
      </c>
      <c r="U1357" s="14">
        <v>115</v>
      </c>
      <c r="V1357" s="14">
        <v>111</v>
      </c>
      <c r="W1357" s="14">
        <v>101</v>
      </c>
      <c r="X1357" s="14">
        <v>85</v>
      </c>
    </row>
    <row r="1358" spans="1:24" hidden="1" x14ac:dyDescent="0.3">
      <c r="A1358" s="14" t="s">
        <v>418</v>
      </c>
      <c r="B1358" s="14" t="s">
        <v>75</v>
      </c>
      <c r="C1358" s="14" t="s">
        <v>353</v>
      </c>
      <c r="D1358" s="14" t="s">
        <v>354</v>
      </c>
      <c r="E1358" s="14" t="s">
        <v>342</v>
      </c>
      <c r="F1358" s="14" t="s">
        <v>343</v>
      </c>
      <c r="G1358" s="14" t="s">
        <v>343</v>
      </c>
      <c r="H1358" s="14" t="s">
        <v>343</v>
      </c>
      <c r="U1358" s="14">
        <v>1</v>
      </c>
      <c r="V1358" s="14">
        <v>1</v>
      </c>
      <c r="W1358" s="14">
        <v>1</v>
      </c>
      <c r="X1358" s="14">
        <v>1</v>
      </c>
    </row>
    <row r="1359" spans="1:24" hidden="1" x14ac:dyDescent="0.3">
      <c r="A1359" s="14" t="s">
        <v>418</v>
      </c>
      <c r="B1359" s="14" t="s">
        <v>75</v>
      </c>
      <c r="C1359" s="14" t="s">
        <v>353</v>
      </c>
      <c r="D1359" s="14" t="s">
        <v>354</v>
      </c>
      <c r="E1359" s="14" t="s">
        <v>344</v>
      </c>
      <c r="F1359" s="14" t="s">
        <v>343</v>
      </c>
      <c r="G1359" s="14" t="s">
        <v>343</v>
      </c>
      <c r="H1359" s="14" t="s">
        <v>343</v>
      </c>
      <c r="U1359" s="14">
        <v>1</v>
      </c>
      <c r="V1359" s="14">
        <v>1</v>
      </c>
      <c r="W1359" s="14">
        <v>1</v>
      </c>
      <c r="X1359" s="14">
        <v>1</v>
      </c>
    </row>
    <row r="1360" spans="1:24" hidden="1" x14ac:dyDescent="0.3">
      <c r="A1360" s="14" t="s">
        <v>418</v>
      </c>
      <c r="B1360" s="14" t="s">
        <v>75</v>
      </c>
      <c r="C1360" s="14" t="s">
        <v>380</v>
      </c>
      <c r="D1360" s="14" t="s">
        <v>381</v>
      </c>
      <c r="E1360" s="14" t="s">
        <v>342</v>
      </c>
      <c r="F1360" s="14" t="s">
        <v>343</v>
      </c>
      <c r="G1360" s="14" t="s">
        <v>343</v>
      </c>
      <c r="H1360" s="14" t="s">
        <v>343</v>
      </c>
      <c r="U1360" s="14">
        <v>1</v>
      </c>
      <c r="V1360" s="14">
        <v>1</v>
      </c>
      <c r="W1360" s="14">
        <v>1</v>
      </c>
      <c r="X1360" s="14">
        <v>1</v>
      </c>
    </row>
    <row r="1361" spans="1:24" hidden="1" x14ac:dyDescent="0.3">
      <c r="A1361" s="14" t="s">
        <v>418</v>
      </c>
      <c r="B1361" s="14" t="s">
        <v>75</v>
      </c>
      <c r="C1361" s="14" t="s">
        <v>380</v>
      </c>
      <c r="D1361" s="14" t="s">
        <v>381</v>
      </c>
      <c r="E1361" s="14" t="s">
        <v>344</v>
      </c>
      <c r="F1361" s="14" t="s">
        <v>343</v>
      </c>
      <c r="G1361" s="14" t="s">
        <v>343</v>
      </c>
      <c r="H1361" s="14" t="s">
        <v>343</v>
      </c>
      <c r="U1361" s="14">
        <v>1</v>
      </c>
      <c r="V1361" s="14">
        <v>77</v>
      </c>
      <c r="W1361" s="14">
        <v>78</v>
      </c>
      <c r="X1361" s="14">
        <v>74</v>
      </c>
    </row>
    <row r="1362" spans="1:24" hidden="1" x14ac:dyDescent="0.3">
      <c r="A1362" s="14" t="s">
        <v>418</v>
      </c>
      <c r="B1362" s="14" t="s">
        <v>75</v>
      </c>
      <c r="C1362" s="14" t="s">
        <v>355</v>
      </c>
      <c r="D1362" s="14" t="s">
        <v>356</v>
      </c>
      <c r="E1362" s="14" t="s">
        <v>342</v>
      </c>
      <c r="F1362" s="14" t="s">
        <v>343</v>
      </c>
      <c r="G1362" s="14" t="s">
        <v>343</v>
      </c>
      <c r="H1362" s="14" t="s">
        <v>343</v>
      </c>
      <c r="U1362" s="14">
        <v>1</v>
      </c>
      <c r="V1362" s="14">
        <v>1</v>
      </c>
      <c r="W1362" s="14">
        <v>1</v>
      </c>
      <c r="X1362" s="14">
        <v>1</v>
      </c>
    </row>
    <row r="1363" spans="1:24" hidden="1" x14ac:dyDescent="0.3">
      <c r="A1363" s="14" t="s">
        <v>418</v>
      </c>
      <c r="B1363" s="14" t="s">
        <v>75</v>
      </c>
      <c r="C1363" s="14" t="s">
        <v>355</v>
      </c>
      <c r="D1363" s="14" t="s">
        <v>356</v>
      </c>
      <c r="E1363" s="14" t="s">
        <v>344</v>
      </c>
      <c r="F1363" s="14" t="s">
        <v>343</v>
      </c>
      <c r="G1363" s="14" t="s">
        <v>343</v>
      </c>
      <c r="H1363" s="14" t="s">
        <v>343</v>
      </c>
      <c r="U1363" s="14">
        <v>1</v>
      </c>
      <c r="V1363" s="14">
        <v>1</v>
      </c>
      <c r="W1363" s="14">
        <v>1</v>
      </c>
      <c r="X1363" s="14">
        <v>1</v>
      </c>
    </row>
    <row r="1364" spans="1:24" hidden="1" x14ac:dyDescent="0.3">
      <c r="A1364" s="14" t="s">
        <v>418</v>
      </c>
      <c r="B1364" s="14" t="s">
        <v>75</v>
      </c>
      <c r="C1364" s="14" t="s">
        <v>357</v>
      </c>
      <c r="D1364" s="14" t="s">
        <v>358</v>
      </c>
      <c r="E1364" s="14" t="s">
        <v>342</v>
      </c>
      <c r="F1364" s="14" t="s">
        <v>343</v>
      </c>
      <c r="G1364" s="14" t="s">
        <v>343</v>
      </c>
      <c r="H1364" s="14" t="s">
        <v>343</v>
      </c>
      <c r="U1364" s="14">
        <v>1</v>
      </c>
      <c r="V1364" s="14">
        <v>1</v>
      </c>
      <c r="W1364" s="14">
        <v>1</v>
      </c>
      <c r="X1364" s="14">
        <v>1</v>
      </c>
    </row>
    <row r="1365" spans="1:24" hidden="1" x14ac:dyDescent="0.3">
      <c r="A1365" s="14" t="s">
        <v>418</v>
      </c>
      <c r="B1365" s="14" t="s">
        <v>75</v>
      </c>
      <c r="C1365" s="14" t="s">
        <v>357</v>
      </c>
      <c r="D1365" s="14" t="s">
        <v>358</v>
      </c>
      <c r="E1365" s="14" t="s">
        <v>344</v>
      </c>
      <c r="F1365" s="14" t="s">
        <v>343</v>
      </c>
      <c r="G1365" s="14" t="s">
        <v>343</v>
      </c>
      <c r="H1365" s="14" t="s">
        <v>343</v>
      </c>
      <c r="U1365" s="14">
        <v>1</v>
      </c>
      <c r="V1365" s="14">
        <v>1</v>
      </c>
      <c r="W1365" s="14">
        <v>1</v>
      </c>
      <c r="X1365" s="14">
        <v>1</v>
      </c>
    </row>
    <row r="1366" spans="1:24" hidden="1" x14ac:dyDescent="0.3">
      <c r="A1366" s="14" t="s">
        <v>418</v>
      </c>
      <c r="B1366" s="14" t="s">
        <v>75</v>
      </c>
      <c r="C1366" s="14" t="s">
        <v>359</v>
      </c>
      <c r="D1366" s="14" t="s">
        <v>360</v>
      </c>
      <c r="E1366" s="14" t="s">
        <v>342</v>
      </c>
      <c r="F1366" s="14" t="s">
        <v>343</v>
      </c>
      <c r="G1366" s="14" t="s">
        <v>343</v>
      </c>
      <c r="H1366" s="14" t="s">
        <v>343</v>
      </c>
      <c r="I1366" s="14">
        <v>0.52</v>
      </c>
      <c r="J1366" s="14">
        <v>0.55000000000000004</v>
      </c>
      <c r="K1366" s="14">
        <v>0.59</v>
      </c>
      <c r="L1366" s="14">
        <v>0.61</v>
      </c>
      <c r="M1366" s="14">
        <v>0.57999999999999996</v>
      </c>
      <c r="N1366" s="14">
        <v>0.59</v>
      </c>
      <c r="O1366" s="14">
        <v>0.6</v>
      </c>
      <c r="P1366" s="14">
        <v>0.6</v>
      </c>
      <c r="Q1366" s="14">
        <v>0.62</v>
      </c>
      <c r="R1366" s="14">
        <v>0.59</v>
      </c>
      <c r="S1366" s="14">
        <v>0.61</v>
      </c>
      <c r="T1366" s="14">
        <v>0.62</v>
      </c>
      <c r="U1366" s="14">
        <v>0.61</v>
      </c>
      <c r="V1366" s="14">
        <v>0.61</v>
      </c>
      <c r="W1366" s="14">
        <v>0.62</v>
      </c>
      <c r="X1366" s="14">
        <v>0.64</v>
      </c>
    </row>
    <row r="1367" spans="1:24" hidden="1" x14ac:dyDescent="0.3">
      <c r="A1367" s="14" t="s">
        <v>418</v>
      </c>
      <c r="B1367" s="14" t="s">
        <v>75</v>
      </c>
      <c r="C1367" s="14" t="s">
        <v>359</v>
      </c>
      <c r="D1367" s="14" t="s">
        <v>360</v>
      </c>
      <c r="E1367" s="14" t="s">
        <v>344</v>
      </c>
      <c r="F1367" s="14" t="s">
        <v>343</v>
      </c>
      <c r="G1367" s="14" t="s">
        <v>343</v>
      </c>
      <c r="H1367" s="14" t="s">
        <v>343</v>
      </c>
      <c r="I1367" s="14">
        <v>89</v>
      </c>
      <c r="J1367" s="14">
        <v>95</v>
      </c>
      <c r="K1367" s="14">
        <v>86</v>
      </c>
      <c r="L1367" s="14">
        <v>84</v>
      </c>
      <c r="M1367" s="14">
        <v>98</v>
      </c>
      <c r="N1367" s="14">
        <v>97</v>
      </c>
      <c r="O1367" s="14">
        <v>99</v>
      </c>
      <c r="P1367" s="14">
        <v>98</v>
      </c>
      <c r="Q1367" s="14">
        <v>105</v>
      </c>
      <c r="R1367" s="14">
        <v>118</v>
      </c>
      <c r="S1367" s="14">
        <v>105</v>
      </c>
      <c r="T1367" s="14">
        <v>104</v>
      </c>
      <c r="U1367" s="14">
        <v>105</v>
      </c>
      <c r="V1367" s="14">
        <v>112</v>
      </c>
      <c r="W1367" s="14">
        <v>110</v>
      </c>
      <c r="X1367" s="14">
        <v>94</v>
      </c>
    </row>
    <row r="1368" spans="1:24" x14ac:dyDescent="0.3">
      <c r="A1368" s="14" t="s">
        <v>418</v>
      </c>
      <c r="B1368" s="14" t="s">
        <v>75</v>
      </c>
      <c r="C1368" s="14" t="s">
        <v>361</v>
      </c>
      <c r="D1368" s="14" t="s">
        <v>362</v>
      </c>
      <c r="E1368" s="14" t="s">
        <v>342</v>
      </c>
      <c r="F1368" s="14" t="s">
        <v>343</v>
      </c>
      <c r="G1368" s="14" t="s">
        <v>343</v>
      </c>
      <c r="H1368" s="14" t="s">
        <v>343</v>
      </c>
      <c r="I1368" s="14">
        <v>0.98</v>
      </c>
      <c r="J1368" s="14">
        <v>0.98</v>
      </c>
      <c r="K1368" s="14">
        <v>0.98</v>
      </c>
      <c r="L1368" s="14">
        <v>0.98</v>
      </c>
      <c r="M1368" s="14">
        <v>0.97</v>
      </c>
      <c r="N1368" s="14">
        <v>0.97</v>
      </c>
      <c r="O1368" s="14">
        <v>0.97</v>
      </c>
      <c r="P1368" s="14">
        <v>0.97</v>
      </c>
      <c r="Q1368" s="14">
        <v>0.97</v>
      </c>
      <c r="R1368" s="14">
        <v>0.98</v>
      </c>
      <c r="S1368" s="14">
        <v>0.98</v>
      </c>
      <c r="T1368" s="14">
        <v>0.97</v>
      </c>
      <c r="U1368" s="14">
        <v>0.98</v>
      </c>
      <c r="V1368" s="14">
        <v>0.98</v>
      </c>
      <c r="W1368" s="14">
        <v>0.97</v>
      </c>
      <c r="X1368" s="14">
        <v>0.97</v>
      </c>
    </row>
    <row r="1369" spans="1:24" hidden="1" x14ac:dyDescent="0.3">
      <c r="A1369" s="14" t="s">
        <v>418</v>
      </c>
      <c r="B1369" s="14" t="s">
        <v>75</v>
      </c>
      <c r="C1369" s="14" t="s">
        <v>361</v>
      </c>
      <c r="D1369" s="14" t="s">
        <v>362</v>
      </c>
      <c r="E1369" s="14" t="s">
        <v>344</v>
      </c>
      <c r="F1369" s="14" t="s">
        <v>343</v>
      </c>
      <c r="G1369" s="14" t="s">
        <v>343</v>
      </c>
      <c r="H1369" s="14" t="s">
        <v>343</v>
      </c>
      <c r="I1369" s="14">
        <v>1</v>
      </c>
      <c r="J1369" s="14">
        <v>1</v>
      </c>
      <c r="K1369" s="14">
        <v>1</v>
      </c>
      <c r="L1369" s="14">
        <v>1</v>
      </c>
      <c r="M1369" s="14">
        <v>66</v>
      </c>
      <c r="N1369" s="14">
        <v>66</v>
      </c>
      <c r="O1369" s="14">
        <v>65</v>
      </c>
      <c r="P1369" s="14">
        <v>62</v>
      </c>
      <c r="Q1369" s="14">
        <v>62</v>
      </c>
      <c r="R1369" s="14">
        <v>64</v>
      </c>
      <c r="S1369" s="14">
        <v>62</v>
      </c>
      <c r="T1369" s="14">
        <v>79</v>
      </c>
      <c r="U1369" s="14">
        <v>63</v>
      </c>
      <c r="V1369" s="14">
        <v>60</v>
      </c>
      <c r="W1369" s="14">
        <v>66</v>
      </c>
      <c r="X1369" s="14">
        <v>64</v>
      </c>
    </row>
    <row r="1370" spans="1:24" hidden="1" x14ac:dyDescent="0.3">
      <c r="A1370" s="14" t="s">
        <v>418</v>
      </c>
      <c r="B1370" s="14" t="s">
        <v>75</v>
      </c>
      <c r="C1370" s="14" t="s">
        <v>363</v>
      </c>
      <c r="D1370" s="14" t="s">
        <v>364</v>
      </c>
      <c r="E1370" s="14" t="s">
        <v>342</v>
      </c>
      <c r="F1370" s="14" t="s">
        <v>343</v>
      </c>
      <c r="G1370" s="14" t="s">
        <v>343</v>
      </c>
      <c r="H1370" s="14" t="s">
        <v>343</v>
      </c>
      <c r="U1370" s="14">
        <v>1.05</v>
      </c>
      <c r="V1370" s="14">
        <v>1.05</v>
      </c>
      <c r="W1370" s="14">
        <v>1.04</v>
      </c>
      <c r="X1370" s="14">
        <v>1.04</v>
      </c>
    </row>
    <row r="1371" spans="1:24" hidden="1" x14ac:dyDescent="0.3">
      <c r="A1371" s="14" t="s">
        <v>418</v>
      </c>
      <c r="B1371" s="14" t="s">
        <v>75</v>
      </c>
      <c r="C1371" s="14" t="s">
        <v>363</v>
      </c>
      <c r="D1371" s="14" t="s">
        <v>364</v>
      </c>
      <c r="E1371" s="14" t="s">
        <v>344</v>
      </c>
      <c r="F1371" s="14" t="s">
        <v>343</v>
      </c>
      <c r="G1371" s="14" t="s">
        <v>343</v>
      </c>
      <c r="H1371" s="14" t="s">
        <v>343</v>
      </c>
      <c r="U1371" s="14">
        <v>71</v>
      </c>
      <c r="V1371" s="14">
        <v>73</v>
      </c>
      <c r="W1371" s="14">
        <v>73</v>
      </c>
      <c r="X1371" s="14">
        <v>70</v>
      </c>
    </row>
    <row r="1372" spans="1:24" hidden="1" x14ac:dyDescent="0.3">
      <c r="A1372" s="14" t="s">
        <v>418</v>
      </c>
      <c r="B1372" s="14" t="s">
        <v>75</v>
      </c>
      <c r="C1372" s="14" t="s">
        <v>365</v>
      </c>
      <c r="D1372" s="14" t="s">
        <v>366</v>
      </c>
      <c r="E1372" s="14" t="s">
        <v>342</v>
      </c>
      <c r="F1372" s="14" t="s">
        <v>343</v>
      </c>
      <c r="G1372" s="14" t="s">
        <v>343</v>
      </c>
      <c r="H1372" s="14" t="s">
        <v>343</v>
      </c>
      <c r="U1372" s="14">
        <v>0.94</v>
      </c>
      <c r="V1372" s="14">
        <v>0.94</v>
      </c>
      <c r="W1372" s="14">
        <v>0.94</v>
      </c>
      <c r="X1372" s="14">
        <v>0.94</v>
      </c>
    </row>
    <row r="1373" spans="1:24" hidden="1" x14ac:dyDescent="0.3">
      <c r="A1373" s="14" t="s">
        <v>418</v>
      </c>
      <c r="B1373" s="14" t="s">
        <v>75</v>
      </c>
      <c r="C1373" s="14" t="s">
        <v>365</v>
      </c>
      <c r="D1373" s="14" t="s">
        <v>366</v>
      </c>
      <c r="E1373" s="14" t="s">
        <v>344</v>
      </c>
      <c r="F1373" s="14" t="s">
        <v>343</v>
      </c>
      <c r="G1373" s="14" t="s">
        <v>343</v>
      </c>
      <c r="H1373" s="14" t="s">
        <v>343</v>
      </c>
      <c r="U1373" s="14">
        <v>1</v>
      </c>
      <c r="V1373" s="14">
        <v>1</v>
      </c>
      <c r="W1373" s="14">
        <v>1</v>
      </c>
      <c r="X1373" s="14">
        <v>1</v>
      </c>
    </row>
    <row r="1374" spans="1:24" hidden="1" x14ac:dyDescent="0.3">
      <c r="A1374" s="14" t="s">
        <v>418</v>
      </c>
      <c r="B1374" s="14" t="s">
        <v>75</v>
      </c>
      <c r="C1374" s="14" t="s">
        <v>367</v>
      </c>
      <c r="D1374" s="14" t="s">
        <v>368</v>
      </c>
      <c r="E1374" s="14" t="s">
        <v>342</v>
      </c>
      <c r="F1374" s="14" t="s">
        <v>343</v>
      </c>
      <c r="G1374" s="14" t="s">
        <v>343</v>
      </c>
      <c r="H1374" s="14" t="s">
        <v>343</v>
      </c>
      <c r="I1374" s="14">
        <v>0.69</v>
      </c>
      <c r="J1374" s="14">
        <v>0.7</v>
      </c>
      <c r="K1374" s="14">
        <v>0.71</v>
      </c>
      <c r="L1374" s="14">
        <v>0.72</v>
      </c>
      <c r="M1374" s="14">
        <v>0.72</v>
      </c>
      <c r="N1374" s="14">
        <v>0.73</v>
      </c>
      <c r="O1374" s="14">
        <v>0.72</v>
      </c>
      <c r="P1374" s="14">
        <v>0.72</v>
      </c>
      <c r="Q1374" s="14">
        <v>0.72</v>
      </c>
      <c r="R1374" s="14">
        <v>0.73</v>
      </c>
      <c r="S1374" s="14">
        <v>0.74</v>
      </c>
      <c r="T1374" s="14">
        <v>0.73</v>
      </c>
      <c r="U1374" s="14">
        <v>0.75</v>
      </c>
      <c r="V1374" s="14">
        <v>0.78</v>
      </c>
      <c r="W1374" s="14">
        <v>0.79</v>
      </c>
      <c r="X1374" s="14">
        <v>0.8</v>
      </c>
    </row>
    <row r="1375" spans="1:24" hidden="1" x14ac:dyDescent="0.3">
      <c r="A1375" s="14" t="s">
        <v>418</v>
      </c>
      <c r="B1375" s="14" t="s">
        <v>75</v>
      </c>
      <c r="C1375" s="14" t="s">
        <v>367</v>
      </c>
      <c r="D1375" s="14" t="s">
        <v>368</v>
      </c>
      <c r="E1375" s="14" t="s">
        <v>344</v>
      </c>
      <c r="F1375" s="14" t="s">
        <v>343</v>
      </c>
      <c r="G1375" s="14" t="s">
        <v>343</v>
      </c>
      <c r="H1375" s="14" t="s">
        <v>343</v>
      </c>
      <c r="I1375" s="14">
        <v>30</v>
      </c>
      <c r="J1375" s="14">
        <v>28</v>
      </c>
      <c r="K1375" s="14">
        <v>32</v>
      </c>
      <c r="L1375" s="14">
        <v>27</v>
      </c>
      <c r="M1375" s="14">
        <v>28</v>
      </c>
      <c r="N1375" s="14">
        <v>25</v>
      </c>
      <c r="O1375" s="14">
        <v>29</v>
      </c>
      <c r="P1375" s="14">
        <v>31</v>
      </c>
      <c r="Q1375" s="14">
        <v>48</v>
      </c>
      <c r="R1375" s="14">
        <v>38</v>
      </c>
      <c r="S1375" s="14">
        <v>32</v>
      </c>
      <c r="T1375" s="14">
        <v>41</v>
      </c>
      <c r="U1375" s="14">
        <v>22</v>
      </c>
      <c r="V1375" s="14">
        <v>13</v>
      </c>
      <c r="W1375" s="14">
        <v>15</v>
      </c>
      <c r="X1375" s="14">
        <v>12</v>
      </c>
    </row>
    <row r="1376" spans="1:24" hidden="1" x14ac:dyDescent="0.3">
      <c r="A1376" s="14" t="s">
        <v>418</v>
      </c>
      <c r="B1376" s="14" t="s">
        <v>75</v>
      </c>
      <c r="C1376" s="14" t="s">
        <v>369</v>
      </c>
      <c r="D1376" s="14" t="s">
        <v>370</v>
      </c>
      <c r="E1376" s="14" t="s">
        <v>342</v>
      </c>
      <c r="F1376" s="14" t="s">
        <v>343</v>
      </c>
      <c r="G1376" s="14" t="s">
        <v>343</v>
      </c>
      <c r="H1376" s="14" t="s">
        <v>343</v>
      </c>
      <c r="I1376" s="14">
        <v>0.28000000000000003</v>
      </c>
      <c r="J1376" s="14">
        <v>0.28000000000000003</v>
      </c>
      <c r="K1376" s="14">
        <v>0.28000000000000003</v>
      </c>
      <c r="L1376" s="14">
        <v>0.28000000000000003</v>
      </c>
      <c r="M1376" s="14">
        <v>0.33</v>
      </c>
      <c r="N1376" s="14">
        <v>0.34</v>
      </c>
      <c r="O1376" s="14">
        <v>0.32</v>
      </c>
      <c r="P1376" s="14">
        <v>0.33</v>
      </c>
      <c r="Q1376" s="14">
        <v>0.28000000000000003</v>
      </c>
      <c r="R1376" s="14">
        <v>0.36</v>
      </c>
      <c r="S1376" s="14">
        <v>0.36</v>
      </c>
      <c r="T1376" s="14">
        <v>0.31</v>
      </c>
      <c r="U1376" s="14">
        <v>0.41</v>
      </c>
      <c r="V1376" s="14">
        <v>0.55000000000000004</v>
      </c>
      <c r="W1376" s="14">
        <v>0.55000000000000004</v>
      </c>
      <c r="X1376" s="14">
        <v>0.56000000000000005</v>
      </c>
    </row>
    <row r="1377" spans="1:24" hidden="1" x14ac:dyDescent="0.3">
      <c r="A1377" s="14" t="s">
        <v>418</v>
      </c>
      <c r="B1377" s="14" t="s">
        <v>75</v>
      </c>
      <c r="C1377" s="14" t="s">
        <v>369</v>
      </c>
      <c r="D1377" s="14" t="s">
        <v>370</v>
      </c>
      <c r="E1377" s="14" t="s">
        <v>344</v>
      </c>
      <c r="F1377" s="14" t="s">
        <v>343</v>
      </c>
      <c r="G1377" s="14" t="s">
        <v>343</v>
      </c>
      <c r="H1377" s="14" t="s">
        <v>343</v>
      </c>
      <c r="I1377" s="14">
        <v>15</v>
      </c>
      <c r="J1377" s="14">
        <v>16</v>
      </c>
      <c r="K1377" s="14">
        <v>20</v>
      </c>
      <c r="L1377" s="14">
        <v>20</v>
      </c>
      <c r="M1377" s="14">
        <v>14</v>
      </c>
      <c r="N1377" s="14">
        <v>14</v>
      </c>
      <c r="O1377" s="14">
        <v>21</v>
      </c>
      <c r="P1377" s="14">
        <v>21</v>
      </c>
      <c r="Q1377" s="14">
        <v>32</v>
      </c>
      <c r="R1377" s="14">
        <v>20</v>
      </c>
      <c r="S1377" s="14">
        <v>20</v>
      </c>
      <c r="T1377" s="14">
        <v>27</v>
      </c>
      <c r="U1377" s="14">
        <v>16</v>
      </c>
      <c r="V1377" s="14">
        <v>6</v>
      </c>
      <c r="W1377" s="14">
        <v>8</v>
      </c>
      <c r="X1377" s="14">
        <v>6</v>
      </c>
    </row>
    <row r="1378" spans="1:24" hidden="1" x14ac:dyDescent="0.3">
      <c r="A1378" s="14" t="s">
        <v>418</v>
      </c>
      <c r="B1378" s="14" t="s">
        <v>75</v>
      </c>
      <c r="C1378" s="14" t="s">
        <v>371</v>
      </c>
      <c r="D1378" s="14" t="s">
        <v>372</v>
      </c>
      <c r="E1378" s="14" t="s">
        <v>342</v>
      </c>
      <c r="F1378" s="14" t="s">
        <v>343</v>
      </c>
      <c r="G1378" s="14" t="s">
        <v>343</v>
      </c>
      <c r="H1378" s="14" t="s">
        <v>343</v>
      </c>
      <c r="U1378" s="14">
        <v>0.09</v>
      </c>
      <c r="V1378" s="14">
        <v>0.09</v>
      </c>
      <c r="W1378" s="14">
        <v>0.09</v>
      </c>
      <c r="X1378" s="14">
        <v>0.09</v>
      </c>
    </row>
    <row r="1379" spans="1:24" hidden="1" x14ac:dyDescent="0.3">
      <c r="A1379" s="14" t="s">
        <v>418</v>
      </c>
      <c r="B1379" s="14" t="s">
        <v>75</v>
      </c>
      <c r="C1379" s="14" t="s">
        <v>371</v>
      </c>
      <c r="D1379" s="14" t="s">
        <v>372</v>
      </c>
      <c r="E1379" s="14" t="s">
        <v>344</v>
      </c>
      <c r="F1379" s="14" t="s">
        <v>343</v>
      </c>
      <c r="G1379" s="14" t="s">
        <v>343</v>
      </c>
      <c r="H1379" s="14" t="s">
        <v>343</v>
      </c>
      <c r="U1379" s="14">
        <v>30</v>
      </c>
      <c r="V1379" s="14">
        <v>32</v>
      </c>
      <c r="W1379" s="14">
        <v>36</v>
      </c>
      <c r="X1379" s="14">
        <v>36</v>
      </c>
    </row>
    <row r="1380" spans="1:24" hidden="1" x14ac:dyDescent="0.3">
      <c r="A1380" s="14" t="s">
        <v>418</v>
      </c>
      <c r="B1380" s="14" t="s">
        <v>75</v>
      </c>
      <c r="C1380" s="14" t="s">
        <v>373</v>
      </c>
      <c r="D1380" s="14" t="s">
        <v>374</v>
      </c>
      <c r="E1380" s="14" t="s">
        <v>342</v>
      </c>
      <c r="F1380" s="14" t="s">
        <v>343</v>
      </c>
      <c r="G1380" s="14" t="s">
        <v>343</v>
      </c>
      <c r="H1380" s="14" t="s">
        <v>343</v>
      </c>
      <c r="U1380" s="14">
        <v>0.44</v>
      </c>
      <c r="V1380" s="14">
        <v>1</v>
      </c>
      <c r="W1380" s="14">
        <v>1</v>
      </c>
      <c r="X1380" s="14">
        <v>1</v>
      </c>
    </row>
    <row r="1381" spans="1:24" hidden="1" x14ac:dyDescent="0.3">
      <c r="A1381" s="14" t="s">
        <v>418</v>
      </c>
      <c r="B1381" s="14" t="s">
        <v>75</v>
      </c>
      <c r="C1381" s="14" t="s">
        <v>373</v>
      </c>
      <c r="D1381" s="14" t="s">
        <v>374</v>
      </c>
      <c r="E1381" s="14" t="s">
        <v>344</v>
      </c>
      <c r="F1381" s="14" t="s">
        <v>343</v>
      </c>
      <c r="G1381" s="14" t="s">
        <v>343</v>
      </c>
      <c r="H1381" s="14" t="s">
        <v>343</v>
      </c>
      <c r="U1381" s="14">
        <v>25</v>
      </c>
      <c r="V1381" s="14">
        <v>1</v>
      </c>
      <c r="W1381" s="14">
        <v>1</v>
      </c>
      <c r="X1381" s="14">
        <v>1</v>
      </c>
    </row>
    <row r="1382" spans="1:24" hidden="1" x14ac:dyDescent="0.3">
      <c r="A1382" s="14" t="s">
        <v>418</v>
      </c>
      <c r="B1382" s="14" t="s">
        <v>75</v>
      </c>
      <c r="C1382" s="14" t="s">
        <v>375</v>
      </c>
      <c r="D1382" s="14" t="s">
        <v>376</v>
      </c>
      <c r="E1382" s="14" t="s">
        <v>342</v>
      </c>
      <c r="F1382" s="14" t="s">
        <v>343</v>
      </c>
      <c r="G1382" s="14" t="s">
        <v>343</v>
      </c>
      <c r="H1382" s="14" t="s">
        <v>343</v>
      </c>
      <c r="U1382" s="14">
        <v>0.84</v>
      </c>
      <c r="V1382" s="14">
        <v>0.84</v>
      </c>
      <c r="W1382" s="14">
        <v>0.84</v>
      </c>
      <c r="X1382" s="14">
        <v>0.9</v>
      </c>
    </row>
    <row r="1383" spans="1:24" hidden="1" x14ac:dyDescent="0.3">
      <c r="A1383" s="14" t="s">
        <v>418</v>
      </c>
      <c r="B1383" s="14" t="s">
        <v>75</v>
      </c>
      <c r="C1383" s="14" t="s">
        <v>375</v>
      </c>
      <c r="D1383" s="14" t="s">
        <v>376</v>
      </c>
      <c r="E1383" s="14" t="s">
        <v>344</v>
      </c>
      <c r="F1383" s="14" t="s">
        <v>343</v>
      </c>
      <c r="G1383" s="14" t="s">
        <v>343</v>
      </c>
      <c r="H1383" s="14" t="s">
        <v>343</v>
      </c>
      <c r="U1383" s="14">
        <v>8</v>
      </c>
      <c r="V1383" s="14">
        <v>10</v>
      </c>
      <c r="W1383" s="14">
        <v>11</v>
      </c>
      <c r="X1383" s="14">
        <v>7</v>
      </c>
    </row>
    <row r="1384" spans="1:24" hidden="1" x14ac:dyDescent="0.3">
      <c r="A1384" s="14" t="s">
        <v>419</v>
      </c>
      <c r="B1384" s="14" t="s">
        <v>78</v>
      </c>
      <c r="C1384" s="14" t="s">
        <v>340</v>
      </c>
      <c r="D1384" s="14" t="s">
        <v>341</v>
      </c>
      <c r="E1384" s="14" t="s">
        <v>342</v>
      </c>
      <c r="F1384" s="14" t="s">
        <v>343</v>
      </c>
      <c r="G1384" s="14" t="s">
        <v>343</v>
      </c>
      <c r="H1384" s="14" t="s">
        <v>343</v>
      </c>
      <c r="J1384" s="14">
        <v>0.99</v>
      </c>
      <c r="K1384" s="14">
        <v>1</v>
      </c>
      <c r="L1384" s="14">
        <v>1</v>
      </c>
      <c r="M1384" s="14">
        <v>1</v>
      </c>
      <c r="N1384" s="14">
        <v>1</v>
      </c>
      <c r="O1384" s="14">
        <v>1</v>
      </c>
      <c r="P1384" s="14">
        <v>1</v>
      </c>
      <c r="Q1384" s="14">
        <v>1</v>
      </c>
      <c r="R1384" s="14">
        <v>1</v>
      </c>
      <c r="S1384" s="14">
        <v>1</v>
      </c>
      <c r="T1384" s="14">
        <v>1</v>
      </c>
      <c r="U1384" s="14">
        <v>1</v>
      </c>
      <c r="V1384" s="14">
        <v>1</v>
      </c>
      <c r="W1384" s="14">
        <v>1</v>
      </c>
    </row>
    <row r="1385" spans="1:24" hidden="1" x14ac:dyDescent="0.3">
      <c r="A1385" s="14" t="s">
        <v>419</v>
      </c>
      <c r="B1385" s="14" t="s">
        <v>78</v>
      </c>
      <c r="C1385" s="14" t="s">
        <v>340</v>
      </c>
      <c r="D1385" s="14" t="s">
        <v>341</v>
      </c>
      <c r="E1385" s="14" t="s">
        <v>344</v>
      </c>
      <c r="F1385" s="14" t="s">
        <v>343</v>
      </c>
      <c r="G1385" s="14" t="s">
        <v>343</v>
      </c>
      <c r="H1385" s="14" t="s">
        <v>343</v>
      </c>
      <c r="J1385" s="14">
        <v>55</v>
      </c>
      <c r="K1385" s="14">
        <v>25</v>
      </c>
      <c r="L1385" s="14">
        <v>1</v>
      </c>
      <c r="M1385" s="14">
        <v>1</v>
      </c>
      <c r="N1385" s="14">
        <v>23</v>
      </c>
      <c r="O1385" s="14">
        <v>24</v>
      </c>
      <c r="P1385" s="14">
        <v>30</v>
      </c>
      <c r="Q1385" s="14">
        <v>26</v>
      </c>
      <c r="R1385" s="14">
        <v>26</v>
      </c>
      <c r="S1385" s="14">
        <v>1</v>
      </c>
      <c r="T1385" s="14">
        <v>1</v>
      </c>
      <c r="U1385" s="14">
        <v>40</v>
      </c>
      <c r="V1385" s="14">
        <v>44</v>
      </c>
      <c r="W1385" s="14">
        <v>45</v>
      </c>
    </row>
    <row r="1386" spans="1:24" hidden="1" x14ac:dyDescent="0.3">
      <c r="A1386" s="14" t="s">
        <v>419</v>
      </c>
      <c r="B1386" s="14" t="s">
        <v>78</v>
      </c>
      <c r="C1386" s="14" t="s">
        <v>347</v>
      </c>
      <c r="D1386" s="14" t="s">
        <v>348</v>
      </c>
      <c r="E1386" s="14" t="s">
        <v>342</v>
      </c>
      <c r="F1386" s="14" t="s">
        <v>343</v>
      </c>
      <c r="G1386" s="14" t="s">
        <v>343</v>
      </c>
      <c r="H1386" s="14" t="s">
        <v>343</v>
      </c>
      <c r="U1386" s="14">
        <v>0.64</v>
      </c>
      <c r="V1386" s="14">
        <v>0.62</v>
      </c>
      <c r="W1386" s="14">
        <v>0.65</v>
      </c>
    </row>
    <row r="1387" spans="1:24" hidden="1" x14ac:dyDescent="0.3">
      <c r="A1387" s="14" t="s">
        <v>419</v>
      </c>
      <c r="B1387" s="14" t="s">
        <v>78</v>
      </c>
      <c r="C1387" s="14" t="s">
        <v>347</v>
      </c>
      <c r="D1387" s="14" t="s">
        <v>348</v>
      </c>
      <c r="E1387" s="14" t="s">
        <v>344</v>
      </c>
      <c r="F1387" s="14" t="s">
        <v>343</v>
      </c>
      <c r="G1387" s="14" t="s">
        <v>343</v>
      </c>
      <c r="H1387" s="14" t="s">
        <v>343</v>
      </c>
      <c r="U1387" s="14">
        <v>116</v>
      </c>
      <c r="V1387" s="14">
        <v>124</v>
      </c>
      <c r="W1387" s="14">
        <v>119</v>
      </c>
    </row>
    <row r="1388" spans="1:24" hidden="1" x14ac:dyDescent="0.3">
      <c r="A1388" s="14" t="s">
        <v>419</v>
      </c>
      <c r="B1388" s="14" t="s">
        <v>78</v>
      </c>
      <c r="C1388" s="14" t="s">
        <v>349</v>
      </c>
      <c r="D1388" s="14" t="s">
        <v>350</v>
      </c>
      <c r="E1388" s="14" t="s">
        <v>342</v>
      </c>
      <c r="F1388" s="14" t="s">
        <v>343</v>
      </c>
      <c r="G1388" s="14" t="s">
        <v>343</v>
      </c>
      <c r="H1388" s="14" t="s">
        <v>343</v>
      </c>
      <c r="U1388" s="14">
        <v>0.62</v>
      </c>
      <c r="V1388" s="14">
        <v>0.62</v>
      </c>
      <c r="W1388" s="14">
        <v>0.62</v>
      </c>
    </row>
    <row r="1389" spans="1:24" hidden="1" x14ac:dyDescent="0.3">
      <c r="A1389" s="14" t="s">
        <v>419</v>
      </c>
      <c r="B1389" s="14" t="s">
        <v>78</v>
      </c>
      <c r="C1389" s="14" t="s">
        <v>349</v>
      </c>
      <c r="D1389" s="14" t="s">
        <v>350</v>
      </c>
      <c r="E1389" s="14" t="s">
        <v>344</v>
      </c>
      <c r="F1389" s="14" t="s">
        <v>343</v>
      </c>
      <c r="G1389" s="14" t="s">
        <v>343</v>
      </c>
      <c r="H1389" s="14" t="s">
        <v>343</v>
      </c>
      <c r="U1389" s="14">
        <v>37</v>
      </c>
      <c r="V1389" s="14">
        <v>38</v>
      </c>
      <c r="W1389" s="14">
        <v>43</v>
      </c>
    </row>
    <row r="1390" spans="1:24" hidden="1" x14ac:dyDescent="0.3">
      <c r="A1390" s="14" t="s">
        <v>419</v>
      </c>
      <c r="B1390" s="14" t="s">
        <v>78</v>
      </c>
      <c r="C1390" s="14" t="s">
        <v>351</v>
      </c>
      <c r="D1390" s="14" t="s">
        <v>352</v>
      </c>
      <c r="E1390" s="14" t="s">
        <v>342</v>
      </c>
      <c r="F1390" s="14" t="s">
        <v>343</v>
      </c>
      <c r="G1390" s="14" t="s">
        <v>343</v>
      </c>
      <c r="H1390" s="14" t="s">
        <v>343</v>
      </c>
      <c r="U1390" s="14">
        <v>0.62</v>
      </c>
      <c r="V1390" s="14">
        <v>0.62</v>
      </c>
      <c r="W1390" s="14">
        <v>0.62</v>
      </c>
    </row>
    <row r="1391" spans="1:24" hidden="1" x14ac:dyDescent="0.3">
      <c r="A1391" s="14" t="s">
        <v>419</v>
      </c>
      <c r="B1391" s="14" t="s">
        <v>78</v>
      </c>
      <c r="C1391" s="14" t="s">
        <v>351</v>
      </c>
      <c r="D1391" s="14" t="s">
        <v>352</v>
      </c>
      <c r="E1391" s="14" t="s">
        <v>344</v>
      </c>
      <c r="F1391" s="14" t="s">
        <v>343</v>
      </c>
      <c r="G1391" s="14" t="s">
        <v>343</v>
      </c>
      <c r="H1391" s="14" t="s">
        <v>343</v>
      </c>
      <c r="U1391" s="14">
        <v>114</v>
      </c>
      <c r="V1391" s="14">
        <v>117</v>
      </c>
      <c r="W1391" s="14">
        <v>114</v>
      </c>
    </row>
    <row r="1392" spans="1:24" hidden="1" x14ac:dyDescent="0.3">
      <c r="A1392" s="14" t="s">
        <v>419</v>
      </c>
      <c r="B1392" s="14" t="s">
        <v>78</v>
      </c>
      <c r="C1392" s="14" t="s">
        <v>353</v>
      </c>
      <c r="D1392" s="14" t="s">
        <v>354</v>
      </c>
      <c r="E1392" s="14" t="s">
        <v>342</v>
      </c>
      <c r="F1392" s="14" t="s">
        <v>343</v>
      </c>
      <c r="G1392" s="14" t="s">
        <v>343</v>
      </c>
      <c r="H1392" s="14" t="s">
        <v>343</v>
      </c>
      <c r="U1392" s="14">
        <v>1</v>
      </c>
      <c r="V1392" s="14">
        <v>1</v>
      </c>
      <c r="W1392" s="14">
        <v>1</v>
      </c>
    </row>
    <row r="1393" spans="1:23" hidden="1" x14ac:dyDescent="0.3">
      <c r="A1393" s="14" t="s">
        <v>419</v>
      </c>
      <c r="B1393" s="14" t="s">
        <v>78</v>
      </c>
      <c r="C1393" s="14" t="s">
        <v>353</v>
      </c>
      <c r="D1393" s="14" t="s">
        <v>354</v>
      </c>
      <c r="E1393" s="14" t="s">
        <v>344</v>
      </c>
      <c r="F1393" s="14" t="s">
        <v>343</v>
      </c>
      <c r="G1393" s="14" t="s">
        <v>343</v>
      </c>
      <c r="H1393" s="14" t="s">
        <v>343</v>
      </c>
      <c r="U1393" s="14">
        <v>1</v>
      </c>
      <c r="V1393" s="14">
        <v>1</v>
      </c>
      <c r="W1393" s="14">
        <v>1</v>
      </c>
    </row>
    <row r="1394" spans="1:23" hidden="1" x14ac:dyDescent="0.3">
      <c r="A1394" s="14" t="s">
        <v>419</v>
      </c>
      <c r="B1394" s="14" t="s">
        <v>78</v>
      </c>
      <c r="C1394" s="14" t="s">
        <v>380</v>
      </c>
      <c r="D1394" s="14" t="s">
        <v>381</v>
      </c>
      <c r="E1394" s="14" t="s">
        <v>342</v>
      </c>
      <c r="F1394" s="14" t="s">
        <v>343</v>
      </c>
      <c r="G1394" s="14" t="s">
        <v>343</v>
      </c>
      <c r="H1394" s="14" t="s">
        <v>343</v>
      </c>
      <c r="U1394" s="14">
        <v>1</v>
      </c>
      <c r="V1394" s="14">
        <v>1</v>
      </c>
      <c r="W1394" s="14">
        <v>1</v>
      </c>
    </row>
    <row r="1395" spans="1:23" hidden="1" x14ac:dyDescent="0.3">
      <c r="A1395" s="14" t="s">
        <v>419</v>
      </c>
      <c r="B1395" s="14" t="s">
        <v>78</v>
      </c>
      <c r="C1395" s="14" t="s">
        <v>380</v>
      </c>
      <c r="D1395" s="14" t="s">
        <v>381</v>
      </c>
      <c r="E1395" s="14" t="s">
        <v>344</v>
      </c>
      <c r="F1395" s="14" t="s">
        <v>343</v>
      </c>
      <c r="G1395" s="14" t="s">
        <v>343</v>
      </c>
      <c r="H1395" s="14" t="s">
        <v>343</v>
      </c>
      <c r="U1395" s="14">
        <v>74</v>
      </c>
      <c r="V1395" s="14">
        <v>95</v>
      </c>
      <c r="W1395" s="14">
        <v>98</v>
      </c>
    </row>
    <row r="1396" spans="1:23" hidden="1" x14ac:dyDescent="0.3">
      <c r="A1396" s="14" t="s">
        <v>419</v>
      </c>
      <c r="B1396" s="14" t="s">
        <v>78</v>
      </c>
      <c r="C1396" s="14" t="s">
        <v>355</v>
      </c>
      <c r="D1396" s="14" t="s">
        <v>356</v>
      </c>
      <c r="E1396" s="14" t="s">
        <v>342</v>
      </c>
      <c r="F1396" s="14" t="s">
        <v>343</v>
      </c>
      <c r="G1396" s="14" t="s">
        <v>343</v>
      </c>
      <c r="H1396" s="14" t="s">
        <v>343</v>
      </c>
      <c r="U1396" s="14">
        <v>1</v>
      </c>
      <c r="V1396" s="14">
        <v>1</v>
      </c>
      <c r="W1396" s="14">
        <v>1</v>
      </c>
    </row>
    <row r="1397" spans="1:23" hidden="1" x14ac:dyDescent="0.3">
      <c r="A1397" s="14" t="s">
        <v>419</v>
      </c>
      <c r="B1397" s="14" t="s">
        <v>78</v>
      </c>
      <c r="C1397" s="14" t="s">
        <v>355</v>
      </c>
      <c r="D1397" s="14" t="s">
        <v>356</v>
      </c>
      <c r="E1397" s="14" t="s">
        <v>344</v>
      </c>
      <c r="F1397" s="14" t="s">
        <v>343</v>
      </c>
      <c r="G1397" s="14" t="s">
        <v>343</v>
      </c>
      <c r="H1397" s="14" t="s">
        <v>343</v>
      </c>
      <c r="U1397" s="14">
        <v>1</v>
      </c>
      <c r="V1397" s="14">
        <v>1</v>
      </c>
      <c r="W1397" s="14">
        <v>1</v>
      </c>
    </row>
    <row r="1398" spans="1:23" hidden="1" x14ac:dyDescent="0.3">
      <c r="A1398" s="14" t="s">
        <v>419</v>
      </c>
      <c r="B1398" s="14" t="s">
        <v>78</v>
      </c>
      <c r="C1398" s="14" t="s">
        <v>357</v>
      </c>
      <c r="D1398" s="14" t="s">
        <v>358</v>
      </c>
      <c r="E1398" s="14" t="s">
        <v>342</v>
      </c>
      <c r="F1398" s="14" t="s">
        <v>343</v>
      </c>
      <c r="G1398" s="14" t="s">
        <v>343</v>
      </c>
      <c r="H1398" s="14" t="s">
        <v>343</v>
      </c>
      <c r="U1398" s="14">
        <v>1</v>
      </c>
      <c r="V1398" s="14">
        <v>1</v>
      </c>
      <c r="W1398" s="14">
        <v>1</v>
      </c>
    </row>
    <row r="1399" spans="1:23" hidden="1" x14ac:dyDescent="0.3">
      <c r="A1399" s="14" t="s">
        <v>419</v>
      </c>
      <c r="B1399" s="14" t="s">
        <v>78</v>
      </c>
      <c r="C1399" s="14" t="s">
        <v>357</v>
      </c>
      <c r="D1399" s="14" t="s">
        <v>358</v>
      </c>
      <c r="E1399" s="14" t="s">
        <v>344</v>
      </c>
      <c r="F1399" s="14" t="s">
        <v>343</v>
      </c>
      <c r="G1399" s="14" t="s">
        <v>343</v>
      </c>
      <c r="H1399" s="14" t="s">
        <v>343</v>
      </c>
      <c r="U1399" s="14">
        <v>1</v>
      </c>
      <c r="V1399" s="14">
        <v>1</v>
      </c>
      <c r="W1399" s="14">
        <v>1</v>
      </c>
    </row>
    <row r="1400" spans="1:23" hidden="1" x14ac:dyDescent="0.3">
      <c r="A1400" s="14" t="s">
        <v>419</v>
      </c>
      <c r="B1400" s="14" t="s">
        <v>78</v>
      </c>
      <c r="C1400" s="14" t="s">
        <v>359</v>
      </c>
      <c r="D1400" s="14" t="s">
        <v>360</v>
      </c>
      <c r="E1400" s="14" t="s">
        <v>342</v>
      </c>
      <c r="F1400" s="14" t="s">
        <v>343</v>
      </c>
      <c r="G1400" s="14" t="s">
        <v>343</v>
      </c>
      <c r="H1400" s="14" t="s">
        <v>343</v>
      </c>
      <c r="J1400" s="14">
        <v>0.68</v>
      </c>
      <c r="K1400" s="14">
        <v>0.61</v>
      </c>
      <c r="L1400" s="14">
        <v>0.6</v>
      </c>
      <c r="M1400" s="14">
        <v>0.61</v>
      </c>
      <c r="N1400" s="14">
        <v>0.67</v>
      </c>
      <c r="O1400" s="14">
        <v>0.67</v>
      </c>
      <c r="P1400" s="14">
        <v>0.67</v>
      </c>
      <c r="Q1400" s="14">
        <v>0.57999999999999996</v>
      </c>
      <c r="R1400" s="14">
        <v>0.57999999999999996</v>
      </c>
      <c r="S1400" s="14">
        <v>0.57999999999999996</v>
      </c>
      <c r="T1400" s="14">
        <v>0.63</v>
      </c>
      <c r="U1400" s="14">
        <v>0.63</v>
      </c>
      <c r="V1400" s="14">
        <v>0.62</v>
      </c>
      <c r="W1400" s="14">
        <v>0.63</v>
      </c>
    </row>
    <row r="1401" spans="1:23" hidden="1" x14ac:dyDescent="0.3">
      <c r="A1401" s="14" t="s">
        <v>419</v>
      </c>
      <c r="B1401" s="14" t="s">
        <v>78</v>
      </c>
      <c r="C1401" s="14" t="s">
        <v>359</v>
      </c>
      <c r="D1401" s="14" t="s">
        <v>360</v>
      </c>
      <c r="E1401" s="14" t="s">
        <v>344</v>
      </c>
      <c r="F1401" s="14" t="s">
        <v>343</v>
      </c>
      <c r="G1401" s="14" t="s">
        <v>343</v>
      </c>
      <c r="H1401" s="14" t="s">
        <v>343</v>
      </c>
      <c r="J1401" s="14">
        <v>39</v>
      </c>
      <c r="K1401" s="14">
        <v>77</v>
      </c>
      <c r="L1401" s="14">
        <v>88</v>
      </c>
      <c r="M1401" s="14">
        <v>84</v>
      </c>
      <c r="N1401" s="14">
        <v>57</v>
      </c>
      <c r="O1401" s="14">
        <v>64</v>
      </c>
      <c r="P1401" s="14">
        <v>65</v>
      </c>
      <c r="Q1401" s="14">
        <v>113</v>
      </c>
      <c r="R1401" s="14">
        <v>119</v>
      </c>
      <c r="S1401" s="14">
        <v>114</v>
      </c>
      <c r="T1401" s="14">
        <v>99</v>
      </c>
      <c r="U1401" s="14">
        <v>97</v>
      </c>
      <c r="V1401" s="14">
        <v>107</v>
      </c>
      <c r="W1401" s="14">
        <v>108</v>
      </c>
    </row>
    <row r="1402" spans="1:23" x14ac:dyDescent="0.3">
      <c r="A1402" s="14" t="s">
        <v>419</v>
      </c>
      <c r="B1402" s="14" t="s">
        <v>78</v>
      </c>
      <c r="C1402" s="14" t="s">
        <v>361</v>
      </c>
      <c r="D1402" s="14" t="s">
        <v>362</v>
      </c>
      <c r="E1402" s="14" t="s">
        <v>342</v>
      </c>
      <c r="F1402" s="14" t="s">
        <v>343</v>
      </c>
      <c r="G1402" s="14" t="s">
        <v>343</v>
      </c>
      <c r="H1402" s="14" t="s">
        <v>343</v>
      </c>
      <c r="J1402" s="14">
        <v>0.97</v>
      </c>
      <c r="K1402" s="14">
        <v>0.97</v>
      </c>
      <c r="L1402" s="14">
        <v>0.97</v>
      </c>
      <c r="M1402" s="14">
        <v>0.97</v>
      </c>
      <c r="N1402" s="14">
        <v>0.97</v>
      </c>
      <c r="O1402" s="14">
        <v>0.97</v>
      </c>
      <c r="P1402" s="14">
        <v>0.97</v>
      </c>
      <c r="Q1402" s="14">
        <v>0.98</v>
      </c>
      <c r="R1402" s="14">
        <v>0.98</v>
      </c>
      <c r="S1402" s="14">
        <v>0.98</v>
      </c>
      <c r="T1402" s="14">
        <v>0.97</v>
      </c>
      <c r="U1402" s="14">
        <v>0.98</v>
      </c>
      <c r="V1402" s="14">
        <v>0.98</v>
      </c>
      <c r="W1402" s="14">
        <v>0.97</v>
      </c>
    </row>
    <row r="1403" spans="1:23" hidden="1" x14ac:dyDescent="0.3">
      <c r="A1403" s="14" t="s">
        <v>419</v>
      </c>
      <c r="B1403" s="14" t="s">
        <v>78</v>
      </c>
      <c r="C1403" s="14" t="s">
        <v>361</v>
      </c>
      <c r="D1403" s="14" t="s">
        <v>362</v>
      </c>
      <c r="E1403" s="14" t="s">
        <v>344</v>
      </c>
      <c r="F1403" s="14" t="s">
        <v>343</v>
      </c>
      <c r="G1403" s="14" t="s">
        <v>343</v>
      </c>
      <c r="H1403" s="14" t="s">
        <v>343</v>
      </c>
      <c r="J1403" s="14">
        <v>69</v>
      </c>
      <c r="K1403" s="14">
        <v>71</v>
      </c>
      <c r="L1403" s="14">
        <v>74</v>
      </c>
      <c r="M1403" s="14">
        <v>69</v>
      </c>
      <c r="N1403" s="14">
        <v>69</v>
      </c>
      <c r="O1403" s="14">
        <v>66</v>
      </c>
      <c r="P1403" s="14">
        <v>63</v>
      </c>
      <c r="Q1403" s="14">
        <v>37</v>
      </c>
      <c r="R1403" s="14">
        <v>63</v>
      </c>
      <c r="S1403" s="14">
        <v>61</v>
      </c>
      <c r="T1403" s="14">
        <v>103</v>
      </c>
      <c r="U1403" s="14">
        <v>77</v>
      </c>
      <c r="V1403" s="14">
        <v>77</v>
      </c>
      <c r="W1403" s="14">
        <v>68</v>
      </c>
    </row>
    <row r="1404" spans="1:23" hidden="1" x14ac:dyDescent="0.3">
      <c r="A1404" s="14" t="s">
        <v>419</v>
      </c>
      <c r="B1404" s="14" t="s">
        <v>78</v>
      </c>
      <c r="C1404" s="14" t="s">
        <v>363</v>
      </c>
      <c r="D1404" s="14" t="s">
        <v>364</v>
      </c>
      <c r="E1404" s="14" t="s">
        <v>342</v>
      </c>
      <c r="F1404" s="14" t="s">
        <v>343</v>
      </c>
      <c r="G1404" s="14" t="s">
        <v>343</v>
      </c>
      <c r="H1404" s="14" t="s">
        <v>343</v>
      </c>
      <c r="U1404" s="14">
        <v>1.04</v>
      </c>
      <c r="V1404" s="14">
        <v>1.04</v>
      </c>
      <c r="W1404" s="14">
        <v>1.04</v>
      </c>
    </row>
    <row r="1405" spans="1:23" hidden="1" x14ac:dyDescent="0.3">
      <c r="A1405" s="14" t="s">
        <v>419</v>
      </c>
      <c r="B1405" s="14" t="s">
        <v>78</v>
      </c>
      <c r="C1405" s="14" t="s">
        <v>363</v>
      </c>
      <c r="D1405" s="14" t="s">
        <v>364</v>
      </c>
      <c r="E1405" s="14" t="s">
        <v>344</v>
      </c>
      <c r="F1405" s="14" t="s">
        <v>343</v>
      </c>
      <c r="G1405" s="14" t="s">
        <v>343</v>
      </c>
      <c r="H1405" s="14" t="s">
        <v>343</v>
      </c>
      <c r="U1405" s="14">
        <v>85</v>
      </c>
      <c r="V1405" s="14">
        <v>88</v>
      </c>
      <c r="W1405" s="14">
        <v>75</v>
      </c>
    </row>
    <row r="1406" spans="1:23" hidden="1" x14ac:dyDescent="0.3">
      <c r="A1406" s="14" t="s">
        <v>419</v>
      </c>
      <c r="B1406" s="14" t="s">
        <v>78</v>
      </c>
      <c r="C1406" s="14" t="s">
        <v>365</v>
      </c>
      <c r="D1406" s="14" t="s">
        <v>366</v>
      </c>
      <c r="E1406" s="14" t="s">
        <v>342</v>
      </c>
      <c r="F1406" s="14" t="s">
        <v>343</v>
      </c>
      <c r="G1406" s="14" t="s">
        <v>343</v>
      </c>
      <c r="H1406" s="14" t="s">
        <v>343</v>
      </c>
      <c r="U1406" s="14">
        <v>0.94</v>
      </c>
      <c r="V1406" s="14">
        <v>0.94</v>
      </c>
      <c r="W1406" s="14">
        <v>0.94</v>
      </c>
    </row>
    <row r="1407" spans="1:23" hidden="1" x14ac:dyDescent="0.3">
      <c r="A1407" s="14" t="s">
        <v>419</v>
      </c>
      <c r="B1407" s="14" t="s">
        <v>78</v>
      </c>
      <c r="C1407" s="14" t="s">
        <v>365</v>
      </c>
      <c r="D1407" s="14" t="s">
        <v>366</v>
      </c>
      <c r="E1407" s="14" t="s">
        <v>344</v>
      </c>
      <c r="F1407" s="14" t="s">
        <v>343</v>
      </c>
      <c r="G1407" s="14" t="s">
        <v>343</v>
      </c>
      <c r="H1407" s="14" t="s">
        <v>343</v>
      </c>
      <c r="U1407" s="14">
        <v>1</v>
      </c>
      <c r="V1407" s="14">
        <v>1</v>
      </c>
      <c r="W1407" s="14">
        <v>1</v>
      </c>
    </row>
    <row r="1408" spans="1:23" hidden="1" x14ac:dyDescent="0.3">
      <c r="A1408" s="14" t="s">
        <v>419</v>
      </c>
      <c r="B1408" s="14" t="s">
        <v>78</v>
      </c>
      <c r="C1408" s="14" t="s">
        <v>367</v>
      </c>
      <c r="D1408" s="14" t="s">
        <v>368</v>
      </c>
      <c r="E1408" s="14" t="s">
        <v>342</v>
      </c>
      <c r="F1408" s="14" t="s">
        <v>343</v>
      </c>
      <c r="G1408" s="14" t="s">
        <v>343</v>
      </c>
      <c r="H1408" s="14" t="s">
        <v>343</v>
      </c>
      <c r="J1408" s="14">
        <v>0.72</v>
      </c>
      <c r="K1408" s="14">
        <v>0.72</v>
      </c>
      <c r="L1408" s="14">
        <v>0.72</v>
      </c>
      <c r="M1408" s="14">
        <v>0.73</v>
      </c>
      <c r="N1408" s="14">
        <v>0.74</v>
      </c>
      <c r="O1408" s="14">
        <v>0.74</v>
      </c>
      <c r="P1408" s="14">
        <v>0.75</v>
      </c>
      <c r="Q1408" s="14">
        <v>0.73</v>
      </c>
      <c r="R1408" s="14">
        <v>0.74</v>
      </c>
      <c r="S1408" s="14">
        <v>0.74</v>
      </c>
      <c r="T1408" s="14">
        <v>0.74</v>
      </c>
      <c r="U1408" s="14">
        <v>0.75</v>
      </c>
      <c r="V1408" s="14">
        <v>0.75</v>
      </c>
      <c r="W1408" s="14">
        <v>0.75</v>
      </c>
    </row>
    <row r="1409" spans="1:24" hidden="1" x14ac:dyDescent="0.3">
      <c r="A1409" s="14" t="s">
        <v>419</v>
      </c>
      <c r="B1409" s="14" t="s">
        <v>78</v>
      </c>
      <c r="C1409" s="14" t="s">
        <v>367</v>
      </c>
      <c r="D1409" s="14" t="s">
        <v>368</v>
      </c>
      <c r="E1409" s="14" t="s">
        <v>344</v>
      </c>
      <c r="F1409" s="14" t="s">
        <v>343</v>
      </c>
      <c r="G1409" s="14" t="s">
        <v>343</v>
      </c>
      <c r="H1409" s="14" t="s">
        <v>343</v>
      </c>
      <c r="J1409" s="14">
        <v>22</v>
      </c>
      <c r="K1409" s="14">
        <v>25</v>
      </c>
      <c r="L1409" s="14">
        <v>29</v>
      </c>
      <c r="M1409" s="14">
        <v>24</v>
      </c>
      <c r="N1409" s="14">
        <v>20</v>
      </c>
      <c r="O1409" s="14">
        <v>19</v>
      </c>
      <c r="P1409" s="14">
        <v>15</v>
      </c>
      <c r="Q1409" s="14">
        <v>30</v>
      </c>
      <c r="R1409" s="14">
        <v>29</v>
      </c>
      <c r="S1409" s="14">
        <v>27</v>
      </c>
      <c r="T1409" s="14">
        <v>25</v>
      </c>
      <c r="U1409" s="14">
        <v>23</v>
      </c>
      <c r="V1409" s="14">
        <v>31</v>
      </c>
      <c r="W1409" s="14">
        <v>39</v>
      </c>
    </row>
    <row r="1410" spans="1:24" hidden="1" x14ac:dyDescent="0.3">
      <c r="A1410" s="14" t="s">
        <v>419</v>
      </c>
      <c r="B1410" s="14" t="s">
        <v>78</v>
      </c>
      <c r="C1410" s="14" t="s">
        <v>369</v>
      </c>
      <c r="D1410" s="14" t="s">
        <v>370</v>
      </c>
      <c r="E1410" s="14" t="s">
        <v>342</v>
      </c>
      <c r="F1410" s="14" t="s">
        <v>343</v>
      </c>
      <c r="G1410" s="14" t="s">
        <v>343</v>
      </c>
      <c r="H1410" s="14" t="s">
        <v>343</v>
      </c>
      <c r="J1410" s="14">
        <v>0.22</v>
      </c>
      <c r="K1410" s="14">
        <v>0.28999999999999998</v>
      </c>
      <c r="L1410" s="14">
        <v>0.28999999999999998</v>
      </c>
      <c r="M1410" s="14">
        <v>0.32</v>
      </c>
      <c r="N1410" s="14">
        <v>0.32</v>
      </c>
      <c r="O1410" s="14">
        <v>0.33</v>
      </c>
      <c r="P1410" s="14">
        <v>0.37</v>
      </c>
      <c r="Q1410" s="14">
        <v>0.37</v>
      </c>
      <c r="R1410" s="14">
        <v>0.41</v>
      </c>
      <c r="S1410" s="14">
        <v>0.41</v>
      </c>
      <c r="T1410" s="14">
        <v>0.38</v>
      </c>
      <c r="U1410" s="14">
        <v>0.4</v>
      </c>
      <c r="V1410" s="14">
        <v>0.39</v>
      </c>
      <c r="W1410" s="14">
        <v>0.38</v>
      </c>
    </row>
    <row r="1411" spans="1:24" hidden="1" x14ac:dyDescent="0.3">
      <c r="A1411" s="14" t="s">
        <v>419</v>
      </c>
      <c r="B1411" s="14" t="s">
        <v>78</v>
      </c>
      <c r="C1411" s="14" t="s">
        <v>369</v>
      </c>
      <c r="D1411" s="14" t="s">
        <v>370</v>
      </c>
      <c r="E1411" s="14" t="s">
        <v>344</v>
      </c>
      <c r="F1411" s="14" t="s">
        <v>343</v>
      </c>
      <c r="G1411" s="14" t="s">
        <v>343</v>
      </c>
      <c r="H1411" s="14" t="s">
        <v>343</v>
      </c>
      <c r="J1411" s="14">
        <v>23</v>
      </c>
      <c r="K1411" s="14">
        <v>19</v>
      </c>
      <c r="L1411" s="14">
        <v>18</v>
      </c>
      <c r="M1411" s="14">
        <v>18</v>
      </c>
      <c r="N1411" s="14">
        <v>18</v>
      </c>
      <c r="O1411" s="14">
        <v>19</v>
      </c>
      <c r="P1411" s="14">
        <v>13</v>
      </c>
      <c r="Q1411" s="14">
        <v>18</v>
      </c>
      <c r="R1411" s="14">
        <v>12</v>
      </c>
      <c r="S1411" s="14">
        <v>12</v>
      </c>
      <c r="T1411" s="14">
        <v>19</v>
      </c>
      <c r="U1411" s="14">
        <v>18</v>
      </c>
      <c r="V1411" s="14">
        <v>21</v>
      </c>
      <c r="W1411" s="14">
        <v>27</v>
      </c>
    </row>
    <row r="1412" spans="1:24" hidden="1" x14ac:dyDescent="0.3">
      <c r="A1412" s="14" t="s">
        <v>419</v>
      </c>
      <c r="B1412" s="14" t="s">
        <v>78</v>
      </c>
      <c r="C1412" s="14" t="s">
        <v>371</v>
      </c>
      <c r="D1412" s="14" t="s">
        <v>372</v>
      </c>
      <c r="E1412" s="14" t="s">
        <v>342</v>
      </c>
      <c r="F1412" s="14" t="s">
        <v>343</v>
      </c>
      <c r="G1412" s="14" t="s">
        <v>343</v>
      </c>
      <c r="H1412" s="14" t="s">
        <v>343</v>
      </c>
      <c r="U1412" s="14">
        <v>0</v>
      </c>
      <c r="V1412" s="14">
        <v>0</v>
      </c>
      <c r="W1412" s="14">
        <v>0</v>
      </c>
    </row>
    <row r="1413" spans="1:24" hidden="1" x14ac:dyDescent="0.3">
      <c r="A1413" s="14" t="s">
        <v>419</v>
      </c>
      <c r="B1413" s="14" t="s">
        <v>78</v>
      </c>
      <c r="C1413" s="14" t="s">
        <v>371</v>
      </c>
      <c r="D1413" s="14" t="s">
        <v>372</v>
      </c>
      <c r="E1413" s="14" t="s">
        <v>344</v>
      </c>
      <c r="F1413" s="14" t="s">
        <v>343</v>
      </c>
      <c r="G1413" s="14" t="s">
        <v>343</v>
      </c>
      <c r="H1413" s="14" t="s">
        <v>343</v>
      </c>
      <c r="U1413" s="14">
        <v>71</v>
      </c>
      <c r="V1413" s="14">
        <v>73</v>
      </c>
      <c r="W1413" s="14">
        <v>76</v>
      </c>
    </row>
    <row r="1414" spans="1:24" hidden="1" x14ac:dyDescent="0.3">
      <c r="A1414" s="14" t="s">
        <v>419</v>
      </c>
      <c r="B1414" s="14" t="s">
        <v>78</v>
      </c>
      <c r="C1414" s="14" t="s">
        <v>373</v>
      </c>
      <c r="D1414" s="14" t="s">
        <v>374</v>
      </c>
      <c r="E1414" s="14" t="s">
        <v>342</v>
      </c>
      <c r="F1414" s="14" t="s">
        <v>343</v>
      </c>
      <c r="G1414" s="14" t="s">
        <v>343</v>
      </c>
      <c r="H1414" s="14" t="s">
        <v>343</v>
      </c>
      <c r="U1414" s="14">
        <v>0.35</v>
      </c>
      <c r="V1414" s="14">
        <v>0.33</v>
      </c>
      <c r="W1414" s="14">
        <v>0.28999999999999998</v>
      </c>
    </row>
    <row r="1415" spans="1:24" hidden="1" x14ac:dyDescent="0.3">
      <c r="A1415" s="14" t="s">
        <v>419</v>
      </c>
      <c r="B1415" s="14" t="s">
        <v>78</v>
      </c>
      <c r="C1415" s="14" t="s">
        <v>373</v>
      </c>
      <c r="D1415" s="14" t="s">
        <v>374</v>
      </c>
      <c r="E1415" s="14" t="s">
        <v>344</v>
      </c>
      <c r="F1415" s="14" t="s">
        <v>343</v>
      </c>
      <c r="G1415" s="14" t="s">
        <v>343</v>
      </c>
      <c r="H1415" s="14" t="s">
        <v>343</v>
      </c>
      <c r="U1415" s="14">
        <v>37</v>
      </c>
      <c r="V1415" s="14">
        <v>57</v>
      </c>
      <c r="W1415" s="14">
        <v>73</v>
      </c>
    </row>
    <row r="1416" spans="1:24" hidden="1" x14ac:dyDescent="0.3">
      <c r="A1416" s="14" t="s">
        <v>419</v>
      </c>
      <c r="B1416" s="14" t="s">
        <v>78</v>
      </c>
      <c r="C1416" s="14" t="s">
        <v>375</v>
      </c>
      <c r="D1416" s="14" t="s">
        <v>376</v>
      </c>
      <c r="E1416" s="14" t="s">
        <v>342</v>
      </c>
      <c r="F1416" s="14" t="s">
        <v>343</v>
      </c>
      <c r="G1416" s="14" t="s">
        <v>343</v>
      </c>
      <c r="H1416" s="14" t="s">
        <v>343</v>
      </c>
      <c r="U1416" s="14">
        <v>1</v>
      </c>
      <c r="V1416" s="14">
        <v>1</v>
      </c>
      <c r="W1416" s="14">
        <v>1</v>
      </c>
    </row>
    <row r="1417" spans="1:24" hidden="1" x14ac:dyDescent="0.3">
      <c r="A1417" s="14" t="s">
        <v>419</v>
      </c>
      <c r="B1417" s="14" t="s">
        <v>78</v>
      </c>
      <c r="C1417" s="14" t="s">
        <v>375</v>
      </c>
      <c r="D1417" s="14" t="s">
        <v>376</v>
      </c>
      <c r="E1417" s="14" t="s">
        <v>344</v>
      </c>
      <c r="F1417" s="14" t="s">
        <v>343</v>
      </c>
      <c r="G1417" s="14" t="s">
        <v>343</v>
      </c>
      <c r="H1417" s="14" t="s">
        <v>343</v>
      </c>
      <c r="U1417" s="14">
        <v>1</v>
      </c>
      <c r="V1417" s="14">
        <v>1</v>
      </c>
      <c r="W1417" s="14">
        <v>1</v>
      </c>
    </row>
    <row r="1418" spans="1:24" hidden="1" x14ac:dyDescent="0.3">
      <c r="A1418" s="14" t="s">
        <v>420</v>
      </c>
      <c r="B1418" s="14" t="s">
        <v>80</v>
      </c>
      <c r="C1418" s="14" t="s">
        <v>340</v>
      </c>
      <c r="D1418" s="14" t="s">
        <v>341</v>
      </c>
      <c r="E1418" s="14" t="s">
        <v>342</v>
      </c>
      <c r="F1418" s="14" t="s">
        <v>343</v>
      </c>
      <c r="G1418" s="14" t="s">
        <v>343</v>
      </c>
      <c r="H1418" s="14" t="s">
        <v>343</v>
      </c>
      <c r="I1418" s="14">
        <v>0.99</v>
      </c>
      <c r="J1418" s="14">
        <v>0.99</v>
      </c>
      <c r="K1418" s="14">
        <v>1</v>
      </c>
      <c r="L1418" s="14">
        <v>0.99</v>
      </c>
      <c r="M1418" s="14">
        <v>0.99</v>
      </c>
      <c r="N1418" s="14">
        <v>0.98</v>
      </c>
      <c r="O1418" s="14">
        <v>0.98</v>
      </c>
      <c r="P1418" s="14">
        <v>0.99</v>
      </c>
      <c r="Q1418" s="14">
        <v>1</v>
      </c>
      <c r="R1418" s="14">
        <v>1</v>
      </c>
      <c r="S1418" s="14">
        <v>1</v>
      </c>
      <c r="T1418" s="14">
        <v>1</v>
      </c>
      <c r="U1418" s="14">
        <v>1</v>
      </c>
      <c r="V1418" s="14">
        <v>1</v>
      </c>
      <c r="W1418" s="14">
        <v>1</v>
      </c>
      <c r="X1418" s="14">
        <v>1</v>
      </c>
    </row>
    <row r="1419" spans="1:24" hidden="1" x14ac:dyDescent="0.3">
      <c r="A1419" s="14" t="s">
        <v>420</v>
      </c>
      <c r="B1419" s="14" t="s">
        <v>80</v>
      </c>
      <c r="C1419" s="14" t="s">
        <v>340</v>
      </c>
      <c r="D1419" s="14" t="s">
        <v>341</v>
      </c>
      <c r="E1419" s="14" t="s">
        <v>344</v>
      </c>
      <c r="F1419" s="14" t="s">
        <v>343</v>
      </c>
      <c r="G1419" s="14" t="s">
        <v>343</v>
      </c>
      <c r="H1419" s="14" t="s">
        <v>343</v>
      </c>
      <c r="I1419" s="14">
        <v>54</v>
      </c>
      <c r="J1419" s="14">
        <v>60</v>
      </c>
      <c r="K1419" s="14">
        <v>50</v>
      </c>
      <c r="L1419" s="14">
        <v>61</v>
      </c>
      <c r="M1419" s="14">
        <v>77</v>
      </c>
      <c r="N1419" s="14">
        <v>89</v>
      </c>
      <c r="O1419" s="14">
        <v>90</v>
      </c>
      <c r="P1419" s="14">
        <v>83</v>
      </c>
      <c r="Q1419" s="14">
        <v>41</v>
      </c>
      <c r="R1419" s="14">
        <v>41</v>
      </c>
      <c r="S1419" s="14">
        <v>41</v>
      </c>
      <c r="T1419" s="14">
        <v>46</v>
      </c>
      <c r="U1419" s="14">
        <v>48</v>
      </c>
      <c r="V1419" s="14">
        <v>48</v>
      </c>
      <c r="W1419" s="14">
        <v>49</v>
      </c>
      <c r="X1419" s="14">
        <v>1</v>
      </c>
    </row>
    <row r="1420" spans="1:24" hidden="1" x14ac:dyDescent="0.3">
      <c r="A1420" s="14" t="s">
        <v>420</v>
      </c>
      <c r="B1420" s="14" t="s">
        <v>80</v>
      </c>
      <c r="C1420" s="14" t="s">
        <v>345</v>
      </c>
      <c r="D1420" s="14" t="s">
        <v>346</v>
      </c>
      <c r="E1420" s="14" t="s">
        <v>342</v>
      </c>
      <c r="F1420" s="14" t="s">
        <v>343</v>
      </c>
      <c r="G1420" s="14" t="s">
        <v>343</v>
      </c>
      <c r="H1420" s="14" t="s">
        <v>343</v>
      </c>
      <c r="U1420" s="14">
        <v>0.67</v>
      </c>
      <c r="V1420" s="14">
        <v>0.73</v>
      </c>
      <c r="W1420" s="14">
        <v>0.72</v>
      </c>
      <c r="X1420" s="14">
        <v>0.64</v>
      </c>
    </row>
    <row r="1421" spans="1:24" hidden="1" x14ac:dyDescent="0.3">
      <c r="A1421" s="14" t="s">
        <v>420</v>
      </c>
      <c r="B1421" s="14" t="s">
        <v>80</v>
      </c>
      <c r="C1421" s="14" t="s">
        <v>345</v>
      </c>
      <c r="D1421" s="14" t="s">
        <v>346</v>
      </c>
      <c r="E1421" s="14" t="s">
        <v>344</v>
      </c>
      <c r="F1421" s="14" t="s">
        <v>343</v>
      </c>
      <c r="G1421" s="14" t="s">
        <v>343</v>
      </c>
      <c r="H1421" s="14" t="s">
        <v>343</v>
      </c>
      <c r="U1421" s="14">
        <v>45</v>
      </c>
      <c r="V1421" s="14">
        <v>29</v>
      </c>
      <c r="W1421" s="14">
        <v>33</v>
      </c>
      <c r="X1421" s="14">
        <v>72</v>
      </c>
    </row>
    <row r="1422" spans="1:24" hidden="1" x14ac:dyDescent="0.3">
      <c r="A1422" s="14" t="s">
        <v>420</v>
      </c>
      <c r="B1422" s="14" t="s">
        <v>80</v>
      </c>
      <c r="C1422" s="14" t="s">
        <v>347</v>
      </c>
      <c r="D1422" s="14" t="s">
        <v>348</v>
      </c>
      <c r="E1422" s="14" t="s">
        <v>342</v>
      </c>
      <c r="F1422" s="14" t="s">
        <v>343</v>
      </c>
      <c r="G1422" s="14" t="s">
        <v>343</v>
      </c>
      <c r="H1422" s="14" t="s">
        <v>343</v>
      </c>
      <c r="U1422" s="14">
        <v>0.9</v>
      </c>
      <c r="V1422" s="14">
        <v>0.9</v>
      </c>
      <c r="W1422" s="14">
        <v>0.88</v>
      </c>
      <c r="X1422" s="14">
        <v>0.76</v>
      </c>
    </row>
    <row r="1423" spans="1:24" hidden="1" x14ac:dyDescent="0.3">
      <c r="A1423" s="14" t="s">
        <v>420</v>
      </c>
      <c r="B1423" s="14" t="s">
        <v>80</v>
      </c>
      <c r="C1423" s="14" t="s">
        <v>347</v>
      </c>
      <c r="D1423" s="14" t="s">
        <v>348</v>
      </c>
      <c r="E1423" s="14" t="s">
        <v>344</v>
      </c>
      <c r="F1423" s="14" t="s">
        <v>343</v>
      </c>
      <c r="G1423" s="14" t="s">
        <v>343</v>
      </c>
      <c r="H1423" s="14" t="s">
        <v>343</v>
      </c>
      <c r="U1423" s="14">
        <v>38</v>
      </c>
      <c r="V1423" s="14">
        <v>42</v>
      </c>
      <c r="W1423" s="14">
        <v>50</v>
      </c>
      <c r="X1423" s="14">
        <v>80</v>
      </c>
    </row>
    <row r="1424" spans="1:24" hidden="1" x14ac:dyDescent="0.3">
      <c r="A1424" s="14" t="s">
        <v>420</v>
      </c>
      <c r="B1424" s="14" t="s">
        <v>80</v>
      </c>
      <c r="C1424" s="14" t="s">
        <v>349</v>
      </c>
      <c r="D1424" s="14" t="s">
        <v>350</v>
      </c>
      <c r="E1424" s="14" t="s">
        <v>342</v>
      </c>
      <c r="F1424" s="14" t="s">
        <v>343</v>
      </c>
      <c r="G1424" s="14" t="s">
        <v>343</v>
      </c>
      <c r="H1424" s="14" t="s">
        <v>343</v>
      </c>
      <c r="U1424" s="14">
        <v>0.26</v>
      </c>
      <c r="V1424" s="14">
        <v>0.2</v>
      </c>
      <c r="W1424" s="14">
        <v>0.27</v>
      </c>
      <c r="X1424" s="14">
        <v>0.38</v>
      </c>
    </row>
    <row r="1425" spans="1:24" hidden="1" x14ac:dyDescent="0.3">
      <c r="A1425" s="14" t="s">
        <v>420</v>
      </c>
      <c r="B1425" s="14" t="s">
        <v>80</v>
      </c>
      <c r="C1425" s="14" t="s">
        <v>349</v>
      </c>
      <c r="D1425" s="14" t="s">
        <v>350</v>
      </c>
      <c r="E1425" s="14" t="s">
        <v>344</v>
      </c>
      <c r="F1425" s="14" t="s">
        <v>343</v>
      </c>
      <c r="G1425" s="14" t="s">
        <v>343</v>
      </c>
      <c r="H1425" s="14" t="s">
        <v>343</v>
      </c>
      <c r="U1425" s="14">
        <v>111</v>
      </c>
      <c r="V1425" s="14">
        <v>124</v>
      </c>
      <c r="W1425" s="14">
        <v>121</v>
      </c>
      <c r="X1425" s="14">
        <v>96</v>
      </c>
    </row>
    <row r="1426" spans="1:24" hidden="1" x14ac:dyDescent="0.3">
      <c r="A1426" s="14" t="s">
        <v>420</v>
      </c>
      <c r="B1426" s="14" t="s">
        <v>80</v>
      </c>
      <c r="C1426" s="14" t="s">
        <v>351</v>
      </c>
      <c r="D1426" s="14" t="s">
        <v>352</v>
      </c>
      <c r="E1426" s="14" t="s">
        <v>342</v>
      </c>
      <c r="F1426" s="14" t="s">
        <v>343</v>
      </c>
      <c r="G1426" s="14" t="s">
        <v>343</v>
      </c>
      <c r="H1426" s="14" t="s">
        <v>343</v>
      </c>
      <c r="U1426" s="14">
        <v>1</v>
      </c>
      <c r="V1426" s="14">
        <v>1</v>
      </c>
      <c r="W1426" s="14">
        <v>1</v>
      </c>
      <c r="X1426" s="14">
        <v>0.92</v>
      </c>
    </row>
    <row r="1427" spans="1:24" hidden="1" x14ac:dyDescent="0.3">
      <c r="A1427" s="14" t="s">
        <v>420</v>
      </c>
      <c r="B1427" s="14" t="s">
        <v>80</v>
      </c>
      <c r="C1427" s="14" t="s">
        <v>351</v>
      </c>
      <c r="D1427" s="14" t="s">
        <v>352</v>
      </c>
      <c r="E1427" s="14" t="s">
        <v>344</v>
      </c>
      <c r="F1427" s="14" t="s">
        <v>343</v>
      </c>
      <c r="G1427" s="14" t="s">
        <v>343</v>
      </c>
      <c r="H1427" s="14" t="s">
        <v>343</v>
      </c>
      <c r="U1427" s="14">
        <v>1</v>
      </c>
      <c r="V1427" s="14">
        <v>1</v>
      </c>
      <c r="W1427" s="14">
        <v>1</v>
      </c>
      <c r="X1427" s="14">
        <v>80</v>
      </c>
    </row>
    <row r="1428" spans="1:24" hidden="1" x14ac:dyDescent="0.3">
      <c r="A1428" s="14" t="s">
        <v>420</v>
      </c>
      <c r="B1428" s="14" t="s">
        <v>80</v>
      </c>
      <c r="C1428" s="14" t="s">
        <v>378</v>
      </c>
      <c r="D1428" s="14" t="s">
        <v>379</v>
      </c>
      <c r="E1428" s="14" t="s">
        <v>342</v>
      </c>
      <c r="F1428" s="14" t="s">
        <v>343</v>
      </c>
      <c r="G1428" s="14" t="s">
        <v>343</v>
      </c>
      <c r="H1428" s="14" t="s">
        <v>343</v>
      </c>
      <c r="S1428" s="14">
        <v>0.56999999999999995</v>
      </c>
      <c r="U1428" s="14">
        <v>0.62</v>
      </c>
      <c r="V1428" s="14">
        <v>0.62</v>
      </c>
      <c r="W1428" s="14">
        <v>0.63</v>
      </c>
      <c r="X1428" s="14">
        <v>0.59</v>
      </c>
    </row>
    <row r="1429" spans="1:24" hidden="1" x14ac:dyDescent="0.3">
      <c r="A1429" s="14" t="s">
        <v>420</v>
      </c>
      <c r="B1429" s="14" t="s">
        <v>80</v>
      </c>
      <c r="C1429" s="14" t="s">
        <v>378</v>
      </c>
      <c r="D1429" s="14" t="s">
        <v>379</v>
      </c>
      <c r="E1429" s="14" t="s">
        <v>344</v>
      </c>
      <c r="F1429" s="14" t="s">
        <v>343</v>
      </c>
      <c r="G1429" s="14" t="s">
        <v>343</v>
      </c>
      <c r="H1429" s="14" t="s">
        <v>343</v>
      </c>
      <c r="S1429" s="14">
        <v>107</v>
      </c>
      <c r="U1429" s="14">
        <v>85</v>
      </c>
      <c r="V1429" s="14">
        <v>93</v>
      </c>
      <c r="W1429" s="14">
        <v>88</v>
      </c>
      <c r="X1429" s="14">
        <v>103</v>
      </c>
    </row>
    <row r="1430" spans="1:24" hidden="1" x14ac:dyDescent="0.3">
      <c r="A1430" s="14" t="s">
        <v>420</v>
      </c>
      <c r="B1430" s="14" t="s">
        <v>80</v>
      </c>
      <c r="C1430" s="14" t="s">
        <v>353</v>
      </c>
      <c r="D1430" s="14" t="s">
        <v>354</v>
      </c>
      <c r="E1430" s="14" t="s">
        <v>342</v>
      </c>
      <c r="F1430" s="14" t="s">
        <v>343</v>
      </c>
      <c r="G1430" s="14" t="s">
        <v>343</v>
      </c>
      <c r="H1430" s="14" t="s">
        <v>343</v>
      </c>
      <c r="U1430" s="14">
        <v>0.99</v>
      </c>
      <c r="V1430" s="14">
        <v>0.99</v>
      </c>
      <c r="W1430" s="14">
        <v>0.99</v>
      </c>
      <c r="X1430" s="14">
        <v>1</v>
      </c>
    </row>
    <row r="1431" spans="1:24" hidden="1" x14ac:dyDescent="0.3">
      <c r="A1431" s="14" t="s">
        <v>420</v>
      </c>
      <c r="B1431" s="14" t="s">
        <v>80</v>
      </c>
      <c r="C1431" s="14" t="s">
        <v>353</v>
      </c>
      <c r="D1431" s="14" t="s">
        <v>354</v>
      </c>
      <c r="E1431" s="14" t="s">
        <v>344</v>
      </c>
      <c r="F1431" s="14" t="s">
        <v>343</v>
      </c>
      <c r="G1431" s="14" t="s">
        <v>343</v>
      </c>
      <c r="H1431" s="14" t="s">
        <v>343</v>
      </c>
      <c r="U1431" s="14">
        <v>69</v>
      </c>
      <c r="V1431" s="14">
        <v>75</v>
      </c>
      <c r="W1431" s="14">
        <v>76</v>
      </c>
      <c r="X1431" s="14">
        <v>1</v>
      </c>
    </row>
    <row r="1432" spans="1:24" hidden="1" x14ac:dyDescent="0.3">
      <c r="A1432" s="14" t="s">
        <v>420</v>
      </c>
      <c r="B1432" s="14" t="s">
        <v>80</v>
      </c>
      <c r="C1432" s="14" t="s">
        <v>380</v>
      </c>
      <c r="D1432" s="14" t="s">
        <v>381</v>
      </c>
      <c r="E1432" s="14" t="s">
        <v>342</v>
      </c>
      <c r="F1432" s="14" t="s">
        <v>343</v>
      </c>
      <c r="G1432" s="14" t="s">
        <v>343</v>
      </c>
      <c r="H1432" s="14" t="s">
        <v>343</v>
      </c>
      <c r="U1432" s="14">
        <v>1</v>
      </c>
      <c r="V1432" s="14">
        <v>1</v>
      </c>
      <c r="W1432" s="14">
        <v>1</v>
      </c>
      <c r="X1432" s="14">
        <v>1</v>
      </c>
    </row>
    <row r="1433" spans="1:24" hidden="1" x14ac:dyDescent="0.3">
      <c r="A1433" s="14" t="s">
        <v>420</v>
      </c>
      <c r="B1433" s="14" t="s">
        <v>80</v>
      </c>
      <c r="C1433" s="14" t="s">
        <v>380</v>
      </c>
      <c r="D1433" s="14" t="s">
        <v>381</v>
      </c>
      <c r="E1433" s="14" t="s">
        <v>344</v>
      </c>
      <c r="F1433" s="14" t="s">
        <v>343</v>
      </c>
      <c r="G1433" s="14" t="s">
        <v>343</v>
      </c>
      <c r="H1433" s="14" t="s">
        <v>343</v>
      </c>
      <c r="U1433" s="14">
        <v>1</v>
      </c>
      <c r="V1433" s="14">
        <v>1</v>
      </c>
      <c r="W1433" s="14">
        <v>1</v>
      </c>
      <c r="X1433" s="14">
        <v>1</v>
      </c>
    </row>
    <row r="1434" spans="1:24" hidden="1" x14ac:dyDescent="0.3">
      <c r="A1434" s="14" t="s">
        <v>420</v>
      </c>
      <c r="B1434" s="14" t="s">
        <v>80</v>
      </c>
      <c r="C1434" s="14" t="s">
        <v>355</v>
      </c>
      <c r="D1434" s="14" t="s">
        <v>356</v>
      </c>
      <c r="E1434" s="14" t="s">
        <v>342</v>
      </c>
      <c r="F1434" s="14" t="s">
        <v>343</v>
      </c>
      <c r="G1434" s="14" t="s">
        <v>343</v>
      </c>
      <c r="H1434" s="14" t="s">
        <v>343</v>
      </c>
      <c r="U1434" s="14">
        <v>1</v>
      </c>
      <c r="V1434" s="14">
        <v>1</v>
      </c>
      <c r="W1434" s="14">
        <v>1</v>
      </c>
      <c r="X1434" s="14">
        <v>1</v>
      </c>
    </row>
    <row r="1435" spans="1:24" hidden="1" x14ac:dyDescent="0.3">
      <c r="A1435" s="14" t="s">
        <v>420</v>
      </c>
      <c r="B1435" s="14" t="s">
        <v>80</v>
      </c>
      <c r="C1435" s="14" t="s">
        <v>355</v>
      </c>
      <c r="D1435" s="14" t="s">
        <v>356</v>
      </c>
      <c r="E1435" s="14" t="s">
        <v>344</v>
      </c>
      <c r="F1435" s="14" t="s">
        <v>343</v>
      </c>
      <c r="G1435" s="14" t="s">
        <v>343</v>
      </c>
      <c r="H1435" s="14" t="s">
        <v>343</v>
      </c>
      <c r="U1435" s="14">
        <v>1</v>
      </c>
      <c r="V1435" s="14">
        <v>1</v>
      </c>
      <c r="W1435" s="14">
        <v>1</v>
      </c>
      <c r="X1435" s="14">
        <v>1</v>
      </c>
    </row>
    <row r="1436" spans="1:24" hidden="1" x14ac:dyDescent="0.3">
      <c r="A1436" s="14" t="s">
        <v>420</v>
      </c>
      <c r="B1436" s="14" t="s">
        <v>80</v>
      </c>
      <c r="C1436" s="14" t="s">
        <v>357</v>
      </c>
      <c r="D1436" s="14" t="s">
        <v>358</v>
      </c>
      <c r="E1436" s="14" t="s">
        <v>342</v>
      </c>
      <c r="F1436" s="14" t="s">
        <v>343</v>
      </c>
      <c r="G1436" s="14" t="s">
        <v>343</v>
      </c>
      <c r="H1436" s="14" t="s">
        <v>343</v>
      </c>
      <c r="U1436" s="14">
        <v>1</v>
      </c>
      <c r="V1436" s="14">
        <v>1</v>
      </c>
      <c r="W1436" s="14">
        <v>1</v>
      </c>
      <c r="X1436" s="14">
        <v>1</v>
      </c>
    </row>
    <row r="1437" spans="1:24" hidden="1" x14ac:dyDescent="0.3">
      <c r="A1437" s="14" t="s">
        <v>420</v>
      </c>
      <c r="B1437" s="14" t="s">
        <v>80</v>
      </c>
      <c r="C1437" s="14" t="s">
        <v>357</v>
      </c>
      <c r="D1437" s="14" t="s">
        <v>358</v>
      </c>
      <c r="E1437" s="14" t="s">
        <v>344</v>
      </c>
      <c r="F1437" s="14" t="s">
        <v>343</v>
      </c>
      <c r="G1437" s="14" t="s">
        <v>343</v>
      </c>
      <c r="H1437" s="14" t="s">
        <v>343</v>
      </c>
      <c r="U1437" s="14">
        <v>1</v>
      </c>
      <c r="V1437" s="14">
        <v>1</v>
      </c>
      <c r="W1437" s="14">
        <v>1</v>
      </c>
      <c r="X1437" s="14">
        <v>1</v>
      </c>
    </row>
    <row r="1438" spans="1:24" hidden="1" x14ac:dyDescent="0.3">
      <c r="A1438" s="14" t="s">
        <v>420</v>
      </c>
      <c r="B1438" s="14" t="s">
        <v>80</v>
      </c>
      <c r="C1438" s="14" t="s">
        <v>359</v>
      </c>
      <c r="D1438" s="14" t="s">
        <v>360</v>
      </c>
      <c r="E1438" s="14" t="s">
        <v>342</v>
      </c>
      <c r="F1438" s="14" t="s">
        <v>343</v>
      </c>
      <c r="G1438" s="14" t="s">
        <v>343</v>
      </c>
      <c r="H1438" s="14" t="s">
        <v>343</v>
      </c>
      <c r="I1438" s="14">
        <v>0.56000000000000005</v>
      </c>
      <c r="J1438" s="14">
        <v>0.6</v>
      </c>
      <c r="K1438" s="14">
        <v>0.61</v>
      </c>
      <c r="L1438" s="14">
        <v>0.62</v>
      </c>
      <c r="M1438" s="14">
        <v>0.63</v>
      </c>
      <c r="N1438" s="14">
        <v>0.62</v>
      </c>
      <c r="O1438" s="14">
        <v>0.61</v>
      </c>
      <c r="P1438" s="14">
        <v>0.64</v>
      </c>
      <c r="Q1438" s="14">
        <v>0.66</v>
      </c>
      <c r="R1438" s="14">
        <v>0.64</v>
      </c>
      <c r="S1438" s="14">
        <v>0.66</v>
      </c>
      <c r="T1438" s="14">
        <v>0.68</v>
      </c>
      <c r="U1438" s="14">
        <v>0.68</v>
      </c>
      <c r="V1438" s="14">
        <v>0.68</v>
      </c>
      <c r="W1438" s="14">
        <v>0.69</v>
      </c>
      <c r="X1438" s="14">
        <v>0.64</v>
      </c>
    </row>
    <row r="1439" spans="1:24" hidden="1" x14ac:dyDescent="0.3">
      <c r="A1439" s="14" t="s">
        <v>420</v>
      </c>
      <c r="B1439" s="14" t="s">
        <v>80</v>
      </c>
      <c r="C1439" s="14" t="s">
        <v>359</v>
      </c>
      <c r="D1439" s="14" t="s">
        <v>360</v>
      </c>
      <c r="E1439" s="14" t="s">
        <v>344</v>
      </c>
      <c r="F1439" s="14" t="s">
        <v>343</v>
      </c>
      <c r="G1439" s="14" t="s">
        <v>343</v>
      </c>
      <c r="H1439" s="14" t="s">
        <v>343</v>
      </c>
      <c r="I1439" s="14">
        <v>75</v>
      </c>
      <c r="J1439" s="14">
        <v>81</v>
      </c>
      <c r="K1439" s="14">
        <v>78</v>
      </c>
      <c r="L1439" s="14">
        <v>83</v>
      </c>
      <c r="M1439" s="14">
        <v>75</v>
      </c>
      <c r="N1439" s="14">
        <v>80</v>
      </c>
      <c r="O1439" s="14">
        <v>87</v>
      </c>
      <c r="P1439" s="14">
        <v>85</v>
      </c>
      <c r="Q1439" s="14">
        <v>75</v>
      </c>
      <c r="R1439" s="14">
        <v>88</v>
      </c>
      <c r="S1439" s="14">
        <v>75</v>
      </c>
      <c r="T1439" s="14">
        <v>66</v>
      </c>
      <c r="U1439" s="14">
        <v>70</v>
      </c>
      <c r="V1439" s="14">
        <v>73</v>
      </c>
      <c r="W1439" s="14">
        <v>72</v>
      </c>
      <c r="X1439" s="14">
        <v>95</v>
      </c>
    </row>
    <row r="1440" spans="1:24" x14ac:dyDescent="0.3">
      <c r="A1440" s="14" t="s">
        <v>420</v>
      </c>
      <c r="B1440" s="14" t="s">
        <v>80</v>
      </c>
      <c r="C1440" s="14" t="s">
        <v>361</v>
      </c>
      <c r="D1440" s="14" t="s">
        <v>362</v>
      </c>
      <c r="E1440" s="14" t="s">
        <v>342</v>
      </c>
      <c r="F1440" s="14" t="s">
        <v>343</v>
      </c>
      <c r="G1440" s="14" t="s">
        <v>343</v>
      </c>
      <c r="H1440" s="14" t="s">
        <v>343</v>
      </c>
      <c r="I1440" s="14">
        <v>0.97</v>
      </c>
      <c r="J1440" s="14">
        <v>0.97</v>
      </c>
      <c r="K1440" s="14">
        <v>0.97</v>
      </c>
      <c r="L1440" s="14">
        <v>0.97</v>
      </c>
      <c r="M1440" s="14">
        <v>0.97</v>
      </c>
      <c r="N1440" s="14">
        <v>0.97</v>
      </c>
      <c r="O1440" s="14">
        <v>0.97</v>
      </c>
      <c r="P1440" s="14">
        <v>0.97</v>
      </c>
      <c r="Q1440" s="14">
        <v>0.97</v>
      </c>
      <c r="R1440" s="14">
        <v>0.97</v>
      </c>
      <c r="S1440" s="14">
        <v>0.97</v>
      </c>
      <c r="T1440" s="14">
        <v>0.97</v>
      </c>
      <c r="U1440" s="14">
        <v>0.97</v>
      </c>
      <c r="V1440" s="14">
        <v>0.97</v>
      </c>
      <c r="W1440" s="14">
        <v>0.96</v>
      </c>
      <c r="X1440" s="14">
        <v>0.98</v>
      </c>
    </row>
    <row r="1441" spans="1:24" hidden="1" x14ac:dyDescent="0.3">
      <c r="A1441" s="14" t="s">
        <v>420</v>
      </c>
      <c r="B1441" s="14" t="s">
        <v>80</v>
      </c>
      <c r="C1441" s="14" t="s">
        <v>361</v>
      </c>
      <c r="D1441" s="14" t="s">
        <v>362</v>
      </c>
      <c r="E1441" s="14" t="s">
        <v>344</v>
      </c>
      <c r="F1441" s="14" t="s">
        <v>343</v>
      </c>
      <c r="G1441" s="14" t="s">
        <v>343</v>
      </c>
      <c r="H1441" s="14" t="s">
        <v>343</v>
      </c>
      <c r="I1441" s="14">
        <v>84</v>
      </c>
      <c r="J1441" s="14">
        <v>108</v>
      </c>
      <c r="K1441" s="14">
        <v>110</v>
      </c>
      <c r="L1441" s="14">
        <v>114</v>
      </c>
      <c r="M1441" s="14">
        <v>88</v>
      </c>
      <c r="N1441" s="14">
        <v>90</v>
      </c>
      <c r="O1441" s="14">
        <v>92</v>
      </c>
      <c r="P1441" s="14">
        <v>91</v>
      </c>
      <c r="Q1441" s="14">
        <v>69</v>
      </c>
      <c r="R1441" s="14">
        <v>73</v>
      </c>
      <c r="S1441" s="14">
        <v>71</v>
      </c>
      <c r="T1441" s="14">
        <v>126</v>
      </c>
      <c r="U1441" s="14">
        <v>125</v>
      </c>
      <c r="V1441" s="14">
        <v>127</v>
      </c>
      <c r="W1441" s="14">
        <v>140</v>
      </c>
      <c r="X1441" s="14">
        <v>41</v>
      </c>
    </row>
    <row r="1442" spans="1:24" hidden="1" x14ac:dyDescent="0.3">
      <c r="A1442" s="14" t="s">
        <v>420</v>
      </c>
      <c r="B1442" s="14" t="s">
        <v>80</v>
      </c>
      <c r="C1442" s="14" t="s">
        <v>363</v>
      </c>
      <c r="D1442" s="14" t="s">
        <v>364</v>
      </c>
      <c r="E1442" s="14" t="s">
        <v>342</v>
      </c>
      <c r="F1442" s="14" t="s">
        <v>343</v>
      </c>
      <c r="G1442" s="14" t="s">
        <v>343</v>
      </c>
      <c r="H1442" s="14" t="s">
        <v>343</v>
      </c>
      <c r="U1442" s="14">
        <v>1.04</v>
      </c>
      <c r="V1442" s="14">
        <v>1.04</v>
      </c>
      <c r="W1442" s="14">
        <v>1.02</v>
      </c>
      <c r="X1442" s="14">
        <v>1.05</v>
      </c>
    </row>
    <row r="1443" spans="1:24" hidden="1" x14ac:dyDescent="0.3">
      <c r="A1443" s="14" t="s">
        <v>420</v>
      </c>
      <c r="B1443" s="14" t="s">
        <v>80</v>
      </c>
      <c r="C1443" s="14" t="s">
        <v>363</v>
      </c>
      <c r="D1443" s="14" t="s">
        <v>364</v>
      </c>
      <c r="E1443" s="14" t="s">
        <v>344</v>
      </c>
      <c r="F1443" s="14" t="s">
        <v>343</v>
      </c>
      <c r="G1443" s="14" t="s">
        <v>343</v>
      </c>
      <c r="H1443" s="14" t="s">
        <v>343</v>
      </c>
      <c r="U1443" s="14">
        <v>94</v>
      </c>
      <c r="V1443" s="14">
        <v>97</v>
      </c>
      <c r="W1443" s="14">
        <v>118</v>
      </c>
      <c r="X1443" s="14">
        <v>48</v>
      </c>
    </row>
    <row r="1444" spans="1:24" hidden="1" x14ac:dyDescent="0.3">
      <c r="A1444" s="14" t="s">
        <v>420</v>
      </c>
      <c r="B1444" s="14" t="s">
        <v>80</v>
      </c>
      <c r="C1444" s="14" t="s">
        <v>365</v>
      </c>
      <c r="D1444" s="14" t="s">
        <v>366</v>
      </c>
      <c r="E1444" s="14" t="s">
        <v>342</v>
      </c>
      <c r="F1444" s="14" t="s">
        <v>343</v>
      </c>
      <c r="G1444" s="14" t="s">
        <v>343</v>
      </c>
      <c r="H1444" s="14" t="s">
        <v>343</v>
      </c>
      <c r="U1444" s="14">
        <v>0.93</v>
      </c>
      <c r="V1444" s="14">
        <v>0.94</v>
      </c>
      <c r="W1444" s="14">
        <v>0.94</v>
      </c>
      <c r="X1444" s="14">
        <v>0.94</v>
      </c>
    </row>
    <row r="1445" spans="1:24" hidden="1" x14ac:dyDescent="0.3">
      <c r="A1445" s="14" t="s">
        <v>420</v>
      </c>
      <c r="B1445" s="14" t="s">
        <v>80</v>
      </c>
      <c r="C1445" s="14" t="s">
        <v>365</v>
      </c>
      <c r="D1445" s="14" t="s">
        <v>366</v>
      </c>
      <c r="E1445" s="14" t="s">
        <v>344</v>
      </c>
      <c r="F1445" s="14" t="s">
        <v>343</v>
      </c>
      <c r="G1445" s="14" t="s">
        <v>343</v>
      </c>
      <c r="H1445" s="14" t="s">
        <v>343</v>
      </c>
      <c r="U1445" s="14">
        <v>137</v>
      </c>
      <c r="V1445" s="14">
        <v>140</v>
      </c>
      <c r="W1445" s="14">
        <v>143</v>
      </c>
      <c r="X1445" s="14">
        <v>1</v>
      </c>
    </row>
    <row r="1446" spans="1:24" hidden="1" x14ac:dyDescent="0.3">
      <c r="A1446" s="14" t="s">
        <v>420</v>
      </c>
      <c r="B1446" s="14" t="s">
        <v>80</v>
      </c>
      <c r="C1446" s="14" t="s">
        <v>367</v>
      </c>
      <c r="D1446" s="14" t="s">
        <v>368</v>
      </c>
      <c r="E1446" s="14" t="s">
        <v>342</v>
      </c>
      <c r="F1446" s="14" t="s">
        <v>343</v>
      </c>
      <c r="G1446" s="14" t="s">
        <v>343</v>
      </c>
      <c r="H1446" s="14" t="s">
        <v>343</v>
      </c>
      <c r="I1446" s="14">
        <v>0.64</v>
      </c>
      <c r="J1446" s="14">
        <v>0.65</v>
      </c>
      <c r="K1446" s="14">
        <v>0.67</v>
      </c>
      <c r="L1446" s="14">
        <v>0.67</v>
      </c>
      <c r="M1446" s="14">
        <v>0.66</v>
      </c>
      <c r="N1446" s="14">
        <v>0.66</v>
      </c>
      <c r="O1446" s="14">
        <v>0.67</v>
      </c>
      <c r="P1446" s="14">
        <v>0.68</v>
      </c>
      <c r="Q1446" s="14">
        <v>0.67</v>
      </c>
      <c r="R1446" s="14">
        <v>0.67</v>
      </c>
      <c r="S1446" s="14">
        <v>0.68</v>
      </c>
      <c r="T1446" s="14">
        <v>0.68</v>
      </c>
      <c r="U1446" s="14">
        <v>0.68</v>
      </c>
      <c r="V1446" s="14">
        <v>0.69</v>
      </c>
      <c r="W1446" s="14">
        <v>0.71</v>
      </c>
      <c r="X1446" s="14">
        <v>0.71</v>
      </c>
    </row>
    <row r="1447" spans="1:24" hidden="1" x14ac:dyDescent="0.3">
      <c r="A1447" s="14" t="s">
        <v>420</v>
      </c>
      <c r="B1447" s="14" t="s">
        <v>80</v>
      </c>
      <c r="C1447" s="14" t="s">
        <v>367</v>
      </c>
      <c r="D1447" s="14" t="s">
        <v>368</v>
      </c>
      <c r="E1447" s="14" t="s">
        <v>344</v>
      </c>
      <c r="F1447" s="14" t="s">
        <v>343</v>
      </c>
      <c r="G1447" s="14" t="s">
        <v>343</v>
      </c>
      <c r="H1447" s="14" t="s">
        <v>343</v>
      </c>
      <c r="I1447" s="14">
        <v>83</v>
      </c>
      <c r="J1447" s="14">
        <v>82</v>
      </c>
      <c r="K1447" s="14">
        <v>76</v>
      </c>
      <c r="L1447" s="14">
        <v>79</v>
      </c>
      <c r="M1447" s="14">
        <v>86</v>
      </c>
      <c r="N1447" s="14">
        <v>93</v>
      </c>
      <c r="O1447" s="14">
        <v>79</v>
      </c>
      <c r="P1447" s="14">
        <v>79</v>
      </c>
      <c r="Q1447" s="14">
        <v>95</v>
      </c>
      <c r="R1447" s="14">
        <v>100</v>
      </c>
      <c r="S1447" s="14">
        <v>84</v>
      </c>
      <c r="T1447" s="14">
        <v>92</v>
      </c>
      <c r="U1447" s="14">
        <v>92</v>
      </c>
      <c r="V1447" s="14">
        <v>91</v>
      </c>
      <c r="W1447" s="14">
        <v>83</v>
      </c>
      <c r="X1447" s="14">
        <v>76</v>
      </c>
    </row>
    <row r="1448" spans="1:24" hidden="1" x14ac:dyDescent="0.3">
      <c r="A1448" s="14" t="s">
        <v>420</v>
      </c>
      <c r="B1448" s="14" t="s">
        <v>80</v>
      </c>
      <c r="C1448" s="14" t="s">
        <v>369</v>
      </c>
      <c r="D1448" s="14" t="s">
        <v>370</v>
      </c>
      <c r="E1448" s="14" t="s">
        <v>342</v>
      </c>
      <c r="F1448" s="14" t="s">
        <v>343</v>
      </c>
      <c r="G1448" s="14" t="s">
        <v>343</v>
      </c>
      <c r="H1448" s="14" t="s">
        <v>343</v>
      </c>
      <c r="I1448" s="14">
        <v>0.05</v>
      </c>
      <c r="J1448" s="14">
        <v>0.05</v>
      </c>
      <c r="K1448" s="14">
        <v>0.11</v>
      </c>
      <c r="L1448" s="14">
        <v>0.11</v>
      </c>
      <c r="M1448" s="14">
        <v>7.0000000000000007E-2</v>
      </c>
      <c r="N1448" s="14">
        <v>0.06</v>
      </c>
      <c r="O1448" s="14">
        <v>0.13</v>
      </c>
      <c r="P1448" s="14">
        <v>0.13</v>
      </c>
      <c r="Q1448" s="14">
        <v>7.0000000000000007E-2</v>
      </c>
      <c r="R1448" s="14">
        <v>7.0000000000000007E-2</v>
      </c>
      <c r="S1448" s="14">
        <v>0.1</v>
      </c>
      <c r="T1448" s="14">
        <v>0.09</v>
      </c>
      <c r="U1448" s="14">
        <v>0.09</v>
      </c>
      <c r="V1448" s="14">
        <v>0.12</v>
      </c>
      <c r="W1448" s="14">
        <v>0.18</v>
      </c>
      <c r="X1448" s="14">
        <v>0.22</v>
      </c>
    </row>
    <row r="1449" spans="1:24" hidden="1" x14ac:dyDescent="0.3">
      <c r="A1449" s="14" t="s">
        <v>420</v>
      </c>
      <c r="B1449" s="14" t="s">
        <v>80</v>
      </c>
      <c r="C1449" s="14" t="s">
        <v>369</v>
      </c>
      <c r="D1449" s="14" t="s">
        <v>370</v>
      </c>
      <c r="E1449" s="14" t="s">
        <v>344</v>
      </c>
      <c r="F1449" s="14" t="s">
        <v>343</v>
      </c>
      <c r="G1449" s="14" t="s">
        <v>343</v>
      </c>
      <c r="H1449" s="14" t="s">
        <v>343</v>
      </c>
      <c r="I1449" s="14">
        <v>95</v>
      </c>
      <c r="J1449" s="14">
        <v>107</v>
      </c>
      <c r="K1449" s="14">
        <v>76</v>
      </c>
      <c r="L1449" s="14">
        <v>80</v>
      </c>
      <c r="M1449" s="14">
        <v>102</v>
      </c>
      <c r="N1449" s="14">
        <v>109</v>
      </c>
      <c r="O1449" s="14">
        <v>74</v>
      </c>
      <c r="P1449" s="14">
        <v>76</v>
      </c>
      <c r="Q1449" s="14">
        <v>122</v>
      </c>
      <c r="R1449" s="14">
        <v>124</v>
      </c>
      <c r="S1449" s="14">
        <v>105</v>
      </c>
      <c r="T1449" s="14">
        <v>115</v>
      </c>
      <c r="U1449" s="14">
        <v>120</v>
      </c>
      <c r="V1449" s="14">
        <v>111</v>
      </c>
      <c r="W1449" s="14">
        <v>86</v>
      </c>
      <c r="X1449" s="14">
        <v>67</v>
      </c>
    </row>
    <row r="1450" spans="1:24" hidden="1" x14ac:dyDescent="0.3">
      <c r="A1450" s="14" t="s">
        <v>420</v>
      </c>
      <c r="B1450" s="14" t="s">
        <v>80</v>
      </c>
      <c r="C1450" s="14" t="s">
        <v>371</v>
      </c>
      <c r="D1450" s="14" t="s">
        <v>372</v>
      </c>
      <c r="E1450" s="14" t="s">
        <v>342</v>
      </c>
      <c r="F1450" s="14" t="s">
        <v>343</v>
      </c>
      <c r="G1450" s="14" t="s">
        <v>343</v>
      </c>
      <c r="H1450" s="14" t="s">
        <v>343</v>
      </c>
      <c r="U1450" s="14">
        <v>0</v>
      </c>
      <c r="V1450" s="14">
        <v>0</v>
      </c>
      <c r="W1450" s="14">
        <v>0</v>
      </c>
      <c r="X1450" s="14">
        <v>0</v>
      </c>
    </row>
    <row r="1451" spans="1:24" hidden="1" x14ac:dyDescent="0.3">
      <c r="A1451" s="14" t="s">
        <v>420</v>
      </c>
      <c r="B1451" s="14" t="s">
        <v>80</v>
      </c>
      <c r="C1451" s="14" t="s">
        <v>371</v>
      </c>
      <c r="D1451" s="14" t="s">
        <v>372</v>
      </c>
      <c r="E1451" s="14" t="s">
        <v>344</v>
      </c>
      <c r="F1451" s="14" t="s">
        <v>343</v>
      </c>
      <c r="G1451" s="14" t="s">
        <v>343</v>
      </c>
      <c r="H1451" s="14" t="s">
        <v>343</v>
      </c>
      <c r="U1451" s="14">
        <v>71</v>
      </c>
      <c r="V1451" s="14">
        <v>73</v>
      </c>
      <c r="W1451" s="14">
        <v>76</v>
      </c>
      <c r="X1451" s="14">
        <v>78</v>
      </c>
    </row>
    <row r="1452" spans="1:24" hidden="1" x14ac:dyDescent="0.3">
      <c r="A1452" s="14" t="s">
        <v>420</v>
      </c>
      <c r="B1452" s="14" t="s">
        <v>80</v>
      </c>
      <c r="C1452" s="14" t="s">
        <v>373</v>
      </c>
      <c r="D1452" s="14" t="s">
        <v>374</v>
      </c>
      <c r="E1452" s="14" t="s">
        <v>342</v>
      </c>
      <c r="F1452" s="14" t="s">
        <v>343</v>
      </c>
      <c r="G1452" s="14" t="s">
        <v>343</v>
      </c>
      <c r="H1452" s="14" t="s">
        <v>343</v>
      </c>
      <c r="U1452" s="14">
        <v>0.1</v>
      </c>
      <c r="V1452" s="14">
        <v>0.22</v>
      </c>
      <c r="W1452" s="14">
        <v>0.38</v>
      </c>
      <c r="X1452" s="14">
        <v>0.44</v>
      </c>
    </row>
    <row r="1453" spans="1:24" hidden="1" x14ac:dyDescent="0.3">
      <c r="A1453" s="14" t="s">
        <v>420</v>
      </c>
      <c r="B1453" s="14" t="s">
        <v>80</v>
      </c>
      <c r="C1453" s="14" t="s">
        <v>373</v>
      </c>
      <c r="D1453" s="14" t="s">
        <v>374</v>
      </c>
      <c r="E1453" s="14" t="s">
        <v>344</v>
      </c>
      <c r="F1453" s="14" t="s">
        <v>343</v>
      </c>
      <c r="G1453" s="14" t="s">
        <v>343</v>
      </c>
      <c r="H1453" s="14" t="s">
        <v>343</v>
      </c>
      <c r="U1453" s="14">
        <v>119</v>
      </c>
      <c r="V1453" s="14">
        <v>90</v>
      </c>
      <c r="W1453" s="14">
        <v>62</v>
      </c>
      <c r="X1453" s="14">
        <v>48</v>
      </c>
    </row>
    <row r="1454" spans="1:24" hidden="1" x14ac:dyDescent="0.3">
      <c r="A1454" s="14" t="s">
        <v>420</v>
      </c>
      <c r="B1454" s="14" t="s">
        <v>80</v>
      </c>
      <c r="C1454" s="14" t="s">
        <v>375</v>
      </c>
      <c r="D1454" s="14" t="s">
        <v>376</v>
      </c>
      <c r="E1454" s="14" t="s">
        <v>342</v>
      </c>
      <c r="F1454" s="14" t="s">
        <v>343</v>
      </c>
      <c r="G1454" s="14" t="s">
        <v>343</v>
      </c>
      <c r="H1454" s="14" t="s">
        <v>343</v>
      </c>
      <c r="U1454" s="14">
        <v>0.22</v>
      </c>
      <c r="V1454" s="14">
        <v>0.22</v>
      </c>
      <c r="W1454" s="14">
        <v>0.27</v>
      </c>
      <c r="X1454" s="14">
        <v>0.34</v>
      </c>
    </row>
    <row r="1455" spans="1:24" hidden="1" x14ac:dyDescent="0.3">
      <c r="A1455" s="14" t="s">
        <v>420</v>
      </c>
      <c r="B1455" s="14" t="s">
        <v>80</v>
      </c>
      <c r="C1455" s="14" t="s">
        <v>375</v>
      </c>
      <c r="D1455" s="14" t="s">
        <v>376</v>
      </c>
      <c r="E1455" s="14" t="s">
        <v>344</v>
      </c>
      <c r="F1455" s="14" t="s">
        <v>343</v>
      </c>
      <c r="G1455" s="14" t="s">
        <v>343</v>
      </c>
      <c r="H1455" s="14" t="s">
        <v>343</v>
      </c>
      <c r="U1455" s="14">
        <v>97</v>
      </c>
      <c r="V1455" s="14">
        <v>102</v>
      </c>
      <c r="W1455" s="14">
        <v>94</v>
      </c>
      <c r="X1455" s="14">
        <v>78</v>
      </c>
    </row>
    <row r="1456" spans="1:24" hidden="1" x14ac:dyDescent="0.3">
      <c r="A1456" s="14" t="s">
        <v>421</v>
      </c>
      <c r="B1456" s="14" t="s">
        <v>81</v>
      </c>
      <c r="C1456" s="14" t="s">
        <v>340</v>
      </c>
      <c r="D1456" s="14" t="s">
        <v>341</v>
      </c>
      <c r="E1456" s="14" t="s">
        <v>342</v>
      </c>
      <c r="F1456" s="14" t="s">
        <v>343</v>
      </c>
      <c r="G1456" s="14" t="s">
        <v>343</v>
      </c>
      <c r="H1456" s="14" t="s">
        <v>343</v>
      </c>
      <c r="I1456" s="14">
        <v>0.99</v>
      </c>
      <c r="J1456" s="14">
        <v>0.99</v>
      </c>
      <c r="K1456" s="14">
        <v>1</v>
      </c>
      <c r="L1456" s="14">
        <v>1</v>
      </c>
      <c r="M1456" s="14">
        <v>1</v>
      </c>
      <c r="N1456" s="14">
        <v>1</v>
      </c>
      <c r="O1456" s="14">
        <v>1</v>
      </c>
      <c r="P1456" s="14">
        <v>1</v>
      </c>
      <c r="Q1456" s="14">
        <v>1</v>
      </c>
      <c r="R1456" s="14">
        <v>1</v>
      </c>
      <c r="S1456" s="14">
        <v>1</v>
      </c>
      <c r="T1456" s="14">
        <v>1</v>
      </c>
      <c r="U1456" s="14">
        <v>1</v>
      </c>
      <c r="V1456" s="14">
        <v>1</v>
      </c>
      <c r="W1456" s="14">
        <v>1</v>
      </c>
      <c r="X1456" s="14">
        <v>0.89</v>
      </c>
    </row>
    <row r="1457" spans="1:24" hidden="1" x14ac:dyDescent="0.3">
      <c r="A1457" s="14" t="s">
        <v>421</v>
      </c>
      <c r="B1457" s="14" t="s">
        <v>81</v>
      </c>
      <c r="C1457" s="14" t="s">
        <v>340</v>
      </c>
      <c r="D1457" s="14" t="s">
        <v>341</v>
      </c>
      <c r="E1457" s="14" t="s">
        <v>344</v>
      </c>
      <c r="F1457" s="14" t="s">
        <v>343</v>
      </c>
      <c r="G1457" s="14" t="s">
        <v>343</v>
      </c>
      <c r="H1457" s="14" t="s">
        <v>343</v>
      </c>
      <c r="I1457" s="14">
        <v>46</v>
      </c>
      <c r="J1457" s="14">
        <v>53</v>
      </c>
      <c r="K1457" s="14">
        <v>1</v>
      </c>
      <c r="L1457" s="14">
        <v>1</v>
      </c>
      <c r="M1457" s="14">
        <v>1</v>
      </c>
      <c r="N1457" s="14">
        <v>1</v>
      </c>
      <c r="O1457" s="14">
        <v>1</v>
      </c>
      <c r="P1457" s="14">
        <v>1</v>
      </c>
      <c r="Q1457" s="14">
        <v>1</v>
      </c>
      <c r="R1457" s="14">
        <v>1</v>
      </c>
      <c r="S1457" s="14">
        <v>1</v>
      </c>
      <c r="T1457" s="14">
        <v>1</v>
      </c>
      <c r="U1457" s="14">
        <v>1</v>
      </c>
      <c r="V1457" s="14">
        <v>1</v>
      </c>
      <c r="W1457" s="14">
        <v>1</v>
      </c>
      <c r="X1457" s="14">
        <v>128</v>
      </c>
    </row>
    <row r="1458" spans="1:24" hidden="1" x14ac:dyDescent="0.3">
      <c r="A1458" s="14" t="s">
        <v>421</v>
      </c>
      <c r="B1458" s="14" t="s">
        <v>81</v>
      </c>
      <c r="C1458" s="14" t="s">
        <v>345</v>
      </c>
      <c r="D1458" s="14" t="s">
        <v>346</v>
      </c>
      <c r="E1458" s="14" t="s">
        <v>342</v>
      </c>
      <c r="F1458" s="14" t="s">
        <v>343</v>
      </c>
      <c r="G1458" s="14" t="s">
        <v>343</v>
      </c>
      <c r="H1458" s="14" t="s">
        <v>343</v>
      </c>
      <c r="U1458" s="14">
        <v>0.61</v>
      </c>
      <c r="V1458" s="14">
        <v>0.62</v>
      </c>
      <c r="W1458" s="14">
        <v>0.63</v>
      </c>
      <c r="X1458" s="14">
        <v>0.53</v>
      </c>
    </row>
    <row r="1459" spans="1:24" hidden="1" x14ac:dyDescent="0.3">
      <c r="A1459" s="14" t="s">
        <v>421</v>
      </c>
      <c r="B1459" s="14" t="s">
        <v>81</v>
      </c>
      <c r="C1459" s="14" t="s">
        <v>345</v>
      </c>
      <c r="D1459" s="14" t="s">
        <v>346</v>
      </c>
      <c r="E1459" s="14" t="s">
        <v>344</v>
      </c>
      <c r="F1459" s="14" t="s">
        <v>343</v>
      </c>
      <c r="G1459" s="14" t="s">
        <v>343</v>
      </c>
      <c r="H1459" s="14" t="s">
        <v>343</v>
      </c>
      <c r="U1459" s="14">
        <v>79</v>
      </c>
      <c r="V1459" s="14">
        <v>70</v>
      </c>
      <c r="W1459" s="14">
        <v>70</v>
      </c>
      <c r="X1459" s="14">
        <v>111</v>
      </c>
    </row>
    <row r="1460" spans="1:24" hidden="1" x14ac:dyDescent="0.3">
      <c r="A1460" s="14" t="s">
        <v>421</v>
      </c>
      <c r="B1460" s="14" t="s">
        <v>81</v>
      </c>
      <c r="C1460" s="14" t="s">
        <v>347</v>
      </c>
      <c r="D1460" s="14" t="s">
        <v>348</v>
      </c>
      <c r="E1460" s="14" t="s">
        <v>342</v>
      </c>
      <c r="F1460" s="14" t="s">
        <v>343</v>
      </c>
      <c r="G1460" s="14" t="s">
        <v>343</v>
      </c>
      <c r="H1460" s="14" t="s">
        <v>343</v>
      </c>
      <c r="U1460" s="14">
        <v>0.83</v>
      </c>
      <c r="V1460" s="14">
        <v>0.83</v>
      </c>
      <c r="W1460" s="14">
        <v>0.84</v>
      </c>
      <c r="X1460" s="14">
        <v>0.71</v>
      </c>
    </row>
    <row r="1461" spans="1:24" hidden="1" x14ac:dyDescent="0.3">
      <c r="A1461" s="14" t="s">
        <v>421</v>
      </c>
      <c r="B1461" s="14" t="s">
        <v>81</v>
      </c>
      <c r="C1461" s="14" t="s">
        <v>347</v>
      </c>
      <c r="D1461" s="14" t="s">
        <v>348</v>
      </c>
      <c r="E1461" s="14" t="s">
        <v>344</v>
      </c>
      <c r="F1461" s="14" t="s">
        <v>343</v>
      </c>
      <c r="G1461" s="14" t="s">
        <v>343</v>
      </c>
      <c r="H1461" s="14" t="s">
        <v>343</v>
      </c>
      <c r="U1461" s="14">
        <v>67</v>
      </c>
      <c r="V1461" s="14">
        <v>69</v>
      </c>
      <c r="W1461" s="14">
        <v>69</v>
      </c>
      <c r="X1461" s="14">
        <v>95</v>
      </c>
    </row>
    <row r="1462" spans="1:24" hidden="1" x14ac:dyDescent="0.3">
      <c r="A1462" s="14" t="s">
        <v>421</v>
      </c>
      <c r="B1462" s="14" t="s">
        <v>81</v>
      </c>
      <c r="C1462" s="14" t="s">
        <v>349</v>
      </c>
      <c r="D1462" s="14" t="s">
        <v>350</v>
      </c>
      <c r="E1462" s="14" t="s">
        <v>342</v>
      </c>
      <c r="F1462" s="14" t="s">
        <v>343</v>
      </c>
      <c r="G1462" s="14" t="s">
        <v>343</v>
      </c>
      <c r="H1462" s="14" t="s">
        <v>343</v>
      </c>
      <c r="U1462" s="14">
        <v>0.33</v>
      </c>
      <c r="V1462" s="14">
        <v>0.36</v>
      </c>
      <c r="W1462" s="14">
        <v>0.37</v>
      </c>
      <c r="X1462" s="14">
        <v>0.44</v>
      </c>
    </row>
    <row r="1463" spans="1:24" hidden="1" x14ac:dyDescent="0.3">
      <c r="A1463" s="14" t="s">
        <v>421</v>
      </c>
      <c r="B1463" s="14" t="s">
        <v>81</v>
      </c>
      <c r="C1463" s="14" t="s">
        <v>349</v>
      </c>
      <c r="D1463" s="14" t="s">
        <v>350</v>
      </c>
      <c r="E1463" s="14" t="s">
        <v>344</v>
      </c>
      <c r="F1463" s="14" t="s">
        <v>343</v>
      </c>
      <c r="G1463" s="14" t="s">
        <v>343</v>
      </c>
      <c r="H1463" s="14" t="s">
        <v>343</v>
      </c>
      <c r="U1463" s="14">
        <v>100</v>
      </c>
      <c r="V1463" s="14">
        <v>101</v>
      </c>
      <c r="W1463" s="14">
        <v>100</v>
      </c>
      <c r="X1463" s="14">
        <v>88</v>
      </c>
    </row>
    <row r="1464" spans="1:24" hidden="1" x14ac:dyDescent="0.3">
      <c r="A1464" s="14" t="s">
        <v>421</v>
      </c>
      <c r="B1464" s="14" t="s">
        <v>81</v>
      </c>
      <c r="C1464" s="14" t="s">
        <v>351</v>
      </c>
      <c r="D1464" s="14" t="s">
        <v>352</v>
      </c>
      <c r="E1464" s="14" t="s">
        <v>342</v>
      </c>
      <c r="F1464" s="14" t="s">
        <v>343</v>
      </c>
      <c r="G1464" s="14" t="s">
        <v>343</v>
      </c>
      <c r="H1464" s="14" t="s">
        <v>343</v>
      </c>
      <c r="U1464" s="14">
        <v>0.94</v>
      </c>
      <c r="V1464" s="14">
        <v>0.94</v>
      </c>
      <c r="W1464" s="14">
        <v>1</v>
      </c>
      <c r="X1464" s="14">
        <v>0.3</v>
      </c>
    </row>
    <row r="1465" spans="1:24" hidden="1" x14ac:dyDescent="0.3">
      <c r="A1465" s="14" t="s">
        <v>421</v>
      </c>
      <c r="B1465" s="14" t="s">
        <v>81</v>
      </c>
      <c r="C1465" s="14" t="s">
        <v>351</v>
      </c>
      <c r="D1465" s="14" t="s">
        <v>352</v>
      </c>
      <c r="E1465" s="14" t="s">
        <v>344</v>
      </c>
      <c r="F1465" s="14" t="s">
        <v>343</v>
      </c>
      <c r="G1465" s="14" t="s">
        <v>343</v>
      </c>
      <c r="H1465" s="14" t="s">
        <v>343</v>
      </c>
      <c r="U1465" s="14">
        <v>79</v>
      </c>
      <c r="V1465" s="14">
        <v>83</v>
      </c>
      <c r="W1465" s="14">
        <v>1</v>
      </c>
      <c r="X1465" s="14">
        <v>131</v>
      </c>
    </row>
    <row r="1466" spans="1:24" hidden="1" x14ac:dyDescent="0.3">
      <c r="A1466" s="14" t="s">
        <v>421</v>
      </c>
      <c r="B1466" s="14" t="s">
        <v>81</v>
      </c>
      <c r="C1466" s="14" t="s">
        <v>378</v>
      </c>
      <c r="D1466" s="14" t="s">
        <v>379</v>
      </c>
      <c r="E1466" s="14" t="s">
        <v>342</v>
      </c>
      <c r="F1466" s="14" t="s">
        <v>343</v>
      </c>
      <c r="G1466" s="14" t="s">
        <v>343</v>
      </c>
      <c r="H1466" s="14" t="s">
        <v>343</v>
      </c>
      <c r="S1466" s="14">
        <v>0.56000000000000005</v>
      </c>
      <c r="U1466" s="14">
        <v>0.61</v>
      </c>
      <c r="V1466" s="14">
        <v>0.6</v>
      </c>
      <c r="W1466" s="14">
        <v>0.57999999999999996</v>
      </c>
      <c r="X1466" s="14">
        <v>0.67</v>
      </c>
    </row>
    <row r="1467" spans="1:24" hidden="1" x14ac:dyDescent="0.3">
      <c r="A1467" s="14" t="s">
        <v>421</v>
      </c>
      <c r="B1467" s="14" t="s">
        <v>81</v>
      </c>
      <c r="C1467" s="14" t="s">
        <v>378</v>
      </c>
      <c r="D1467" s="14" t="s">
        <v>379</v>
      </c>
      <c r="E1467" s="14" t="s">
        <v>344</v>
      </c>
      <c r="F1467" s="14" t="s">
        <v>343</v>
      </c>
      <c r="G1467" s="14" t="s">
        <v>343</v>
      </c>
      <c r="H1467" s="14" t="s">
        <v>343</v>
      </c>
      <c r="S1467" s="14">
        <v>110</v>
      </c>
      <c r="U1467" s="14">
        <v>88</v>
      </c>
      <c r="V1467" s="14">
        <v>101</v>
      </c>
      <c r="W1467" s="14">
        <v>106</v>
      </c>
      <c r="X1467" s="14">
        <v>63</v>
      </c>
    </row>
    <row r="1468" spans="1:24" hidden="1" x14ac:dyDescent="0.3">
      <c r="A1468" s="14" t="s">
        <v>421</v>
      </c>
      <c r="B1468" s="14" t="s">
        <v>81</v>
      </c>
      <c r="C1468" s="14" t="s">
        <v>353</v>
      </c>
      <c r="D1468" s="14" t="s">
        <v>354</v>
      </c>
      <c r="E1468" s="14" t="s">
        <v>342</v>
      </c>
      <c r="F1468" s="14" t="s">
        <v>343</v>
      </c>
      <c r="G1468" s="14" t="s">
        <v>343</v>
      </c>
      <c r="H1468" s="14" t="s">
        <v>343</v>
      </c>
      <c r="U1468" s="14">
        <v>1</v>
      </c>
      <c r="V1468" s="14">
        <v>1</v>
      </c>
      <c r="W1468" s="14">
        <v>1</v>
      </c>
      <c r="X1468" s="14">
        <v>0.93</v>
      </c>
    </row>
    <row r="1469" spans="1:24" hidden="1" x14ac:dyDescent="0.3">
      <c r="A1469" s="14" t="s">
        <v>421</v>
      </c>
      <c r="B1469" s="14" t="s">
        <v>81</v>
      </c>
      <c r="C1469" s="14" t="s">
        <v>353</v>
      </c>
      <c r="D1469" s="14" t="s">
        <v>354</v>
      </c>
      <c r="E1469" s="14" t="s">
        <v>344</v>
      </c>
      <c r="F1469" s="14" t="s">
        <v>343</v>
      </c>
      <c r="G1469" s="14" t="s">
        <v>343</v>
      </c>
      <c r="H1469" s="14" t="s">
        <v>343</v>
      </c>
      <c r="U1469" s="14">
        <v>1</v>
      </c>
      <c r="V1469" s="14">
        <v>1</v>
      </c>
      <c r="W1469" s="14">
        <v>1</v>
      </c>
      <c r="X1469" s="14">
        <v>100</v>
      </c>
    </row>
    <row r="1470" spans="1:24" hidden="1" x14ac:dyDescent="0.3">
      <c r="A1470" s="14" t="s">
        <v>421</v>
      </c>
      <c r="B1470" s="14" t="s">
        <v>81</v>
      </c>
      <c r="C1470" s="14" t="s">
        <v>380</v>
      </c>
      <c r="D1470" s="14" t="s">
        <v>381</v>
      </c>
      <c r="E1470" s="14" t="s">
        <v>342</v>
      </c>
      <c r="F1470" s="14" t="s">
        <v>343</v>
      </c>
      <c r="G1470" s="14" t="s">
        <v>343</v>
      </c>
      <c r="H1470" s="14" t="s">
        <v>343</v>
      </c>
      <c r="V1470" s="14">
        <v>1</v>
      </c>
      <c r="W1470" s="14">
        <v>1</v>
      </c>
      <c r="X1470" s="14">
        <v>0.93</v>
      </c>
    </row>
    <row r="1471" spans="1:24" hidden="1" x14ac:dyDescent="0.3">
      <c r="A1471" s="14" t="s">
        <v>421</v>
      </c>
      <c r="B1471" s="14" t="s">
        <v>81</v>
      </c>
      <c r="C1471" s="14" t="s">
        <v>380</v>
      </c>
      <c r="D1471" s="14" t="s">
        <v>381</v>
      </c>
      <c r="E1471" s="14" t="s">
        <v>344</v>
      </c>
      <c r="F1471" s="14" t="s">
        <v>343</v>
      </c>
      <c r="G1471" s="14" t="s">
        <v>343</v>
      </c>
      <c r="H1471" s="14" t="s">
        <v>343</v>
      </c>
      <c r="V1471" s="14">
        <v>1</v>
      </c>
      <c r="W1471" s="14">
        <v>1</v>
      </c>
      <c r="X1471" s="14">
        <v>108</v>
      </c>
    </row>
    <row r="1472" spans="1:24" hidden="1" x14ac:dyDescent="0.3">
      <c r="A1472" s="14" t="s">
        <v>421</v>
      </c>
      <c r="B1472" s="14" t="s">
        <v>81</v>
      </c>
      <c r="C1472" s="14" t="s">
        <v>355</v>
      </c>
      <c r="D1472" s="14" t="s">
        <v>356</v>
      </c>
      <c r="E1472" s="14" t="s">
        <v>342</v>
      </c>
      <c r="F1472" s="14" t="s">
        <v>343</v>
      </c>
      <c r="G1472" s="14" t="s">
        <v>343</v>
      </c>
      <c r="H1472" s="14" t="s">
        <v>343</v>
      </c>
      <c r="U1472" s="14">
        <v>1</v>
      </c>
      <c r="V1472" s="14">
        <v>1</v>
      </c>
      <c r="W1472" s="14">
        <v>1</v>
      </c>
      <c r="X1472" s="14">
        <v>0.83</v>
      </c>
    </row>
    <row r="1473" spans="1:24" hidden="1" x14ac:dyDescent="0.3">
      <c r="A1473" s="14" t="s">
        <v>421</v>
      </c>
      <c r="B1473" s="14" t="s">
        <v>81</v>
      </c>
      <c r="C1473" s="14" t="s">
        <v>355</v>
      </c>
      <c r="D1473" s="14" t="s">
        <v>356</v>
      </c>
      <c r="E1473" s="14" t="s">
        <v>344</v>
      </c>
      <c r="F1473" s="14" t="s">
        <v>343</v>
      </c>
      <c r="G1473" s="14" t="s">
        <v>343</v>
      </c>
      <c r="H1473" s="14" t="s">
        <v>343</v>
      </c>
      <c r="U1473" s="14">
        <v>1</v>
      </c>
      <c r="V1473" s="14">
        <v>1</v>
      </c>
      <c r="W1473" s="14">
        <v>1</v>
      </c>
      <c r="X1473" s="14">
        <v>127</v>
      </c>
    </row>
    <row r="1474" spans="1:24" hidden="1" x14ac:dyDescent="0.3">
      <c r="A1474" s="14" t="s">
        <v>421</v>
      </c>
      <c r="B1474" s="14" t="s">
        <v>81</v>
      </c>
      <c r="C1474" s="14" t="s">
        <v>357</v>
      </c>
      <c r="D1474" s="14" t="s">
        <v>358</v>
      </c>
      <c r="E1474" s="14" t="s">
        <v>342</v>
      </c>
      <c r="F1474" s="14" t="s">
        <v>343</v>
      </c>
      <c r="G1474" s="14" t="s">
        <v>343</v>
      </c>
      <c r="H1474" s="14" t="s">
        <v>343</v>
      </c>
      <c r="U1474" s="14">
        <v>1</v>
      </c>
      <c r="V1474" s="14">
        <v>1</v>
      </c>
      <c r="W1474" s="14">
        <v>1</v>
      </c>
      <c r="X1474" s="14">
        <v>0.78</v>
      </c>
    </row>
    <row r="1475" spans="1:24" hidden="1" x14ac:dyDescent="0.3">
      <c r="A1475" s="14" t="s">
        <v>421</v>
      </c>
      <c r="B1475" s="14" t="s">
        <v>81</v>
      </c>
      <c r="C1475" s="14" t="s">
        <v>357</v>
      </c>
      <c r="D1475" s="14" t="s">
        <v>358</v>
      </c>
      <c r="E1475" s="14" t="s">
        <v>344</v>
      </c>
      <c r="F1475" s="14" t="s">
        <v>343</v>
      </c>
      <c r="G1475" s="14" t="s">
        <v>343</v>
      </c>
      <c r="H1475" s="14" t="s">
        <v>343</v>
      </c>
      <c r="U1475" s="14">
        <v>1</v>
      </c>
      <c r="V1475" s="14">
        <v>1</v>
      </c>
      <c r="W1475" s="14">
        <v>1</v>
      </c>
      <c r="X1475" s="14">
        <v>116</v>
      </c>
    </row>
    <row r="1476" spans="1:24" hidden="1" x14ac:dyDescent="0.3">
      <c r="A1476" s="14" t="s">
        <v>421</v>
      </c>
      <c r="B1476" s="14" t="s">
        <v>81</v>
      </c>
      <c r="C1476" s="14" t="s">
        <v>359</v>
      </c>
      <c r="D1476" s="14" t="s">
        <v>360</v>
      </c>
      <c r="E1476" s="14" t="s">
        <v>342</v>
      </c>
      <c r="F1476" s="14" t="s">
        <v>343</v>
      </c>
      <c r="G1476" s="14" t="s">
        <v>343</v>
      </c>
      <c r="H1476" s="14" t="s">
        <v>343</v>
      </c>
      <c r="I1476" s="14">
        <v>0.63</v>
      </c>
      <c r="J1476" s="14">
        <v>0.63</v>
      </c>
      <c r="K1476" s="14">
        <v>0.64</v>
      </c>
      <c r="L1476" s="14">
        <v>0.64</v>
      </c>
      <c r="M1476" s="14">
        <v>0.62</v>
      </c>
      <c r="N1476" s="14">
        <v>0.6</v>
      </c>
      <c r="O1476" s="14">
        <v>0.6</v>
      </c>
      <c r="P1476" s="14">
        <v>0.6</v>
      </c>
      <c r="Q1476" s="14">
        <v>0.62</v>
      </c>
      <c r="R1476" s="14">
        <v>0.64</v>
      </c>
      <c r="S1476" s="14">
        <v>0.65</v>
      </c>
      <c r="T1476" s="14">
        <v>0.64</v>
      </c>
      <c r="U1476" s="14">
        <v>0.65</v>
      </c>
      <c r="V1476" s="14">
        <v>0.66</v>
      </c>
      <c r="W1476" s="14">
        <v>0.66</v>
      </c>
      <c r="X1476" s="14">
        <v>0.56999999999999995</v>
      </c>
    </row>
    <row r="1477" spans="1:24" hidden="1" x14ac:dyDescent="0.3">
      <c r="A1477" s="14" t="s">
        <v>421</v>
      </c>
      <c r="B1477" s="14" t="s">
        <v>81</v>
      </c>
      <c r="C1477" s="14" t="s">
        <v>359</v>
      </c>
      <c r="D1477" s="14" t="s">
        <v>360</v>
      </c>
      <c r="E1477" s="14" t="s">
        <v>344</v>
      </c>
      <c r="F1477" s="14" t="s">
        <v>343</v>
      </c>
      <c r="G1477" s="14" t="s">
        <v>343</v>
      </c>
      <c r="H1477" s="14" t="s">
        <v>343</v>
      </c>
      <c r="I1477" s="14">
        <v>52</v>
      </c>
      <c r="J1477" s="14">
        <v>71</v>
      </c>
      <c r="K1477" s="14">
        <v>68</v>
      </c>
      <c r="L1477" s="14">
        <v>70</v>
      </c>
      <c r="M1477" s="14">
        <v>80</v>
      </c>
      <c r="N1477" s="14">
        <v>94</v>
      </c>
      <c r="O1477" s="14">
        <v>95</v>
      </c>
      <c r="P1477" s="14">
        <v>95</v>
      </c>
      <c r="Q1477" s="14">
        <v>100</v>
      </c>
      <c r="R1477" s="14">
        <v>94</v>
      </c>
      <c r="S1477" s="14">
        <v>89</v>
      </c>
      <c r="T1477" s="14">
        <v>92</v>
      </c>
      <c r="U1477" s="14">
        <v>87</v>
      </c>
      <c r="V1477" s="14">
        <v>87</v>
      </c>
      <c r="W1477" s="14">
        <v>91</v>
      </c>
      <c r="X1477" s="14">
        <v>119</v>
      </c>
    </row>
    <row r="1478" spans="1:24" x14ac:dyDescent="0.3">
      <c r="A1478" s="14" t="s">
        <v>421</v>
      </c>
      <c r="B1478" s="14" t="s">
        <v>81</v>
      </c>
      <c r="C1478" s="14" t="s">
        <v>361</v>
      </c>
      <c r="D1478" s="14" t="s">
        <v>362</v>
      </c>
      <c r="E1478" s="14" t="s">
        <v>342</v>
      </c>
      <c r="F1478" s="14" t="s">
        <v>343</v>
      </c>
      <c r="G1478" s="14" t="s">
        <v>343</v>
      </c>
      <c r="H1478" s="14" t="s">
        <v>343</v>
      </c>
      <c r="I1478" s="14">
        <v>0.98</v>
      </c>
      <c r="J1478" s="14">
        <v>0.98</v>
      </c>
      <c r="K1478" s="14">
        <v>0.98</v>
      </c>
      <c r="L1478" s="14">
        <v>0.98</v>
      </c>
      <c r="M1478" s="14">
        <v>0.98</v>
      </c>
      <c r="N1478" s="14">
        <v>0.98</v>
      </c>
      <c r="O1478" s="14">
        <v>0.98</v>
      </c>
      <c r="P1478" s="14">
        <v>0.98</v>
      </c>
      <c r="Q1478" s="14">
        <v>0.98</v>
      </c>
      <c r="R1478" s="14">
        <v>0.98</v>
      </c>
      <c r="S1478" s="14">
        <v>0.98</v>
      </c>
      <c r="T1478" s="14">
        <v>0.98</v>
      </c>
      <c r="U1478" s="14">
        <v>0.98</v>
      </c>
      <c r="V1478" s="14">
        <v>0.98</v>
      </c>
      <c r="W1478" s="14">
        <v>0.98</v>
      </c>
      <c r="X1478" s="14">
        <v>0.98</v>
      </c>
    </row>
    <row r="1479" spans="1:24" hidden="1" x14ac:dyDescent="0.3">
      <c r="A1479" s="14" t="s">
        <v>421</v>
      </c>
      <c r="B1479" s="14" t="s">
        <v>81</v>
      </c>
      <c r="C1479" s="14" t="s">
        <v>361</v>
      </c>
      <c r="D1479" s="14" t="s">
        <v>362</v>
      </c>
      <c r="E1479" s="14" t="s">
        <v>344</v>
      </c>
      <c r="F1479" s="14" t="s">
        <v>343</v>
      </c>
      <c r="G1479" s="14" t="s">
        <v>343</v>
      </c>
      <c r="H1479" s="14" t="s">
        <v>343</v>
      </c>
      <c r="I1479" s="14">
        <v>36</v>
      </c>
      <c r="J1479" s="14">
        <v>37</v>
      </c>
      <c r="K1479" s="14">
        <v>38</v>
      </c>
      <c r="L1479" s="14">
        <v>41</v>
      </c>
      <c r="M1479" s="14">
        <v>38</v>
      </c>
      <c r="N1479" s="14">
        <v>39</v>
      </c>
      <c r="O1479" s="14">
        <v>49</v>
      </c>
      <c r="P1479" s="14">
        <v>46</v>
      </c>
      <c r="Q1479" s="14">
        <v>37</v>
      </c>
      <c r="R1479" s="14">
        <v>42</v>
      </c>
      <c r="S1479" s="14">
        <v>40</v>
      </c>
      <c r="T1479" s="14">
        <v>1</v>
      </c>
      <c r="U1479" s="14">
        <v>1</v>
      </c>
      <c r="V1479" s="14">
        <v>1</v>
      </c>
      <c r="W1479" s="14">
        <v>44</v>
      </c>
      <c r="X1479" s="14">
        <v>35</v>
      </c>
    </row>
    <row r="1480" spans="1:24" hidden="1" x14ac:dyDescent="0.3">
      <c r="A1480" s="14" t="s">
        <v>421</v>
      </c>
      <c r="B1480" s="14" t="s">
        <v>81</v>
      </c>
      <c r="C1480" s="14" t="s">
        <v>363</v>
      </c>
      <c r="D1480" s="14" t="s">
        <v>364</v>
      </c>
      <c r="E1480" s="14" t="s">
        <v>342</v>
      </c>
      <c r="F1480" s="14" t="s">
        <v>343</v>
      </c>
      <c r="G1480" s="14" t="s">
        <v>343</v>
      </c>
      <c r="H1480" s="14" t="s">
        <v>343</v>
      </c>
      <c r="U1480" s="14">
        <v>1.06</v>
      </c>
      <c r="V1480" s="14">
        <v>1.06</v>
      </c>
      <c r="W1480" s="14">
        <v>1.05</v>
      </c>
      <c r="X1480" s="14">
        <v>1.06</v>
      </c>
    </row>
    <row r="1481" spans="1:24" hidden="1" x14ac:dyDescent="0.3">
      <c r="A1481" s="14" t="s">
        <v>421</v>
      </c>
      <c r="B1481" s="14" t="s">
        <v>81</v>
      </c>
      <c r="C1481" s="14" t="s">
        <v>363</v>
      </c>
      <c r="D1481" s="14" t="s">
        <v>364</v>
      </c>
      <c r="E1481" s="14" t="s">
        <v>344</v>
      </c>
      <c r="F1481" s="14" t="s">
        <v>343</v>
      </c>
      <c r="G1481" s="14" t="s">
        <v>343</v>
      </c>
      <c r="H1481" s="14" t="s">
        <v>343</v>
      </c>
      <c r="U1481" s="14">
        <v>1</v>
      </c>
      <c r="V1481" s="14">
        <v>1</v>
      </c>
      <c r="W1481" s="14">
        <v>53</v>
      </c>
      <c r="X1481" s="14">
        <v>44</v>
      </c>
    </row>
    <row r="1482" spans="1:24" hidden="1" x14ac:dyDescent="0.3">
      <c r="A1482" s="14" t="s">
        <v>421</v>
      </c>
      <c r="B1482" s="14" t="s">
        <v>81</v>
      </c>
      <c r="C1482" s="14" t="s">
        <v>365</v>
      </c>
      <c r="D1482" s="14" t="s">
        <v>366</v>
      </c>
      <c r="E1482" s="14" t="s">
        <v>342</v>
      </c>
      <c r="F1482" s="14" t="s">
        <v>343</v>
      </c>
      <c r="G1482" s="14" t="s">
        <v>343</v>
      </c>
      <c r="H1482" s="14" t="s">
        <v>343</v>
      </c>
      <c r="U1482" s="14">
        <v>0.94</v>
      </c>
      <c r="V1482" s="14">
        <v>0.94</v>
      </c>
      <c r="W1482" s="14">
        <v>0.94</v>
      </c>
      <c r="X1482" s="14">
        <v>0.94</v>
      </c>
    </row>
    <row r="1483" spans="1:24" hidden="1" x14ac:dyDescent="0.3">
      <c r="A1483" s="14" t="s">
        <v>421</v>
      </c>
      <c r="B1483" s="14" t="s">
        <v>81</v>
      </c>
      <c r="C1483" s="14" t="s">
        <v>365</v>
      </c>
      <c r="D1483" s="14" t="s">
        <v>366</v>
      </c>
      <c r="E1483" s="14" t="s">
        <v>344</v>
      </c>
      <c r="F1483" s="14" t="s">
        <v>343</v>
      </c>
      <c r="G1483" s="14" t="s">
        <v>343</v>
      </c>
      <c r="H1483" s="14" t="s">
        <v>343</v>
      </c>
      <c r="U1483" s="14">
        <v>1</v>
      </c>
      <c r="V1483" s="14">
        <v>1</v>
      </c>
      <c r="W1483" s="14">
        <v>1</v>
      </c>
      <c r="X1483" s="14">
        <v>1</v>
      </c>
    </row>
    <row r="1484" spans="1:24" hidden="1" x14ac:dyDescent="0.3">
      <c r="A1484" s="14" t="s">
        <v>421</v>
      </c>
      <c r="B1484" s="14" t="s">
        <v>81</v>
      </c>
      <c r="C1484" s="14" t="s">
        <v>367</v>
      </c>
      <c r="D1484" s="14" t="s">
        <v>368</v>
      </c>
      <c r="E1484" s="14" t="s">
        <v>342</v>
      </c>
      <c r="F1484" s="14" t="s">
        <v>343</v>
      </c>
      <c r="G1484" s="14" t="s">
        <v>343</v>
      </c>
      <c r="H1484" s="14" t="s">
        <v>343</v>
      </c>
      <c r="I1484" s="14">
        <v>0.67</v>
      </c>
      <c r="J1484" s="14">
        <v>0.67</v>
      </c>
      <c r="K1484" s="14">
        <v>0.68</v>
      </c>
      <c r="L1484" s="14">
        <v>0.68</v>
      </c>
      <c r="M1484" s="14">
        <v>0.68</v>
      </c>
      <c r="N1484" s="14">
        <v>0.68</v>
      </c>
      <c r="O1484" s="14">
        <v>0.68</v>
      </c>
      <c r="P1484" s="14">
        <v>0.68</v>
      </c>
      <c r="Q1484" s="14">
        <v>0.67</v>
      </c>
      <c r="R1484" s="14">
        <v>0.69</v>
      </c>
      <c r="S1484" s="14">
        <v>0.69</v>
      </c>
      <c r="T1484" s="14">
        <v>0.69</v>
      </c>
      <c r="U1484" s="14">
        <v>0.69</v>
      </c>
      <c r="V1484" s="14">
        <v>0.71</v>
      </c>
      <c r="W1484" s="14">
        <v>0.71</v>
      </c>
      <c r="X1484" s="14">
        <v>0.63</v>
      </c>
    </row>
    <row r="1485" spans="1:24" hidden="1" x14ac:dyDescent="0.3">
      <c r="A1485" s="14" t="s">
        <v>421</v>
      </c>
      <c r="B1485" s="14" t="s">
        <v>81</v>
      </c>
      <c r="C1485" s="14" t="s">
        <v>367</v>
      </c>
      <c r="D1485" s="14" t="s">
        <v>368</v>
      </c>
      <c r="E1485" s="14" t="s">
        <v>344</v>
      </c>
      <c r="F1485" s="14" t="s">
        <v>343</v>
      </c>
      <c r="G1485" s="14" t="s">
        <v>343</v>
      </c>
      <c r="H1485" s="14" t="s">
        <v>343</v>
      </c>
      <c r="I1485" s="14">
        <v>53</v>
      </c>
      <c r="J1485" s="14">
        <v>64</v>
      </c>
      <c r="K1485" s="14">
        <v>69</v>
      </c>
      <c r="L1485" s="14">
        <v>74</v>
      </c>
      <c r="M1485" s="14">
        <v>65</v>
      </c>
      <c r="N1485" s="14">
        <v>75</v>
      </c>
      <c r="O1485" s="14">
        <v>73</v>
      </c>
      <c r="P1485" s="14">
        <v>83</v>
      </c>
      <c r="Q1485" s="14">
        <v>96</v>
      </c>
      <c r="R1485" s="14">
        <v>81</v>
      </c>
      <c r="S1485" s="14">
        <v>77</v>
      </c>
      <c r="T1485" s="14">
        <v>88</v>
      </c>
      <c r="U1485" s="14">
        <v>82</v>
      </c>
      <c r="V1485" s="14">
        <v>78</v>
      </c>
      <c r="W1485" s="14">
        <v>78</v>
      </c>
      <c r="X1485" s="14">
        <v>133</v>
      </c>
    </row>
    <row r="1486" spans="1:24" hidden="1" x14ac:dyDescent="0.3">
      <c r="A1486" s="14" t="s">
        <v>421</v>
      </c>
      <c r="B1486" s="14" t="s">
        <v>81</v>
      </c>
      <c r="C1486" s="14" t="s">
        <v>369</v>
      </c>
      <c r="D1486" s="14" t="s">
        <v>370</v>
      </c>
      <c r="E1486" s="14" t="s">
        <v>342</v>
      </c>
      <c r="F1486" s="14" t="s">
        <v>343</v>
      </c>
      <c r="G1486" s="14" t="s">
        <v>343</v>
      </c>
      <c r="H1486" s="14" t="s">
        <v>343</v>
      </c>
      <c r="I1486" s="14">
        <v>0.09</v>
      </c>
      <c r="J1486" s="14">
        <v>0.09</v>
      </c>
      <c r="K1486" s="14">
        <v>0.09</v>
      </c>
      <c r="L1486" s="14">
        <v>0.09</v>
      </c>
      <c r="M1486" s="14">
        <v>0.14000000000000001</v>
      </c>
      <c r="N1486" s="14">
        <v>0.14000000000000001</v>
      </c>
      <c r="O1486" s="14">
        <v>0.13</v>
      </c>
      <c r="P1486" s="14">
        <v>0.13</v>
      </c>
      <c r="Q1486" s="14">
        <v>0.09</v>
      </c>
      <c r="R1486" s="14">
        <v>0.13</v>
      </c>
      <c r="S1486" s="14">
        <v>0.13</v>
      </c>
      <c r="T1486" s="14">
        <v>0.13</v>
      </c>
      <c r="U1486" s="14">
        <v>0.14000000000000001</v>
      </c>
      <c r="V1486" s="14">
        <v>0.19</v>
      </c>
      <c r="W1486" s="14">
        <v>0.2</v>
      </c>
      <c r="X1486" s="14">
        <v>0.09</v>
      </c>
    </row>
    <row r="1487" spans="1:24" hidden="1" x14ac:dyDescent="0.3">
      <c r="A1487" s="14" t="s">
        <v>421</v>
      </c>
      <c r="B1487" s="14" t="s">
        <v>81</v>
      </c>
      <c r="C1487" s="14" t="s">
        <v>369</v>
      </c>
      <c r="D1487" s="14" t="s">
        <v>370</v>
      </c>
      <c r="E1487" s="14" t="s">
        <v>344</v>
      </c>
      <c r="F1487" s="14" t="s">
        <v>343</v>
      </c>
      <c r="G1487" s="14" t="s">
        <v>343</v>
      </c>
      <c r="H1487" s="14" t="s">
        <v>343</v>
      </c>
      <c r="I1487" s="14">
        <v>70</v>
      </c>
      <c r="J1487" s="14">
        <v>78</v>
      </c>
      <c r="K1487" s="14">
        <v>88</v>
      </c>
      <c r="L1487" s="14">
        <v>91</v>
      </c>
      <c r="M1487" s="14">
        <v>59</v>
      </c>
      <c r="N1487" s="14">
        <v>60</v>
      </c>
      <c r="O1487" s="14">
        <v>76</v>
      </c>
      <c r="P1487" s="14">
        <v>79</v>
      </c>
      <c r="Q1487" s="14">
        <v>109</v>
      </c>
      <c r="R1487" s="14">
        <v>83</v>
      </c>
      <c r="S1487" s="14">
        <v>85</v>
      </c>
      <c r="T1487" s="14">
        <v>91</v>
      </c>
      <c r="U1487" s="14">
        <v>87</v>
      </c>
      <c r="V1487" s="14">
        <v>77</v>
      </c>
      <c r="W1487" s="14">
        <v>73</v>
      </c>
      <c r="X1487" s="14">
        <v>128</v>
      </c>
    </row>
    <row r="1488" spans="1:24" hidden="1" x14ac:dyDescent="0.3">
      <c r="A1488" s="14" t="s">
        <v>421</v>
      </c>
      <c r="B1488" s="14" t="s">
        <v>81</v>
      </c>
      <c r="C1488" s="14" t="s">
        <v>371</v>
      </c>
      <c r="D1488" s="14" t="s">
        <v>372</v>
      </c>
      <c r="E1488" s="14" t="s">
        <v>342</v>
      </c>
      <c r="F1488" s="14" t="s">
        <v>343</v>
      </c>
      <c r="G1488" s="14" t="s">
        <v>343</v>
      </c>
      <c r="H1488" s="14" t="s">
        <v>343</v>
      </c>
      <c r="U1488" s="14">
        <v>0</v>
      </c>
      <c r="V1488" s="14">
        <v>0</v>
      </c>
      <c r="W1488" s="14">
        <v>0</v>
      </c>
      <c r="X1488" s="14">
        <v>0</v>
      </c>
    </row>
    <row r="1489" spans="1:24" hidden="1" x14ac:dyDescent="0.3">
      <c r="A1489" s="14" t="s">
        <v>421</v>
      </c>
      <c r="B1489" s="14" t="s">
        <v>81</v>
      </c>
      <c r="C1489" s="14" t="s">
        <v>371</v>
      </c>
      <c r="D1489" s="14" t="s">
        <v>372</v>
      </c>
      <c r="E1489" s="14" t="s">
        <v>344</v>
      </c>
      <c r="F1489" s="14" t="s">
        <v>343</v>
      </c>
      <c r="G1489" s="14" t="s">
        <v>343</v>
      </c>
      <c r="H1489" s="14" t="s">
        <v>343</v>
      </c>
      <c r="U1489" s="14">
        <v>71</v>
      </c>
      <c r="V1489" s="14">
        <v>73</v>
      </c>
      <c r="W1489" s="14">
        <v>76</v>
      </c>
      <c r="X1489" s="14">
        <v>78</v>
      </c>
    </row>
    <row r="1490" spans="1:24" hidden="1" x14ac:dyDescent="0.3">
      <c r="A1490" s="14" t="s">
        <v>421</v>
      </c>
      <c r="B1490" s="14" t="s">
        <v>81</v>
      </c>
      <c r="C1490" s="14" t="s">
        <v>373</v>
      </c>
      <c r="D1490" s="14" t="s">
        <v>374</v>
      </c>
      <c r="E1490" s="14" t="s">
        <v>342</v>
      </c>
      <c r="F1490" s="14" t="s">
        <v>343</v>
      </c>
      <c r="G1490" s="14" t="s">
        <v>343</v>
      </c>
      <c r="H1490" s="14" t="s">
        <v>343</v>
      </c>
      <c r="U1490" s="14">
        <v>0.21</v>
      </c>
      <c r="V1490" s="14">
        <v>0.4</v>
      </c>
      <c r="W1490" s="14">
        <v>0.44</v>
      </c>
      <c r="X1490" s="14">
        <v>0.15</v>
      </c>
    </row>
    <row r="1491" spans="1:24" hidden="1" x14ac:dyDescent="0.3">
      <c r="A1491" s="14" t="s">
        <v>421</v>
      </c>
      <c r="B1491" s="14" t="s">
        <v>81</v>
      </c>
      <c r="C1491" s="14" t="s">
        <v>373</v>
      </c>
      <c r="D1491" s="14" t="s">
        <v>374</v>
      </c>
      <c r="E1491" s="14" t="s">
        <v>344</v>
      </c>
      <c r="F1491" s="14" t="s">
        <v>343</v>
      </c>
      <c r="G1491" s="14" t="s">
        <v>343</v>
      </c>
      <c r="H1491" s="14" t="s">
        <v>343</v>
      </c>
      <c r="U1491" s="14">
        <v>80</v>
      </c>
      <c r="V1491" s="14">
        <v>43</v>
      </c>
      <c r="W1491" s="14">
        <v>50</v>
      </c>
      <c r="X1491" s="14">
        <v>110</v>
      </c>
    </row>
    <row r="1492" spans="1:24" hidden="1" x14ac:dyDescent="0.3">
      <c r="A1492" s="14" t="s">
        <v>421</v>
      </c>
      <c r="B1492" s="14" t="s">
        <v>81</v>
      </c>
      <c r="C1492" s="14" t="s">
        <v>375</v>
      </c>
      <c r="D1492" s="14" t="s">
        <v>376</v>
      </c>
      <c r="E1492" s="14" t="s">
        <v>342</v>
      </c>
      <c r="F1492" s="14" t="s">
        <v>343</v>
      </c>
      <c r="G1492" s="14" t="s">
        <v>343</v>
      </c>
      <c r="H1492" s="14" t="s">
        <v>343</v>
      </c>
      <c r="U1492" s="14">
        <v>0.28000000000000003</v>
      </c>
      <c r="V1492" s="14">
        <v>0.28999999999999998</v>
      </c>
      <c r="W1492" s="14">
        <v>0.3</v>
      </c>
      <c r="X1492" s="14">
        <v>0.17</v>
      </c>
    </row>
    <row r="1493" spans="1:24" hidden="1" x14ac:dyDescent="0.3">
      <c r="A1493" s="14" t="s">
        <v>421</v>
      </c>
      <c r="B1493" s="14" t="s">
        <v>81</v>
      </c>
      <c r="C1493" s="14" t="s">
        <v>375</v>
      </c>
      <c r="D1493" s="14" t="s">
        <v>376</v>
      </c>
      <c r="E1493" s="14" t="s">
        <v>344</v>
      </c>
      <c r="F1493" s="14" t="s">
        <v>343</v>
      </c>
      <c r="G1493" s="14" t="s">
        <v>343</v>
      </c>
      <c r="H1493" s="14" t="s">
        <v>343</v>
      </c>
      <c r="U1493" s="14">
        <v>71</v>
      </c>
      <c r="V1493" s="14">
        <v>74</v>
      </c>
      <c r="W1493" s="14">
        <v>82</v>
      </c>
      <c r="X1493" s="14">
        <v>122</v>
      </c>
    </row>
    <row r="1494" spans="1:24" hidden="1" x14ac:dyDescent="0.3">
      <c r="A1494" s="14" t="s">
        <v>422</v>
      </c>
      <c r="B1494" s="14" t="s">
        <v>105</v>
      </c>
      <c r="C1494" s="14" t="s">
        <v>340</v>
      </c>
      <c r="D1494" s="14" t="s">
        <v>341</v>
      </c>
      <c r="E1494" s="14" t="s">
        <v>342</v>
      </c>
      <c r="F1494" s="14" t="s">
        <v>343</v>
      </c>
      <c r="G1494" s="14" t="s">
        <v>343</v>
      </c>
      <c r="H1494" s="14" t="s">
        <v>343</v>
      </c>
      <c r="I1494" s="14">
        <v>1</v>
      </c>
      <c r="J1494" s="14">
        <v>1</v>
      </c>
      <c r="K1494" s="14">
        <v>1</v>
      </c>
      <c r="L1494" s="14">
        <v>1</v>
      </c>
      <c r="M1494" s="14">
        <v>0.99</v>
      </c>
      <c r="N1494" s="14">
        <v>0.99</v>
      </c>
      <c r="O1494" s="14">
        <v>0.98</v>
      </c>
      <c r="P1494" s="14">
        <v>0.98</v>
      </c>
      <c r="Q1494" s="14">
        <v>1</v>
      </c>
      <c r="R1494" s="14">
        <v>0.99</v>
      </c>
      <c r="S1494" s="14">
        <v>0.97</v>
      </c>
      <c r="T1494" s="14">
        <v>0.97</v>
      </c>
      <c r="U1494" s="14">
        <v>0.98</v>
      </c>
      <c r="V1494" s="14">
        <v>0.97</v>
      </c>
      <c r="W1494" s="14">
        <v>1</v>
      </c>
      <c r="X1494" s="14">
        <v>0.99</v>
      </c>
    </row>
    <row r="1495" spans="1:24" hidden="1" x14ac:dyDescent="0.3">
      <c r="A1495" s="14" t="s">
        <v>422</v>
      </c>
      <c r="B1495" s="14" t="s">
        <v>105</v>
      </c>
      <c r="C1495" s="14" t="s">
        <v>340</v>
      </c>
      <c r="D1495" s="14" t="s">
        <v>341</v>
      </c>
      <c r="E1495" s="14" t="s">
        <v>344</v>
      </c>
      <c r="F1495" s="14" t="s">
        <v>343</v>
      </c>
      <c r="G1495" s="14" t="s">
        <v>343</v>
      </c>
      <c r="H1495" s="14" t="s">
        <v>343</v>
      </c>
      <c r="I1495" s="14">
        <v>31</v>
      </c>
      <c r="J1495" s="14">
        <v>35</v>
      </c>
      <c r="K1495" s="14">
        <v>49</v>
      </c>
      <c r="L1495" s="14">
        <v>49</v>
      </c>
      <c r="M1495" s="14">
        <v>51</v>
      </c>
      <c r="N1495" s="14">
        <v>50</v>
      </c>
      <c r="O1495" s="14">
        <v>83</v>
      </c>
      <c r="P1495" s="14">
        <v>86</v>
      </c>
      <c r="Q1495" s="14">
        <v>34</v>
      </c>
      <c r="R1495" s="14">
        <v>88</v>
      </c>
      <c r="S1495" s="14">
        <v>100</v>
      </c>
      <c r="T1495" s="14">
        <v>98</v>
      </c>
      <c r="U1495" s="14">
        <v>97</v>
      </c>
      <c r="V1495" s="14">
        <v>103</v>
      </c>
      <c r="W1495" s="14">
        <v>55</v>
      </c>
      <c r="X1495" s="14">
        <v>81</v>
      </c>
    </row>
    <row r="1496" spans="1:24" hidden="1" x14ac:dyDescent="0.3">
      <c r="A1496" s="14" t="s">
        <v>422</v>
      </c>
      <c r="B1496" s="14" t="s">
        <v>105</v>
      </c>
      <c r="C1496" s="14" t="s">
        <v>345</v>
      </c>
      <c r="D1496" s="14" t="s">
        <v>346</v>
      </c>
      <c r="E1496" s="14" t="s">
        <v>342</v>
      </c>
      <c r="F1496" s="14" t="s">
        <v>343</v>
      </c>
      <c r="G1496" s="14" t="s">
        <v>343</v>
      </c>
      <c r="H1496" s="14" t="s">
        <v>343</v>
      </c>
      <c r="U1496" s="14">
        <v>0.68</v>
      </c>
      <c r="V1496" s="14">
        <v>0.7</v>
      </c>
      <c r="W1496" s="14">
        <v>0.7</v>
      </c>
      <c r="X1496" s="14">
        <v>0.73</v>
      </c>
    </row>
    <row r="1497" spans="1:24" hidden="1" x14ac:dyDescent="0.3">
      <c r="A1497" s="14" t="s">
        <v>422</v>
      </c>
      <c r="B1497" s="14" t="s">
        <v>105</v>
      </c>
      <c r="C1497" s="14" t="s">
        <v>345</v>
      </c>
      <c r="D1497" s="14" t="s">
        <v>346</v>
      </c>
      <c r="E1497" s="14" t="s">
        <v>344</v>
      </c>
      <c r="F1497" s="14" t="s">
        <v>343</v>
      </c>
      <c r="G1497" s="14" t="s">
        <v>343</v>
      </c>
      <c r="H1497" s="14" t="s">
        <v>343</v>
      </c>
      <c r="U1497" s="14">
        <v>38</v>
      </c>
      <c r="V1497" s="14">
        <v>41</v>
      </c>
      <c r="W1497" s="14">
        <v>44</v>
      </c>
      <c r="X1497" s="14">
        <v>29</v>
      </c>
    </row>
    <row r="1498" spans="1:24" hidden="1" x14ac:dyDescent="0.3">
      <c r="A1498" s="14" t="s">
        <v>422</v>
      </c>
      <c r="B1498" s="14" t="s">
        <v>105</v>
      </c>
      <c r="C1498" s="14" t="s">
        <v>347</v>
      </c>
      <c r="D1498" s="14" t="s">
        <v>348</v>
      </c>
      <c r="E1498" s="14" t="s">
        <v>342</v>
      </c>
      <c r="F1498" s="14" t="s">
        <v>343</v>
      </c>
      <c r="G1498" s="14" t="s">
        <v>343</v>
      </c>
      <c r="H1498" s="14" t="s">
        <v>343</v>
      </c>
      <c r="U1498" s="14">
        <v>0.9</v>
      </c>
      <c r="V1498" s="14">
        <v>0.9</v>
      </c>
      <c r="W1498" s="14">
        <v>0.9</v>
      </c>
      <c r="X1498" s="14">
        <v>0.86</v>
      </c>
    </row>
    <row r="1499" spans="1:24" hidden="1" x14ac:dyDescent="0.3">
      <c r="A1499" s="14" t="s">
        <v>422</v>
      </c>
      <c r="B1499" s="14" t="s">
        <v>105</v>
      </c>
      <c r="C1499" s="14" t="s">
        <v>347</v>
      </c>
      <c r="D1499" s="14" t="s">
        <v>348</v>
      </c>
      <c r="E1499" s="14" t="s">
        <v>344</v>
      </c>
      <c r="F1499" s="14" t="s">
        <v>343</v>
      </c>
      <c r="G1499" s="14" t="s">
        <v>343</v>
      </c>
      <c r="H1499" s="14" t="s">
        <v>343</v>
      </c>
      <c r="U1499" s="14">
        <v>40</v>
      </c>
      <c r="V1499" s="14">
        <v>38</v>
      </c>
      <c r="W1499" s="14">
        <v>42</v>
      </c>
      <c r="X1499" s="14">
        <v>42</v>
      </c>
    </row>
    <row r="1500" spans="1:24" hidden="1" x14ac:dyDescent="0.3">
      <c r="A1500" s="14" t="s">
        <v>422</v>
      </c>
      <c r="B1500" s="14" t="s">
        <v>105</v>
      </c>
      <c r="C1500" s="14" t="s">
        <v>349</v>
      </c>
      <c r="D1500" s="14" t="s">
        <v>350</v>
      </c>
      <c r="E1500" s="14" t="s">
        <v>342</v>
      </c>
      <c r="F1500" s="14" t="s">
        <v>343</v>
      </c>
      <c r="G1500" s="14" t="s">
        <v>343</v>
      </c>
      <c r="H1500" s="14" t="s">
        <v>343</v>
      </c>
      <c r="U1500" s="14">
        <v>0.41</v>
      </c>
      <c r="V1500" s="14">
        <v>0.42</v>
      </c>
      <c r="W1500" s="14">
        <v>0.42</v>
      </c>
      <c r="X1500" s="14">
        <v>0.39</v>
      </c>
    </row>
    <row r="1501" spans="1:24" hidden="1" x14ac:dyDescent="0.3">
      <c r="A1501" s="14" t="s">
        <v>422</v>
      </c>
      <c r="B1501" s="14" t="s">
        <v>105</v>
      </c>
      <c r="C1501" s="14" t="s">
        <v>349</v>
      </c>
      <c r="D1501" s="14" t="s">
        <v>350</v>
      </c>
      <c r="E1501" s="14" t="s">
        <v>344</v>
      </c>
      <c r="F1501" s="14" t="s">
        <v>343</v>
      </c>
      <c r="G1501" s="14" t="s">
        <v>343</v>
      </c>
      <c r="H1501" s="14" t="s">
        <v>343</v>
      </c>
      <c r="U1501" s="14">
        <v>87</v>
      </c>
      <c r="V1501" s="14">
        <v>89</v>
      </c>
      <c r="W1501" s="14">
        <v>94</v>
      </c>
      <c r="X1501" s="14">
        <v>94</v>
      </c>
    </row>
    <row r="1502" spans="1:24" hidden="1" x14ac:dyDescent="0.3">
      <c r="A1502" s="14" t="s">
        <v>422</v>
      </c>
      <c r="B1502" s="14" t="s">
        <v>105</v>
      </c>
      <c r="C1502" s="14" t="s">
        <v>351</v>
      </c>
      <c r="D1502" s="14" t="s">
        <v>352</v>
      </c>
      <c r="E1502" s="14" t="s">
        <v>342</v>
      </c>
      <c r="F1502" s="14" t="s">
        <v>343</v>
      </c>
      <c r="G1502" s="14" t="s">
        <v>343</v>
      </c>
      <c r="H1502" s="14" t="s">
        <v>343</v>
      </c>
      <c r="U1502" s="14">
        <v>1</v>
      </c>
      <c r="V1502" s="14">
        <v>1</v>
      </c>
      <c r="W1502" s="14">
        <v>1</v>
      </c>
      <c r="X1502" s="14">
        <v>1</v>
      </c>
    </row>
    <row r="1503" spans="1:24" hidden="1" x14ac:dyDescent="0.3">
      <c r="A1503" s="14" t="s">
        <v>422</v>
      </c>
      <c r="B1503" s="14" t="s">
        <v>105</v>
      </c>
      <c r="C1503" s="14" t="s">
        <v>351</v>
      </c>
      <c r="D1503" s="14" t="s">
        <v>352</v>
      </c>
      <c r="E1503" s="14" t="s">
        <v>344</v>
      </c>
      <c r="F1503" s="14" t="s">
        <v>343</v>
      </c>
      <c r="G1503" s="14" t="s">
        <v>343</v>
      </c>
      <c r="H1503" s="14" t="s">
        <v>343</v>
      </c>
      <c r="U1503" s="14">
        <v>1</v>
      </c>
      <c r="V1503" s="14">
        <v>1</v>
      </c>
      <c r="W1503" s="14">
        <v>1</v>
      </c>
      <c r="X1503" s="14">
        <v>67</v>
      </c>
    </row>
    <row r="1504" spans="1:24" hidden="1" x14ac:dyDescent="0.3">
      <c r="A1504" s="14" t="s">
        <v>422</v>
      </c>
      <c r="B1504" s="14" t="s">
        <v>105</v>
      </c>
      <c r="C1504" s="14" t="s">
        <v>378</v>
      </c>
      <c r="D1504" s="14" t="s">
        <v>379</v>
      </c>
      <c r="E1504" s="14" t="s">
        <v>342</v>
      </c>
      <c r="F1504" s="14" t="s">
        <v>343</v>
      </c>
      <c r="G1504" s="14" t="s">
        <v>343</v>
      </c>
      <c r="H1504" s="14" t="s">
        <v>343</v>
      </c>
      <c r="S1504" s="14">
        <v>0.59</v>
      </c>
      <c r="U1504" s="14">
        <v>0.72</v>
      </c>
      <c r="V1504" s="14">
        <v>0.67</v>
      </c>
      <c r="W1504" s="14">
        <v>0.61</v>
      </c>
      <c r="X1504" s="14">
        <v>0.59</v>
      </c>
    </row>
    <row r="1505" spans="1:24" hidden="1" x14ac:dyDescent="0.3">
      <c r="A1505" s="14" t="s">
        <v>422</v>
      </c>
      <c r="B1505" s="14" t="s">
        <v>105</v>
      </c>
      <c r="C1505" s="14" t="s">
        <v>378</v>
      </c>
      <c r="D1505" s="14" t="s">
        <v>379</v>
      </c>
      <c r="E1505" s="14" t="s">
        <v>344</v>
      </c>
      <c r="F1505" s="14" t="s">
        <v>343</v>
      </c>
      <c r="G1505" s="14" t="s">
        <v>343</v>
      </c>
      <c r="H1505" s="14" t="s">
        <v>343</v>
      </c>
      <c r="S1505" s="14">
        <v>95</v>
      </c>
      <c r="U1505" s="14">
        <v>33</v>
      </c>
      <c r="V1505" s="14">
        <v>68</v>
      </c>
      <c r="W1505" s="14">
        <v>97</v>
      </c>
      <c r="X1505" s="14">
        <v>105</v>
      </c>
    </row>
    <row r="1506" spans="1:24" hidden="1" x14ac:dyDescent="0.3">
      <c r="A1506" s="14" t="s">
        <v>422</v>
      </c>
      <c r="B1506" s="14" t="s">
        <v>105</v>
      </c>
      <c r="C1506" s="14" t="s">
        <v>353</v>
      </c>
      <c r="D1506" s="14" t="s">
        <v>354</v>
      </c>
      <c r="E1506" s="14" t="s">
        <v>342</v>
      </c>
      <c r="F1506" s="14" t="s">
        <v>343</v>
      </c>
      <c r="G1506" s="14" t="s">
        <v>343</v>
      </c>
      <c r="H1506" s="14" t="s">
        <v>343</v>
      </c>
      <c r="U1506" s="14">
        <v>1</v>
      </c>
      <c r="V1506" s="14">
        <v>1</v>
      </c>
      <c r="W1506" s="14">
        <v>1</v>
      </c>
      <c r="X1506" s="14">
        <v>1</v>
      </c>
    </row>
    <row r="1507" spans="1:24" hidden="1" x14ac:dyDescent="0.3">
      <c r="A1507" s="14" t="s">
        <v>422</v>
      </c>
      <c r="B1507" s="14" t="s">
        <v>105</v>
      </c>
      <c r="C1507" s="14" t="s">
        <v>353</v>
      </c>
      <c r="D1507" s="14" t="s">
        <v>354</v>
      </c>
      <c r="E1507" s="14" t="s">
        <v>344</v>
      </c>
      <c r="F1507" s="14" t="s">
        <v>343</v>
      </c>
      <c r="G1507" s="14" t="s">
        <v>343</v>
      </c>
      <c r="H1507" s="14" t="s">
        <v>343</v>
      </c>
      <c r="U1507" s="14">
        <v>1</v>
      </c>
      <c r="V1507" s="14">
        <v>1</v>
      </c>
      <c r="W1507" s="14">
        <v>1</v>
      </c>
      <c r="X1507" s="14">
        <v>1</v>
      </c>
    </row>
    <row r="1508" spans="1:24" hidden="1" x14ac:dyDescent="0.3">
      <c r="A1508" s="14" t="s">
        <v>422</v>
      </c>
      <c r="B1508" s="14" t="s">
        <v>105</v>
      </c>
      <c r="C1508" s="14" t="s">
        <v>380</v>
      </c>
      <c r="D1508" s="14" t="s">
        <v>381</v>
      </c>
      <c r="E1508" s="14" t="s">
        <v>342</v>
      </c>
      <c r="F1508" s="14" t="s">
        <v>343</v>
      </c>
      <c r="G1508" s="14" t="s">
        <v>343</v>
      </c>
      <c r="H1508" s="14" t="s">
        <v>343</v>
      </c>
      <c r="V1508" s="14">
        <v>1</v>
      </c>
      <c r="W1508" s="14">
        <v>1</v>
      </c>
      <c r="X1508" s="14">
        <v>1</v>
      </c>
    </row>
    <row r="1509" spans="1:24" hidden="1" x14ac:dyDescent="0.3">
      <c r="A1509" s="14" t="s">
        <v>422</v>
      </c>
      <c r="B1509" s="14" t="s">
        <v>105</v>
      </c>
      <c r="C1509" s="14" t="s">
        <v>380</v>
      </c>
      <c r="D1509" s="14" t="s">
        <v>381</v>
      </c>
      <c r="E1509" s="14" t="s">
        <v>344</v>
      </c>
      <c r="F1509" s="14" t="s">
        <v>343</v>
      </c>
      <c r="G1509" s="14" t="s">
        <v>343</v>
      </c>
      <c r="H1509" s="14" t="s">
        <v>343</v>
      </c>
      <c r="V1509" s="14">
        <v>1</v>
      </c>
      <c r="W1509" s="14">
        <v>1</v>
      </c>
      <c r="X1509" s="14">
        <v>1</v>
      </c>
    </row>
    <row r="1510" spans="1:24" hidden="1" x14ac:dyDescent="0.3">
      <c r="A1510" s="14" t="s">
        <v>422</v>
      </c>
      <c r="B1510" s="14" t="s">
        <v>105</v>
      </c>
      <c r="C1510" s="14" t="s">
        <v>355</v>
      </c>
      <c r="D1510" s="14" t="s">
        <v>356</v>
      </c>
      <c r="E1510" s="14" t="s">
        <v>342</v>
      </c>
      <c r="F1510" s="14" t="s">
        <v>343</v>
      </c>
      <c r="G1510" s="14" t="s">
        <v>343</v>
      </c>
      <c r="H1510" s="14" t="s">
        <v>343</v>
      </c>
      <c r="U1510" s="14">
        <v>0.94</v>
      </c>
      <c r="V1510" s="14">
        <v>0.88</v>
      </c>
      <c r="W1510" s="14">
        <v>0.99</v>
      </c>
      <c r="X1510" s="14">
        <v>0.95</v>
      </c>
    </row>
    <row r="1511" spans="1:24" hidden="1" x14ac:dyDescent="0.3">
      <c r="A1511" s="14" t="s">
        <v>422</v>
      </c>
      <c r="B1511" s="14" t="s">
        <v>105</v>
      </c>
      <c r="C1511" s="14" t="s">
        <v>355</v>
      </c>
      <c r="D1511" s="14" t="s">
        <v>356</v>
      </c>
      <c r="E1511" s="14" t="s">
        <v>344</v>
      </c>
      <c r="F1511" s="14" t="s">
        <v>343</v>
      </c>
      <c r="G1511" s="14" t="s">
        <v>343</v>
      </c>
      <c r="H1511" s="14" t="s">
        <v>343</v>
      </c>
      <c r="U1511" s="14">
        <v>128</v>
      </c>
      <c r="V1511" s="14">
        <v>138</v>
      </c>
      <c r="W1511" s="14">
        <v>113</v>
      </c>
      <c r="X1511" s="14">
        <v>112</v>
      </c>
    </row>
    <row r="1512" spans="1:24" hidden="1" x14ac:dyDescent="0.3">
      <c r="A1512" s="14" t="s">
        <v>422</v>
      </c>
      <c r="B1512" s="14" t="s">
        <v>105</v>
      </c>
      <c r="C1512" s="14" t="s">
        <v>357</v>
      </c>
      <c r="D1512" s="14" t="s">
        <v>358</v>
      </c>
      <c r="E1512" s="14" t="s">
        <v>342</v>
      </c>
      <c r="F1512" s="14" t="s">
        <v>343</v>
      </c>
      <c r="G1512" s="14" t="s">
        <v>343</v>
      </c>
      <c r="H1512" s="14" t="s">
        <v>343</v>
      </c>
      <c r="U1512" s="14">
        <v>1</v>
      </c>
      <c r="V1512" s="14">
        <v>1</v>
      </c>
      <c r="W1512" s="14">
        <v>1</v>
      </c>
      <c r="X1512" s="14">
        <v>1</v>
      </c>
    </row>
    <row r="1513" spans="1:24" hidden="1" x14ac:dyDescent="0.3">
      <c r="A1513" s="14" t="s">
        <v>422</v>
      </c>
      <c r="B1513" s="14" t="s">
        <v>105</v>
      </c>
      <c r="C1513" s="14" t="s">
        <v>357</v>
      </c>
      <c r="D1513" s="14" t="s">
        <v>358</v>
      </c>
      <c r="E1513" s="14" t="s">
        <v>344</v>
      </c>
      <c r="F1513" s="14" t="s">
        <v>343</v>
      </c>
      <c r="G1513" s="14" t="s">
        <v>343</v>
      </c>
      <c r="H1513" s="14" t="s">
        <v>343</v>
      </c>
      <c r="U1513" s="14">
        <v>100</v>
      </c>
      <c r="V1513" s="14">
        <v>1</v>
      </c>
      <c r="W1513" s="14">
        <v>1</v>
      </c>
      <c r="X1513" s="14">
        <v>1</v>
      </c>
    </row>
    <row r="1514" spans="1:24" hidden="1" x14ac:dyDescent="0.3">
      <c r="A1514" s="14" t="s">
        <v>422</v>
      </c>
      <c r="B1514" s="14" t="s">
        <v>105</v>
      </c>
      <c r="C1514" s="14" t="s">
        <v>359</v>
      </c>
      <c r="D1514" s="14" t="s">
        <v>360</v>
      </c>
      <c r="E1514" s="14" t="s">
        <v>342</v>
      </c>
      <c r="F1514" s="14" t="s">
        <v>343</v>
      </c>
      <c r="G1514" s="14" t="s">
        <v>343</v>
      </c>
      <c r="H1514" s="14" t="s">
        <v>343</v>
      </c>
      <c r="I1514" s="14">
        <v>0.67</v>
      </c>
      <c r="J1514" s="14">
        <v>0.7</v>
      </c>
      <c r="K1514" s="14">
        <v>0.69</v>
      </c>
      <c r="L1514" s="14">
        <v>0.7</v>
      </c>
      <c r="M1514" s="14">
        <v>0.71</v>
      </c>
      <c r="N1514" s="14">
        <v>0.73</v>
      </c>
      <c r="O1514" s="14">
        <v>0.74</v>
      </c>
      <c r="P1514" s="14">
        <v>0.71</v>
      </c>
      <c r="Q1514" s="14">
        <v>0.74</v>
      </c>
      <c r="R1514" s="14">
        <v>0.74</v>
      </c>
      <c r="S1514" s="14">
        <v>0.69</v>
      </c>
      <c r="T1514" s="14">
        <v>0.72</v>
      </c>
      <c r="U1514" s="14">
        <v>0.73</v>
      </c>
      <c r="V1514" s="14">
        <v>0.72</v>
      </c>
      <c r="W1514" s="14">
        <v>0.71</v>
      </c>
      <c r="X1514" s="14">
        <v>0.7</v>
      </c>
    </row>
    <row r="1515" spans="1:24" hidden="1" x14ac:dyDescent="0.3">
      <c r="A1515" s="14" t="s">
        <v>422</v>
      </c>
      <c r="B1515" s="14" t="s">
        <v>105</v>
      </c>
      <c r="C1515" s="14" t="s">
        <v>359</v>
      </c>
      <c r="D1515" s="14" t="s">
        <v>360</v>
      </c>
      <c r="E1515" s="14" t="s">
        <v>344</v>
      </c>
      <c r="F1515" s="14" t="s">
        <v>343</v>
      </c>
      <c r="G1515" s="14" t="s">
        <v>343</v>
      </c>
      <c r="H1515" s="14" t="s">
        <v>343</v>
      </c>
      <c r="I1515" s="14">
        <v>32</v>
      </c>
      <c r="J1515" s="14">
        <v>29</v>
      </c>
      <c r="K1515" s="14">
        <v>45</v>
      </c>
      <c r="L1515" s="14">
        <v>37</v>
      </c>
      <c r="M1515" s="14">
        <v>37</v>
      </c>
      <c r="N1515" s="14">
        <v>32</v>
      </c>
      <c r="O1515" s="14">
        <v>31</v>
      </c>
      <c r="P1515" s="14">
        <v>46</v>
      </c>
      <c r="Q1515" s="14">
        <v>34</v>
      </c>
      <c r="R1515" s="14">
        <v>38</v>
      </c>
      <c r="S1515" s="14">
        <v>57</v>
      </c>
      <c r="T1515" s="14">
        <v>43</v>
      </c>
      <c r="U1515" s="14">
        <v>36</v>
      </c>
      <c r="V1515" s="14">
        <v>48</v>
      </c>
      <c r="W1515" s="14">
        <v>62</v>
      </c>
      <c r="X1515" s="14">
        <v>75</v>
      </c>
    </row>
    <row r="1516" spans="1:24" x14ac:dyDescent="0.3">
      <c r="A1516" s="14" t="s">
        <v>422</v>
      </c>
      <c r="B1516" s="14" t="s">
        <v>105</v>
      </c>
      <c r="C1516" s="14" t="s">
        <v>361</v>
      </c>
      <c r="D1516" s="14" t="s">
        <v>362</v>
      </c>
      <c r="E1516" s="14" t="s">
        <v>342</v>
      </c>
      <c r="F1516" s="14" t="s">
        <v>343</v>
      </c>
      <c r="G1516" s="14" t="s">
        <v>343</v>
      </c>
      <c r="H1516" s="14" t="s">
        <v>343</v>
      </c>
      <c r="I1516" s="14">
        <v>0.98</v>
      </c>
      <c r="J1516" s="14">
        <v>0.98</v>
      </c>
      <c r="K1516" s="14">
        <v>0.98</v>
      </c>
      <c r="L1516" s="14">
        <v>0.98</v>
      </c>
      <c r="M1516" s="14">
        <v>0.98</v>
      </c>
      <c r="N1516" s="14">
        <v>0.98</v>
      </c>
      <c r="O1516" s="14">
        <v>0.98</v>
      </c>
      <c r="P1516" s="14">
        <v>0.98</v>
      </c>
      <c r="Q1516" s="14">
        <v>0.97</v>
      </c>
      <c r="R1516" s="14">
        <v>0.98</v>
      </c>
      <c r="S1516" s="14">
        <v>0.98</v>
      </c>
      <c r="T1516" s="14">
        <v>0.98</v>
      </c>
      <c r="U1516" s="14">
        <v>0.97</v>
      </c>
      <c r="V1516" s="14">
        <v>0.97</v>
      </c>
      <c r="W1516" s="14">
        <v>0.97</v>
      </c>
      <c r="X1516" s="14">
        <v>0.97</v>
      </c>
    </row>
    <row r="1517" spans="1:24" hidden="1" x14ac:dyDescent="0.3">
      <c r="A1517" s="14" t="s">
        <v>422</v>
      </c>
      <c r="B1517" s="14" t="s">
        <v>105</v>
      </c>
      <c r="C1517" s="14" t="s">
        <v>361</v>
      </c>
      <c r="D1517" s="14" t="s">
        <v>362</v>
      </c>
      <c r="E1517" s="14" t="s">
        <v>344</v>
      </c>
      <c r="F1517" s="14" t="s">
        <v>343</v>
      </c>
      <c r="G1517" s="14" t="s">
        <v>343</v>
      </c>
      <c r="H1517" s="14" t="s">
        <v>343</v>
      </c>
      <c r="I1517" s="14">
        <v>36</v>
      </c>
      <c r="J1517" s="14">
        <v>56</v>
      </c>
      <c r="K1517" s="14">
        <v>57</v>
      </c>
      <c r="L1517" s="14">
        <v>60</v>
      </c>
      <c r="M1517" s="14">
        <v>47</v>
      </c>
      <c r="N1517" s="14">
        <v>49</v>
      </c>
      <c r="O1517" s="14">
        <v>52</v>
      </c>
      <c r="P1517" s="14">
        <v>49</v>
      </c>
      <c r="Q1517" s="14">
        <v>67</v>
      </c>
      <c r="R1517" s="14">
        <v>56</v>
      </c>
      <c r="S1517" s="14">
        <v>54</v>
      </c>
      <c r="T1517" s="14">
        <v>70</v>
      </c>
      <c r="U1517" s="14">
        <v>85</v>
      </c>
      <c r="V1517" s="14">
        <v>86</v>
      </c>
      <c r="W1517" s="14">
        <v>75</v>
      </c>
      <c r="X1517" s="14">
        <v>70</v>
      </c>
    </row>
    <row r="1518" spans="1:24" hidden="1" x14ac:dyDescent="0.3">
      <c r="A1518" s="14" t="s">
        <v>422</v>
      </c>
      <c r="B1518" s="14" t="s">
        <v>105</v>
      </c>
      <c r="C1518" s="14" t="s">
        <v>363</v>
      </c>
      <c r="D1518" s="14" t="s">
        <v>364</v>
      </c>
      <c r="E1518" s="14" t="s">
        <v>342</v>
      </c>
      <c r="F1518" s="14" t="s">
        <v>343</v>
      </c>
      <c r="G1518" s="14" t="s">
        <v>343</v>
      </c>
      <c r="H1518" s="14" t="s">
        <v>343</v>
      </c>
      <c r="U1518" s="14">
        <v>1.04</v>
      </c>
      <c r="V1518" s="14">
        <v>1.04</v>
      </c>
      <c r="W1518" s="14">
        <v>1.03</v>
      </c>
      <c r="X1518" s="14">
        <v>1.03</v>
      </c>
    </row>
    <row r="1519" spans="1:24" hidden="1" x14ac:dyDescent="0.3">
      <c r="A1519" s="14" t="s">
        <v>422</v>
      </c>
      <c r="B1519" s="14" t="s">
        <v>105</v>
      </c>
      <c r="C1519" s="14" t="s">
        <v>363</v>
      </c>
      <c r="D1519" s="14" t="s">
        <v>364</v>
      </c>
      <c r="E1519" s="14" t="s">
        <v>344</v>
      </c>
      <c r="F1519" s="14" t="s">
        <v>343</v>
      </c>
      <c r="G1519" s="14" t="s">
        <v>343</v>
      </c>
      <c r="H1519" s="14" t="s">
        <v>343</v>
      </c>
      <c r="U1519" s="14">
        <v>95</v>
      </c>
      <c r="V1519" s="14">
        <v>98</v>
      </c>
      <c r="W1519" s="14">
        <v>83</v>
      </c>
      <c r="X1519" s="14">
        <v>77</v>
      </c>
    </row>
    <row r="1520" spans="1:24" hidden="1" x14ac:dyDescent="0.3">
      <c r="A1520" s="14" t="s">
        <v>422</v>
      </c>
      <c r="B1520" s="14" t="s">
        <v>105</v>
      </c>
      <c r="C1520" s="14" t="s">
        <v>365</v>
      </c>
      <c r="D1520" s="14" t="s">
        <v>366</v>
      </c>
      <c r="E1520" s="14" t="s">
        <v>342</v>
      </c>
      <c r="F1520" s="14" t="s">
        <v>343</v>
      </c>
      <c r="G1520" s="14" t="s">
        <v>343</v>
      </c>
      <c r="H1520" s="14" t="s">
        <v>343</v>
      </c>
      <c r="U1520" s="14">
        <v>0.94</v>
      </c>
      <c r="V1520" s="14">
        <v>0.94</v>
      </c>
      <c r="W1520" s="14">
        <v>0.94</v>
      </c>
      <c r="X1520" s="14">
        <v>0.94</v>
      </c>
    </row>
    <row r="1521" spans="1:24" hidden="1" x14ac:dyDescent="0.3">
      <c r="A1521" s="14" t="s">
        <v>422</v>
      </c>
      <c r="B1521" s="14" t="s">
        <v>105</v>
      </c>
      <c r="C1521" s="14" t="s">
        <v>365</v>
      </c>
      <c r="D1521" s="14" t="s">
        <v>366</v>
      </c>
      <c r="E1521" s="14" t="s">
        <v>344</v>
      </c>
      <c r="F1521" s="14" t="s">
        <v>343</v>
      </c>
      <c r="G1521" s="14" t="s">
        <v>343</v>
      </c>
      <c r="H1521" s="14" t="s">
        <v>343</v>
      </c>
      <c r="U1521" s="14">
        <v>1</v>
      </c>
      <c r="V1521" s="14">
        <v>1</v>
      </c>
      <c r="W1521" s="14">
        <v>1</v>
      </c>
      <c r="X1521" s="14">
        <v>1</v>
      </c>
    </row>
    <row r="1522" spans="1:24" hidden="1" x14ac:dyDescent="0.3">
      <c r="A1522" s="14" t="s">
        <v>422</v>
      </c>
      <c r="B1522" s="14" t="s">
        <v>105</v>
      </c>
      <c r="C1522" s="14" t="s">
        <v>367</v>
      </c>
      <c r="D1522" s="14" t="s">
        <v>368</v>
      </c>
      <c r="E1522" s="14" t="s">
        <v>342</v>
      </c>
      <c r="F1522" s="14" t="s">
        <v>343</v>
      </c>
      <c r="G1522" s="14" t="s">
        <v>343</v>
      </c>
      <c r="H1522" s="14" t="s">
        <v>343</v>
      </c>
      <c r="I1522" s="14">
        <v>0.75</v>
      </c>
      <c r="J1522" s="14">
        <v>0.76</v>
      </c>
      <c r="K1522" s="14">
        <v>0.74</v>
      </c>
      <c r="L1522" s="14">
        <v>0.74</v>
      </c>
      <c r="M1522" s="14">
        <v>0.75</v>
      </c>
      <c r="N1522" s="14">
        <v>0.76</v>
      </c>
      <c r="O1522" s="14">
        <v>0.76</v>
      </c>
      <c r="P1522" s="14">
        <v>0.76</v>
      </c>
      <c r="Q1522" s="14">
        <v>0.78</v>
      </c>
      <c r="R1522" s="14">
        <v>0.78</v>
      </c>
      <c r="S1522" s="14">
        <v>0.77</v>
      </c>
      <c r="T1522" s="14">
        <v>0.78</v>
      </c>
      <c r="U1522" s="14">
        <v>0.78</v>
      </c>
      <c r="V1522" s="14">
        <v>0.79</v>
      </c>
      <c r="W1522" s="14">
        <v>0.8</v>
      </c>
      <c r="X1522" s="14">
        <v>0.8</v>
      </c>
    </row>
    <row r="1523" spans="1:24" hidden="1" x14ac:dyDescent="0.3">
      <c r="A1523" s="14" t="s">
        <v>422</v>
      </c>
      <c r="B1523" s="14" t="s">
        <v>105</v>
      </c>
      <c r="C1523" s="14" t="s">
        <v>367</v>
      </c>
      <c r="D1523" s="14" t="s">
        <v>368</v>
      </c>
      <c r="E1523" s="14" t="s">
        <v>344</v>
      </c>
      <c r="F1523" s="14" t="s">
        <v>343</v>
      </c>
      <c r="G1523" s="14" t="s">
        <v>343</v>
      </c>
      <c r="H1523" s="14" t="s">
        <v>343</v>
      </c>
      <c r="I1523" s="14">
        <v>5</v>
      </c>
      <c r="J1523" s="14">
        <v>7</v>
      </c>
      <c r="K1523" s="14">
        <v>11</v>
      </c>
      <c r="L1523" s="14">
        <v>12</v>
      </c>
      <c r="M1523" s="14">
        <v>13</v>
      </c>
      <c r="N1523" s="14">
        <v>11</v>
      </c>
      <c r="O1523" s="14">
        <v>13</v>
      </c>
      <c r="P1523" s="14">
        <v>14</v>
      </c>
      <c r="Q1523" s="14">
        <v>12</v>
      </c>
      <c r="R1523" s="14">
        <v>11</v>
      </c>
      <c r="S1523" s="14">
        <v>13</v>
      </c>
      <c r="T1523" s="14">
        <v>12</v>
      </c>
      <c r="U1523" s="14">
        <v>14</v>
      </c>
      <c r="V1523" s="14">
        <v>10</v>
      </c>
      <c r="W1523" s="14">
        <v>11</v>
      </c>
      <c r="X1523" s="14">
        <v>10</v>
      </c>
    </row>
    <row r="1524" spans="1:24" hidden="1" x14ac:dyDescent="0.3">
      <c r="A1524" s="14" t="s">
        <v>422</v>
      </c>
      <c r="B1524" s="14" t="s">
        <v>105</v>
      </c>
      <c r="C1524" s="14" t="s">
        <v>369</v>
      </c>
      <c r="D1524" s="14" t="s">
        <v>370</v>
      </c>
      <c r="E1524" s="14" t="s">
        <v>342</v>
      </c>
      <c r="F1524" s="14" t="s">
        <v>343</v>
      </c>
      <c r="G1524" s="14" t="s">
        <v>343</v>
      </c>
      <c r="H1524" s="14" t="s">
        <v>343</v>
      </c>
      <c r="I1524" s="14">
        <v>0.37</v>
      </c>
      <c r="J1524" s="14">
        <v>0.37</v>
      </c>
      <c r="K1524" s="14">
        <v>0.3</v>
      </c>
      <c r="L1524" s="14">
        <v>0.31</v>
      </c>
      <c r="M1524" s="14">
        <v>0.33</v>
      </c>
      <c r="N1524" s="14">
        <v>0.34</v>
      </c>
      <c r="O1524" s="14">
        <v>0.35</v>
      </c>
      <c r="P1524" s="14">
        <v>0.36</v>
      </c>
      <c r="Q1524" s="14">
        <v>0.4</v>
      </c>
      <c r="R1524" s="14">
        <v>0.41</v>
      </c>
      <c r="S1524" s="14">
        <v>0.43</v>
      </c>
      <c r="T1524" s="14">
        <v>0.45</v>
      </c>
      <c r="U1524" s="14">
        <v>0.42</v>
      </c>
      <c r="V1524" s="14">
        <v>0.48</v>
      </c>
      <c r="W1524" s="14">
        <v>0.51</v>
      </c>
      <c r="X1524" s="14">
        <v>0.55000000000000004</v>
      </c>
    </row>
    <row r="1525" spans="1:24" hidden="1" x14ac:dyDescent="0.3">
      <c r="A1525" s="14" t="s">
        <v>422</v>
      </c>
      <c r="B1525" s="14" t="s">
        <v>105</v>
      </c>
      <c r="C1525" s="14" t="s">
        <v>369</v>
      </c>
      <c r="D1525" s="14" t="s">
        <v>370</v>
      </c>
      <c r="E1525" s="14" t="s">
        <v>344</v>
      </c>
      <c r="F1525" s="14" t="s">
        <v>343</v>
      </c>
      <c r="G1525" s="14" t="s">
        <v>343</v>
      </c>
      <c r="H1525" s="14" t="s">
        <v>343</v>
      </c>
      <c r="I1525" s="14">
        <v>6</v>
      </c>
      <c r="J1525" s="14">
        <v>6</v>
      </c>
      <c r="K1525" s="14">
        <v>16</v>
      </c>
      <c r="L1525" s="14">
        <v>13</v>
      </c>
      <c r="M1525" s="14">
        <v>15</v>
      </c>
      <c r="N1525" s="14">
        <v>15</v>
      </c>
      <c r="O1525" s="14">
        <v>15</v>
      </c>
      <c r="P1525" s="14">
        <v>15</v>
      </c>
      <c r="Q1525" s="14">
        <v>11</v>
      </c>
      <c r="R1525" s="14">
        <v>11</v>
      </c>
      <c r="S1525" s="14">
        <v>10</v>
      </c>
      <c r="T1525" s="14">
        <v>10</v>
      </c>
      <c r="U1525" s="14">
        <v>12</v>
      </c>
      <c r="V1525" s="14">
        <v>12</v>
      </c>
      <c r="W1525" s="14">
        <v>10</v>
      </c>
      <c r="X1525" s="14">
        <v>8</v>
      </c>
    </row>
    <row r="1526" spans="1:24" hidden="1" x14ac:dyDescent="0.3">
      <c r="A1526" s="14" t="s">
        <v>422</v>
      </c>
      <c r="B1526" s="14" t="s">
        <v>105</v>
      </c>
      <c r="C1526" s="14" t="s">
        <v>371</v>
      </c>
      <c r="D1526" s="14" t="s">
        <v>372</v>
      </c>
      <c r="E1526" s="14" t="s">
        <v>342</v>
      </c>
      <c r="F1526" s="14" t="s">
        <v>343</v>
      </c>
      <c r="G1526" s="14" t="s">
        <v>343</v>
      </c>
      <c r="H1526" s="14" t="s">
        <v>343</v>
      </c>
      <c r="U1526" s="14">
        <v>0.36</v>
      </c>
      <c r="V1526" s="14">
        <v>0.39</v>
      </c>
      <c r="W1526" s="14">
        <v>0.46</v>
      </c>
      <c r="X1526" s="14">
        <v>0.5</v>
      </c>
    </row>
    <row r="1527" spans="1:24" hidden="1" x14ac:dyDescent="0.3">
      <c r="A1527" s="14" t="s">
        <v>422</v>
      </c>
      <c r="B1527" s="14" t="s">
        <v>105</v>
      </c>
      <c r="C1527" s="14" t="s">
        <v>371</v>
      </c>
      <c r="D1527" s="14" t="s">
        <v>372</v>
      </c>
      <c r="E1527" s="14" t="s">
        <v>344</v>
      </c>
      <c r="F1527" s="14" t="s">
        <v>343</v>
      </c>
      <c r="G1527" s="14" t="s">
        <v>343</v>
      </c>
      <c r="H1527" s="14" t="s">
        <v>343</v>
      </c>
      <c r="U1527" s="14">
        <v>9</v>
      </c>
      <c r="V1527" s="14">
        <v>8</v>
      </c>
      <c r="W1527" s="14">
        <v>6</v>
      </c>
      <c r="X1527" s="14">
        <v>5</v>
      </c>
    </row>
    <row r="1528" spans="1:24" hidden="1" x14ac:dyDescent="0.3">
      <c r="A1528" s="14" t="s">
        <v>422</v>
      </c>
      <c r="B1528" s="14" t="s">
        <v>105</v>
      </c>
      <c r="C1528" s="14" t="s">
        <v>373</v>
      </c>
      <c r="D1528" s="14" t="s">
        <v>374</v>
      </c>
      <c r="E1528" s="14" t="s">
        <v>342</v>
      </c>
      <c r="F1528" s="14" t="s">
        <v>343</v>
      </c>
      <c r="G1528" s="14" t="s">
        <v>343</v>
      </c>
      <c r="H1528" s="14" t="s">
        <v>343</v>
      </c>
      <c r="U1528" s="14">
        <v>0.5</v>
      </c>
      <c r="V1528" s="14">
        <v>0.67</v>
      </c>
      <c r="W1528" s="14">
        <v>0.67</v>
      </c>
      <c r="X1528" s="14">
        <v>0.67</v>
      </c>
    </row>
    <row r="1529" spans="1:24" hidden="1" x14ac:dyDescent="0.3">
      <c r="A1529" s="14" t="s">
        <v>422</v>
      </c>
      <c r="B1529" s="14" t="s">
        <v>105</v>
      </c>
      <c r="C1529" s="14" t="s">
        <v>373</v>
      </c>
      <c r="D1529" s="14" t="s">
        <v>374</v>
      </c>
      <c r="E1529" s="14" t="s">
        <v>344</v>
      </c>
      <c r="F1529" s="14" t="s">
        <v>343</v>
      </c>
      <c r="G1529" s="14" t="s">
        <v>343</v>
      </c>
      <c r="H1529" s="14" t="s">
        <v>343</v>
      </c>
      <c r="U1529" s="14">
        <v>22</v>
      </c>
      <c r="V1529" s="14">
        <v>17</v>
      </c>
      <c r="W1529" s="14">
        <v>23</v>
      </c>
      <c r="X1529" s="14">
        <v>23</v>
      </c>
    </row>
    <row r="1530" spans="1:24" hidden="1" x14ac:dyDescent="0.3">
      <c r="A1530" s="14" t="s">
        <v>422</v>
      </c>
      <c r="B1530" s="14" t="s">
        <v>105</v>
      </c>
      <c r="C1530" s="14" t="s">
        <v>375</v>
      </c>
      <c r="D1530" s="14" t="s">
        <v>376</v>
      </c>
      <c r="E1530" s="14" t="s">
        <v>342</v>
      </c>
      <c r="F1530" s="14" t="s">
        <v>343</v>
      </c>
      <c r="G1530" s="14" t="s">
        <v>343</v>
      </c>
      <c r="H1530" s="14" t="s">
        <v>343</v>
      </c>
      <c r="U1530" s="14">
        <v>0.44</v>
      </c>
      <c r="V1530" s="14">
        <v>0.45</v>
      </c>
      <c r="W1530" s="14">
        <v>0.46</v>
      </c>
      <c r="X1530" s="14">
        <v>0.54</v>
      </c>
    </row>
    <row r="1531" spans="1:24" hidden="1" x14ac:dyDescent="0.3">
      <c r="A1531" s="14" t="s">
        <v>422</v>
      </c>
      <c r="B1531" s="14" t="s">
        <v>105</v>
      </c>
      <c r="C1531" s="14" t="s">
        <v>375</v>
      </c>
      <c r="D1531" s="14" t="s">
        <v>376</v>
      </c>
      <c r="E1531" s="14" t="s">
        <v>344</v>
      </c>
      <c r="F1531" s="14" t="s">
        <v>343</v>
      </c>
      <c r="G1531" s="14" t="s">
        <v>343</v>
      </c>
      <c r="H1531" s="14" t="s">
        <v>343</v>
      </c>
      <c r="U1531" s="14">
        <v>41</v>
      </c>
      <c r="V1531" s="14">
        <v>42</v>
      </c>
      <c r="W1531" s="14">
        <v>43</v>
      </c>
      <c r="X1531" s="14">
        <v>41</v>
      </c>
    </row>
    <row r="1532" spans="1:24" hidden="1" x14ac:dyDescent="0.3">
      <c r="A1532" s="14" t="s">
        <v>423</v>
      </c>
      <c r="B1532" s="14" t="s">
        <v>84</v>
      </c>
      <c r="C1532" s="14" t="s">
        <v>340</v>
      </c>
      <c r="D1532" s="14" t="s">
        <v>341</v>
      </c>
      <c r="E1532" s="14" t="s">
        <v>342</v>
      </c>
      <c r="F1532" s="14" t="s">
        <v>343</v>
      </c>
      <c r="G1532" s="14" t="s">
        <v>343</v>
      </c>
      <c r="H1532" s="14" t="s">
        <v>343</v>
      </c>
      <c r="I1532" s="14">
        <v>1</v>
      </c>
      <c r="J1532" s="14">
        <v>1</v>
      </c>
      <c r="K1532" s="14">
        <v>1</v>
      </c>
      <c r="L1532" s="14">
        <v>1</v>
      </c>
      <c r="M1532" s="14">
        <v>1</v>
      </c>
      <c r="N1532" s="14">
        <v>1</v>
      </c>
      <c r="O1532" s="14">
        <v>1</v>
      </c>
      <c r="P1532" s="14">
        <v>1</v>
      </c>
      <c r="Q1532" s="14">
        <v>1</v>
      </c>
      <c r="R1532" s="14">
        <v>1</v>
      </c>
      <c r="S1532" s="14">
        <v>1</v>
      </c>
      <c r="T1532" s="14">
        <v>1</v>
      </c>
      <c r="U1532" s="14">
        <v>1</v>
      </c>
      <c r="V1532" s="14">
        <v>1</v>
      </c>
      <c r="W1532" s="14">
        <v>1</v>
      </c>
      <c r="X1532" s="14">
        <v>1</v>
      </c>
    </row>
    <row r="1533" spans="1:24" hidden="1" x14ac:dyDescent="0.3">
      <c r="A1533" s="14" t="s">
        <v>423</v>
      </c>
      <c r="B1533" s="14" t="s">
        <v>84</v>
      </c>
      <c r="C1533" s="14" t="s">
        <v>340</v>
      </c>
      <c r="D1533" s="14" t="s">
        <v>341</v>
      </c>
      <c r="E1533" s="14" t="s">
        <v>344</v>
      </c>
      <c r="F1533" s="14" t="s">
        <v>343</v>
      </c>
      <c r="G1533" s="14" t="s">
        <v>343</v>
      </c>
      <c r="H1533" s="14" t="s">
        <v>343</v>
      </c>
      <c r="I1533" s="14">
        <v>1</v>
      </c>
      <c r="J1533" s="14">
        <v>1</v>
      </c>
      <c r="K1533" s="14">
        <v>1</v>
      </c>
      <c r="L1533" s="14">
        <v>1</v>
      </c>
      <c r="M1533" s="14">
        <v>1</v>
      </c>
      <c r="N1533" s="14">
        <v>1</v>
      </c>
      <c r="O1533" s="14">
        <v>1</v>
      </c>
      <c r="P1533" s="14">
        <v>1</v>
      </c>
      <c r="Q1533" s="14">
        <v>1</v>
      </c>
      <c r="R1533" s="14">
        <v>1</v>
      </c>
      <c r="S1533" s="14">
        <v>1</v>
      </c>
      <c r="T1533" s="14">
        <v>1</v>
      </c>
      <c r="U1533" s="14">
        <v>1</v>
      </c>
      <c r="V1533" s="14">
        <v>1</v>
      </c>
      <c r="W1533" s="14">
        <v>1</v>
      </c>
      <c r="X1533" s="14">
        <v>40</v>
      </c>
    </row>
    <row r="1534" spans="1:24" hidden="1" x14ac:dyDescent="0.3">
      <c r="A1534" s="14" t="s">
        <v>423</v>
      </c>
      <c r="B1534" s="14" t="s">
        <v>84</v>
      </c>
      <c r="C1534" s="14" t="s">
        <v>345</v>
      </c>
      <c r="D1534" s="14" t="s">
        <v>346</v>
      </c>
      <c r="E1534" s="14" t="s">
        <v>342</v>
      </c>
      <c r="F1534" s="14" t="s">
        <v>343</v>
      </c>
      <c r="G1534" s="14" t="s">
        <v>343</v>
      </c>
      <c r="H1534" s="14" t="s">
        <v>343</v>
      </c>
      <c r="U1534" s="14">
        <v>0.73</v>
      </c>
      <c r="V1534" s="14">
        <v>0.72</v>
      </c>
      <c r="W1534" s="14">
        <v>0.72</v>
      </c>
      <c r="X1534" s="14">
        <v>0.72</v>
      </c>
    </row>
    <row r="1535" spans="1:24" hidden="1" x14ac:dyDescent="0.3">
      <c r="A1535" s="14" t="s">
        <v>423</v>
      </c>
      <c r="B1535" s="14" t="s">
        <v>84</v>
      </c>
      <c r="C1535" s="14" t="s">
        <v>345</v>
      </c>
      <c r="D1535" s="14" t="s">
        <v>346</v>
      </c>
      <c r="E1535" s="14" t="s">
        <v>344</v>
      </c>
      <c r="F1535" s="14" t="s">
        <v>343</v>
      </c>
      <c r="G1535" s="14" t="s">
        <v>343</v>
      </c>
      <c r="H1535" s="14" t="s">
        <v>343</v>
      </c>
      <c r="U1535" s="14">
        <v>22</v>
      </c>
      <c r="V1535" s="14">
        <v>32</v>
      </c>
      <c r="W1535" s="14">
        <v>38</v>
      </c>
      <c r="X1535" s="14">
        <v>35</v>
      </c>
    </row>
    <row r="1536" spans="1:24" hidden="1" x14ac:dyDescent="0.3">
      <c r="A1536" s="14" t="s">
        <v>423</v>
      </c>
      <c r="B1536" s="14" t="s">
        <v>84</v>
      </c>
      <c r="C1536" s="14" t="s">
        <v>347</v>
      </c>
      <c r="D1536" s="14" t="s">
        <v>348</v>
      </c>
      <c r="E1536" s="14" t="s">
        <v>342</v>
      </c>
      <c r="F1536" s="14" t="s">
        <v>343</v>
      </c>
      <c r="G1536" s="14" t="s">
        <v>343</v>
      </c>
      <c r="H1536" s="14" t="s">
        <v>343</v>
      </c>
      <c r="U1536" s="14">
        <v>0.94</v>
      </c>
      <c r="V1536" s="14">
        <v>0.94</v>
      </c>
      <c r="W1536" s="14">
        <v>0.93</v>
      </c>
      <c r="X1536" s="14">
        <v>0.87</v>
      </c>
    </row>
    <row r="1537" spans="1:24" hidden="1" x14ac:dyDescent="0.3">
      <c r="A1537" s="14" t="s">
        <v>423</v>
      </c>
      <c r="B1537" s="14" t="s">
        <v>84</v>
      </c>
      <c r="C1537" s="14" t="s">
        <v>347</v>
      </c>
      <c r="D1537" s="14" t="s">
        <v>348</v>
      </c>
      <c r="E1537" s="14" t="s">
        <v>344</v>
      </c>
      <c r="F1537" s="14" t="s">
        <v>343</v>
      </c>
      <c r="G1537" s="14" t="s">
        <v>343</v>
      </c>
      <c r="H1537" s="14" t="s">
        <v>343</v>
      </c>
      <c r="U1537" s="14">
        <v>21</v>
      </c>
      <c r="V1537" s="14">
        <v>19</v>
      </c>
      <c r="W1537" s="14">
        <v>25</v>
      </c>
      <c r="X1537" s="14">
        <v>35</v>
      </c>
    </row>
    <row r="1538" spans="1:24" hidden="1" x14ac:dyDescent="0.3">
      <c r="A1538" s="14" t="s">
        <v>423</v>
      </c>
      <c r="B1538" s="14" t="s">
        <v>84</v>
      </c>
      <c r="C1538" s="14" t="s">
        <v>349</v>
      </c>
      <c r="D1538" s="14" t="s">
        <v>350</v>
      </c>
      <c r="E1538" s="14" t="s">
        <v>342</v>
      </c>
      <c r="F1538" s="14" t="s">
        <v>343</v>
      </c>
      <c r="G1538" s="14" t="s">
        <v>343</v>
      </c>
      <c r="H1538" s="14" t="s">
        <v>343</v>
      </c>
      <c r="U1538" s="14">
        <v>0.37</v>
      </c>
      <c r="V1538" s="14">
        <v>0.36</v>
      </c>
      <c r="W1538" s="14">
        <v>0.36</v>
      </c>
      <c r="X1538" s="14">
        <v>0.39</v>
      </c>
    </row>
    <row r="1539" spans="1:24" hidden="1" x14ac:dyDescent="0.3">
      <c r="A1539" s="14" t="s">
        <v>423</v>
      </c>
      <c r="B1539" s="14" t="s">
        <v>84</v>
      </c>
      <c r="C1539" s="14" t="s">
        <v>349</v>
      </c>
      <c r="D1539" s="14" t="s">
        <v>350</v>
      </c>
      <c r="E1539" s="14" t="s">
        <v>344</v>
      </c>
      <c r="F1539" s="14" t="s">
        <v>343</v>
      </c>
      <c r="G1539" s="14" t="s">
        <v>343</v>
      </c>
      <c r="H1539" s="14" t="s">
        <v>343</v>
      </c>
      <c r="U1539" s="14">
        <v>95</v>
      </c>
      <c r="V1539" s="14">
        <v>102</v>
      </c>
      <c r="W1539" s="14">
        <v>101</v>
      </c>
      <c r="X1539" s="14">
        <v>95</v>
      </c>
    </row>
    <row r="1540" spans="1:24" hidden="1" x14ac:dyDescent="0.3">
      <c r="A1540" s="14" t="s">
        <v>423</v>
      </c>
      <c r="B1540" s="14" t="s">
        <v>84</v>
      </c>
      <c r="C1540" s="14" t="s">
        <v>351</v>
      </c>
      <c r="D1540" s="14" t="s">
        <v>352</v>
      </c>
      <c r="E1540" s="14" t="s">
        <v>342</v>
      </c>
      <c r="F1540" s="14" t="s">
        <v>343</v>
      </c>
      <c r="G1540" s="14" t="s">
        <v>343</v>
      </c>
      <c r="H1540" s="14" t="s">
        <v>343</v>
      </c>
      <c r="U1540" s="14">
        <v>1</v>
      </c>
      <c r="V1540" s="14">
        <v>1</v>
      </c>
      <c r="W1540" s="14">
        <v>1</v>
      </c>
      <c r="X1540" s="14">
        <v>1</v>
      </c>
    </row>
    <row r="1541" spans="1:24" hidden="1" x14ac:dyDescent="0.3">
      <c r="A1541" s="14" t="s">
        <v>423</v>
      </c>
      <c r="B1541" s="14" t="s">
        <v>84</v>
      </c>
      <c r="C1541" s="14" t="s">
        <v>351</v>
      </c>
      <c r="D1541" s="14" t="s">
        <v>352</v>
      </c>
      <c r="E1541" s="14" t="s">
        <v>344</v>
      </c>
      <c r="F1541" s="14" t="s">
        <v>343</v>
      </c>
      <c r="G1541" s="14" t="s">
        <v>343</v>
      </c>
      <c r="H1541" s="14" t="s">
        <v>343</v>
      </c>
      <c r="U1541" s="14">
        <v>1</v>
      </c>
      <c r="V1541" s="14">
        <v>1</v>
      </c>
      <c r="W1541" s="14">
        <v>1</v>
      </c>
      <c r="X1541" s="14">
        <v>1</v>
      </c>
    </row>
    <row r="1542" spans="1:24" hidden="1" x14ac:dyDescent="0.3">
      <c r="A1542" s="14" t="s">
        <v>423</v>
      </c>
      <c r="B1542" s="14" t="s">
        <v>84</v>
      </c>
      <c r="C1542" s="14" t="s">
        <v>378</v>
      </c>
      <c r="D1542" s="14" t="s">
        <v>379</v>
      </c>
      <c r="E1542" s="14" t="s">
        <v>342</v>
      </c>
      <c r="F1542" s="14" t="s">
        <v>343</v>
      </c>
      <c r="G1542" s="14" t="s">
        <v>343</v>
      </c>
      <c r="H1542" s="14" t="s">
        <v>343</v>
      </c>
      <c r="S1542" s="14">
        <v>0.73</v>
      </c>
      <c r="U1542" s="14">
        <v>0.68</v>
      </c>
      <c r="V1542" s="14">
        <v>0.69</v>
      </c>
      <c r="W1542" s="14">
        <v>0.7</v>
      </c>
      <c r="X1542" s="14">
        <v>0.68</v>
      </c>
    </row>
    <row r="1543" spans="1:24" hidden="1" x14ac:dyDescent="0.3">
      <c r="A1543" s="14" t="s">
        <v>423</v>
      </c>
      <c r="B1543" s="14" t="s">
        <v>84</v>
      </c>
      <c r="C1543" s="14" t="s">
        <v>378</v>
      </c>
      <c r="D1543" s="14" t="s">
        <v>379</v>
      </c>
      <c r="E1543" s="14" t="s">
        <v>344</v>
      </c>
      <c r="F1543" s="14" t="s">
        <v>343</v>
      </c>
      <c r="G1543" s="14" t="s">
        <v>343</v>
      </c>
      <c r="H1543" s="14" t="s">
        <v>343</v>
      </c>
      <c r="S1543" s="14">
        <v>29</v>
      </c>
      <c r="U1543" s="14">
        <v>55</v>
      </c>
      <c r="V1543" s="14">
        <v>52</v>
      </c>
      <c r="W1543" s="14">
        <v>52</v>
      </c>
      <c r="X1543" s="14">
        <v>59</v>
      </c>
    </row>
    <row r="1544" spans="1:24" hidden="1" x14ac:dyDescent="0.3">
      <c r="A1544" s="14" t="s">
        <v>423</v>
      </c>
      <c r="B1544" s="14" t="s">
        <v>84</v>
      </c>
      <c r="C1544" s="14" t="s">
        <v>353</v>
      </c>
      <c r="D1544" s="14" t="s">
        <v>354</v>
      </c>
      <c r="E1544" s="14" t="s">
        <v>342</v>
      </c>
      <c r="F1544" s="14" t="s">
        <v>343</v>
      </c>
      <c r="G1544" s="14" t="s">
        <v>343</v>
      </c>
      <c r="H1544" s="14" t="s">
        <v>343</v>
      </c>
      <c r="U1544" s="14">
        <v>1</v>
      </c>
      <c r="V1544" s="14">
        <v>1</v>
      </c>
      <c r="W1544" s="14">
        <v>1</v>
      </c>
      <c r="X1544" s="14">
        <v>1</v>
      </c>
    </row>
    <row r="1545" spans="1:24" hidden="1" x14ac:dyDescent="0.3">
      <c r="A1545" s="14" t="s">
        <v>423</v>
      </c>
      <c r="B1545" s="14" t="s">
        <v>84</v>
      </c>
      <c r="C1545" s="14" t="s">
        <v>353</v>
      </c>
      <c r="D1545" s="14" t="s">
        <v>354</v>
      </c>
      <c r="E1545" s="14" t="s">
        <v>344</v>
      </c>
      <c r="F1545" s="14" t="s">
        <v>343</v>
      </c>
      <c r="G1545" s="14" t="s">
        <v>343</v>
      </c>
      <c r="H1545" s="14" t="s">
        <v>343</v>
      </c>
      <c r="U1545" s="14">
        <v>1</v>
      </c>
      <c r="V1545" s="14">
        <v>1</v>
      </c>
      <c r="W1545" s="14">
        <v>1</v>
      </c>
      <c r="X1545" s="14">
        <v>1</v>
      </c>
    </row>
    <row r="1546" spans="1:24" hidden="1" x14ac:dyDescent="0.3">
      <c r="A1546" s="14" t="s">
        <v>423</v>
      </c>
      <c r="B1546" s="14" t="s">
        <v>84</v>
      </c>
      <c r="C1546" s="14" t="s">
        <v>380</v>
      </c>
      <c r="D1546" s="14" t="s">
        <v>381</v>
      </c>
      <c r="E1546" s="14" t="s">
        <v>342</v>
      </c>
      <c r="F1546" s="14" t="s">
        <v>343</v>
      </c>
      <c r="G1546" s="14" t="s">
        <v>343</v>
      </c>
      <c r="H1546" s="14" t="s">
        <v>343</v>
      </c>
      <c r="U1546" s="14">
        <v>1</v>
      </c>
      <c r="V1546" s="14">
        <v>1</v>
      </c>
      <c r="W1546" s="14">
        <v>1</v>
      </c>
      <c r="X1546" s="14">
        <v>1</v>
      </c>
    </row>
    <row r="1547" spans="1:24" hidden="1" x14ac:dyDescent="0.3">
      <c r="A1547" s="14" t="s">
        <v>423</v>
      </c>
      <c r="B1547" s="14" t="s">
        <v>84</v>
      </c>
      <c r="C1547" s="14" t="s">
        <v>380</v>
      </c>
      <c r="D1547" s="14" t="s">
        <v>381</v>
      </c>
      <c r="E1547" s="14" t="s">
        <v>344</v>
      </c>
      <c r="F1547" s="14" t="s">
        <v>343</v>
      </c>
      <c r="G1547" s="14" t="s">
        <v>343</v>
      </c>
      <c r="H1547" s="14" t="s">
        <v>343</v>
      </c>
      <c r="U1547" s="14">
        <v>1</v>
      </c>
      <c r="V1547" s="14">
        <v>1</v>
      </c>
      <c r="W1547" s="14">
        <v>1</v>
      </c>
      <c r="X1547" s="14">
        <v>1</v>
      </c>
    </row>
    <row r="1548" spans="1:24" hidden="1" x14ac:dyDescent="0.3">
      <c r="A1548" s="14" t="s">
        <v>423</v>
      </c>
      <c r="B1548" s="14" t="s">
        <v>84</v>
      </c>
      <c r="C1548" s="14" t="s">
        <v>355</v>
      </c>
      <c r="D1548" s="14" t="s">
        <v>356</v>
      </c>
      <c r="E1548" s="14" t="s">
        <v>342</v>
      </c>
      <c r="F1548" s="14" t="s">
        <v>343</v>
      </c>
      <c r="G1548" s="14" t="s">
        <v>343</v>
      </c>
      <c r="H1548" s="14" t="s">
        <v>343</v>
      </c>
      <c r="U1548" s="14">
        <v>1</v>
      </c>
      <c r="V1548" s="14">
        <v>1</v>
      </c>
      <c r="W1548" s="14">
        <v>1</v>
      </c>
      <c r="X1548" s="14">
        <v>0.99</v>
      </c>
    </row>
    <row r="1549" spans="1:24" hidden="1" x14ac:dyDescent="0.3">
      <c r="A1549" s="14" t="s">
        <v>423</v>
      </c>
      <c r="B1549" s="14" t="s">
        <v>84</v>
      </c>
      <c r="C1549" s="14" t="s">
        <v>355</v>
      </c>
      <c r="D1549" s="14" t="s">
        <v>356</v>
      </c>
      <c r="E1549" s="14" t="s">
        <v>344</v>
      </c>
      <c r="F1549" s="14" t="s">
        <v>343</v>
      </c>
      <c r="G1549" s="14" t="s">
        <v>343</v>
      </c>
      <c r="H1549" s="14" t="s">
        <v>343</v>
      </c>
      <c r="U1549" s="14">
        <v>1</v>
      </c>
      <c r="V1549" s="14">
        <v>1</v>
      </c>
      <c r="W1549" s="14">
        <v>1</v>
      </c>
      <c r="X1549" s="14">
        <v>85</v>
      </c>
    </row>
    <row r="1550" spans="1:24" hidden="1" x14ac:dyDescent="0.3">
      <c r="A1550" s="14" t="s">
        <v>423</v>
      </c>
      <c r="B1550" s="14" t="s">
        <v>84</v>
      </c>
      <c r="C1550" s="14" t="s">
        <v>357</v>
      </c>
      <c r="D1550" s="14" t="s">
        <v>358</v>
      </c>
      <c r="E1550" s="14" t="s">
        <v>342</v>
      </c>
      <c r="F1550" s="14" t="s">
        <v>343</v>
      </c>
      <c r="G1550" s="14" t="s">
        <v>343</v>
      </c>
      <c r="H1550" s="14" t="s">
        <v>343</v>
      </c>
      <c r="U1550" s="14">
        <v>1</v>
      </c>
      <c r="V1550" s="14">
        <v>1</v>
      </c>
      <c r="W1550" s="14">
        <v>1</v>
      </c>
      <c r="X1550" s="14">
        <v>1</v>
      </c>
    </row>
    <row r="1551" spans="1:24" hidden="1" x14ac:dyDescent="0.3">
      <c r="A1551" s="14" t="s">
        <v>423</v>
      </c>
      <c r="B1551" s="14" t="s">
        <v>84</v>
      </c>
      <c r="C1551" s="14" t="s">
        <v>357</v>
      </c>
      <c r="D1551" s="14" t="s">
        <v>358</v>
      </c>
      <c r="E1551" s="14" t="s">
        <v>344</v>
      </c>
      <c r="F1551" s="14" t="s">
        <v>343</v>
      </c>
      <c r="G1551" s="14" t="s">
        <v>343</v>
      </c>
      <c r="H1551" s="14" t="s">
        <v>343</v>
      </c>
      <c r="U1551" s="14">
        <v>1</v>
      </c>
      <c r="V1551" s="14">
        <v>1</v>
      </c>
      <c r="W1551" s="14">
        <v>1</v>
      </c>
      <c r="X1551" s="14">
        <v>1</v>
      </c>
    </row>
    <row r="1552" spans="1:24" hidden="1" x14ac:dyDescent="0.3">
      <c r="A1552" s="14" t="s">
        <v>423</v>
      </c>
      <c r="B1552" s="14" t="s">
        <v>84</v>
      </c>
      <c r="C1552" s="14" t="s">
        <v>359</v>
      </c>
      <c r="D1552" s="14" t="s">
        <v>360</v>
      </c>
      <c r="E1552" s="14" t="s">
        <v>342</v>
      </c>
      <c r="F1552" s="14" t="s">
        <v>343</v>
      </c>
      <c r="G1552" s="14" t="s">
        <v>343</v>
      </c>
      <c r="H1552" s="14" t="s">
        <v>343</v>
      </c>
      <c r="I1552" s="14">
        <v>0.71</v>
      </c>
      <c r="J1552" s="14">
        <v>0.73</v>
      </c>
      <c r="K1552" s="14">
        <v>0.71</v>
      </c>
      <c r="L1552" s="14">
        <v>0.75</v>
      </c>
      <c r="M1552" s="14">
        <v>0.74</v>
      </c>
      <c r="N1552" s="14">
        <v>0.77</v>
      </c>
      <c r="O1552" s="14">
        <v>0.77</v>
      </c>
      <c r="P1552" s="14">
        <v>0.76</v>
      </c>
      <c r="Q1552" s="14">
        <v>0.81</v>
      </c>
      <c r="R1552" s="14">
        <v>0.79</v>
      </c>
      <c r="S1552" s="14">
        <v>0.74</v>
      </c>
      <c r="T1552" s="14">
        <v>0.73</v>
      </c>
      <c r="U1552" s="14">
        <v>0.73</v>
      </c>
      <c r="V1552" s="14">
        <v>0.74</v>
      </c>
      <c r="W1552" s="14">
        <v>0.74</v>
      </c>
      <c r="X1552" s="14">
        <v>0.72</v>
      </c>
    </row>
    <row r="1553" spans="1:24" hidden="1" x14ac:dyDescent="0.3">
      <c r="A1553" s="14" t="s">
        <v>423</v>
      </c>
      <c r="B1553" s="14" t="s">
        <v>84</v>
      </c>
      <c r="C1553" s="14" t="s">
        <v>359</v>
      </c>
      <c r="D1553" s="14" t="s">
        <v>360</v>
      </c>
      <c r="E1553" s="14" t="s">
        <v>344</v>
      </c>
      <c r="F1553" s="14" t="s">
        <v>343</v>
      </c>
      <c r="G1553" s="14" t="s">
        <v>343</v>
      </c>
      <c r="H1553" s="14" t="s">
        <v>343</v>
      </c>
      <c r="I1553" s="14">
        <v>19</v>
      </c>
      <c r="J1553" s="14">
        <v>18</v>
      </c>
      <c r="K1553" s="14">
        <v>28</v>
      </c>
      <c r="L1553" s="14">
        <v>20</v>
      </c>
      <c r="M1553" s="14">
        <v>23</v>
      </c>
      <c r="N1553" s="14">
        <v>13</v>
      </c>
      <c r="O1553" s="14">
        <v>16</v>
      </c>
      <c r="P1553" s="14">
        <v>25</v>
      </c>
      <c r="Q1553" s="14">
        <v>12</v>
      </c>
      <c r="R1553" s="14">
        <v>20</v>
      </c>
      <c r="S1553" s="14">
        <v>34</v>
      </c>
      <c r="T1553" s="14">
        <v>36</v>
      </c>
      <c r="U1553" s="14">
        <v>38</v>
      </c>
      <c r="V1553" s="14">
        <v>41</v>
      </c>
      <c r="W1553" s="14">
        <v>42</v>
      </c>
      <c r="X1553" s="14">
        <v>54</v>
      </c>
    </row>
    <row r="1554" spans="1:24" x14ac:dyDescent="0.3">
      <c r="A1554" s="14" t="s">
        <v>423</v>
      </c>
      <c r="B1554" s="14" t="s">
        <v>84</v>
      </c>
      <c r="C1554" s="14" t="s">
        <v>361</v>
      </c>
      <c r="D1554" s="14" t="s">
        <v>362</v>
      </c>
      <c r="E1554" s="14" t="s">
        <v>342</v>
      </c>
      <c r="F1554" s="14" t="s">
        <v>343</v>
      </c>
      <c r="G1554" s="14" t="s">
        <v>343</v>
      </c>
      <c r="H1554" s="14" t="s">
        <v>343</v>
      </c>
      <c r="I1554" s="14">
        <v>0.97</v>
      </c>
      <c r="J1554" s="14">
        <v>0.97</v>
      </c>
      <c r="K1554" s="14">
        <v>0.97</v>
      </c>
      <c r="L1554" s="14">
        <v>0.97</v>
      </c>
      <c r="M1554" s="14">
        <v>0.97</v>
      </c>
      <c r="N1554" s="14">
        <v>0.97</v>
      </c>
      <c r="O1554" s="14">
        <v>0.97</v>
      </c>
      <c r="P1554" s="14">
        <v>0.97</v>
      </c>
      <c r="Q1554" s="14">
        <v>0.97</v>
      </c>
      <c r="R1554" s="14">
        <v>0.97</v>
      </c>
      <c r="S1554" s="14">
        <v>0.97</v>
      </c>
      <c r="T1554" s="14">
        <v>0.97</v>
      </c>
      <c r="U1554" s="14">
        <v>0.97</v>
      </c>
      <c r="V1554" s="14">
        <v>0.97</v>
      </c>
      <c r="W1554" s="14">
        <v>0.96</v>
      </c>
      <c r="X1554" s="14">
        <v>0.96</v>
      </c>
    </row>
    <row r="1555" spans="1:24" hidden="1" x14ac:dyDescent="0.3">
      <c r="A1555" s="14" t="s">
        <v>423</v>
      </c>
      <c r="B1555" s="14" t="s">
        <v>84</v>
      </c>
      <c r="C1555" s="14" t="s">
        <v>361</v>
      </c>
      <c r="D1555" s="14" t="s">
        <v>362</v>
      </c>
      <c r="E1555" s="14" t="s">
        <v>344</v>
      </c>
      <c r="F1555" s="14" t="s">
        <v>343</v>
      </c>
      <c r="G1555" s="14" t="s">
        <v>343</v>
      </c>
      <c r="H1555" s="14" t="s">
        <v>343</v>
      </c>
      <c r="I1555" s="14">
        <v>76</v>
      </c>
      <c r="J1555" s="14">
        <v>96</v>
      </c>
      <c r="K1555" s="14">
        <v>97</v>
      </c>
      <c r="L1555" s="14">
        <v>102</v>
      </c>
      <c r="M1555" s="14">
        <v>68</v>
      </c>
      <c r="N1555" s="14">
        <v>68</v>
      </c>
      <c r="O1555" s="14">
        <v>67</v>
      </c>
      <c r="P1555" s="14">
        <v>64</v>
      </c>
      <c r="Q1555" s="14">
        <v>65</v>
      </c>
      <c r="R1555" s="14">
        <v>107</v>
      </c>
      <c r="S1555" s="14">
        <v>106</v>
      </c>
      <c r="T1555" s="14">
        <v>95</v>
      </c>
      <c r="U1555" s="14">
        <v>100</v>
      </c>
      <c r="V1555" s="14">
        <v>101</v>
      </c>
      <c r="W1555" s="14">
        <v>119</v>
      </c>
      <c r="X1555" s="14">
        <v>114</v>
      </c>
    </row>
    <row r="1556" spans="1:24" hidden="1" x14ac:dyDescent="0.3">
      <c r="A1556" s="14" t="s">
        <v>423</v>
      </c>
      <c r="B1556" s="14" t="s">
        <v>84</v>
      </c>
      <c r="C1556" s="14" t="s">
        <v>363</v>
      </c>
      <c r="D1556" s="14" t="s">
        <v>364</v>
      </c>
      <c r="E1556" s="14" t="s">
        <v>342</v>
      </c>
      <c r="F1556" s="14" t="s">
        <v>343</v>
      </c>
      <c r="G1556" s="14" t="s">
        <v>343</v>
      </c>
      <c r="H1556" s="14" t="s">
        <v>343</v>
      </c>
      <c r="U1556" s="14">
        <v>1.03</v>
      </c>
      <c r="V1556" s="14">
        <v>1.03</v>
      </c>
      <c r="W1556" s="14">
        <v>1.01</v>
      </c>
      <c r="X1556" s="14">
        <v>1.01</v>
      </c>
    </row>
    <row r="1557" spans="1:24" hidden="1" x14ac:dyDescent="0.3">
      <c r="A1557" s="14" t="s">
        <v>423</v>
      </c>
      <c r="B1557" s="14" t="s">
        <v>84</v>
      </c>
      <c r="C1557" s="14" t="s">
        <v>363</v>
      </c>
      <c r="D1557" s="14" t="s">
        <v>364</v>
      </c>
      <c r="E1557" s="14" t="s">
        <v>344</v>
      </c>
      <c r="F1557" s="14" t="s">
        <v>343</v>
      </c>
      <c r="G1557" s="14" t="s">
        <v>343</v>
      </c>
      <c r="H1557" s="14" t="s">
        <v>343</v>
      </c>
      <c r="U1557" s="14">
        <v>107</v>
      </c>
      <c r="V1557" s="14">
        <v>110</v>
      </c>
      <c r="W1557" s="14">
        <v>127</v>
      </c>
      <c r="X1557" s="14">
        <v>121</v>
      </c>
    </row>
    <row r="1558" spans="1:24" hidden="1" x14ac:dyDescent="0.3">
      <c r="A1558" s="14" t="s">
        <v>423</v>
      </c>
      <c r="B1558" s="14" t="s">
        <v>84</v>
      </c>
      <c r="C1558" s="14" t="s">
        <v>365</v>
      </c>
      <c r="D1558" s="14" t="s">
        <v>366</v>
      </c>
      <c r="E1558" s="14" t="s">
        <v>342</v>
      </c>
      <c r="F1558" s="14" t="s">
        <v>343</v>
      </c>
      <c r="G1558" s="14" t="s">
        <v>343</v>
      </c>
      <c r="H1558" s="14" t="s">
        <v>343</v>
      </c>
      <c r="U1558" s="14">
        <v>0.94</v>
      </c>
      <c r="V1558" s="14">
        <v>0.94</v>
      </c>
      <c r="W1558" s="14">
        <v>0.94</v>
      </c>
      <c r="X1558" s="14">
        <v>0.94</v>
      </c>
    </row>
    <row r="1559" spans="1:24" hidden="1" x14ac:dyDescent="0.3">
      <c r="A1559" s="14" t="s">
        <v>423</v>
      </c>
      <c r="B1559" s="14" t="s">
        <v>84</v>
      </c>
      <c r="C1559" s="14" t="s">
        <v>365</v>
      </c>
      <c r="D1559" s="14" t="s">
        <v>366</v>
      </c>
      <c r="E1559" s="14" t="s">
        <v>344</v>
      </c>
      <c r="F1559" s="14" t="s">
        <v>343</v>
      </c>
      <c r="G1559" s="14" t="s">
        <v>343</v>
      </c>
      <c r="H1559" s="14" t="s">
        <v>343</v>
      </c>
      <c r="U1559" s="14">
        <v>1</v>
      </c>
      <c r="V1559" s="14">
        <v>1</v>
      </c>
      <c r="W1559" s="14">
        <v>1</v>
      </c>
      <c r="X1559" s="14">
        <v>1</v>
      </c>
    </row>
    <row r="1560" spans="1:24" hidden="1" x14ac:dyDescent="0.3">
      <c r="A1560" s="14" t="s">
        <v>423</v>
      </c>
      <c r="B1560" s="14" t="s">
        <v>84</v>
      </c>
      <c r="C1560" s="14" t="s">
        <v>367</v>
      </c>
      <c r="D1560" s="14" t="s">
        <v>368</v>
      </c>
      <c r="E1560" s="14" t="s">
        <v>342</v>
      </c>
      <c r="F1560" s="14" t="s">
        <v>343</v>
      </c>
      <c r="G1560" s="14" t="s">
        <v>343</v>
      </c>
      <c r="H1560" s="14" t="s">
        <v>343</v>
      </c>
      <c r="I1560" s="14">
        <v>0.75</v>
      </c>
      <c r="J1560" s="14">
        <v>0.75</v>
      </c>
      <c r="K1560" s="14">
        <v>0.75</v>
      </c>
      <c r="L1560" s="14">
        <v>0.76</v>
      </c>
      <c r="M1560" s="14">
        <v>0.77</v>
      </c>
      <c r="N1560" s="14">
        <v>0.78</v>
      </c>
      <c r="O1560" s="14">
        <v>0.78</v>
      </c>
      <c r="P1560" s="14">
        <v>0.78</v>
      </c>
      <c r="Q1560" s="14">
        <v>0.8</v>
      </c>
      <c r="R1560" s="14">
        <v>0.77</v>
      </c>
      <c r="S1560" s="14">
        <v>0.75</v>
      </c>
      <c r="T1560" s="14">
        <v>0.78</v>
      </c>
      <c r="U1560" s="14">
        <v>0.78</v>
      </c>
      <c r="V1560" s="14">
        <v>0.78</v>
      </c>
      <c r="W1560" s="14">
        <v>0.77</v>
      </c>
      <c r="X1560" s="14">
        <v>0.76</v>
      </c>
    </row>
    <row r="1561" spans="1:24" hidden="1" x14ac:dyDescent="0.3">
      <c r="A1561" s="14" t="s">
        <v>423</v>
      </c>
      <c r="B1561" s="14" t="s">
        <v>84</v>
      </c>
      <c r="C1561" s="14" t="s">
        <v>367</v>
      </c>
      <c r="D1561" s="14" t="s">
        <v>368</v>
      </c>
      <c r="E1561" s="14" t="s">
        <v>344</v>
      </c>
      <c r="F1561" s="14" t="s">
        <v>343</v>
      </c>
      <c r="G1561" s="14" t="s">
        <v>343</v>
      </c>
      <c r="H1561" s="14" t="s">
        <v>343</v>
      </c>
      <c r="I1561" s="14">
        <v>8</v>
      </c>
      <c r="J1561" s="14">
        <v>8</v>
      </c>
      <c r="K1561" s="14">
        <v>7</v>
      </c>
      <c r="L1561" s="14">
        <v>7</v>
      </c>
      <c r="M1561" s="14">
        <v>7</v>
      </c>
      <c r="N1561" s="14">
        <v>7</v>
      </c>
      <c r="O1561" s="14">
        <v>7</v>
      </c>
      <c r="P1561" s="14">
        <v>8</v>
      </c>
      <c r="Q1561" s="14">
        <v>5</v>
      </c>
      <c r="R1561" s="14">
        <v>14</v>
      </c>
      <c r="S1561" s="14">
        <v>19</v>
      </c>
      <c r="T1561" s="14">
        <v>14</v>
      </c>
      <c r="U1561" s="14">
        <v>13</v>
      </c>
      <c r="V1561" s="14">
        <v>14</v>
      </c>
      <c r="W1561" s="14">
        <v>29</v>
      </c>
      <c r="X1561" s="14">
        <v>32</v>
      </c>
    </row>
    <row r="1562" spans="1:24" hidden="1" x14ac:dyDescent="0.3">
      <c r="A1562" s="14" t="s">
        <v>423</v>
      </c>
      <c r="B1562" s="14" t="s">
        <v>84</v>
      </c>
      <c r="C1562" s="14" t="s">
        <v>369</v>
      </c>
      <c r="D1562" s="14" t="s">
        <v>370</v>
      </c>
      <c r="E1562" s="14" t="s">
        <v>342</v>
      </c>
      <c r="F1562" s="14" t="s">
        <v>343</v>
      </c>
      <c r="G1562" s="14" t="s">
        <v>343</v>
      </c>
      <c r="H1562" s="14" t="s">
        <v>343</v>
      </c>
      <c r="I1562" s="14">
        <v>0.3</v>
      </c>
      <c r="J1562" s="14">
        <v>0.3</v>
      </c>
      <c r="K1562" s="14">
        <v>0.33</v>
      </c>
      <c r="L1562" s="14">
        <v>0.33</v>
      </c>
      <c r="M1562" s="14">
        <v>0.37</v>
      </c>
      <c r="N1562" s="14">
        <v>0.37</v>
      </c>
      <c r="O1562" s="14">
        <v>0.36</v>
      </c>
      <c r="P1562" s="14">
        <v>0.37</v>
      </c>
      <c r="Q1562" s="14">
        <v>0.43</v>
      </c>
      <c r="R1562" s="14">
        <v>0.31</v>
      </c>
      <c r="S1562" s="14">
        <v>0.31</v>
      </c>
      <c r="T1562" s="14">
        <v>0.41</v>
      </c>
      <c r="U1562" s="14">
        <v>0.41</v>
      </c>
      <c r="V1562" s="14">
        <v>0.42</v>
      </c>
      <c r="W1562" s="14">
        <v>0.37</v>
      </c>
      <c r="X1562" s="14">
        <v>0.37</v>
      </c>
    </row>
    <row r="1563" spans="1:24" hidden="1" x14ac:dyDescent="0.3">
      <c r="A1563" s="14" t="s">
        <v>423</v>
      </c>
      <c r="B1563" s="14" t="s">
        <v>84</v>
      </c>
      <c r="C1563" s="14" t="s">
        <v>369</v>
      </c>
      <c r="D1563" s="14" t="s">
        <v>370</v>
      </c>
      <c r="E1563" s="14" t="s">
        <v>344</v>
      </c>
      <c r="F1563" s="14" t="s">
        <v>343</v>
      </c>
      <c r="G1563" s="14" t="s">
        <v>343</v>
      </c>
      <c r="H1563" s="14" t="s">
        <v>343</v>
      </c>
      <c r="I1563" s="14">
        <v>13</v>
      </c>
      <c r="J1563" s="14">
        <v>13</v>
      </c>
      <c r="K1563" s="14">
        <v>10</v>
      </c>
      <c r="L1563" s="14">
        <v>11</v>
      </c>
      <c r="M1563" s="14">
        <v>10</v>
      </c>
      <c r="N1563" s="14">
        <v>10</v>
      </c>
      <c r="O1563" s="14">
        <v>11</v>
      </c>
      <c r="P1563" s="14">
        <v>11</v>
      </c>
      <c r="Q1563" s="14">
        <v>7</v>
      </c>
      <c r="R1563" s="14">
        <v>29</v>
      </c>
      <c r="S1563" s="14">
        <v>29</v>
      </c>
      <c r="T1563" s="14">
        <v>16</v>
      </c>
      <c r="U1563" s="14">
        <v>15</v>
      </c>
      <c r="V1563" s="14">
        <v>17</v>
      </c>
      <c r="W1563" s="14">
        <v>32</v>
      </c>
      <c r="X1563" s="14">
        <v>32</v>
      </c>
    </row>
    <row r="1564" spans="1:24" hidden="1" x14ac:dyDescent="0.3">
      <c r="A1564" s="14" t="s">
        <v>423</v>
      </c>
      <c r="B1564" s="14" t="s">
        <v>84</v>
      </c>
      <c r="C1564" s="14" t="s">
        <v>371</v>
      </c>
      <c r="D1564" s="14" t="s">
        <v>372</v>
      </c>
      <c r="E1564" s="14" t="s">
        <v>342</v>
      </c>
      <c r="F1564" s="14" t="s">
        <v>343</v>
      </c>
      <c r="G1564" s="14" t="s">
        <v>343</v>
      </c>
      <c r="H1564" s="14" t="s">
        <v>343</v>
      </c>
      <c r="U1564" s="14">
        <v>0.08</v>
      </c>
      <c r="V1564" s="14">
        <v>0.08</v>
      </c>
      <c r="W1564" s="14">
        <v>0.12</v>
      </c>
      <c r="X1564" s="14">
        <v>0.12</v>
      </c>
    </row>
    <row r="1565" spans="1:24" hidden="1" x14ac:dyDescent="0.3">
      <c r="A1565" s="14" t="s">
        <v>423</v>
      </c>
      <c r="B1565" s="14" t="s">
        <v>84</v>
      </c>
      <c r="C1565" s="14" t="s">
        <v>371</v>
      </c>
      <c r="D1565" s="14" t="s">
        <v>372</v>
      </c>
      <c r="E1565" s="14" t="s">
        <v>344</v>
      </c>
      <c r="F1565" s="14" t="s">
        <v>343</v>
      </c>
      <c r="G1565" s="14" t="s">
        <v>343</v>
      </c>
      <c r="H1565" s="14" t="s">
        <v>343</v>
      </c>
      <c r="U1565" s="14">
        <v>32</v>
      </c>
      <c r="V1565" s="14">
        <v>34</v>
      </c>
      <c r="W1565" s="14">
        <v>28</v>
      </c>
      <c r="X1565" s="14">
        <v>27</v>
      </c>
    </row>
    <row r="1566" spans="1:24" hidden="1" x14ac:dyDescent="0.3">
      <c r="A1566" s="14" t="s">
        <v>423</v>
      </c>
      <c r="B1566" s="14" t="s">
        <v>84</v>
      </c>
      <c r="C1566" s="14" t="s">
        <v>373</v>
      </c>
      <c r="D1566" s="14" t="s">
        <v>374</v>
      </c>
      <c r="E1566" s="14" t="s">
        <v>342</v>
      </c>
      <c r="F1566" s="14" t="s">
        <v>343</v>
      </c>
      <c r="G1566" s="14" t="s">
        <v>343</v>
      </c>
      <c r="H1566" s="14" t="s">
        <v>343</v>
      </c>
      <c r="U1566" s="14">
        <v>0.75</v>
      </c>
      <c r="V1566" s="14">
        <v>0.75</v>
      </c>
      <c r="W1566" s="14">
        <v>0.46</v>
      </c>
      <c r="X1566" s="14">
        <v>0.46</v>
      </c>
    </row>
    <row r="1567" spans="1:24" hidden="1" x14ac:dyDescent="0.3">
      <c r="A1567" s="14" t="s">
        <v>423</v>
      </c>
      <c r="B1567" s="14" t="s">
        <v>84</v>
      </c>
      <c r="C1567" s="14" t="s">
        <v>373</v>
      </c>
      <c r="D1567" s="14" t="s">
        <v>374</v>
      </c>
      <c r="E1567" s="14" t="s">
        <v>344</v>
      </c>
      <c r="F1567" s="14" t="s">
        <v>343</v>
      </c>
      <c r="G1567" s="14" t="s">
        <v>343</v>
      </c>
      <c r="H1567" s="14" t="s">
        <v>343</v>
      </c>
      <c r="U1567" s="14">
        <v>8</v>
      </c>
      <c r="V1567" s="14">
        <v>12</v>
      </c>
      <c r="W1567" s="14">
        <v>43</v>
      </c>
      <c r="X1567" s="14">
        <v>42</v>
      </c>
    </row>
    <row r="1568" spans="1:24" hidden="1" x14ac:dyDescent="0.3">
      <c r="A1568" s="14" t="s">
        <v>423</v>
      </c>
      <c r="B1568" s="14" t="s">
        <v>84</v>
      </c>
      <c r="C1568" s="14" t="s">
        <v>375</v>
      </c>
      <c r="D1568" s="14" t="s">
        <v>376</v>
      </c>
      <c r="E1568" s="14" t="s">
        <v>342</v>
      </c>
      <c r="F1568" s="14" t="s">
        <v>343</v>
      </c>
      <c r="G1568" s="14" t="s">
        <v>343</v>
      </c>
      <c r="H1568" s="14" t="s">
        <v>343</v>
      </c>
      <c r="U1568" s="14">
        <v>0.6</v>
      </c>
      <c r="V1568" s="14">
        <v>0.64</v>
      </c>
      <c r="W1568" s="14">
        <v>0.66</v>
      </c>
      <c r="X1568" s="14">
        <v>0.66</v>
      </c>
    </row>
    <row r="1569" spans="1:24" hidden="1" x14ac:dyDescent="0.3">
      <c r="A1569" s="14" t="s">
        <v>423</v>
      </c>
      <c r="B1569" s="14" t="s">
        <v>84</v>
      </c>
      <c r="C1569" s="14" t="s">
        <v>375</v>
      </c>
      <c r="D1569" s="14" t="s">
        <v>376</v>
      </c>
      <c r="E1569" s="14" t="s">
        <v>344</v>
      </c>
      <c r="F1569" s="14" t="s">
        <v>343</v>
      </c>
      <c r="G1569" s="14" t="s">
        <v>343</v>
      </c>
      <c r="H1569" s="14" t="s">
        <v>343</v>
      </c>
      <c r="U1569" s="14">
        <v>23</v>
      </c>
      <c r="V1569" s="14">
        <v>19</v>
      </c>
      <c r="W1569" s="14">
        <v>23</v>
      </c>
      <c r="X1569" s="14">
        <v>29</v>
      </c>
    </row>
    <row r="1570" spans="1:24" hidden="1" x14ac:dyDescent="0.3">
      <c r="A1570" s="14" t="s">
        <v>424</v>
      </c>
      <c r="B1570" s="14" t="s">
        <v>87</v>
      </c>
      <c r="C1570" s="14" t="s">
        <v>340</v>
      </c>
      <c r="D1570" s="14" t="s">
        <v>341</v>
      </c>
      <c r="E1570" s="14" t="s">
        <v>342</v>
      </c>
      <c r="F1570" s="14" t="s">
        <v>343</v>
      </c>
      <c r="G1570" s="14" t="s">
        <v>343</v>
      </c>
      <c r="H1570" s="14" t="s">
        <v>343</v>
      </c>
      <c r="I1570" s="14">
        <v>1</v>
      </c>
      <c r="J1570" s="14">
        <v>1</v>
      </c>
      <c r="K1570" s="14">
        <v>1</v>
      </c>
      <c r="L1570" s="14">
        <v>1</v>
      </c>
      <c r="M1570" s="14">
        <v>1</v>
      </c>
      <c r="N1570" s="14">
        <v>1</v>
      </c>
      <c r="O1570" s="14">
        <v>0.97</v>
      </c>
      <c r="P1570" s="14">
        <v>0.98</v>
      </c>
      <c r="Q1570" s="14">
        <v>0.98</v>
      </c>
      <c r="R1570" s="14">
        <v>0.98</v>
      </c>
      <c r="S1570" s="14">
        <v>0.99</v>
      </c>
      <c r="T1570" s="14">
        <v>0.99</v>
      </c>
      <c r="U1570" s="14">
        <v>1</v>
      </c>
      <c r="V1570" s="14">
        <v>1</v>
      </c>
      <c r="W1570" s="14">
        <v>1</v>
      </c>
      <c r="X1570" s="14">
        <v>1</v>
      </c>
    </row>
    <row r="1571" spans="1:24" hidden="1" x14ac:dyDescent="0.3">
      <c r="A1571" s="14" t="s">
        <v>424</v>
      </c>
      <c r="B1571" s="14" t="s">
        <v>87</v>
      </c>
      <c r="C1571" s="14" t="s">
        <v>340</v>
      </c>
      <c r="D1571" s="14" t="s">
        <v>341</v>
      </c>
      <c r="E1571" s="14" t="s">
        <v>344</v>
      </c>
      <c r="F1571" s="14" t="s">
        <v>343</v>
      </c>
      <c r="G1571" s="14" t="s">
        <v>343</v>
      </c>
      <c r="H1571" s="14" t="s">
        <v>343</v>
      </c>
      <c r="I1571" s="14">
        <v>1</v>
      </c>
      <c r="J1571" s="14">
        <v>1</v>
      </c>
      <c r="K1571" s="14">
        <v>1</v>
      </c>
      <c r="L1571" s="14">
        <v>1</v>
      </c>
      <c r="M1571" s="14">
        <v>1</v>
      </c>
      <c r="N1571" s="14">
        <v>1</v>
      </c>
      <c r="O1571" s="14">
        <v>94</v>
      </c>
      <c r="P1571" s="14">
        <v>84</v>
      </c>
      <c r="Q1571" s="14">
        <v>91</v>
      </c>
      <c r="R1571" s="14">
        <v>91</v>
      </c>
      <c r="S1571" s="14">
        <v>77</v>
      </c>
      <c r="T1571" s="14">
        <v>72</v>
      </c>
      <c r="U1571" s="14">
        <v>54</v>
      </c>
      <c r="V1571" s="14">
        <v>42</v>
      </c>
      <c r="W1571" s="14">
        <v>32</v>
      </c>
      <c r="X1571" s="14">
        <v>23</v>
      </c>
    </row>
    <row r="1572" spans="1:24" hidden="1" x14ac:dyDescent="0.3">
      <c r="A1572" s="14" t="s">
        <v>424</v>
      </c>
      <c r="B1572" s="14" t="s">
        <v>87</v>
      </c>
      <c r="C1572" s="14" t="s">
        <v>345</v>
      </c>
      <c r="D1572" s="14" t="s">
        <v>346</v>
      </c>
      <c r="E1572" s="14" t="s">
        <v>342</v>
      </c>
      <c r="F1572" s="14" t="s">
        <v>343</v>
      </c>
      <c r="G1572" s="14" t="s">
        <v>343</v>
      </c>
      <c r="H1572" s="14" t="s">
        <v>343</v>
      </c>
      <c r="U1572" s="14">
        <v>0.55000000000000004</v>
      </c>
      <c r="V1572" s="14">
        <v>0.66</v>
      </c>
      <c r="W1572" s="14">
        <v>0.52</v>
      </c>
      <c r="X1572" s="14">
        <v>0.61</v>
      </c>
    </row>
    <row r="1573" spans="1:24" hidden="1" x14ac:dyDescent="0.3">
      <c r="A1573" s="14" t="s">
        <v>424</v>
      </c>
      <c r="B1573" s="14" t="s">
        <v>87</v>
      </c>
      <c r="C1573" s="14" t="s">
        <v>345</v>
      </c>
      <c r="D1573" s="14" t="s">
        <v>346</v>
      </c>
      <c r="E1573" s="14" t="s">
        <v>344</v>
      </c>
      <c r="F1573" s="14" t="s">
        <v>343</v>
      </c>
      <c r="G1573" s="14" t="s">
        <v>343</v>
      </c>
      <c r="H1573" s="14" t="s">
        <v>343</v>
      </c>
      <c r="U1573" s="14">
        <v>97</v>
      </c>
      <c r="V1573" s="14">
        <v>53</v>
      </c>
      <c r="W1573" s="14">
        <v>113</v>
      </c>
      <c r="X1573" s="14">
        <v>87</v>
      </c>
    </row>
    <row r="1574" spans="1:24" hidden="1" x14ac:dyDescent="0.3">
      <c r="A1574" s="14" t="s">
        <v>424</v>
      </c>
      <c r="B1574" s="14" t="s">
        <v>87</v>
      </c>
      <c r="C1574" s="14" t="s">
        <v>347</v>
      </c>
      <c r="D1574" s="14" t="s">
        <v>348</v>
      </c>
      <c r="E1574" s="14" t="s">
        <v>342</v>
      </c>
      <c r="F1574" s="14" t="s">
        <v>343</v>
      </c>
      <c r="G1574" s="14" t="s">
        <v>343</v>
      </c>
      <c r="H1574" s="14" t="s">
        <v>343</v>
      </c>
      <c r="U1574" s="14">
        <v>0.71</v>
      </c>
      <c r="V1574" s="14">
        <v>0.68</v>
      </c>
      <c r="W1574" s="14">
        <v>0.7</v>
      </c>
      <c r="X1574" s="14">
        <v>0.66</v>
      </c>
    </row>
    <row r="1575" spans="1:24" hidden="1" x14ac:dyDescent="0.3">
      <c r="A1575" s="14" t="s">
        <v>424</v>
      </c>
      <c r="B1575" s="14" t="s">
        <v>87</v>
      </c>
      <c r="C1575" s="14" t="s">
        <v>347</v>
      </c>
      <c r="D1575" s="14" t="s">
        <v>348</v>
      </c>
      <c r="E1575" s="14" t="s">
        <v>344</v>
      </c>
      <c r="F1575" s="14" t="s">
        <v>343</v>
      </c>
      <c r="G1575" s="14" t="s">
        <v>343</v>
      </c>
      <c r="H1575" s="14" t="s">
        <v>343</v>
      </c>
      <c r="U1575" s="14">
        <v>97</v>
      </c>
      <c r="V1575" s="14">
        <v>108</v>
      </c>
      <c r="W1575" s="14">
        <v>109</v>
      </c>
      <c r="X1575" s="14">
        <v>109</v>
      </c>
    </row>
    <row r="1576" spans="1:24" hidden="1" x14ac:dyDescent="0.3">
      <c r="A1576" s="14" t="s">
        <v>424</v>
      </c>
      <c r="B1576" s="14" t="s">
        <v>87</v>
      </c>
      <c r="C1576" s="14" t="s">
        <v>349</v>
      </c>
      <c r="D1576" s="14" t="s">
        <v>350</v>
      </c>
      <c r="E1576" s="14" t="s">
        <v>342</v>
      </c>
      <c r="F1576" s="14" t="s">
        <v>343</v>
      </c>
      <c r="G1576" s="14" t="s">
        <v>343</v>
      </c>
      <c r="H1576" s="14" t="s">
        <v>343</v>
      </c>
      <c r="U1576" s="14">
        <v>0.7</v>
      </c>
      <c r="V1576" s="14">
        <v>0.57999999999999996</v>
      </c>
      <c r="W1576" s="14">
        <v>0.68</v>
      </c>
      <c r="X1576" s="14">
        <v>0.62</v>
      </c>
    </row>
    <row r="1577" spans="1:24" hidden="1" x14ac:dyDescent="0.3">
      <c r="A1577" s="14" t="s">
        <v>424</v>
      </c>
      <c r="B1577" s="14" t="s">
        <v>87</v>
      </c>
      <c r="C1577" s="14" t="s">
        <v>349</v>
      </c>
      <c r="D1577" s="14" t="s">
        <v>350</v>
      </c>
      <c r="E1577" s="14" t="s">
        <v>344</v>
      </c>
      <c r="F1577" s="14" t="s">
        <v>343</v>
      </c>
      <c r="G1577" s="14" t="s">
        <v>343</v>
      </c>
      <c r="H1577" s="14" t="s">
        <v>343</v>
      </c>
      <c r="U1577" s="14">
        <v>22</v>
      </c>
      <c r="V1577" s="14">
        <v>46</v>
      </c>
      <c r="W1577" s="14">
        <v>34</v>
      </c>
      <c r="X1577" s="14">
        <v>45</v>
      </c>
    </row>
    <row r="1578" spans="1:24" hidden="1" x14ac:dyDescent="0.3">
      <c r="A1578" s="14" t="s">
        <v>424</v>
      </c>
      <c r="B1578" s="14" t="s">
        <v>87</v>
      </c>
      <c r="C1578" s="14" t="s">
        <v>351</v>
      </c>
      <c r="D1578" s="14" t="s">
        <v>352</v>
      </c>
      <c r="E1578" s="14" t="s">
        <v>342</v>
      </c>
      <c r="F1578" s="14" t="s">
        <v>343</v>
      </c>
      <c r="G1578" s="14" t="s">
        <v>343</v>
      </c>
      <c r="H1578" s="14" t="s">
        <v>343</v>
      </c>
      <c r="U1578" s="14">
        <v>1</v>
      </c>
      <c r="V1578" s="14">
        <v>1</v>
      </c>
      <c r="W1578" s="14">
        <v>1</v>
      </c>
      <c r="X1578" s="14">
        <v>1</v>
      </c>
    </row>
    <row r="1579" spans="1:24" hidden="1" x14ac:dyDescent="0.3">
      <c r="A1579" s="14" t="s">
        <v>424</v>
      </c>
      <c r="B1579" s="14" t="s">
        <v>87</v>
      </c>
      <c r="C1579" s="14" t="s">
        <v>351</v>
      </c>
      <c r="D1579" s="14" t="s">
        <v>352</v>
      </c>
      <c r="E1579" s="14" t="s">
        <v>344</v>
      </c>
      <c r="F1579" s="14" t="s">
        <v>343</v>
      </c>
      <c r="G1579" s="14" t="s">
        <v>343</v>
      </c>
      <c r="H1579" s="14" t="s">
        <v>343</v>
      </c>
      <c r="U1579" s="14">
        <v>1</v>
      </c>
      <c r="V1579" s="14">
        <v>1</v>
      </c>
      <c r="W1579" s="14">
        <v>1</v>
      </c>
      <c r="X1579" s="14">
        <v>1</v>
      </c>
    </row>
    <row r="1580" spans="1:24" hidden="1" x14ac:dyDescent="0.3">
      <c r="A1580" s="14" t="s">
        <v>424</v>
      </c>
      <c r="B1580" s="14" t="s">
        <v>87</v>
      </c>
      <c r="C1580" s="14" t="s">
        <v>378</v>
      </c>
      <c r="D1580" s="14" t="s">
        <v>379</v>
      </c>
      <c r="E1580" s="14" t="s">
        <v>342</v>
      </c>
      <c r="F1580" s="14" t="s">
        <v>343</v>
      </c>
      <c r="G1580" s="14" t="s">
        <v>343</v>
      </c>
      <c r="H1580" s="14" t="s">
        <v>343</v>
      </c>
      <c r="S1580" s="14">
        <v>0.56999999999999995</v>
      </c>
      <c r="U1580" s="14">
        <v>0.52</v>
      </c>
      <c r="V1580" s="14">
        <v>0.55000000000000004</v>
      </c>
      <c r="W1580" s="14">
        <v>0.55000000000000004</v>
      </c>
      <c r="X1580" s="14">
        <v>0.59</v>
      </c>
    </row>
    <row r="1581" spans="1:24" hidden="1" x14ac:dyDescent="0.3">
      <c r="A1581" s="14" t="s">
        <v>424</v>
      </c>
      <c r="B1581" s="14" t="s">
        <v>87</v>
      </c>
      <c r="C1581" s="14" t="s">
        <v>378</v>
      </c>
      <c r="D1581" s="14" t="s">
        <v>379</v>
      </c>
      <c r="E1581" s="14" t="s">
        <v>344</v>
      </c>
      <c r="F1581" s="14" t="s">
        <v>343</v>
      </c>
      <c r="G1581" s="14" t="s">
        <v>343</v>
      </c>
      <c r="H1581" s="14" t="s">
        <v>343</v>
      </c>
      <c r="S1581" s="14">
        <v>106</v>
      </c>
      <c r="U1581" s="14">
        <v>124</v>
      </c>
      <c r="V1581" s="14">
        <v>118</v>
      </c>
      <c r="W1581" s="14">
        <v>123</v>
      </c>
      <c r="X1581" s="14">
        <v>104</v>
      </c>
    </row>
    <row r="1582" spans="1:24" hidden="1" x14ac:dyDescent="0.3">
      <c r="A1582" s="14" t="s">
        <v>424</v>
      </c>
      <c r="B1582" s="14" t="s">
        <v>87</v>
      </c>
      <c r="C1582" s="14" t="s">
        <v>353</v>
      </c>
      <c r="D1582" s="14" t="s">
        <v>354</v>
      </c>
      <c r="E1582" s="14" t="s">
        <v>342</v>
      </c>
      <c r="F1582" s="14" t="s">
        <v>343</v>
      </c>
      <c r="G1582" s="14" t="s">
        <v>343</v>
      </c>
      <c r="H1582" s="14" t="s">
        <v>343</v>
      </c>
      <c r="U1582" s="14">
        <v>1</v>
      </c>
      <c r="V1582" s="14">
        <v>1</v>
      </c>
      <c r="W1582" s="14">
        <v>1</v>
      </c>
      <c r="X1582" s="14">
        <v>1</v>
      </c>
    </row>
    <row r="1583" spans="1:24" hidden="1" x14ac:dyDescent="0.3">
      <c r="A1583" s="14" t="s">
        <v>424</v>
      </c>
      <c r="B1583" s="14" t="s">
        <v>87</v>
      </c>
      <c r="C1583" s="14" t="s">
        <v>353</v>
      </c>
      <c r="D1583" s="14" t="s">
        <v>354</v>
      </c>
      <c r="E1583" s="14" t="s">
        <v>344</v>
      </c>
      <c r="F1583" s="14" t="s">
        <v>343</v>
      </c>
      <c r="G1583" s="14" t="s">
        <v>343</v>
      </c>
      <c r="H1583" s="14" t="s">
        <v>343</v>
      </c>
      <c r="U1583" s="14">
        <v>43</v>
      </c>
      <c r="V1583" s="14">
        <v>49</v>
      </c>
      <c r="W1583" s="14">
        <v>49</v>
      </c>
      <c r="X1583" s="14">
        <v>48</v>
      </c>
    </row>
    <row r="1584" spans="1:24" hidden="1" x14ac:dyDescent="0.3">
      <c r="A1584" s="14" t="s">
        <v>424</v>
      </c>
      <c r="B1584" s="14" t="s">
        <v>87</v>
      </c>
      <c r="C1584" s="14" t="s">
        <v>380</v>
      </c>
      <c r="D1584" s="14" t="s">
        <v>381</v>
      </c>
      <c r="E1584" s="14" t="s">
        <v>342</v>
      </c>
      <c r="F1584" s="14" t="s">
        <v>343</v>
      </c>
      <c r="G1584" s="14" t="s">
        <v>343</v>
      </c>
      <c r="H1584" s="14" t="s">
        <v>343</v>
      </c>
      <c r="U1584" s="14">
        <v>0.99</v>
      </c>
      <c r="V1584" s="14">
        <v>1</v>
      </c>
      <c r="W1584" s="14">
        <v>1</v>
      </c>
      <c r="X1584" s="14">
        <v>1</v>
      </c>
    </row>
    <row r="1585" spans="1:24" hidden="1" x14ac:dyDescent="0.3">
      <c r="A1585" s="14" t="s">
        <v>424</v>
      </c>
      <c r="B1585" s="14" t="s">
        <v>87</v>
      </c>
      <c r="C1585" s="14" t="s">
        <v>380</v>
      </c>
      <c r="D1585" s="14" t="s">
        <v>381</v>
      </c>
      <c r="E1585" s="14" t="s">
        <v>344</v>
      </c>
      <c r="F1585" s="14" t="s">
        <v>343</v>
      </c>
      <c r="G1585" s="14" t="s">
        <v>343</v>
      </c>
      <c r="H1585" s="14" t="s">
        <v>343</v>
      </c>
      <c r="U1585" s="14">
        <v>87</v>
      </c>
      <c r="V1585" s="14">
        <v>90</v>
      </c>
      <c r="W1585" s="14">
        <v>75</v>
      </c>
      <c r="X1585" s="14">
        <v>1</v>
      </c>
    </row>
    <row r="1586" spans="1:24" hidden="1" x14ac:dyDescent="0.3">
      <c r="A1586" s="14" t="s">
        <v>424</v>
      </c>
      <c r="B1586" s="14" t="s">
        <v>87</v>
      </c>
      <c r="C1586" s="14" t="s">
        <v>355</v>
      </c>
      <c r="D1586" s="14" t="s">
        <v>356</v>
      </c>
      <c r="E1586" s="14" t="s">
        <v>342</v>
      </c>
      <c r="F1586" s="14" t="s">
        <v>343</v>
      </c>
      <c r="G1586" s="14" t="s">
        <v>343</v>
      </c>
      <c r="H1586" s="14" t="s">
        <v>343</v>
      </c>
      <c r="U1586" s="14">
        <v>1</v>
      </c>
      <c r="V1586" s="14">
        <v>1</v>
      </c>
      <c r="W1586" s="14">
        <v>1</v>
      </c>
      <c r="X1586" s="14">
        <v>1</v>
      </c>
    </row>
    <row r="1587" spans="1:24" hidden="1" x14ac:dyDescent="0.3">
      <c r="A1587" s="14" t="s">
        <v>424</v>
      </c>
      <c r="B1587" s="14" t="s">
        <v>87</v>
      </c>
      <c r="C1587" s="14" t="s">
        <v>355</v>
      </c>
      <c r="D1587" s="14" t="s">
        <v>356</v>
      </c>
      <c r="E1587" s="14" t="s">
        <v>344</v>
      </c>
      <c r="F1587" s="14" t="s">
        <v>343</v>
      </c>
      <c r="G1587" s="14" t="s">
        <v>343</v>
      </c>
      <c r="H1587" s="14" t="s">
        <v>343</v>
      </c>
      <c r="U1587" s="14">
        <v>1</v>
      </c>
      <c r="V1587" s="14">
        <v>1</v>
      </c>
      <c r="W1587" s="14">
        <v>1</v>
      </c>
      <c r="X1587" s="14">
        <v>1</v>
      </c>
    </row>
    <row r="1588" spans="1:24" hidden="1" x14ac:dyDescent="0.3">
      <c r="A1588" s="14" t="s">
        <v>424</v>
      </c>
      <c r="B1588" s="14" t="s">
        <v>87</v>
      </c>
      <c r="C1588" s="14" t="s">
        <v>357</v>
      </c>
      <c r="D1588" s="14" t="s">
        <v>358</v>
      </c>
      <c r="E1588" s="14" t="s">
        <v>342</v>
      </c>
      <c r="F1588" s="14" t="s">
        <v>343</v>
      </c>
      <c r="G1588" s="14" t="s">
        <v>343</v>
      </c>
      <c r="H1588" s="14" t="s">
        <v>343</v>
      </c>
      <c r="U1588" s="14">
        <v>1</v>
      </c>
      <c r="V1588" s="14">
        <v>1</v>
      </c>
      <c r="W1588" s="14">
        <v>1</v>
      </c>
      <c r="X1588" s="14">
        <v>1</v>
      </c>
    </row>
    <row r="1589" spans="1:24" hidden="1" x14ac:dyDescent="0.3">
      <c r="A1589" s="14" t="s">
        <v>424</v>
      </c>
      <c r="B1589" s="14" t="s">
        <v>87</v>
      </c>
      <c r="C1589" s="14" t="s">
        <v>357</v>
      </c>
      <c r="D1589" s="14" t="s">
        <v>358</v>
      </c>
      <c r="E1589" s="14" t="s">
        <v>344</v>
      </c>
      <c r="F1589" s="14" t="s">
        <v>343</v>
      </c>
      <c r="G1589" s="14" t="s">
        <v>343</v>
      </c>
      <c r="H1589" s="14" t="s">
        <v>343</v>
      </c>
      <c r="U1589" s="14">
        <v>1</v>
      </c>
      <c r="V1589" s="14">
        <v>1</v>
      </c>
      <c r="W1589" s="14">
        <v>1</v>
      </c>
      <c r="X1589" s="14">
        <v>1</v>
      </c>
    </row>
    <row r="1590" spans="1:24" hidden="1" x14ac:dyDescent="0.3">
      <c r="A1590" s="14" t="s">
        <v>424</v>
      </c>
      <c r="B1590" s="14" t="s">
        <v>87</v>
      </c>
      <c r="C1590" s="14" t="s">
        <v>359</v>
      </c>
      <c r="D1590" s="14" t="s">
        <v>360</v>
      </c>
      <c r="E1590" s="14" t="s">
        <v>342</v>
      </c>
      <c r="F1590" s="14" t="s">
        <v>343</v>
      </c>
      <c r="G1590" s="14" t="s">
        <v>343</v>
      </c>
      <c r="H1590" s="14" t="s">
        <v>343</v>
      </c>
      <c r="I1590" s="14">
        <v>0.56000000000000005</v>
      </c>
      <c r="J1590" s="14">
        <v>0.59</v>
      </c>
      <c r="K1590" s="14">
        <v>0.6</v>
      </c>
      <c r="L1590" s="14">
        <v>0.65</v>
      </c>
      <c r="M1590" s="14">
        <v>0.65</v>
      </c>
      <c r="N1590" s="14">
        <v>0.6</v>
      </c>
      <c r="O1590" s="14">
        <v>0.61</v>
      </c>
      <c r="P1590" s="14">
        <v>0.68</v>
      </c>
      <c r="Q1590" s="14">
        <v>0.68</v>
      </c>
      <c r="R1590" s="14">
        <v>0.65</v>
      </c>
      <c r="S1590" s="14">
        <v>0.66</v>
      </c>
      <c r="T1590" s="14">
        <v>0.64</v>
      </c>
      <c r="U1590" s="14">
        <v>0.65</v>
      </c>
      <c r="V1590" s="14">
        <v>0.66</v>
      </c>
      <c r="W1590" s="14">
        <v>0.65</v>
      </c>
      <c r="X1590" s="14">
        <v>0.66</v>
      </c>
    </row>
    <row r="1591" spans="1:24" hidden="1" x14ac:dyDescent="0.3">
      <c r="A1591" s="14" t="s">
        <v>424</v>
      </c>
      <c r="B1591" s="14" t="s">
        <v>87</v>
      </c>
      <c r="C1591" s="14" t="s">
        <v>359</v>
      </c>
      <c r="D1591" s="14" t="s">
        <v>360</v>
      </c>
      <c r="E1591" s="14" t="s">
        <v>344</v>
      </c>
      <c r="F1591" s="14" t="s">
        <v>343</v>
      </c>
      <c r="G1591" s="14" t="s">
        <v>343</v>
      </c>
      <c r="H1591" s="14" t="s">
        <v>343</v>
      </c>
      <c r="I1591" s="14">
        <v>78</v>
      </c>
      <c r="J1591" s="14">
        <v>88</v>
      </c>
      <c r="K1591" s="14">
        <v>82</v>
      </c>
      <c r="L1591" s="14">
        <v>67</v>
      </c>
      <c r="M1591" s="14">
        <v>64</v>
      </c>
      <c r="N1591" s="14">
        <v>92</v>
      </c>
      <c r="O1591" s="14">
        <v>93</v>
      </c>
      <c r="P1591" s="14">
        <v>63</v>
      </c>
      <c r="Q1591" s="14">
        <v>63</v>
      </c>
      <c r="R1591" s="14">
        <v>86</v>
      </c>
      <c r="S1591" s="14">
        <v>78</v>
      </c>
      <c r="T1591" s="14">
        <v>95</v>
      </c>
      <c r="U1591" s="14">
        <v>89</v>
      </c>
      <c r="V1591" s="14">
        <v>85</v>
      </c>
      <c r="W1591" s="14">
        <v>101</v>
      </c>
      <c r="X1591" s="14">
        <v>87</v>
      </c>
    </row>
    <row r="1592" spans="1:24" x14ac:dyDescent="0.3">
      <c r="A1592" s="14" t="s">
        <v>424</v>
      </c>
      <c r="B1592" s="14" t="s">
        <v>87</v>
      </c>
      <c r="C1592" s="14" t="s">
        <v>361</v>
      </c>
      <c r="D1592" s="14" t="s">
        <v>362</v>
      </c>
      <c r="E1592" s="14" t="s">
        <v>342</v>
      </c>
      <c r="F1592" s="14" t="s">
        <v>343</v>
      </c>
      <c r="G1592" s="14" t="s">
        <v>343</v>
      </c>
      <c r="H1592" s="14" t="s">
        <v>343</v>
      </c>
      <c r="I1592" s="14">
        <v>0.98</v>
      </c>
      <c r="J1592" s="14">
        <v>0.98</v>
      </c>
      <c r="K1592" s="14">
        <v>0.98</v>
      </c>
      <c r="L1592" s="14">
        <v>0.98</v>
      </c>
      <c r="M1592" s="14">
        <v>0.97</v>
      </c>
      <c r="N1592" s="14">
        <v>0.97</v>
      </c>
      <c r="O1592" s="14">
        <v>0.97</v>
      </c>
      <c r="P1592" s="14">
        <v>0.97</v>
      </c>
      <c r="Q1592" s="14">
        <v>0.97</v>
      </c>
      <c r="R1592" s="14">
        <v>0.97</v>
      </c>
      <c r="S1592" s="14">
        <v>0.97</v>
      </c>
      <c r="T1592" s="14">
        <v>0.98</v>
      </c>
      <c r="U1592" s="14">
        <v>0.98</v>
      </c>
      <c r="V1592" s="14">
        <v>0.98</v>
      </c>
      <c r="W1592" s="14">
        <v>0.98</v>
      </c>
      <c r="X1592" s="14">
        <v>0.98</v>
      </c>
    </row>
    <row r="1593" spans="1:24" hidden="1" x14ac:dyDescent="0.3">
      <c r="A1593" s="14" t="s">
        <v>424</v>
      </c>
      <c r="B1593" s="14" t="s">
        <v>87</v>
      </c>
      <c r="C1593" s="14" t="s">
        <v>361</v>
      </c>
      <c r="D1593" s="14" t="s">
        <v>362</v>
      </c>
      <c r="E1593" s="14" t="s">
        <v>344</v>
      </c>
      <c r="F1593" s="14" t="s">
        <v>343</v>
      </c>
      <c r="G1593" s="14" t="s">
        <v>343</v>
      </c>
      <c r="H1593" s="14" t="s">
        <v>343</v>
      </c>
      <c r="I1593" s="14">
        <v>1</v>
      </c>
      <c r="J1593" s="14">
        <v>1</v>
      </c>
      <c r="K1593" s="14">
        <v>1</v>
      </c>
      <c r="L1593" s="14">
        <v>1</v>
      </c>
      <c r="M1593" s="14">
        <v>86</v>
      </c>
      <c r="N1593" s="14">
        <v>88</v>
      </c>
      <c r="O1593" s="14">
        <v>89</v>
      </c>
      <c r="P1593" s="14">
        <v>89</v>
      </c>
      <c r="Q1593" s="14">
        <v>91</v>
      </c>
      <c r="R1593" s="14">
        <v>98</v>
      </c>
      <c r="S1593" s="14">
        <v>97</v>
      </c>
      <c r="T1593" s="14">
        <v>1</v>
      </c>
      <c r="U1593" s="14">
        <v>1</v>
      </c>
      <c r="V1593" s="14">
        <v>1</v>
      </c>
      <c r="W1593" s="14">
        <v>1</v>
      </c>
      <c r="X1593" s="14">
        <v>1</v>
      </c>
    </row>
    <row r="1594" spans="1:24" hidden="1" x14ac:dyDescent="0.3">
      <c r="A1594" s="14" t="s">
        <v>424</v>
      </c>
      <c r="B1594" s="14" t="s">
        <v>87</v>
      </c>
      <c r="C1594" s="14" t="s">
        <v>363</v>
      </c>
      <c r="D1594" s="14" t="s">
        <v>364</v>
      </c>
      <c r="E1594" s="14" t="s">
        <v>342</v>
      </c>
      <c r="F1594" s="14" t="s">
        <v>343</v>
      </c>
      <c r="G1594" s="14" t="s">
        <v>343</v>
      </c>
      <c r="H1594" s="14" t="s">
        <v>343</v>
      </c>
      <c r="U1594" s="14">
        <v>1.06</v>
      </c>
      <c r="V1594" s="14">
        <v>1.06</v>
      </c>
      <c r="W1594" s="14">
        <v>1.06</v>
      </c>
      <c r="X1594" s="14">
        <v>1.06</v>
      </c>
    </row>
    <row r="1595" spans="1:24" hidden="1" x14ac:dyDescent="0.3">
      <c r="A1595" s="14" t="s">
        <v>424</v>
      </c>
      <c r="B1595" s="14" t="s">
        <v>87</v>
      </c>
      <c r="C1595" s="14" t="s">
        <v>363</v>
      </c>
      <c r="D1595" s="14" t="s">
        <v>364</v>
      </c>
      <c r="E1595" s="14" t="s">
        <v>344</v>
      </c>
      <c r="F1595" s="14" t="s">
        <v>343</v>
      </c>
      <c r="G1595" s="14" t="s">
        <v>343</v>
      </c>
      <c r="H1595" s="14" t="s">
        <v>343</v>
      </c>
      <c r="U1595" s="14">
        <v>1</v>
      </c>
      <c r="V1595" s="14">
        <v>1</v>
      </c>
      <c r="W1595" s="14">
        <v>1</v>
      </c>
      <c r="X1595" s="14">
        <v>1</v>
      </c>
    </row>
    <row r="1596" spans="1:24" hidden="1" x14ac:dyDescent="0.3">
      <c r="A1596" s="14" t="s">
        <v>424</v>
      </c>
      <c r="B1596" s="14" t="s">
        <v>87</v>
      </c>
      <c r="C1596" s="14" t="s">
        <v>365</v>
      </c>
      <c r="D1596" s="14" t="s">
        <v>366</v>
      </c>
      <c r="E1596" s="14" t="s">
        <v>342</v>
      </c>
      <c r="F1596" s="14" t="s">
        <v>343</v>
      </c>
      <c r="G1596" s="14" t="s">
        <v>343</v>
      </c>
      <c r="H1596" s="14" t="s">
        <v>343</v>
      </c>
      <c r="U1596" s="14">
        <v>0.94</v>
      </c>
      <c r="V1596" s="14">
        <v>0.94</v>
      </c>
      <c r="W1596" s="14">
        <v>0.94</v>
      </c>
      <c r="X1596" s="14">
        <v>0.94</v>
      </c>
    </row>
    <row r="1597" spans="1:24" hidden="1" x14ac:dyDescent="0.3">
      <c r="A1597" s="14" t="s">
        <v>424</v>
      </c>
      <c r="B1597" s="14" t="s">
        <v>87</v>
      </c>
      <c r="C1597" s="14" t="s">
        <v>365</v>
      </c>
      <c r="D1597" s="14" t="s">
        <v>366</v>
      </c>
      <c r="E1597" s="14" t="s">
        <v>344</v>
      </c>
      <c r="F1597" s="14" t="s">
        <v>343</v>
      </c>
      <c r="G1597" s="14" t="s">
        <v>343</v>
      </c>
      <c r="H1597" s="14" t="s">
        <v>343</v>
      </c>
      <c r="U1597" s="14">
        <v>1</v>
      </c>
      <c r="V1597" s="14">
        <v>1</v>
      </c>
      <c r="W1597" s="14">
        <v>1</v>
      </c>
      <c r="X1597" s="14">
        <v>1</v>
      </c>
    </row>
    <row r="1598" spans="1:24" hidden="1" x14ac:dyDescent="0.3">
      <c r="A1598" s="14" t="s">
        <v>424</v>
      </c>
      <c r="B1598" s="14" t="s">
        <v>87</v>
      </c>
      <c r="C1598" s="14" t="s">
        <v>367</v>
      </c>
      <c r="D1598" s="14" t="s">
        <v>368</v>
      </c>
      <c r="E1598" s="14" t="s">
        <v>342</v>
      </c>
      <c r="F1598" s="14" t="s">
        <v>343</v>
      </c>
      <c r="G1598" s="14" t="s">
        <v>343</v>
      </c>
      <c r="H1598" s="14" t="s">
        <v>343</v>
      </c>
      <c r="I1598" s="14">
        <v>0.66</v>
      </c>
      <c r="J1598" s="14">
        <v>0.67</v>
      </c>
      <c r="K1598" s="14">
        <v>0.67</v>
      </c>
      <c r="L1598" s="14">
        <v>0.69</v>
      </c>
      <c r="M1598" s="14">
        <v>0.68</v>
      </c>
      <c r="N1598" s="14">
        <v>0.67</v>
      </c>
      <c r="O1598" s="14">
        <v>0.67</v>
      </c>
      <c r="P1598" s="14">
        <v>0.69</v>
      </c>
      <c r="Q1598" s="14">
        <v>0.69</v>
      </c>
      <c r="R1598" s="14">
        <v>0.69</v>
      </c>
      <c r="S1598" s="14">
        <v>0.68</v>
      </c>
      <c r="T1598" s="14">
        <v>0.7</v>
      </c>
      <c r="U1598" s="14">
        <v>0.7</v>
      </c>
      <c r="V1598" s="14">
        <v>0.7</v>
      </c>
      <c r="W1598" s="14">
        <v>0.7</v>
      </c>
      <c r="X1598" s="14">
        <v>0.7</v>
      </c>
    </row>
    <row r="1599" spans="1:24" hidden="1" x14ac:dyDescent="0.3">
      <c r="A1599" s="14" t="s">
        <v>424</v>
      </c>
      <c r="B1599" s="14" t="s">
        <v>87</v>
      </c>
      <c r="C1599" s="14" t="s">
        <v>367</v>
      </c>
      <c r="D1599" s="14" t="s">
        <v>368</v>
      </c>
      <c r="E1599" s="14" t="s">
        <v>344</v>
      </c>
      <c r="F1599" s="14" t="s">
        <v>343</v>
      </c>
      <c r="G1599" s="14" t="s">
        <v>343</v>
      </c>
      <c r="H1599" s="14" t="s">
        <v>343</v>
      </c>
      <c r="I1599" s="14">
        <v>59</v>
      </c>
      <c r="J1599" s="14">
        <v>65</v>
      </c>
      <c r="K1599" s="14">
        <v>72</v>
      </c>
      <c r="L1599" s="14">
        <v>67</v>
      </c>
      <c r="M1599" s="14">
        <v>73</v>
      </c>
      <c r="N1599" s="14">
        <v>81</v>
      </c>
      <c r="O1599" s="14">
        <v>89</v>
      </c>
      <c r="P1599" s="14">
        <v>72</v>
      </c>
      <c r="Q1599" s="14">
        <v>78</v>
      </c>
      <c r="R1599" s="14">
        <v>86</v>
      </c>
      <c r="S1599" s="14">
        <v>97</v>
      </c>
      <c r="T1599" s="14">
        <v>70</v>
      </c>
      <c r="U1599" s="14">
        <v>74</v>
      </c>
      <c r="V1599" s="14">
        <v>86</v>
      </c>
      <c r="W1599" s="14">
        <v>89</v>
      </c>
      <c r="X1599" s="14">
        <v>84</v>
      </c>
    </row>
    <row r="1600" spans="1:24" hidden="1" x14ac:dyDescent="0.3">
      <c r="A1600" s="14" t="s">
        <v>424</v>
      </c>
      <c r="B1600" s="14" t="s">
        <v>87</v>
      </c>
      <c r="C1600" s="14" t="s">
        <v>369</v>
      </c>
      <c r="D1600" s="14" t="s">
        <v>370</v>
      </c>
      <c r="E1600" s="14" t="s">
        <v>342</v>
      </c>
      <c r="F1600" s="14" t="s">
        <v>343</v>
      </c>
      <c r="G1600" s="14" t="s">
        <v>343</v>
      </c>
      <c r="H1600" s="14" t="s">
        <v>343</v>
      </c>
      <c r="I1600" s="14">
        <v>0.12</v>
      </c>
      <c r="J1600" s="14">
        <v>0.12</v>
      </c>
      <c r="K1600" s="14">
        <v>0.12</v>
      </c>
      <c r="L1600" s="14">
        <v>0.12</v>
      </c>
      <c r="M1600" s="14">
        <v>0.09</v>
      </c>
      <c r="N1600" s="14">
        <v>0.1</v>
      </c>
      <c r="O1600" s="14">
        <v>0.12</v>
      </c>
      <c r="P1600" s="14">
        <v>0.12</v>
      </c>
      <c r="Q1600" s="14">
        <v>0.13</v>
      </c>
      <c r="R1600" s="14">
        <v>0.14000000000000001</v>
      </c>
      <c r="S1600" s="14">
        <v>0.08</v>
      </c>
      <c r="T1600" s="14">
        <v>0.18</v>
      </c>
      <c r="U1600" s="14">
        <v>0.18</v>
      </c>
      <c r="V1600" s="14">
        <v>0.16</v>
      </c>
      <c r="W1600" s="14">
        <v>0.17</v>
      </c>
      <c r="X1600" s="14">
        <v>0.17</v>
      </c>
    </row>
    <row r="1601" spans="1:24" hidden="1" x14ac:dyDescent="0.3">
      <c r="A1601" s="14" t="s">
        <v>424</v>
      </c>
      <c r="B1601" s="14" t="s">
        <v>87</v>
      </c>
      <c r="C1601" s="14" t="s">
        <v>369</v>
      </c>
      <c r="D1601" s="14" t="s">
        <v>370</v>
      </c>
      <c r="E1601" s="14" t="s">
        <v>344</v>
      </c>
      <c r="F1601" s="14" t="s">
        <v>343</v>
      </c>
      <c r="G1601" s="14" t="s">
        <v>343</v>
      </c>
      <c r="H1601" s="14" t="s">
        <v>343</v>
      </c>
      <c r="I1601" s="14">
        <v>49</v>
      </c>
      <c r="J1601" s="14">
        <v>55</v>
      </c>
      <c r="K1601" s="14">
        <v>69</v>
      </c>
      <c r="L1601" s="14">
        <v>73</v>
      </c>
      <c r="M1601" s="14">
        <v>92</v>
      </c>
      <c r="N1601" s="14">
        <v>80</v>
      </c>
      <c r="O1601" s="14">
        <v>84</v>
      </c>
      <c r="P1601" s="14">
        <v>84</v>
      </c>
      <c r="Q1601" s="14">
        <v>84</v>
      </c>
      <c r="R1601" s="14">
        <v>81</v>
      </c>
      <c r="S1601" s="14">
        <v>118</v>
      </c>
      <c r="T1601" s="14">
        <v>69</v>
      </c>
      <c r="U1601" s="14">
        <v>69</v>
      </c>
      <c r="V1601" s="14">
        <v>88</v>
      </c>
      <c r="W1601" s="14">
        <v>88</v>
      </c>
      <c r="X1601" s="14">
        <v>86</v>
      </c>
    </row>
    <row r="1602" spans="1:24" hidden="1" x14ac:dyDescent="0.3">
      <c r="A1602" s="14" t="s">
        <v>424</v>
      </c>
      <c r="B1602" s="14" t="s">
        <v>87</v>
      </c>
      <c r="C1602" s="14" t="s">
        <v>371</v>
      </c>
      <c r="D1602" s="14" t="s">
        <v>372</v>
      </c>
      <c r="E1602" s="14" t="s">
        <v>342</v>
      </c>
      <c r="F1602" s="14" t="s">
        <v>343</v>
      </c>
      <c r="G1602" s="14" t="s">
        <v>343</v>
      </c>
      <c r="H1602" s="14" t="s">
        <v>343</v>
      </c>
      <c r="U1602" s="14">
        <v>0</v>
      </c>
      <c r="V1602" s="14">
        <v>0</v>
      </c>
      <c r="W1602" s="14">
        <v>0</v>
      </c>
      <c r="X1602" s="14">
        <v>0</v>
      </c>
    </row>
    <row r="1603" spans="1:24" hidden="1" x14ac:dyDescent="0.3">
      <c r="A1603" s="14" t="s">
        <v>424</v>
      </c>
      <c r="B1603" s="14" t="s">
        <v>87</v>
      </c>
      <c r="C1603" s="14" t="s">
        <v>371</v>
      </c>
      <c r="D1603" s="14" t="s">
        <v>372</v>
      </c>
      <c r="E1603" s="14" t="s">
        <v>344</v>
      </c>
      <c r="F1603" s="14" t="s">
        <v>343</v>
      </c>
      <c r="G1603" s="14" t="s">
        <v>343</v>
      </c>
      <c r="H1603" s="14" t="s">
        <v>343</v>
      </c>
      <c r="U1603" s="14">
        <v>71</v>
      </c>
      <c r="V1603" s="14">
        <v>73</v>
      </c>
      <c r="W1603" s="14">
        <v>76</v>
      </c>
      <c r="X1603" s="14">
        <v>78</v>
      </c>
    </row>
    <row r="1604" spans="1:24" hidden="1" x14ac:dyDescent="0.3">
      <c r="A1604" s="14" t="s">
        <v>424</v>
      </c>
      <c r="B1604" s="14" t="s">
        <v>87</v>
      </c>
      <c r="C1604" s="14" t="s">
        <v>373</v>
      </c>
      <c r="D1604" s="14" t="s">
        <v>374</v>
      </c>
      <c r="E1604" s="14" t="s">
        <v>342</v>
      </c>
      <c r="F1604" s="14" t="s">
        <v>343</v>
      </c>
      <c r="G1604" s="14" t="s">
        <v>343</v>
      </c>
      <c r="H1604" s="14" t="s">
        <v>343</v>
      </c>
      <c r="U1604" s="14">
        <v>0.26</v>
      </c>
      <c r="V1604" s="14">
        <v>0.2</v>
      </c>
      <c r="W1604" s="14">
        <v>0.21</v>
      </c>
      <c r="X1604" s="14">
        <v>0.21</v>
      </c>
    </row>
    <row r="1605" spans="1:24" hidden="1" x14ac:dyDescent="0.3">
      <c r="A1605" s="14" t="s">
        <v>424</v>
      </c>
      <c r="B1605" s="14" t="s">
        <v>87</v>
      </c>
      <c r="C1605" s="14" t="s">
        <v>373</v>
      </c>
      <c r="D1605" s="14" t="s">
        <v>374</v>
      </c>
      <c r="E1605" s="14" t="s">
        <v>344</v>
      </c>
      <c r="F1605" s="14" t="s">
        <v>343</v>
      </c>
      <c r="G1605" s="14" t="s">
        <v>343</v>
      </c>
      <c r="H1605" s="14" t="s">
        <v>343</v>
      </c>
      <c r="U1605" s="14">
        <v>67</v>
      </c>
      <c r="V1605" s="14">
        <v>94</v>
      </c>
      <c r="W1605" s="14">
        <v>91</v>
      </c>
      <c r="X1605" s="14">
        <v>86</v>
      </c>
    </row>
    <row r="1606" spans="1:24" hidden="1" x14ac:dyDescent="0.3">
      <c r="A1606" s="14" t="s">
        <v>424</v>
      </c>
      <c r="B1606" s="14" t="s">
        <v>87</v>
      </c>
      <c r="C1606" s="14" t="s">
        <v>375</v>
      </c>
      <c r="D1606" s="14" t="s">
        <v>376</v>
      </c>
      <c r="E1606" s="14" t="s">
        <v>342</v>
      </c>
      <c r="F1606" s="14" t="s">
        <v>343</v>
      </c>
      <c r="G1606" s="14" t="s">
        <v>343</v>
      </c>
      <c r="H1606" s="14" t="s">
        <v>343</v>
      </c>
      <c r="U1606" s="14">
        <v>0.37</v>
      </c>
      <c r="V1606" s="14">
        <v>0.37</v>
      </c>
      <c r="W1606" s="14">
        <v>0.39</v>
      </c>
      <c r="X1606" s="14">
        <v>0.39</v>
      </c>
    </row>
    <row r="1607" spans="1:24" hidden="1" x14ac:dyDescent="0.3">
      <c r="A1607" s="14" t="s">
        <v>424</v>
      </c>
      <c r="B1607" s="14" t="s">
        <v>87</v>
      </c>
      <c r="C1607" s="14" t="s">
        <v>375</v>
      </c>
      <c r="D1607" s="14" t="s">
        <v>376</v>
      </c>
      <c r="E1607" s="14" t="s">
        <v>344</v>
      </c>
      <c r="F1607" s="14" t="s">
        <v>343</v>
      </c>
      <c r="G1607" s="14" t="s">
        <v>343</v>
      </c>
      <c r="H1607" s="14" t="s">
        <v>343</v>
      </c>
      <c r="U1607" s="14">
        <v>53</v>
      </c>
      <c r="V1607" s="14">
        <v>55</v>
      </c>
      <c r="W1607" s="14">
        <v>55</v>
      </c>
      <c r="X1607" s="14">
        <v>61</v>
      </c>
    </row>
    <row r="1608" spans="1:24" hidden="1" x14ac:dyDescent="0.3">
      <c r="A1608" s="14" t="s">
        <v>425</v>
      </c>
      <c r="B1608" s="14" t="s">
        <v>28</v>
      </c>
      <c r="C1608" s="14" t="s">
        <v>340</v>
      </c>
      <c r="D1608" s="14" t="s">
        <v>341</v>
      </c>
      <c r="E1608" s="14" t="s">
        <v>342</v>
      </c>
      <c r="F1608" s="14" t="s">
        <v>343</v>
      </c>
      <c r="G1608" s="14" t="s">
        <v>343</v>
      </c>
      <c r="H1608" s="14" t="s">
        <v>343</v>
      </c>
      <c r="I1608" s="14">
        <v>0.94</v>
      </c>
      <c r="J1608" s="14">
        <v>0.94</v>
      </c>
      <c r="K1608" s="14">
        <v>0.95</v>
      </c>
      <c r="L1608" s="14">
        <v>0.95</v>
      </c>
      <c r="M1608" s="14">
        <v>0.95</v>
      </c>
      <c r="N1608" s="14">
        <v>0.95</v>
      </c>
      <c r="O1608" s="14">
        <v>0.95</v>
      </c>
      <c r="P1608" s="14">
        <v>0.94</v>
      </c>
      <c r="Q1608" s="14">
        <v>0.94</v>
      </c>
      <c r="R1608" s="14">
        <v>0.95</v>
      </c>
      <c r="S1608" s="14">
        <v>0.96</v>
      </c>
      <c r="T1608" s="14">
        <v>0.96</v>
      </c>
      <c r="U1608" s="14">
        <v>0.96</v>
      </c>
      <c r="V1608" s="14">
        <v>0.97</v>
      </c>
      <c r="W1608" s="14">
        <v>0.97</v>
      </c>
      <c r="X1608" s="14">
        <v>0.92</v>
      </c>
    </row>
    <row r="1609" spans="1:24" hidden="1" x14ac:dyDescent="0.3">
      <c r="A1609" s="14" t="s">
        <v>425</v>
      </c>
      <c r="B1609" s="14" t="s">
        <v>28</v>
      </c>
      <c r="C1609" s="14" t="s">
        <v>340</v>
      </c>
      <c r="D1609" s="14" t="s">
        <v>341</v>
      </c>
      <c r="E1609" s="14" t="s">
        <v>344</v>
      </c>
      <c r="F1609" s="14" t="s">
        <v>343</v>
      </c>
      <c r="G1609" s="14" t="s">
        <v>343</v>
      </c>
      <c r="H1609" s="14" t="s">
        <v>343</v>
      </c>
      <c r="I1609" s="14">
        <v>83</v>
      </c>
      <c r="J1609" s="14">
        <v>96</v>
      </c>
      <c r="K1609" s="14">
        <v>96</v>
      </c>
      <c r="L1609" s="14">
        <v>99</v>
      </c>
      <c r="M1609" s="14">
        <v>99</v>
      </c>
      <c r="N1609" s="14">
        <v>96</v>
      </c>
      <c r="O1609" s="14">
        <v>103</v>
      </c>
      <c r="P1609" s="14">
        <v>106</v>
      </c>
      <c r="Q1609" s="14">
        <v>113</v>
      </c>
      <c r="R1609" s="14">
        <v>110</v>
      </c>
      <c r="S1609" s="14">
        <v>104</v>
      </c>
      <c r="T1609" s="14">
        <v>107</v>
      </c>
      <c r="U1609" s="14">
        <v>112</v>
      </c>
      <c r="V1609" s="14">
        <v>109</v>
      </c>
      <c r="W1609" s="14">
        <v>111</v>
      </c>
      <c r="X1609" s="14">
        <v>126</v>
      </c>
    </row>
    <row r="1610" spans="1:24" hidden="1" x14ac:dyDescent="0.3">
      <c r="A1610" s="14" t="s">
        <v>425</v>
      </c>
      <c r="B1610" s="14" t="s">
        <v>28</v>
      </c>
      <c r="C1610" s="14" t="s">
        <v>345</v>
      </c>
      <c r="D1610" s="14" t="s">
        <v>346</v>
      </c>
      <c r="E1610" s="14" t="s">
        <v>342</v>
      </c>
      <c r="F1610" s="14" t="s">
        <v>343</v>
      </c>
      <c r="G1610" s="14" t="s">
        <v>343</v>
      </c>
      <c r="H1610" s="14" t="s">
        <v>343</v>
      </c>
      <c r="U1610" s="14">
        <v>0.18</v>
      </c>
      <c r="V1610" s="14">
        <v>0.17</v>
      </c>
      <c r="W1610" s="14">
        <v>0.19</v>
      </c>
      <c r="X1610" s="14">
        <v>0.18</v>
      </c>
    </row>
    <row r="1611" spans="1:24" hidden="1" x14ac:dyDescent="0.3">
      <c r="A1611" s="14" t="s">
        <v>425</v>
      </c>
      <c r="B1611" s="14" t="s">
        <v>28</v>
      </c>
      <c r="C1611" s="14" t="s">
        <v>345</v>
      </c>
      <c r="D1611" s="14" t="s">
        <v>346</v>
      </c>
      <c r="E1611" s="14" t="s">
        <v>344</v>
      </c>
      <c r="F1611" s="14" t="s">
        <v>343</v>
      </c>
      <c r="G1611" s="14" t="s">
        <v>343</v>
      </c>
      <c r="H1611" s="14" t="s">
        <v>343</v>
      </c>
      <c r="U1611" s="14">
        <v>142</v>
      </c>
      <c r="V1611" s="14">
        <v>150</v>
      </c>
      <c r="W1611" s="14">
        <v>149</v>
      </c>
      <c r="X1611" s="14">
        <v>144</v>
      </c>
    </row>
    <row r="1612" spans="1:24" hidden="1" x14ac:dyDescent="0.3">
      <c r="A1612" s="14" t="s">
        <v>425</v>
      </c>
      <c r="B1612" s="14" t="s">
        <v>28</v>
      </c>
      <c r="C1612" s="14" t="s">
        <v>347</v>
      </c>
      <c r="D1612" s="14" t="s">
        <v>348</v>
      </c>
      <c r="E1612" s="14" t="s">
        <v>342</v>
      </c>
      <c r="F1612" s="14" t="s">
        <v>343</v>
      </c>
      <c r="G1612" s="14" t="s">
        <v>343</v>
      </c>
      <c r="H1612" s="14" t="s">
        <v>343</v>
      </c>
      <c r="U1612" s="14">
        <v>0.23</v>
      </c>
      <c r="V1612" s="14">
        <v>0.22</v>
      </c>
      <c r="W1612" s="14">
        <v>0.25</v>
      </c>
      <c r="X1612" s="14">
        <v>0.24</v>
      </c>
    </row>
    <row r="1613" spans="1:24" hidden="1" x14ac:dyDescent="0.3">
      <c r="A1613" s="14" t="s">
        <v>425</v>
      </c>
      <c r="B1613" s="14" t="s">
        <v>28</v>
      </c>
      <c r="C1613" s="14" t="s">
        <v>347</v>
      </c>
      <c r="D1613" s="14" t="s">
        <v>348</v>
      </c>
      <c r="E1613" s="14" t="s">
        <v>344</v>
      </c>
      <c r="F1613" s="14" t="s">
        <v>343</v>
      </c>
      <c r="G1613" s="14" t="s">
        <v>343</v>
      </c>
      <c r="H1613" s="14" t="s">
        <v>343</v>
      </c>
      <c r="U1613" s="14">
        <v>146</v>
      </c>
      <c r="V1613" s="14">
        <v>150</v>
      </c>
      <c r="W1613" s="14">
        <v>151</v>
      </c>
      <c r="X1613" s="14">
        <v>142</v>
      </c>
    </row>
    <row r="1614" spans="1:24" hidden="1" x14ac:dyDescent="0.3">
      <c r="A1614" s="14" t="s">
        <v>425</v>
      </c>
      <c r="B1614" s="14" t="s">
        <v>28</v>
      </c>
      <c r="C1614" s="14" t="s">
        <v>349</v>
      </c>
      <c r="D1614" s="14" t="s">
        <v>350</v>
      </c>
      <c r="E1614" s="14" t="s">
        <v>342</v>
      </c>
      <c r="F1614" s="14" t="s">
        <v>343</v>
      </c>
      <c r="G1614" s="14" t="s">
        <v>343</v>
      </c>
      <c r="H1614" s="14" t="s">
        <v>343</v>
      </c>
      <c r="U1614" s="14">
        <v>0.09</v>
      </c>
      <c r="V1614" s="14">
        <v>0.11</v>
      </c>
      <c r="W1614" s="14">
        <v>0.09</v>
      </c>
      <c r="X1614" s="14">
        <v>0.09</v>
      </c>
    </row>
    <row r="1615" spans="1:24" hidden="1" x14ac:dyDescent="0.3">
      <c r="A1615" s="14" t="s">
        <v>425</v>
      </c>
      <c r="B1615" s="14" t="s">
        <v>28</v>
      </c>
      <c r="C1615" s="14" t="s">
        <v>349</v>
      </c>
      <c r="D1615" s="14" t="s">
        <v>350</v>
      </c>
      <c r="E1615" s="14" t="s">
        <v>344</v>
      </c>
      <c r="F1615" s="14" t="s">
        <v>343</v>
      </c>
      <c r="G1615" s="14" t="s">
        <v>343</v>
      </c>
      <c r="H1615" s="14" t="s">
        <v>343</v>
      </c>
      <c r="U1615" s="14">
        <v>138</v>
      </c>
      <c r="V1615" s="14">
        <v>141</v>
      </c>
      <c r="W1615" s="14">
        <v>147</v>
      </c>
      <c r="X1615" s="14">
        <v>135</v>
      </c>
    </row>
    <row r="1616" spans="1:24" hidden="1" x14ac:dyDescent="0.3">
      <c r="A1616" s="14" t="s">
        <v>425</v>
      </c>
      <c r="B1616" s="14" t="s">
        <v>28</v>
      </c>
      <c r="C1616" s="14" t="s">
        <v>351</v>
      </c>
      <c r="D1616" s="14" t="s">
        <v>352</v>
      </c>
      <c r="E1616" s="14" t="s">
        <v>342</v>
      </c>
      <c r="F1616" s="14" t="s">
        <v>343</v>
      </c>
      <c r="G1616" s="14" t="s">
        <v>343</v>
      </c>
      <c r="H1616" s="14" t="s">
        <v>343</v>
      </c>
      <c r="U1616" s="14">
        <v>0.92</v>
      </c>
      <c r="V1616" s="14">
        <v>0.92</v>
      </c>
      <c r="W1616" s="14">
        <v>0.8</v>
      </c>
      <c r="X1616" s="14">
        <v>0.92</v>
      </c>
    </row>
    <row r="1617" spans="1:24" hidden="1" x14ac:dyDescent="0.3">
      <c r="A1617" s="14" t="s">
        <v>425</v>
      </c>
      <c r="B1617" s="14" t="s">
        <v>28</v>
      </c>
      <c r="C1617" s="14" t="s">
        <v>351</v>
      </c>
      <c r="D1617" s="14" t="s">
        <v>352</v>
      </c>
      <c r="E1617" s="14" t="s">
        <v>344</v>
      </c>
      <c r="F1617" s="14" t="s">
        <v>343</v>
      </c>
      <c r="G1617" s="14" t="s">
        <v>343</v>
      </c>
      <c r="H1617" s="14" t="s">
        <v>343</v>
      </c>
      <c r="U1617" s="14">
        <v>88</v>
      </c>
      <c r="V1617" s="14">
        <v>89</v>
      </c>
      <c r="W1617" s="14">
        <v>98</v>
      </c>
      <c r="X1617" s="14">
        <v>81</v>
      </c>
    </row>
    <row r="1618" spans="1:24" hidden="1" x14ac:dyDescent="0.3">
      <c r="A1618" s="14" t="s">
        <v>425</v>
      </c>
      <c r="B1618" s="14" t="s">
        <v>28</v>
      </c>
      <c r="C1618" s="14" t="s">
        <v>378</v>
      </c>
      <c r="D1618" s="14" t="s">
        <v>379</v>
      </c>
      <c r="E1618" s="14" t="s">
        <v>342</v>
      </c>
      <c r="F1618" s="14" t="s">
        <v>343</v>
      </c>
      <c r="G1618" s="14" t="s">
        <v>343</v>
      </c>
      <c r="H1618" s="14" t="s">
        <v>343</v>
      </c>
      <c r="S1618" s="14">
        <v>0.76</v>
      </c>
      <c r="U1618" s="14">
        <v>0.78</v>
      </c>
      <c r="V1618" s="14">
        <v>0.82</v>
      </c>
      <c r="W1618" s="14">
        <v>0.82</v>
      </c>
      <c r="X1618" s="14">
        <v>0.82</v>
      </c>
    </row>
    <row r="1619" spans="1:24" hidden="1" x14ac:dyDescent="0.3">
      <c r="A1619" s="14" t="s">
        <v>425</v>
      </c>
      <c r="B1619" s="14" t="s">
        <v>28</v>
      </c>
      <c r="C1619" s="14" t="s">
        <v>378</v>
      </c>
      <c r="D1619" s="14" t="s">
        <v>379</v>
      </c>
      <c r="E1619" s="14" t="s">
        <v>344</v>
      </c>
      <c r="F1619" s="14" t="s">
        <v>343</v>
      </c>
      <c r="G1619" s="14" t="s">
        <v>343</v>
      </c>
      <c r="H1619" s="14" t="s">
        <v>343</v>
      </c>
      <c r="S1619" s="14">
        <v>22</v>
      </c>
      <c r="U1619" s="14">
        <v>15</v>
      </c>
      <c r="V1619" s="14">
        <v>4</v>
      </c>
      <c r="W1619" s="14">
        <v>4</v>
      </c>
      <c r="X1619" s="14">
        <v>3</v>
      </c>
    </row>
    <row r="1620" spans="1:24" hidden="1" x14ac:dyDescent="0.3">
      <c r="A1620" s="14" t="s">
        <v>425</v>
      </c>
      <c r="B1620" s="14" t="s">
        <v>28</v>
      </c>
      <c r="C1620" s="14" t="s">
        <v>353</v>
      </c>
      <c r="D1620" s="14" t="s">
        <v>354</v>
      </c>
      <c r="E1620" s="14" t="s">
        <v>342</v>
      </c>
      <c r="F1620" s="14" t="s">
        <v>343</v>
      </c>
      <c r="G1620" s="14" t="s">
        <v>343</v>
      </c>
      <c r="H1620" s="14" t="s">
        <v>343</v>
      </c>
      <c r="U1620" s="14">
        <v>0.82</v>
      </c>
      <c r="V1620" s="14">
        <v>0.86</v>
      </c>
      <c r="W1620" s="14">
        <v>0.86</v>
      </c>
      <c r="X1620" s="14">
        <v>0.86</v>
      </c>
    </row>
    <row r="1621" spans="1:24" hidden="1" x14ac:dyDescent="0.3">
      <c r="A1621" s="14" t="s">
        <v>425</v>
      </c>
      <c r="B1621" s="14" t="s">
        <v>28</v>
      </c>
      <c r="C1621" s="14" t="s">
        <v>353</v>
      </c>
      <c r="D1621" s="14" t="s">
        <v>354</v>
      </c>
      <c r="E1621" s="14" t="s">
        <v>344</v>
      </c>
      <c r="F1621" s="14" t="s">
        <v>343</v>
      </c>
      <c r="G1621" s="14" t="s">
        <v>343</v>
      </c>
      <c r="H1621" s="14" t="s">
        <v>343</v>
      </c>
      <c r="U1621" s="14">
        <v>117</v>
      </c>
      <c r="V1621" s="14">
        <v>121</v>
      </c>
      <c r="W1621" s="14">
        <v>123</v>
      </c>
      <c r="X1621" s="14">
        <v>115</v>
      </c>
    </row>
    <row r="1622" spans="1:24" hidden="1" x14ac:dyDescent="0.3">
      <c r="A1622" s="14" t="s">
        <v>425</v>
      </c>
      <c r="B1622" s="14" t="s">
        <v>28</v>
      </c>
      <c r="C1622" s="14" t="s">
        <v>380</v>
      </c>
      <c r="D1622" s="14" t="s">
        <v>381</v>
      </c>
      <c r="E1622" s="14" t="s">
        <v>342</v>
      </c>
      <c r="F1622" s="14" t="s">
        <v>343</v>
      </c>
      <c r="G1622" s="14" t="s">
        <v>343</v>
      </c>
      <c r="H1622" s="14" t="s">
        <v>343</v>
      </c>
      <c r="U1622" s="14">
        <v>0.98</v>
      </c>
      <c r="V1622" s="14">
        <v>0.98</v>
      </c>
      <c r="W1622" s="14">
        <v>0.98</v>
      </c>
    </row>
    <row r="1623" spans="1:24" hidden="1" x14ac:dyDescent="0.3">
      <c r="A1623" s="14" t="s">
        <v>425</v>
      </c>
      <c r="B1623" s="14" t="s">
        <v>28</v>
      </c>
      <c r="C1623" s="14" t="s">
        <v>380</v>
      </c>
      <c r="D1623" s="14" t="s">
        <v>381</v>
      </c>
      <c r="E1623" s="14" t="s">
        <v>344</v>
      </c>
      <c r="F1623" s="14" t="s">
        <v>343</v>
      </c>
      <c r="G1623" s="14" t="s">
        <v>343</v>
      </c>
      <c r="H1623" s="14" t="s">
        <v>343</v>
      </c>
      <c r="V1623" s="14">
        <v>121</v>
      </c>
      <c r="W1623" s="14">
        <v>121</v>
      </c>
    </row>
    <row r="1624" spans="1:24" hidden="1" x14ac:dyDescent="0.3">
      <c r="A1624" s="14" t="s">
        <v>425</v>
      </c>
      <c r="B1624" s="14" t="s">
        <v>28</v>
      </c>
      <c r="C1624" s="14" t="s">
        <v>355</v>
      </c>
      <c r="D1624" s="14" t="s">
        <v>356</v>
      </c>
      <c r="E1624" s="14" t="s">
        <v>342</v>
      </c>
      <c r="F1624" s="14" t="s">
        <v>343</v>
      </c>
      <c r="G1624" s="14" t="s">
        <v>343</v>
      </c>
      <c r="H1624" s="14" t="s">
        <v>343</v>
      </c>
      <c r="U1624" s="14">
        <v>1</v>
      </c>
      <c r="V1624" s="14">
        <v>1</v>
      </c>
      <c r="W1624" s="14">
        <v>1</v>
      </c>
    </row>
    <row r="1625" spans="1:24" hidden="1" x14ac:dyDescent="0.3">
      <c r="A1625" s="14" t="s">
        <v>425</v>
      </c>
      <c r="B1625" s="14" t="s">
        <v>28</v>
      </c>
      <c r="C1625" s="14" t="s">
        <v>355</v>
      </c>
      <c r="D1625" s="14" t="s">
        <v>356</v>
      </c>
      <c r="E1625" s="14" t="s">
        <v>344</v>
      </c>
      <c r="F1625" s="14" t="s">
        <v>343</v>
      </c>
      <c r="G1625" s="14" t="s">
        <v>343</v>
      </c>
      <c r="H1625" s="14" t="s">
        <v>343</v>
      </c>
      <c r="U1625" s="14">
        <v>1</v>
      </c>
      <c r="V1625" s="14">
        <v>105</v>
      </c>
      <c r="W1625" s="14">
        <v>106</v>
      </c>
    </row>
    <row r="1626" spans="1:24" hidden="1" x14ac:dyDescent="0.3">
      <c r="A1626" s="14" t="s">
        <v>425</v>
      </c>
      <c r="B1626" s="14" t="s">
        <v>28</v>
      </c>
      <c r="C1626" s="14" t="s">
        <v>357</v>
      </c>
      <c r="D1626" s="14" t="s">
        <v>358</v>
      </c>
      <c r="E1626" s="14" t="s">
        <v>342</v>
      </c>
      <c r="F1626" s="14" t="s">
        <v>343</v>
      </c>
      <c r="G1626" s="14" t="s">
        <v>343</v>
      </c>
      <c r="H1626" s="14" t="s">
        <v>343</v>
      </c>
      <c r="U1626" s="14">
        <v>1</v>
      </c>
      <c r="V1626" s="14">
        <v>1</v>
      </c>
      <c r="W1626" s="14">
        <v>1</v>
      </c>
      <c r="X1626" s="14">
        <v>1</v>
      </c>
    </row>
    <row r="1627" spans="1:24" hidden="1" x14ac:dyDescent="0.3">
      <c r="A1627" s="14" t="s">
        <v>425</v>
      </c>
      <c r="B1627" s="14" t="s">
        <v>28</v>
      </c>
      <c r="C1627" s="14" t="s">
        <v>357</v>
      </c>
      <c r="D1627" s="14" t="s">
        <v>358</v>
      </c>
      <c r="E1627" s="14" t="s">
        <v>344</v>
      </c>
      <c r="F1627" s="14" t="s">
        <v>343</v>
      </c>
      <c r="G1627" s="14" t="s">
        <v>343</v>
      </c>
      <c r="H1627" s="14" t="s">
        <v>343</v>
      </c>
      <c r="U1627" s="14">
        <v>1</v>
      </c>
      <c r="V1627" s="14">
        <v>1</v>
      </c>
      <c r="W1627" s="14">
        <v>1</v>
      </c>
      <c r="X1627" s="14">
        <v>1</v>
      </c>
    </row>
    <row r="1628" spans="1:24" hidden="1" x14ac:dyDescent="0.3">
      <c r="A1628" s="14" t="s">
        <v>425</v>
      </c>
      <c r="B1628" s="14" t="s">
        <v>28</v>
      </c>
      <c r="C1628" s="14" t="s">
        <v>359</v>
      </c>
      <c r="D1628" s="14" t="s">
        <v>360</v>
      </c>
      <c r="E1628" s="14" t="s">
        <v>342</v>
      </c>
      <c r="F1628" s="14" t="s">
        <v>343</v>
      </c>
      <c r="G1628" s="14" t="s">
        <v>343</v>
      </c>
      <c r="H1628" s="14" t="s">
        <v>343</v>
      </c>
      <c r="I1628" s="14">
        <v>0.44</v>
      </c>
      <c r="J1628" s="14">
        <v>0.46</v>
      </c>
      <c r="K1628" s="14">
        <v>0.47</v>
      </c>
      <c r="L1628" s="14">
        <v>0.47</v>
      </c>
      <c r="M1628" s="14">
        <v>0.47</v>
      </c>
      <c r="N1628" s="14">
        <v>0.45</v>
      </c>
      <c r="O1628" s="14">
        <v>0.38</v>
      </c>
      <c r="P1628" s="14">
        <v>0.33</v>
      </c>
      <c r="Q1628" s="14">
        <v>0.39</v>
      </c>
      <c r="R1628" s="14">
        <v>0.41</v>
      </c>
      <c r="S1628" s="14">
        <v>0.44</v>
      </c>
      <c r="T1628" s="14">
        <v>0.44</v>
      </c>
      <c r="U1628" s="14">
        <v>0.45</v>
      </c>
      <c r="V1628" s="14">
        <v>0.46</v>
      </c>
      <c r="W1628" s="14">
        <v>0.46</v>
      </c>
      <c r="X1628" s="14">
        <v>0.47</v>
      </c>
    </row>
    <row r="1629" spans="1:24" hidden="1" x14ac:dyDescent="0.3">
      <c r="A1629" s="14" t="s">
        <v>425</v>
      </c>
      <c r="B1629" s="14" t="s">
        <v>28</v>
      </c>
      <c r="C1629" s="14" t="s">
        <v>359</v>
      </c>
      <c r="D1629" s="14" t="s">
        <v>360</v>
      </c>
      <c r="E1629" s="14" t="s">
        <v>344</v>
      </c>
      <c r="F1629" s="14" t="s">
        <v>343</v>
      </c>
      <c r="G1629" s="14" t="s">
        <v>343</v>
      </c>
      <c r="H1629" s="14" t="s">
        <v>343</v>
      </c>
      <c r="I1629" s="14">
        <v>103</v>
      </c>
      <c r="J1629" s="14">
        <v>113</v>
      </c>
      <c r="K1629" s="14">
        <v>115</v>
      </c>
      <c r="L1629" s="14">
        <v>119</v>
      </c>
      <c r="M1629" s="14">
        <v>119</v>
      </c>
      <c r="N1629" s="14">
        <v>124</v>
      </c>
      <c r="O1629" s="14">
        <v>131</v>
      </c>
      <c r="P1629" s="14">
        <v>133</v>
      </c>
      <c r="Q1629" s="14">
        <v>136</v>
      </c>
      <c r="R1629" s="14">
        <v>137</v>
      </c>
      <c r="S1629" s="14">
        <v>134</v>
      </c>
      <c r="T1629" s="14">
        <v>132</v>
      </c>
      <c r="U1629" s="14">
        <v>132</v>
      </c>
      <c r="V1629" s="14">
        <v>138</v>
      </c>
      <c r="W1629" s="14">
        <v>142</v>
      </c>
      <c r="X1629" s="14">
        <v>138</v>
      </c>
    </row>
    <row r="1630" spans="1:24" x14ac:dyDescent="0.3">
      <c r="A1630" s="14" t="s">
        <v>425</v>
      </c>
      <c r="B1630" s="14" t="s">
        <v>28</v>
      </c>
      <c r="C1630" s="14" t="s">
        <v>361</v>
      </c>
      <c r="D1630" s="14" t="s">
        <v>362</v>
      </c>
      <c r="E1630" s="14" t="s">
        <v>342</v>
      </c>
      <c r="F1630" s="14" t="s">
        <v>343</v>
      </c>
      <c r="G1630" s="14" t="s">
        <v>343</v>
      </c>
      <c r="H1630" s="14" t="s">
        <v>343</v>
      </c>
      <c r="I1630" s="14">
        <v>0.97</v>
      </c>
      <c r="J1630" s="14">
        <v>0.97</v>
      </c>
      <c r="K1630" s="14">
        <v>0.97</v>
      </c>
      <c r="L1630" s="14">
        <v>0.97</v>
      </c>
      <c r="M1630" s="14">
        <v>0.97</v>
      </c>
      <c r="N1630" s="14">
        <v>0.97</v>
      </c>
      <c r="O1630" s="14">
        <v>0.97</v>
      </c>
      <c r="P1630" s="14">
        <v>0.97</v>
      </c>
      <c r="Q1630" s="14">
        <v>0.97</v>
      </c>
      <c r="R1630" s="14">
        <v>0.97</v>
      </c>
      <c r="S1630" s="14">
        <v>0.97</v>
      </c>
      <c r="T1630" s="14">
        <v>0.97</v>
      </c>
      <c r="U1630" s="14">
        <v>0.96</v>
      </c>
      <c r="V1630" s="14">
        <v>0.96</v>
      </c>
      <c r="W1630" s="14">
        <v>0.96</v>
      </c>
      <c r="X1630" s="14">
        <v>0.96</v>
      </c>
    </row>
    <row r="1631" spans="1:24" hidden="1" x14ac:dyDescent="0.3">
      <c r="A1631" s="14" t="s">
        <v>425</v>
      </c>
      <c r="B1631" s="14" t="s">
        <v>28</v>
      </c>
      <c r="C1631" s="14" t="s">
        <v>361</v>
      </c>
      <c r="D1631" s="14" t="s">
        <v>362</v>
      </c>
      <c r="E1631" s="14" t="s">
        <v>344</v>
      </c>
      <c r="F1631" s="14" t="s">
        <v>343</v>
      </c>
      <c r="G1631" s="14" t="s">
        <v>343</v>
      </c>
      <c r="H1631" s="14" t="s">
        <v>343</v>
      </c>
      <c r="I1631" s="14">
        <v>78</v>
      </c>
      <c r="J1631" s="14">
        <v>85</v>
      </c>
      <c r="K1631" s="14">
        <v>86</v>
      </c>
      <c r="L1631" s="14">
        <v>91</v>
      </c>
      <c r="M1631" s="14">
        <v>106</v>
      </c>
      <c r="N1631" s="14">
        <v>107</v>
      </c>
      <c r="O1631" s="14">
        <v>108</v>
      </c>
      <c r="P1631" s="14">
        <v>108</v>
      </c>
      <c r="Q1631" s="14">
        <v>124</v>
      </c>
      <c r="R1631" s="14">
        <v>128</v>
      </c>
      <c r="S1631" s="14">
        <v>127</v>
      </c>
      <c r="T1631" s="14">
        <v>106</v>
      </c>
      <c r="U1631" s="14">
        <v>137</v>
      </c>
      <c r="V1631" s="14">
        <v>140</v>
      </c>
      <c r="W1631" s="14">
        <v>144</v>
      </c>
      <c r="X1631" s="14">
        <v>135</v>
      </c>
    </row>
    <row r="1632" spans="1:24" hidden="1" x14ac:dyDescent="0.3">
      <c r="A1632" s="14" t="s">
        <v>425</v>
      </c>
      <c r="B1632" s="14" t="s">
        <v>28</v>
      </c>
      <c r="C1632" s="14" t="s">
        <v>363</v>
      </c>
      <c r="D1632" s="14" t="s">
        <v>364</v>
      </c>
      <c r="E1632" s="14" t="s">
        <v>342</v>
      </c>
      <c r="F1632" s="14" t="s">
        <v>343</v>
      </c>
      <c r="G1632" s="14" t="s">
        <v>343</v>
      </c>
      <c r="H1632" s="14" t="s">
        <v>343</v>
      </c>
      <c r="U1632" s="14">
        <v>1</v>
      </c>
      <c r="V1632" s="14">
        <v>1</v>
      </c>
      <c r="W1632" s="14">
        <v>0.99</v>
      </c>
      <c r="X1632" s="14">
        <v>0.99</v>
      </c>
    </row>
    <row r="1633" spans="1:24" hidden="1" x14ac:dyDescent="0.3">
      <c r="A1633" s="14" t="s">
        <v>425</v>
      </c>
      <c r="B1633" s="14" t="s">
        <v>28</v>
      </c>
      <c r="C1633" s="14" t="s">
        <v>363</v>
      </c>
      <c r="D1633" s="14" t="s">
        <v>364</v>
      </c>
      <c r="E1633" s="14" t="s">
        <v>344</v>
      </c>
      <c r="F1633" s="14" t="s">
        <v>343</v>
      </c>
      <c r="G1633" s="14" t="s">
        <v>343</v>
      </c>
      <c r="H1633" s="14" t="s">
        <v>343</v>
      </c>
      <c r="U1633" s="14">
        <v>143</v>
      </c>
      <c r="V1633" s="14">
        <v>147</v>
      </c>
      <c r="W1633" s="14">
        <v>152</v>
      </c>
      <c r="X1633" s="14">
        <v>143</v>
      </c>
    </row>
    <row r="1634" spans="1:24" hidden="1" x14ac:dyDescent="0.3">
      <c r="A1634" s="14" t="s">
        <v>425</v>
      </c>
      <c r="B1634" s="14" t="s">
        <v>28</v>
      </c>
      <c r="C1634" s="14" t="s">
        <v>365</v>
      </c>
      <c r="D1634" s="14" t="s">
        <v>366</v>
      </c>
      <c r="E1634" s="14" t="s">
        <v>342</v>
      </c>
      <c r="F1634" s="14" t="s">
        <v>343</v>
      </c>
      <c r="G1634" s="14" t="s">
        <v>343</v>
      </c>
      <c r="H1634" s="14" t="s">
        <v>343</v>
      </c>
      <c r="U1634" s="14">
        <v>0.94</v>
      </c>
      <c r="V1634" s="14">
        <v>0.94</v>
      </c>
      <c r="W1634" s="14">
        <v>0.94</v>
      </c>
      <c r="X1634" s="14">
        <v>0.94</v>
      </c>
    </row>
    <row r="1635" spans="1:24" hidden="1" x14ac:dyDescent="0.3">
      <c r="A1635" s="14" t="s">
        <v>425</v>
      </c>
      <c r="B1635" s="14" t="s">
        <v>28</v>
      </c>
      <c r="C1635" s="14" t="s">
        <v>365</v>
      </c>
      <c r="D1635" s="14" t="s">
        <v>366</v>
      </c>
      <c r="E1635" s="14" t="s">
        <v>344</v>
      </c>
      <c r="F1635" s="14" t="s">
        <v>343</v>
      </c>
      <c r="G1635" s="14" t="s">
        <v>343</v>
      </c>
      <c r="H1635" s="14" t="s">
        <v>343</v>
      </c>
      <c r="U1635" s="14">
        <v>1</v>
      </c>
      <c r="V1635" s="14">
        <v>1</v>
      </c>
      <c r="W1635" s="14">
        <v>1</v>
      </c>
      <c r="X1635" s="14">
        <v>1</v>
      </c>
    </row>
    <row r="1636" spans="1:24" hidden="1" x14ac:dyDescent="0.3">
      <c r="A1636" s="14" t="s">
        <v>425</v>
      </c>
      <c r="B1636" s="14" t="s">
        <v>28</v>
      </c>
      <c r="C1636" s="14" t="s">
        <v>367</v>
      </c>
      <c r="D1636" s="14" t="s">
        <v>368</v>
      </c>
      <c r="E1636" s="14" t="s">
        <v>342</v>
      </c>
      <c r="F1636" s="14" t="s">
        <v>343</v>
      </c>
      <c r="G1636" s="14" t="s">
        <v>343</v>
      </c>
      <c r="H1636" s="14" t="s">
        <v>343</v>
      </c>
      <c r="I1636" s="14">
        <v>0.6</v>
      </c>
      <c r="J1636" s="14">
        <v>0.61</v>
      </c>
      <c r="K1636" s="14">
        <v>0.61</v>
      </c>
      <c r="L1636" s="14">
        <v>0.61</v>
      </c>
      <c r="M1636" s="14">
        <v>0.61</v>
      </c>
      <c r="N1636" s="14">
        <v>0.6</v>
      </c>
      <c r="O1636" s="14">
        <v>0.61</v>
      </c>
      <c r="P1636" s="14">
        <v>0.6</v>
      </c>
      <c r="Q1636" s="14">
        <v>0.62</v>
      </c>
      <c r="R1636" s="14">
        <v>0.63</v>
      </c>
      <c r="S1636" s="14">
        <v>0.64</v>
      </c>
      <c r="T1636" s="14">
        <v>0.63</v>
      </c>
      <c r="U1636" s="14">
        <v>0.63</v>
      </c>
      <c r="V1636" s="14">
        <v>0.63</v>
      </c>
      <c r="W1636" s="14">
        <v>0.63</v>
      </c>
      <c r="X1636" s="14">
        <v>0.6</v>
      </c>
    </row>
    <row r="1637" spans="1:24" hidden="1" x14ac:dyDescent="0.3">
      <c r="A1637" s="14" t="s">
        <v>425</v>
      </c>
      <c r="B1637" s="14" t="s">
        <v>28</v>
      </c>
      <c r="C1637" s="14" t="s">
        <v>367</v>
      </c>
      <c r="D1637" s="14" t="s">
        <v>368</v>
      </c>
      <c r="E1637" s="14" t="s">
        <v>344</v>
      </c>
      <c r="F1637" s="14" t="s">
        <v>343</v>
      </c>
      <c r="G1637" s="14" t="s">
        <v>343</v>
      </c>
      <c r="H1637" s="14" t="s">
        <v>343</v>
      </c>
      <c r="I1637" s="14">
        <v>97</v>
      </c>
      <c r="J1637" s="14">
        <v>108</v>
      </c>
      <c r="K1637" s="14">
        <v>111</v>
      </c>
      <c r="L1637" s="14">
        <v>117</v>
      </c>
      <c r="M1637" s="14">
        <v>119</v>
      </c>
      <c r="N1637" s="14">
        <v>121</v>
      </c>
      <c r="O1637" s="14">
        <v>120</v>
      </c>
      <c r="P1637" s="14">
        <v>124</v>
      </c>
      <c r="Q1637" s="14">
        <v>126</v>
      </c>
      <c r="R1637" s="14">
        <v>128</v>
      </c>
      <c r="S1637" s="14">
        <v>120</v>
      </c>
      <c r="T1637" s="14">
        <v>127</v>
      </c>
      <c r="U1637" s="14">
        <v>128</v>
      </c>
      <c r="V1637" s="14">
        <v>132</v>
      </c>
      <c r="W1637" s="14">
        <v>136</v>
      </c>
      <c r="X1637" s="14">
        <v>140</v>
      </c>
    </row>
    <row r="1638" spans="1:24" hidden="1" x14ac:dyDescent="0.3">
      <c r="A1638" s="14" t="s">
        <v>425</v>
      </c>
      <c r="B1638" s="14" t="s">
        <v>28</v>
      </c>
      <c r="C1638" s="14" t="s">
        <v>369</v>
      </c>
      <c r="D1638" s="14" t="s">
        <v>370</v>
      </c>
      <c r="E1638" s="14" t="s">
        <v>342</v>
      </c>
      <c r="F1638" s="14" t="s">
        <v>343</v>
      </c>
      <c r="G1638" s="14" t="s">
        <v>343</v>
      </c>
      <c r="H1638" s="14" t="s">
        <v>343</v>
      </c>
      <c r="I1638" s="14">
        <v>0.05</v>
      </c>
      <c r="J1638" s="14">
        <v>0.05</v>
      </c>
      <c r="K1638" s="14">
        <v>0.06</v>
      </c>
      <c r="L1638" s="14">
        <v>0.06</v>
      </c>
      <c r="M1638" s="14">
        <v>0.04</v>
      </c>
      <c r="N1638" s="14">
        <v>0.04</v>
      </c>
      <c r="O1638" s="14">
        <v>0.15</v>
      </c>
      <c r="P1638" s="14">
        <v>0.15</v>
      </c>
      <c r="Q1638" s="14">
        <v>0.18</v>
      </c>
      <c r="R1638" s="14">
        <v>0.2</v>
      </c>
      <c r="S1638" s="14">
        <v>0.2</v>
      </c>
      <c r="T1638" s="14">
        <v>0.14000000000000001</v>
      </c>
      <c r="U1638" s="14">
        <v>0.14000000000000001</v>
      </c>
      <c r="V1638" s="14">
        <v>0.14000000000000001</v>
      </c>
      <c r="W1638" s="14">
        <v>0.15</v>
      </c>
      <c r="X1638" s="14">
        <v>7.0000000000000007E-2</v>
      </c>
    </row>
    <row r="1639" spans="1:24" hidden="1" x14ac:dyDescent="0.3">
      <c r="A1639" s="14" t="s">
        <v>425</v>
      </c>
      <c r="B1639" s="14" t="s">
        <v>28</v>
      </c>
      <c r="C1639" s="14" t="s">
        <v>369</v>
      </c>
      <c r="D1639" s="14" t="s">
        <v>370</v>
      </c>
      <c r="E1639" s="14" t="s">
        <v>344</v>
      </c>
      <c r="F1639" s="14" t="s">
        <v>343</v>
      </c>
      <c r="G1639" s="14" t="s">
        <v>343</v>
      </c>
      <c r="H1639" s="14" t="s">
        <v>343</v>
      </c>
      <c r="I1639" s="14">
        <v>98</v>
      </c>
      <c r="J1639" s="14">
        <v>111</v>
      </c>
      <c r="K1639" s="14">
        <v>115</v>
      </c>
      <c r="L1639" s="14">
        <v>120</v>
      </c>
      <c r="M1639" s="14">
        <v>123</v>
      </c>
      <c r="N1639" s="14">
        <v>124</v>
      </c>
      <c r="O1639" s="14">
        <v>57</v>
      </c>
      <c r="P1639" s="14">
        <v>62</v>
      </c>
      <c r="Q1639" s="14">
        <v>60</v>
      </c>
      <c r="R1639" s="14">
        <v>55</v>
      </c>
      <c r="S1639" s="14">
        <v>56</v>
      </c>
      <c r="T1639" s="14">
        <v>86</v>
      </c>
      <c r="U1639" s="14">
        <v>85</v>
      </c>
      <c r="V1639" s="14">
        <v>99</v>
      </c>
      <c r="W1639" s="14">
        <v>100</v>
      </c>
      <c r="X1639" s="14">
        <v>134</v>
      </c>
    </row>
    <row r="1640" spans="1:24" hidden="1" x14ac:dyDescent="0.3">
      <c r="A1640" s="14" t="s">
        <v>425</v>
      </c>
      <c r="B1640" s="14" t="s">
        <v>28</v>
      </c>
      <c r="C1640" s="14" t="s">
        <v>371</v>
      </c>
      <c r="D1640" s="14" t="s">
        <v>372</v>
      </c>
      <c r="E1640" s="14" t="s">
        <v>342</v>
      </c>
      <c r="F1640" s="14" t="s">
        <v>343</v>
      </c>
      <c r="G1640" s="14" t="s">
        <v>343</v>
      </c>
      <c r="H1640" s="14" t="s">
        <v>343</v>
      </c>
      <c r="U1640" s="14">
        <v>0</v>
      </c>
      <c r="V1640" s="14">
        <v>0</v>
      </c>
      <c r="W1640" s="14">
        <v>0</v>
      </c>
      <c r="X1640" s="14">
        <v>0</v>
      </c>
    </row>
    <row r="1641" spans="1:24" hidden="1" x14ac:dyDescent="0.3">
      <c r="A1641" s="14" t="s">
        <v>425</v>
      </c>
      <c r="B1641" s="14" t="s">
        <v>28</v>
      </c>
      <c r="C1641" s="14" t="s">
        <v>371</v>
      </c>
      <c r="D1641" s="14" t="s">
        <v>372</v>
      </c>
      <c r="E1641" s="14" t="s">
        <v>344</v>
      </c>
      <c r="F1641" s="14" t="s">
        <v>343</v>
      </c>
      <c r="G1641" s="14" t="s">
        <v>343</v>
      </c>
      <c r="H1641" s="14" t="s">
        <v>343</v>
      </c>
      <c r="U1641" s="14">
        <v>71</v>
      </c>
      <c r="V1641" s="14">
        <v>73</v>
      </c>
      <c r="W1641" s="14">
        <v>76</v>
      </c>
      <c r="X1641" s="14">
        <v>78</v>
      </c>
    </row>
    <row r="1642" spans="1:24" hidden="1" x14ac:dyDescent="0.3">
      <c r="A1642" s="14" t="s">
        <v>425</v>
      </c>
      <c r="B1642" s="14" t="s">
        <v>28</v>
      </c>
      <c r="C1642" s="14" t="s">
        <v>373</v>
      </c>
      <c r="D1642" s="14" t="s">
        <v>374</v>
      </c>
      <c r="E1642" s="14" t="s">
        <v>342</v>
      </c>
      <c r="F1642" s="14" t="s">
        <v>343</v>
      </c>
      <c r="G1642" s="14" t="s">
        <v>343</v>
      </c>
      <c r="H1642" s="14" t="s">
        <v>343</v>
      </c>
      <c r="U1642" s="14">
        <v>0.15</v>
      </c>
      <c r="V1642" s="14">
        <v>0.15</v>
      </c>
      <c r="W1642" s="14">
        <v>0.17</v>
      </c>
      <c r="X1642" s="14">
        <v>0.17</v>
      </c>
    </row>
    <row r="1643" spans="1:24" hidden="1" x14ac:dyDescent="0.3">
      <c r="A1643" s="14" t="s">
        <v>425</v>
      </c>
      <c r="B1643" s="14" t="s">
        <v>28</v>
      </c>
      <c r="C1643" s="14" t="s">
        <v>373</v>
      </c>
      <c r="D1643" s="14" t="s">
        <v>374</v>
      </c>
      <c r="E1643" s="14" t="s">
        <v>344</v>
      </c>
      <c r="F1643" s="14" t="s">
        <v>343</v>
      </c>
      <c r="G1643" s="14" t="s">
        <v>343</v>
      </c>
      <c r="H1643" s="14" t="s">
        <v>343</v>
      </c>
      <c r="U1643" s="14">
        <v>100</v>
      </c>
      <c r="V1643" s="14">
        <v>107</v>
      </c>
      <c r="W1643" s="14">
        <v>105</v>
      </c>
      <c r="X1643" s="14">
        <v>100</v>
      </c>
    </row>
    <row r="1644" spans="1:24" hidden="1" x14ac:dyDescent="0.3">
      <c r="A1644" s="14" t="s">
        <v>425</v>
      </c>
      <c r="B1644" s="14" t="s">
        <v>28</v>
      </c>
      <c r="C1644" s="14" t="s">
        <v>375</v>
      </c>
      <c r="D1644" s="14" t="s">
        <v>376</v>
      </c>
      <c r="E1644" s="14" t="s">
        <v>342</v>
      </c>
      <c r="F1644" s="14" t="s">
        <v>343</v>
      </c>
      <c r="G1644" s="14" t="s">
        <v>343</v>
      </c>
      <c r="H1644" s="14" t="s">
        <v>343</v>
      </c>
      <c r="U1644" s="14">
        <v>0.35</v>
      </c>
      <c r="V1644" s="14">
        <v>0.35</v>
      </c>
      <c r="W1644" s="14">
        <v>0.35</v>
      </c>
      <c r="X1644" s="14">
        <v>0.09</v>
      </c>
    </row>
    <row r="1645" spans="1:24" hidden="1" x14ac:dyDescent="0.3">
      <c r="A1645" s="14" t="s">
        <v>425</v>
      </c>
      <c r="B1645" s="14" t="s">
        <v>28</v>
      </c>
      <c r="C1645" s="14" t="s">
        <v>375</v>
      </c>
      <c r="D1645" s="14" t="s">
        <v>376</v>
      </c>
      <c r="E1645" s="14" t="s">
        <v>344</v>
      </c>
      <c r="F1645" s="14" t="s">
        <v>343</v>
      </c>
      <c r="G1645" s="14" t="s">
        <v>343</v>
      </c>
      <c r="H1645" s="14" t="s">
        <v>343</v>
      </c>
      <c r="U1645" s="14">
        <v>56</v>
      </c>
      <c r="V1645" s="14">
        <v>58</v>
      </c>
      <c r="W1645" s="14">
        <v>74</v>
      </c>
      <c r="X1645" s="14">
        <v>135</v>
      </c>
    </row>
    <row r="1646" spans="1:24" hidden="1" x14ac:dyDescent="0.3">
      <c r="A1646" s="14" t="s">
        <v>426</v>
      </c>
      <c r="B1646" s="14" t="s">
        <v>88</v>
      </c>
      <c r="C1646" s="14" t="s">
        <v>340</v>
      </c>
      <c r="D1646" s="14" t="s">
        <v>341</v>
      </c>
      <c r="E1646" s="14" t="s">
        <v>342</v>
      </c>
      <c r="F1646" s="14" t="s">
        <v>343</v>
      </c>
      <c r="G1646" s="14" t="s">
        <v>343</v>
      </c>
      <c r="H1646" s="14" t="s">
        <v>343</v>
      </c>
      <c r="I1646" s="14">
        <v>0.99</v>
      </c>
      <c r="J1646" s="14">
        <v>0.99</v>
      </c>
      <c r="K1646" s="14">
        <v>1</v>
      </c>
      <c r="L1646" s="14">
        <v>1</v>
      </c>
      <c r="M1646" s="14">
        <v>0.99</v>
      </c>
      <c r="N1646" s="14">
        <v>0.99</v>
      </c>
      <c r="O1646" s="14">
        <v>0.99</v>
      </c>
      <c r="P1646" s="14">
        <v>0.99</v>
      </c>
      <c r="Q1646" s="14">
        <v>1</v>
      </c>
      <c r="R1646" s="14">
        <v>1</v>
      </c>
      <c r="S1646" s="14">
        <v>1</v>
      </c>
      <c r="T1646" s="14">
        <v>1</v>
      </c>
      <c r="U1646" s="14">
        <v>1</v>
      </c>
      <c r="V1646" s="14">
        <v>1</v>
      </c>
      <c r="W1646" s="14">
        <v>1</v>
      </c>
      <c r="X1646" s="14">
        <v>0.99</v>
      </c>
    </row>
    <row r="1647" spans="1:24" hidden="1" x14ac:dyDescent="0.3">
      <c r="A1647" s="14" t="s">
        <v>426</v>
      </c>
      <c r="B1647" s="14" t="s">
        <v>88</v>
      </c>
      <c r="C1647" s="14" t="s">
        <v>340</v>
      </c>
      <c r="D1647" s="14" t="s">
        <v>341</v>
      </c>
      <c r="E1647" s="14" t="s">
        <v>344</v>
      </c>
      <c r="F1647" s="14" t="s">
        <v>343</v>
      </c>
      <c r="G1647" s="14" t="s">
        <v>343</v>
      </c>
      <c r="H1647" s="14" t="s">
        <v>343</v>
      </c>
      <c r="I1647" s="14">
        <v>38</v>
      </c>
      <c r="J1647" s="14">
        <v>42</v>
      </c>
      <c r="K1647" s="14">
        <v>52</v>
      </c>
      <c r="L1647" s="14">
        <v>45</v>
      </c>
      <c r="M1647" s="14">
        <v>78</v>
      </c>
      <c r="N1647" s="14">
        <v>77</v>
      </c>
      <c r="O1647" s="14">
        <v>54</v>
      </c>
      <c r="P1647" s="14">
        <v>52</v>
      </c>
      <c r="Q1647" s="14">
        <v>52</v>
      </c>
      <c r="R1647" s="14">
        <v>53</v>
      </c>
      <c r="S1647" s="14">
        <v>48</v>
      </c>
      <c r="T1647" s="14">
        <v>54</v>
      </c>
      <c r="U1647" s="14">
        <v>59</v>
      </c>
      <c r="V1647" s="14">
        <v>56</v>
      </c>
      <c r="W1647" s="14">
        <v>58</v>
      </c>
      <c r="X1647" s="14">
        <v>71</v>
      </c>
    </row>
    <row r="1648" spans="1:24" hidden="1" x14ac:dyDescent="0.3">
      <c r="A1648" s="14" t="s">
        <v>426</v>
      </c>
      <c r="B1648" s="14" t="s">
        <v>88</v>
      </c>
      <c r="C1648" s="14" t="s">
        <v>345</v>
      </c>
      <c r="D1648" s="14" t="s">
        <v>346</v>
      </c>
      <c r="E1648" s="14" t="s">
        <v>342</v>
      </c>
      <c r="F1648" s="14" t="s">
        <v>343</v>
      </c>
      <c r="G1648" s="14" t="s">
        <v>343</v>
      </c>
      <c r="H1648" s="14" t="s">
        <v>343</v>
      </c>
      <c r="U1648" s="14">
        <v>0.63</v>
      </c>
      <c r="V1648" s="14">
        <v>0.72</v>
      </c>
      <c r="W1648" s="14">
        <v>0.72</v>
      </c>
      <c r="X1648" s="14">
        <v>0.77</v>
      </c>
    </row>
    <row r="1649" spans="1:24" hidden="1" x14ac:dyDescent="0.3">
      <c r="A1649" s="14" t="s">
        <v>426</v>
      </c>
      <c r="B1649" s="14" t="s">
        <v>88</v>
      </c>
      <c r="C1649" s="14" t="s">
        <v>345</v>
      </c>
      <c r="D1649" s="14" t="s">
        <v>346</v>
      </c>
      <c r="E1649" s="14" t="s">
        <v>344</v>
      </c>
      <c r="F1649" s="14" t="s">
        <v>343</v>
      </c>
      <c r="G1649" s="14" t="s">
        <v>343</v>
      </c>
      <c r="H1649" s="14" t="s">
        <v>343</v>
      </c>
      <c r="U1649" s="14">
        <v>70</v>
      </c>
      <c r="V1649" s="14">
        <v>35</v>
      </c>
      <c r="W1649" s="14">
        <v>32</v>
      </c>
      <c r="X1649" s="14">
        <v>23</v>
      </c>
    </row>
    <row r="1650" spans="1:24" hidden="1" x14ac:dyDescent="0.3">
      <c r="A1650" s="14" t="s">
        <v>426</v>
      </c>
      <c r="B1650" s="14" t="s">
        <v>88</v>
      </c>
      <c r="C1650" s="14" t="s">
        <v>347</v>
      </c>
      <c r="D1650" s="14" t="s">
        <v>348</v>
      </c>
      <c r="E1650" s="14" t="s">
        <v>342</v>
      </c>
      <c r="F1650" s="14" t="s">
        <v>343</v>
      </c>
      <c r="G1650" s="14" t="s">
        <v>343</v>
      </c>
      <c r="H1650" s="14" t="s">
        <v>343</v>
      </c>
      <c r="U1650" s="14">
        <v>0.7</v>
      </c>
      <c r="V1650" s="14">
        <v>0.71</v>
      </c>
      <c r="W1650" s="14">
        <v>0.7</v>
      </c>
      <c r="X1650" s="14">
        <v>0.7</v>
      </c>
    </row>
    <row r="1651" spans="1:24" hidden="1" x14ac:dyDescent="0.3">
      <c r="A1651" s="14" t="s">
        <v>426</v>
      </c>
      <c r="B1651" s="14" t="s">
        <v>88</v>
      </c>
      <c r="C1651" s="14" t="s">
        <v>347</v>
      </c>
      <c r="D1651" s="14" t="s">
        <v>348</v>
      </c>
      <c r="E1651" s="14" t="s">
        <v>344</v>
      </c>
      <c r="F1651" s="14" t="s">
        <v>343</v>
      </c>
      <c r="G1651" s="14" t="s">
        <v>343</v>
      </c>
      <c r="H1651" s="14" t="s">
        <v>343</v>
      </c>
      <c r="U1651" s="14">
        <v>98</v>
      </c>
      <c r="V1651" s="14">
        <v>103</v>
      </c>
      <c r="W1651" s="14">
        <v>110</v>
      </c>
      <c r="X1651" s="14">
        <v>97</v>
      </c>
    </row>
    <row r="1652" spans="1:24" hidden="1" x14ac:dyDescent="0.3">
      <c r="A1652" s="14" t="s">
        <v>426</v>
      </c>
      <c r="B1652" s="14" t="s">
        <v>88</v>
      </c>
      <c r="C1652" s="14" t="s">
        <v>349</v>
      </c>
      <c r="D1652" s="14" t="s">
        <v>350</v>
      </c>
      <c r="E1652" s="14" t="s">
        <v>342</v>
      </c>
      <c r="F1652" s="14" t="s">
        <v>343</v>
      </c>
      <c r="G1652" s="14" t="s">
        <v>343</v>
      </c>
      <c r="H1652" s="14" t="s">
        <v>343</v>
      </c>
      <c r="U1652" s="14">
        <v>0.53</v>
      </c>
      <c r="V1652" s="14">
        <v>0.55000000000000004</v>
      </c>
      <c r="W1652" s="14">
        <v>0.56999999999999995</v>
      </c>
      <c r="X1652" s="14">
        <v>0.6</v>
      </c>
    </row>
    <row r="1653" spans="1:24" hidden="1" x14ac:dyDescent="0.3">
      <c r="A1653" s="14" t="s">
        <v>426</v>
      </c>
      <c r="B1653" s="14" t="s">
        <v>88</v>
      </c>
      <c r="C1653" s="14" t="s">
        <v>349</v>
      </c>
      <c r="D1653" s="14" t="s">
        <v>350</v>
      </c>
      <c r="E1653" s="14" t="s">
        <v>344</v>
      </c>
      <c r="F1653" s="14" t="s">
        <v>343</v>
      </c>
      <c r="G1653" s="14" t="s">
        <v>343</v>
      </c>
      <c r="H1653" s="14" t="s">
        <v>343</v>
      </c>
      <c r="U1653" s="14">
        <v>52</v>
      </c>
      <c r="V1653" s="14">
        <v>53</v>
      </c>
      <c r="W1653" s="14">
        <v>54</v>
      </c>
      <c r="X1653" s="14">
        <v>49</v>
      </c>
    </row>
    <row r="1654" spans="1:24" hidden="1" x14ac:dyDescent="0.3">
      <c r="A1654" s="14" t="s">
        <v>426</v>
      </c>
      <c r="B1654" s="14" t="s">
        <v>88</v>
      </c>
      <c r="C1654" s="14" t="s">
        <v>351</v>
      </c>
      <c r="D1654" s="14" t="s">
        <v>352</v>
      </c>
      <c r="E1654" s="14" t="s">
        <v>342</v>
      </c>
      <c r="F1654" s="14" t="s">
        <v>343</v>
      </c>
      <c r="G1654" s="14" t="s">
        <v>343</v>
      </c>
      <c r="H1654" s="14" t="s">
        <v>343</v>
      </c>
      <c r="U1654" s="14">
        <v>1</v>
      </c>
      <c r="V1654" s="14">
        <v>1</v>
      </c>
      <c r="W1654" s="14">
        <v>1</v>
      </c>
      <c r="X1654" s="14">
        <v>1</v>
      </c>
    </row>
    <row r="1655" spans="1:24" hidden="1" x14ac:dyDescent="0.3">
      <c r="A1655" s="14" t="s">
        <v>426</v>
      </c>
      <c r="B1655" s="14" t="s">
        <v>88</v>
      </c>
      <c r="C1655" s="14" t="s">
        <v>351</v>
      </c>
      <c r="D1655" s="14" t="s">
        <v>352</v>
      </c>
      <c r="E1655" s="14" t="s">
        <v>344</v>
      </c>
      <c r="F1655" s="14" t="s">
        <v>343</v>
      </c>
      <c r="G1655" s="14" t="s">
        <v>343</v>
      </c>
      <c r="H1655" s="14" t="s">
        <v>343</v>
      </c>
      <c r="U1655" s="14">
        <v>1</v>
      </c>
      <c r="V1655" s="14">
        <v>1</v>
      </c>
      <c r="W1655" s="14">
        <v>1</v>
      </c>
      <c r="X1655" s="14">
        <v>1</v>
      </c>
    </row>
    <row r="1656" spans="1:24" hidden="1" x14ac:dyDescent="0.3">
      <c r="A1656" s="14" t="s">
        <v>426</v>
      </c>
      <c r="B1656" s="14" t="s">
        <v>88</v>
      </c>
      <c r="C1656" s="14" t="s">
        <v>378</v>
      </c>
      <c r="D1656" s="14" t="s">
        <v>379</v>
      </c>
      <c r="E1656" s="14" t="s">
        <v>342</v>
      </c>
      <c r="F1656" s="14" t="s">
        <v>343</v>
      </c>
      <c r="G1656" s="14" t="s">
        <v>343</v>
      </c>
      <c r="H1656" s="14" t="s">
        <v>343</v>
      </c>
      <c r="S1656" s="14">
        <v>0.6</v>
      </c>
      <c r="U1656" s="14">
        <v>0.57999999999999996</v>
      </c>
      <c r="V1656" s="14">
        <v>0.56999999999999995</v>
      </c>
      <c r="X1656" s="14">
        <v>0.57999999999999996</v>
      </c>
    </row>
    <row r="1657" spans="1:24" hidden="1" x14ac:dyDescent="0.3">
      <c r="A1657" s="14" t="s">
        <v>426</v>
      </c>
      <c r="B1657" s="14" t="s">
        <v>88</v>
      </c>
      <c r="C1657" s="14" t="s">
        <v>378</v>
      </c>
      <c r="D1657" s="14" t="s">
        <v>379</v>
      </c>
      <c r="E1657" s="14" t="s">
        <v>344</v>
      </c>
      <c r="F1657" s="14" t="s">
        <v>343</v>
      </c>
      <c r="G1657" s="14" t="s">
        <v>343</v>
      </c>
      <c r="H1657" s="14" t="s">
        <v>343</v>
      </c>
      <c r="S1657" s="14">
        <v>91</v>
      </c>
      <c r="U1657" s="14">
        <v>104</v>
      </c>
      <c r="V1657" s="14">
        <v>110</v>
      </c>
      <c r="W1657" s="14">
        <v>122</v>
      </c>
      <c r="X1657" s="14">
        <v>106</v>
      </c>
    </row>
    <row r="1658" spans="1:24" hidden="1" x14ac:dyDescent="0.3">
      <c r="A1658" s="14" t="s">
        <v>426</v>
      </c>
      <c r="B1658" s="14" t="s">
        <v>88</v>
      </c>
      <c r="C1658" s="14" t="s">
        <v>353</v>
      </c>
      <c r="D1658" s="14" t="s">
        <v>354</v>
      </c>
      <c r="E1658" s="14" t="s">
        <v>342</v>
      </c>
      <c r="F1658" s="14" t="s">
        <v>343</v>
      </c>
      <c r="G1658" s="14" t="s">
        <v>343</v>
      </c>
      <c r="H1658" s="14" t="s">
        <v>343</v>
      </c>
      <c r="U1658" s="14">
        <v>0.98</v>
      </c>
      <c r="V1658" s="14">
        <v>0.98</v>
      </c>
      <c r="W1658" s="14">
        <v>0.98</v>
      </c>
      <c r="X1658" s="14">
        <v>0.98</v>
      </c>
    </row>
    <row r="1659" spans="1:24" hidden="1" x14ac:dyDescent="0.3">
      <c r="A1659" s="14" t="s">
        <v>426</v>
      </c>
      <c r="B1659" s="14" t="s">
        <v>88</v>
      </c>
      <c r="C1659" s="14" t="s">
        <v>353</v>
      </c>
      <c r="D1659" s="14" t="s">
        <v>354</v>
      </c>
      <c r="E1659" s="14" t="s">
        <v>344</v>
      </c>
      <c r="F1659" s="14" t="s">
        <v>343</v>
      </c>
      <c r="G1659" s="14" t="s">
        <v>343</v>
      </c>
      <c r="H1659" s="14" t="s">
        <v>343</v>
      </c>
      <c r="U1659" s="14">
        <v>80</v>
      </c>
      <c r="V1659" s="14">
        <v>81</v>
      </c>
      <c r="W1659" s="14">
        <v>83</v>
      </c>
      <c r="X1659" s="14">
        <v>82</v>
      </c>
    </row>
    <row r="1660" spans="1:24" hidden="1" x14ac:dyDescent="0.3">
      <c r="A1660" s="14" t="s">
        <v>426</v>
      </c>
      <c r="B1660" s="14" t="s">
        <v>88</v>
      </c>
      <c r="C1660" s="14" t="s">
        <v>380</v>
      </c>
      <c r="D1660" s="14" t="s">
        <v>381</v>
      </c>
      <c r="E1660" s="14" t="s">
        <v>342</v>
      </c>
      <c r="F1660" s="14" t="s">
        <v>343</v>
      </c>
      <c r="G1660" s="14" t="s">
        <v>343</v>
      </c>
      <c r="H1660" s="14" t="s">
        <v>343</v>
      </c>
      <c r="U1660" s="14">
        <v>1</v>
      </c>
      <c r="V1660" s="14">
        <v>1</v>
      </c>
      <c r="W1660" s="14">
        <v>1</v>
      </c>
    </row>
    <row r="1661" spans="1:24" hidden="1" x14ac:dyDescent="0.3">
      <c r="A1661" s="14" t="s">
        <v>426</v>
      </c>
      <c r="B1661" s="14" t="s">
        <v>88</v>
      </c>
      <c r="C1661" s="14" t="s">
        <v>380</v>
      </c>
      <c r="D1661" s="14" t="s">
        <v>381</v>
      </c>
      <c r="E1661" s="14" t="s">
        <v>344</v>
      </c>
      <c r="F1661" s="14" t="s">
        <v>343</v>
      </c>
      <c r="G1661" s="14" t="s">
        <v>343</v>
      </c>
      <c r="H1661" s="14" t="s">
        <v>343</v>
      </c>
      <c r="U1661" s="14">
        <v>1</v>
      </c>
      <c r="V1661" s="14">
        <v>1</v>
      </c>
      <c r="W1661" s="14">
        <v>1</v>
      </c>
    </row>
    <row r="1662" spans="1:24" hidden="1" x14ac:dyDescent="0.3">
      <c r="A1662" s="14" t="s">
        <v>426</v>
      </c>
      <c r="B1662" s="14" t="s">
        <v>88</v>
      </c>
      <c r="C1662" s="14" t="s">
        <v>355</v>
      </c>
      <c r="D1662" s="14" t="s">
        <v>356</v>
      </c>
      <c r="E1662" s="14" t="s">
        <v>342</v>
      </c>
      <c r="F1662" s="14" t="s">
        <v>343</v>
      </c>
      <c r="G1662" s="14" t="s">
        <v>343</v>
      </c>
      <c r="H1662" s="14" t="s">
        <v>343</v>
      </c>
      <c r="U1662" s="14">
        <v>1</v>
      </c>
      <c r="V1662" s="14">
        <v>1</v>
      </c>
      <c r="W1662" s="14">
        <v>1</v>
      </c>
      <c r="X1662" s="14">
        <v>1</v>
      </c>
    </row>
    <row r="1663" spans="1:24" hidden="1" x14ac:dyDescent="0.3">
      <c r="A1663" s="14" t="s">
        <v>426</v>
      </c>
      <c r="B1663" s="14" t="s">
        <v>88</v>
      </c>
      <c r="C1663" s="14" t="s">
        <v>355</v>
      </c>
      <c r="D1663" s="14" t="s">
        <v>356</v>
      </c>
      <c r="E1663" s="14" t="s">
        <v>344</v>
      </c>
      <c r="F1663" s="14" t="s">
        <v>343</v>
      </c>
      <c r="G1663" s="14" t="s">
        <v>343</v>
      </c>
      <c r="H1663" s="14" t="s">
        <v>343</v>
      </c>
      <c r="U1663" s="14">
        <v>1</v>
      </c>
      <c r="V1663" s="14">
        <v>1</v>
      </c>
      <c r="W1663" s="14">
        <v>1</v>
      </c>
      <c r="X1663" s="14">
        <v>1</v>
      </c>
    </row>
    <row r="1664" spans="1:24" hidden="1" x14ac:dyDescent="0.3">
      <c r="A1664" s="14" t="s">
        <v>426</v>
      </c>
      <c r="B1664" s="14" t="s">
        <v>88</v>
      </c>
      <c r="C1664" s="14" t="s">
        <v>357</v>
      </c>
      <c r="D1664" s="14" t="s">
        <v>358</v>
      </c>
      <c r="E1664" s="14" t="s">
        <v>342</v>
      </c>
      <c r="F1664" s="14" t="s">
        <v>343</v>
      </c>
      <c r="G1664" s="14" t="s">
        <v>343</v>
      </c>
      <c r="H1664" s="14" t="s">
        <v>343</v>
      </c>
      <c r="U1664" s="14">
        <v>1</v>
      </c>
      <c r="V1664" s="14">
        <v>1</v>
      </c>
      <c r="W1664" s="14">
        <v>1</v>
      </c>
      <c r="X1664" s="14">
        <v>1</v>
      </c>
    </row>
    <row r="1665" spans="1:24" hidden="1" x14ac:dyDescent="0.3">
      <c r="A1665" s="14" t="s">
        <v>426</v>
      </c>
      <c r="B1665" s="14" t="s">
        <v>88</v>
      </c>
      <c r="C1665" s="14" t="s">
        <v>357</v>
      </c>
      <c r="D1665" s="14" t="s">
        <v>358</v>
      </c>
      <c r="E1665" s="14" t="s">
        <v>344</v>
      </c>
      <c r="F1665" s="14" t="s">
        <v>343</v>
      </c>
      <c r="G1665" s="14" t="s">
        <v>343</v>
      </c>
      <c r="H1665" s="14" t="s">
        <v>343</v>
      </c>
      <c r="U1665" s="14">
        <v>1</v>
      </c>
      <c r="V1665" s="14">
        <v>1</v>
      </c>
      <c r="W1665" s="14">
        <v>1</v>
      </c>
      <c r="X1665" s="14">
        <v>1</v>
      </c>
    </row>
    <row r="1666" spans="1:24" hidden="1" x14ac:dyDescent="0.3">
      <c r="A1666" s="14" t="s">
        <v>426</v>
      </c>
      <c r="B1666" s="14" t="s">
        <v>88</v>
      </c>
      <c r="C1666" s="14" t="s">
        <v>359</v>
      </c>
      <c r="D1666" s="14" t="s">
        <v>360</v>
      </c>
      <c r="E1666" s="14" t="s">
        <v>342</v>
      </c>
      <c r="F1666" s="14" t="s">
        <v>343</v>
      </c>
      <c r="G1666" s="14" t="s">
        <v>343</v>
      </c>
      <c r="H1666" s="14" t="s">
        <v>343</v>
      </c>
      <c r="I1666" s="14">
        <v>0.5</v>
      </c>
      <c r="J1666" s="14">
        <v>0.63</v>
      </c>
      <c r="K1666" s="14">
        <v>0.62</v>
      </c>
      <c r="L1666" s="14">
        <v>0.63</v>
      </c>
      <c r="M1666" s="14">
        <v>0.6</v>
      </c>
      <c r="N1666" s="14">
        <v>0.57999999999999996</v>
      </c>
      <c r="O1666" s="14">
        <v>0.6</v>
      </c>
      <c r="P1666" s="14">
        <v>0.63</v>
      </c>
      <c r="Q1666" s="14">
        <v>0.72</v>
      </c>
      <c r="R1666" s="14">
        <v>0.68</v>
      </c>
      <c r="S1666" s="14">
        <v>0.63</v>
      </c>
      <c r="T1666" s="14">
        <v>0.64</v>
      </c>
      <c r="U1666" s="14">
        <v>0.66</v>
      </c>
      <c r="V1666" s="14">
        <v>0.68</v>
      </c>
      <c r="W1666" s="14">
        <v>0.68</v>
      </c>
      <c r="X1666" s="14">
        <v>0.7</v>
      </c>
    </row>
    <row r="1667" spans="1:24" hidden="1" x14ac:dyDescent="0.3">
      <c r="A1667" s="14" t="s">
        <v>426</v>
      </c>
      <c r="B1667" s="14" t="s">
        <v>88</v>
      </c>
      <c r="C1667" s="14" t="s">
        <v>359</v>
      </c>
      <c r="D1667" s="14" t="s">
        <v>360</v>
      </c>
      <c r="E1667" s="14" t="s">
        <v>344</v>
      </c>
      <c r="F1667" s="14" t="s">
        <v>343</v>
      </c>
      <c r="G1667" s="14" t="s">
        <v>343</v>
      </c>
      <c r="H1667" s="14" t="s">
        <v>343</v>
      </c>
      <c r="I1667" s="14">
        <v>92</v>
      </c>
      <c r="J1667" s="14">
        <v>65</v>
      </c>
      <c r="K1667" s="14">
        <v>74</v>
      </c>
      <c r="L1667" s="14">
        <v>77</v>
      </c>
      <c r="M1667" s="14">
        <v>90</v>
      </c>
      <c r="N1667" s="14">
        <v>99</v>
      </c>
      <c r="O1667" s="14">
        <v>97</v>
      </c>
      <c r="P1667" s="14">
        <v>90</v>
      </c>
      <c r="Q1667" s="14">
        <v>45</v>
      </c>
      <c r="R1667" s="14">
        <v>66</v>
      </c>
      <c r="S1667" s="14">
        <v>93</v>
      </c>
      <c r="T1667" s="14">
        <v>93</v>
      </c>
      <c r="U1667" s="14">
        <v>82</v>
      </c>
      <c r="V1667" s="14">
        <v>74</v>
      </c>
      <c r="W1667" s="14">
        <v>81</v>
      </c>
      <c r="X1667" s="14">
        <v>71</v>
      </c>
    </row>
    <row r="1668" spans="1:24" x14ac:dyDescent="0.3">
      <c r="A1668" s="14" t="s">
        <v>426</v>
      </c>
      <c r="B1668" s="14" t="s">
        <v>88</v>
      </c>
      <c r="C1668" s="14" t="s">
        <v>361</v>
      </c>
      <c r="D1668" s="14" t="s">
        <v>362</v>
      </c>
      <c r="E1668" s="14" t="s">
        <v>342</v>
      </c>
      <c r="F1668" s="14" t="s">
        <v>343</v>
      </c>
      <c r="G1668" s="14" t="s">
        <v>343</v>
      </c>
      <c r="H1668" s="14" t="s">
        <v>343</v>
      </c>
      <c r="I1668" s="14">
        <v>0.98</v>
      </c>
      <c r="J1668" s="14">
        <v>0.98</v>
      </c>
      <c r="K1668" s="14">
        <v>0.98</v>
      </c>
      <c r="L1668" s="14">
        <v>0.98</v>
      </c>
      <c r="M1668" s="14">
        <v>0.98</v>
      </c>
      <c r="N1668" s="14">
        <v>0.98</v>
      </c>
      <c r="O1668" s="14">
        <v>0.98</v>
      </c>
      <c r="P1668" s="14">
        <v>0.98</v>
      </c>
      <c r="Q1668" s="14">
        <v>0.98</v>
      </c>
      <c r="R1668" s="14">
        <v>0.98</v>
      </c>
      <c r="S1668" s="14">
        <v>0.98</v>
      </c>
      <c r="T1668" s="14">
        <v>0.98</v>
      </c>
      <c r="U1668" s="14">
        <v>0.98</v>
      </c>
      <c r="V1668" s="14">
        <v>0.98</v>
      </c>
      <c r="W1668" s="14">
        <v>0.97</v>
      </c>
      <c r="X1668" s="14">
        <v>0.97</v>
      </c>
    </row>
    <row r="1669" spans="1:24" hidden="1" x14ac:dyDescent="0.3">
      <c r="A1669" s="14" t="s">
        <v>426</v>
      </c>
      <c r="B1669" s="14" t="s">
        <v>88</v>
      </c>
      <c r="C1669" s="14" t="s">
        <v>361</v>
      </c>
      <c r="D1669" s="14" t="s">
        <v>362</v>
      </c>
      <c r="E1669" s="14" t="s">
        <v>344</v>
      </c>
      <c r="F1669" s="14" t="s">
        <v>343</v>
      </c>
      <c r="G1669" s="14" t="s">
        <v>343</v>
      </c>
      <c r="H1669" s="14" t="s">
        <v>343</v>
      </c>
      <c r="I1669" s="14">
        <v>1</v>
      </c>
      <c r="J1669" s="14">
        <v>1</v>
      </c>
      <c r="K1669" s="14">
        <v>1</v>
      </c>
      <c r="L1669" s="14">
        <v>1</v>
      </c>
      <c r="M1669" s="14">
        <v>57</v>
      </c>
      <c r="N1669" s="14">
        <v>58</v>
      </c>
      <c r="O1669" s="14">
        <v>58</v>
      </c>
      <c r="P1669" s="14">
        <v>55</v>
      </c>
      <c r="Q1669" s="14">
        <v>1</v>
      </c>
      <c r="R1669" s="14">
        <v>1</v>
      </c>
      <c r="S1669" s="14">
        <v>1</v>
      </c>
      <c r="T1669" s="14">
        <v>57</v>
      </c>
      <c r="U1669" s="14">
        <v>58</v>
      </c>
      <c r="V1669" s="14">
        <v>54</v>
      </c>
      <c r="W1669" s="14">
        <v>92</v>
      </c>
      <c r="X1669" s="14">
        <v>88</v>
      </c>
    </row>
    <row r="1670" spans="1:24" hidden="1" x14ac:dyDescent="0.3">
      <c r="A1670" s="14" t="s">
        <v>426</v>
      </c>
      <c r="B1670" s="14" t="s">
        <v>88</v>
      </c>
      <c r="C1670" s="14" t="s">
        <v>363</v>
      </c>
      <c r="D1670" s="14" t="s">
        <v>364</v>
      </c>
      <c r="E1670" s="14" t="s">
        <v>342</v>
      </c>
      <c r="F1670" s="14" t="s">
        <v>343</v>
      </c>
      <c r="G1670" s="14" t="s">
        <v>343</v>
      </c>
      <c r="H1670" s="14" t="s">
        <v>343</v>
      </c>
      <c r="U1670" s="14">
        <v>1.05</v>
      </c>
      <c r="V1670" s="14">
        <v>1.05</v>
      </c>
      <c r="W1670" s="14">
        <v>1.02</v>
      </c>
      <c r="X1670" s="14">
        <v>1.02</v>
      </c>
    </row>
    <row r="1671" spans="1:24" hidden="1" x14ac:dyDescent="0.3">
      <c r="A1671" s="14" t="s">
        <v>426</v>
      </c>
      <c r="B1671" s="14" t="s">
        <v>88</v>
      </c>
      <c r="C1671" s="14" t="s">
        <v>363</v>
      </c>
      <c r="D1671" s="14" t="s">
        <v>364</v>
      </c>
      <c r="E1671" s="14" t="s">
        <v>344</v>
      </c>
      <c r="F1671" s="14" t="s">
        <v>343</v>
      </c>
      <c r="G1671" s="14" t="s">
        <v>343</v>
      </c>
      <c r="H1671" s="14" t="s">
        <v>343</v>
      </c>
      <c r="U1671" s="14">
        <v>66</v>
      </c>
      <c r="V1671" s="14">
        <v>68</v>
      </c>
      <c r="W1671" s="14">
        <v>102</v>
      </c>
      <c r="X1671" s="14">
        <v>96</v>
      </c>
    </row>
    <row r="1672" spans="1:24" hidden="1" x14ac:dyDescent="0.3">
      <c r="A1672" s="14" t="s">
        <v>426</v>
      </c>
      <c r="B1672" s="14" t="s">
        <v>88</v>
      </c>
      <c r="C1672" s="14" t="s">
        <v>365</v>
      </c>
      <c r="D1672" s="14" t="s">
        <v>366</v>
      </c>
      <c r="E1672" s="14" t="s">
        <v>342</v>
      </c>
      <c r="F1672" s="14" t="s">
        <v>343</v>
      </c>
      <c r="G1672" s="14" t="s">
        <v>343</v>
      </c>
      <c r="H1672" s="14" t="s">
        <v>343</v>
      </c>
      <c r="U1672" s="14">
        <v>0.94</v>
      </c>
      <c r="V1672" s="14">
        <v>0.94</v>
      </c>
      <c r="W1672" s="14">
        <v>0.94</v>
      </c>
      <c r="X1672" s="14">
        <v>0.94</v>
      </c>
    </row>
    <row r="1673" spans="1:24" hidden="1" x14ac:dyDescent="0.3">
      <c r="A1673" s="14" t="s">
        <v>426</v>
      </c>
      <c r="B1673" s="14" t="s">
        <v>88</v>
      </c>
      <c r="C1673" s="14" t="s">
        <v>365</v>
      </c>
      <c r="D1673" s="14" t="s">
        <v>366</v>
      </c>
      <c r="E1673" s="14" t="s">
        <v>344</v>
      </c>
      <c r="F1673" s="14" t="s">
        <v>343</v>
      </c>
      <c r="G1673" s="14" t="s">
        <v>343</v>
      </c>
      <c r="H1673" s="14" t="s">
        <v>343</v>
      </c>
      <c r="U1673" s="14">
        <v>1</v>
      </c>
      <c r="V1673" s="14">
        <v>1</v>
      </c>
      <c r="W1673" s="14">
        <v>1</v>
      </c>
      <c r="X1673" s="14">
        <v>1</v>
      </c>
    </row>
    <row r="1674" spans="1:24" hidden="1" x14ac:dyDescent="0.3">
      <c r="A1674" s="14" t="s">
        <v>426</v>
      </c>
      <c r="B1674" s="14" t="s">
        <v>88</v>
      </c>
      <c r="C1674" s="14" t="s">
        <v>367</v>
      </c>
      <c r="D1674" s="14" t="s">
        <v>368</v>
      </c>
      <c r="E1674" s="14" t="s">
        <v>342</v>
      </c>
      <c r="F1674" s="14" t="s">
        <v>343</v>
      </c>
      <c r="G1674" s="14" t="s">
        <v>343</v>
      </c>
      <c r="H1674" s="14" t="s">
        <v>343</v>
      </c>
      <c r="I1674" s="14">
        <v>0.64</v>
      </c>
      <c r="J1674" s="14">
        <v>0.69</v>
      </c>
      <c r="K1674" s="14">
        <v>0.71</v>
      </c>
      <c r="L1674" s="14">
        <v>0.72</v>
      </c>
      <c r="M1674" s="14">
        <v>0.71</v>
      </c>
      <c r="N1674" s="14">
        <v>0.7</v>
      </c>
      <c r="O1674" s="14">
        <v>0.72</v>
      </c>
      <c r="P1674" s="14">
        <v>0.74</v>
      </c>
      <c r="Q1674" s="14">
        <v>0.75</v>
      </c>
      <c r="R1674" s="14">
        <v>0.74</v>
      </c>
      <c r="S1674" s="14">
        <v>0.73</v>
      </c>
      <c r="T1674" s="14">
        <v>0.72</v>
      </c>
      <c r="U1674" s="14">
        <v>0.73</v>
      </c>
      <c r="V1674" s="14">
        <v>0.73</v>
      </c>
      <c r="W1674" s="14">
        <v>0.74</v>
      </c>
      <c r="X1674" s="14">
        <v>0.74</v>
      </c>
    </row>
    <row r="1675" spans="1:24" hidden="1" x14ac:dyDescent="0.3">
      <c r="A1675" s="14" t="s">
        <v>426</v>
      </c>
      <c r="B1675" s="14" t="s">
        <v>88</v>
      </c>
      <c r="C1675" s="14" t="s">
        <v>367</v>
      </c>
      <c r="D1675" s="14" t="s">
        <v>368</v>
      </c>
      <c r="E1675" s="14" t="s">
        <v>344</v>
      </c>
      <c r="F1675" s="14" t="s">
        <v>343</v>
      </c>
      <c r="G1675" s="14" t="s">
        <v>343</v>
      </c>
      <c r="H1675" s="14" t="s">
        <v>343</v>
      </c>
      <c r="I1675" s="14">
        <v>82</v>
      </c>
      <c r="J1675" s="14">
        <v>44</v>
      </c>
      <c r="K1675" s="14">
        <v>35</v>
      </c>
      <c r="L1675" s="14">
        <v>23</v>
      </c>
      <c r="M1675" s="14">
        <v>40</v>
      </c>
      <c r="N1675" s="14">
        <v>45</v>
      </c>
      <c r="O1675" s="14">
        <v>33</v>
      </c>
      <c r="P1675" s="14">
        <v>25</v>
      </c>
      <c r="Q1675" s="14">
        <v>21</v>
      </c>
      <c r="R1675" s="14">
        <v>33</v>
      </c>
      <c r="S1675" s="14">
        <v>40</v>
      </c>
      <c r="T1675" s="14">
        <v>42</v>
      </c>
      <c r="U1675" s="14">
        <v>41</v>
      </c>
      <c r="V1675" s="14">
        <v>48</v>
      </c>
      <c r="W1675" s="14">
        <v>42</v>
      </c>
      <c r="X1675" s="14">
        <v>41</v>
      </c>
    </row>
    <row r="1676" spans="1:24" hidden="1" x14ac:dyDescent="0.3">
      <c r="A1676" s="14" t="s">
        <v>426</v>
      </c>
      <c r="B1676" s="14" t="s">
        <v>88</v>
      </c>
      <c r="C1676" s="14" t="s">
        <v>369</v>
      </c>
      <c r="D1676" s="14" t="s">
        <v>370</v>
      </c>
      <c r="E1676" s="14" t="s">
        <v>342</v>
      </c>
      <c r="F1676" s="14" t="s">
        <v>343</v>
      </c>
      <c r="G1676" s="14" t="s">
        <v>343</v>
      </c>
      <c r="H1676" s="14" t="s">
        <v>343</v>
      </c>
      <c r="I1676" s="14">
        <v>0.1</v>
      </c>
      <c r="J1676" s="14">
        <v>0.14000000000000001</v>
      </c>
      <c r="K1676" s="14">
        <v>0.24</v>
      </c>
      <c r="L1676" s="14">
        <v>0.28000000000000003</v>
      </c>
      <c r="M1676" s="14">
        <v>0.27</v>
      </c>
      <c r="N1676" s="14">
        <v>0.27</v>
      </c>
      <c r="O1676" s="14">
        <v>0.31</v>
      </c>
      <c r="P1676" s="14">
        <v>0.36</v>
      </c>
      <c r="Q1676" s="14">
        <v>0.28999999999999998</v>
      </c>
      <c r="R1676" s="14">
        <v>0.3</v>
      </c>
      <c r="S1676" s="14">
        <v>0.3</v>
      </c>
      <c r="T1676" s="14">
        <v>0.28000000000000003</v>
      </c>
      <c r="U1676" s="14">
        <v>0.28000000000000003</v>
      </c>
      <c r="V1676" s="14">
        <v>0.26</v>
      </c>
      <c r="W1676" s="14">
        <v>0.32</v>
      </c>
      <c r="X1676" s="14">
        <v>0.31</v>
      </c>
    </row>
    <row r="1677" spans="1:24" hidden="1" x14ac:dyDescent="0.3">
      <c r="A1677" s="14" t="s">
        <v>426</v>
      </c>
      <c r="B1677" s="14" t="s">
        <v>88</v>
      </c>
      <c r="C1677" s="14" t="s">
        <v>369</v>
      </c>
      <c r="D1677" s="14" t="s">
        <v>370</v>
      </c>
      <c r="E1677" s="14" t="s">
        <v>344</v>
      </c>
      <c r="F1677" s="14" t="s">
        <v>343</v>
      </c>
      <c r="G1677" s="14" t="s">
        <v>343</v>
      </c>
      <c r="H1677" s="14" t="s">
        <v>343</v>
      </c>
      <c r="I1677" s="14">
        <v>64</v>
      </c>
      <c r="J1677" s="14">
        <v>44</v>
      </c>
      <c r="K1677" s="14">
        <v>28</v>
      </c>
      <c r="L1677" s="14">
        <v>21</v>
      </c>
      <c r="M1677" s="14">
        <v>28</v>
      </c>
      <c r="N1677" s="14">
        <v>29</v>
      </c>
      <c r="O1677" s="14">
        <v>23</v>
      </c>
      <c r="P1677" s="14">
        <v>17</v>
      </c>
      <c r="Q1677" s="14">
        <v>28</v>
      </c>
      <c r="R1677" s="14">
        <v>31</v>
      </c>
      <c r="S1677" s="14">
        <v>32</v>
      </c>
      <c r="T1677" s="14">
        <v>32</v>
      </c>
      <c r="U1677" s="14">
        <v>35</v>
      </c>
      <c r="V1677" s="14">
        <v>48</v>
      </c>
      <c r="W1677" s="14">
        <v>40</v>
      </c>
      <c r="X1677" s="14">
        <v>41</v>
      </c>
    </row>
    <row r="1678" spans="1:24" hidden="1" x14ac:dyDescent="0.3">
      <c r="A1678" s="14" t="s">
        <v>426</v>
      </c>
      <c r="B1678" s="14" t="s">
        <v>88</v>
      </c>
      <c r="C1678" s="14" t="s">
        <v>371</v>
      </c>
      <c r="D1678" s="14" t="s">
        <v>372</v>
      </c>
      <c r="E1678" s="14" t="s">
        <v>342</v>
      </c>
      <c r="F1678" s="14" t="s">
        <v>343</v>
      </c>
      <c r="G1678" s="14" t="s">
        <v>343</v>
      </c>
      <c r="H1678" s="14" t="s">
        <v>343</v>
      </c>
      <c r="U1678" s="14">
        <v>0</v>
      </c>
      <c r="V1678" s="14">
        <v>0</v>
      </c>
      <c r="W1678" s="14">
        <v>0</v>
      </c>
      <c r="X1678" s="14">
        <v>0</v>
      </c>
    </row>
    <row r="1679" spans="1:24" hidden="1" x14ac:dyDescent="0.3">
      <c r="A1679" s="14" t="s">
        <v>426</v>
      </c>
      <c r="B1679" s="14" t="s">
        <v>88</v>
      </c>
      <c r="C1679" s="14" t="s">
        <v>371</v>
      </c>
      <c r="D1679" s="14" t="s">
        <v>372</v>
      </c>
      <c r="E1679" s="14" t="s">
        <v>344</v>
      </c>
      <c r="F1679" s="14" t="s">
        <v>343</v>
      </c>
      <c r="G1679" s="14" t="s">
        <v>343</v>
      </c>
      <c r="H1679" s="14" t="s">
        <v>343</v>
      </c>
      <c r="U1679" s="14">
        <v>68</v>
      </c>
      <c r="V1679" s="14">
        <v>70</v>
      </c>
      <c r="W1679" s="14">
        <v>73</v>
      </c>
      <c r="X1679" s="14">
        <v>75</v>
      </c>
    </row>
    <row r="1680" spans="1:24" hidden="1" x14ac:dyDescent="0.3">
      <c r="A1680" s="14" t="s">
        <v>426</v>
      </c>
      <c r="B1680" s="14" t="s">
        <v>88</v>
      </c>
      <c r="C1680" s="14" t="s">
        <v>373</v>
      </c>
      <c r="D1680" s="14" t="s">
        <v>374</v>
      </c>
      <c r="E1680" s="14" t="s">
        <v>342</v>
      </c>
      <c r="F1680" s="14" t="s">
        <v>343</v>
      </c>
      <c r="G1680" s="14" t="s">
        <v>343</v>
      </c>
      <c r="H1680" s="14" t="s">
        <v>343</v>
      </c>
      <c r="U1680" s="14">
        <v>0.38</v>
      </c>
      <c r="V1680" s="14">
        <v>0.28000000000000003</v>
      </c>
      <c r="W1680" s="14">
        <v>0.47</v>
      </c>
      <c r="X1680" s="14">
        <v>0.47</v>
      </c>
    </row>
    <row r="1681" spans="1:24" hidden="1" x14ac:dyDescent="0.3">
      <c r="A1681" s="14" t="s">
        <v>426</v>
      </c>
      <c r="B1681" s="14" t="s">
        <v>88</v>
      </c>
      <c r="C1681" s="14" t="s">
        <v>373</v>
      </c>
      <c r="D1681" s="14" t="s">
        <v>374</v>
      </c>
      <c r="E1681" s="14" t="s">
        <v>344</v>
      </c>
      <c r="F1681" s="14" t="s">
        <v>343</v>
      </c>
      <c r="G1681" s="14" t="s">
        <v>343</v>
      </c>
      <c r="H1681" s="14" t="s">
        <v>343</v>
      </c>
      <c r="U1681" s="14">
        <v>30</v>
      </c>
      <c r="V1681" s="14">
        <v>73</v>
      </c>
      <c r="W1681" s="14">
        <v>40</v>
      </c>
      <c r="X1681" s="14">
        <v>39</v>
      </c>
    </row>
    <row r="1682" spans="1:24" hidden="1" x14ac:dyDescent="0.3">
      <c r="A1682" s="14" t="s">
        <v>426</v>
      </c>
      <c r="B1682" s="14" t="s">
        <v>88</v>
      </c>
      <c r="C1682" s="14" t="s">
        <v>375</v>
      </c>
      <c r="D1682" s="14" t="s">
        <v>376</v>
      </c>
      <c r="E1682" s="14" t="s">
        <v>342</v>
      </c>
      <c r="F1682" s="14" t="s">
        <v>343</v>
      </c>
      <c r="G1682" s="14" t="s">
        <v>343</v>
      </c>
      <c r="H1682" s="14" t="s">
        <v>343</v>
      </c>
      <c r="U1682" s="14">
        <v>0.61</v>
      </c>
      <c r="V1682" s="14">
        <v>0.61</v>
      </c>
      <c r="W1682" s="14">
        <v>0.65</v>
      </c>
      <c r="X1682" s="14">
        <v>0.63</v>
      </c>
    </row>
    <row r="1683" spans="1:24" hidden="1" x14ac:dyDescent="0.3">
      <c r="A1683" s="14" t="s">
        <v>426</v>
      </c>
      <c r="B1683" s="14" t="s">
        <v>88</v>
      </c>
      <c r="C1683" s="14" t="s">
        <v>375</v>
      </c>
      <c r="D1683" s="14" t="s">
        <v>376</v>
      </c>
      <c r="E1683" s="14" t="s">
        <v>344</v>
      </c>
      <c r="F1683" s="14" t="s">
        <v>343</v>
      </c>
      <c r="G1683" s="14" t="s">
        <v>343</v>
      </c>
      <c r="H1683" s="14" t="s">
        <v>343</v>
      </c>
      <c r="U1683" s="14">
        <v>22</v>
      </c>
      <c r="V1683" s="14">
        <v>24</v>
      </c>
      <c r="W1683" s="14">
        <v>26</v>
      </c>
      <c r="X1683" s="14">
        <v>32</v>
      </c>
    </row>
    <row r="1684" spans="1:24" hidden="1" x14ac:dyDescent="0.3">
      <c r="A1684" s="14" t="s">
        <v>427</v>
      </c>
      <c r="B1684" s="14" t="s">
        <v>428</v>
      </c>
      <c r="C1684" s="14" t="s">
        <v>340</v>
      </c>
      <c r="D1684" s="14" t="s">
        <v>341</v>
      </c>
      <c r="E1684" s="14" t="s">
        <v>342</v>
      </c>
      <c r="F1684" s="14" t="s">
        <v>343</v>
      </c>
      <c r="G1684" s="14" t="s">
        <v>343</v>
      </c>
      <c r="H1684" s="14" t="s">
        <v>343</v>
      </c>
      <c r="I1684" s="14">
        <v>0.9</v>
      </c>
      <c r="J1684" s="14">
        <v>0.91</v>
      </c>
      <c r="K1684" s="14">
        <v>0.9</v>
      </c>
      <c r="L1684" s="14">
        <v>0.9</v>
      </c>
      <c r="M1684" s="14">
        <v>0.9</v>
      </c>
      <c r="N1684" s="14">
        <v>0.91</v>
      </c>
      <c r="O1684" s="14">
        <v>0.92</v>
      </c>
      <c r="P1684" s="14">
        <v>0.92</v>
      </c>
      <c r="Q1684" s="14">
        <v>0.95</v>
      </c>
      <c r="R1684" s="14">
        <v>0.94</v>
      </c>
      <c r="S1684" s="14">
        <v>0.95</v>
      </c>
      <c r="T1684" s="14">
        <v>0.96</v>
      </c>
      <c r="U1684" s="14">
        <v>0.98</v>
      </c>
      <c r="V1684" s="14">
        <v>0.97</v>
      </c>
      <c r="W1684" s="14">
        <v>0.97</v>
      </c>
      <c r="X1684" s="14">
        <v>0.97</v>
      </c>
    </row>
    <row r="1685" spans="1:24" hidden="1" x14ac:dyDescent="0.3">
      <c r="A1685" s="14" t="s">
        <v>427</v>
      </c>
      <c r="B1685" s="14" t="s">
        <v>428</v>
      </c>
      <c r="C1685" s="14" t="s">
        <v>340</v>
      </c>
      <c r="D1685" s="14" t="s">
        <v>341</v>
      </c>
      <c r="E1685" s="14" t="s">
        <v>344</v>
      </c>
      <c r="F1685" s="14" t="s">
        <v>343</v>
      </c>
      <c r="G1685" s="14" t="s">
        <v>343</v>
      </c>
      <c r="H1685" s="14" t="s">
        <v>343</v>
      </c>
      <c r="I1685" s="14">
        <v>90</v>
      </c>
      <c r="J1685" s="14">
        <v>101</v>
      </c>
      <c r="K1685" s="14">
        <v>105</v>
      </c>
      <c r="L1685" s="14">
        <v>107</v>
      </c>
      <c r="M1685" s="14">
        <v>110</v>
      </c>
      <c r="N1685" s="14">
        <v>110</v>
      </c>
      <c r="O1685" s="14">
        <v>110</v>
      </c>
      <c r="P1685" s="14">
        <v>108</v>
      </c>
      <c r="Q1685" s="14">
        <v>109</v>
      </c>
      <c r="R1685" s="14">
        <v>115</v>
      </c>
      <c r="S1685" s="14">
        <v>112</v>
      </c>
      <c r="T1685" s="14">
        <v>104</v>
      </c>
      <c r="U1685" s="14">
        <v>99</v>
      </c>
      <c r="V1685" s="14">
        <v>102</v>
      </c>
      <c r="W1685" s="14">
        <v>105</v>
      </c>
      <c r="X1685" s="14">
        <v>103</v>
      </c>
    </row>
    <row r="1686" spans="1:24" hidden="1" x14ac:dyDescent="0.3">
      <c r="A1686" s="14" t="s">
        <v>427</v>
      </c>
      <c r="B1686" s="14" t="s">
        <v>428</v>
      </c>
      <c r="C1686" s="14" t="s">
        <v>345</v>
      </c>
      <c r="D1686" s="14" t="s">
        <v>346</v>
      </c>
      <c r="E1686" s="14" t="s">
        <v>342</v>
      </c>
      <c r="F1686" s="14" t="s">
        <v>343</v>
      </c>
      <c r="G1686" s="14" t="s">
        <v>343</v>
      </c>
      <c r="H1686" s="14" t="s">
        <v>343</v>
      </c>
      <c r="U1686" s="14">
        <v>0.28000000000000003</v>
      </c>
      <c r="V1686" s="14">
        <v>0.26</v>
      </c>
      <c r="W1686" s="14">
        <v>0.22</v>
      </c>
      <c r="X1686" s="14">
        <v>0.19</v>
      </c>
    </row>
    <row r="1687" spans="1:24" hidden="1" x14ac:dyDescent="0.3">
      <c r="A1687" s="14" t="s">
        <v>427</v>
      </c>
      <c r="B1687" s="14" t="s">
        <v>428</v>
      </c>
      <c r="C1687" s="14" t="s">
        <v>345</v>
      </c>
      <c r="D1687" s="14" t="s">
        <v>346</v>
      </c>
      <c r="E1687" s="14" t="s">
        <v>344</v>
      </c>
      <c r="F1687" s="14" t="s">
        <v>343</v>
      </c>
      <c r="G1687" s="14" t="s">
        <v>343</v>
      </c>
      <c r="H1687" s="14" t="s">
        <v>343</v>
      </c>
      <c r="U1687" s="14">
        <v>131</v>
      </c>
      <c r="V1687" s="14">
        <v>139</v>
      </c>
      <c r="W1687" s="14">
        <v>147</v>
      </c>
      <c r="X1687" s="14">
        <v>142</v>
      </c>
    </row>
    <row r="1688" spans="1:24" hidden="1" x14ac:dyDescent="0.3">
      <c r="A1688" s="14" t="s">
        <v>427</v>
      </c>
      <c r="B1688" s="14" t="s">
        <v>428</v>
      </c>
      <c r="C1688" s="14" t="s">
        <v>347</v>
      </c>
      <c r="D1688" s="14" t="s">
        <v>348</v>
      </c>
      <c r="E1688" s="14" t="s">
        <v>342</v>
      </c>
      <c r="F1688" s="14" t="s">
        <v>343</v>
      </c>
      <c r="G1688" s="14" t="s">
        <v>343</v>
      </c>
      <c r="H1688" s="14" t="s">
        <v>343</v>
      </c>
      <c r="U1688" s="14">
        <v>0.31</v>
      </c>
      <c r="V1688" s="14">
        <v>0.32</v>
      </c>
      <c r="W1688" s="14">
        <v>0.27</v>
      </c>
      <c r="X1688" s="14">
        <v>0.23</v>
      </c>
    </row>
    <row r="1689" spans="1:24" hidden="1" x14ac:dyDescent="0.3">
      <c r="A1689" s="14" t="s">
        <v>427</v>
      </c>
      <c r="B1689" s="14" t="s">
        <v>428</v>
      </c>
      <c r="C1689" s="14" t="s">
        <v>347</v>
      </c>
      <c r="D1689" s="14" t="s">
        <v>348</v>
      </c>
      <c r="E1689" s="14" t="s">
        <v>344</v>
      </c>
      <c r="F1689" s="14" t="s">
        <v>343</v>
      </c>
      <c r="G1689" s="14" t="s">
        <v>343</v>
      </c>
      <c r="H1689" s="14" t="s">
        <v>343</v>
      </c>
      <c r="U1689" s="14">
        <v>141</v>
      </c>
      <c r="V1689" s="14">
        <v>143</v>
      </c>
      <c r="W1689" s="14">
        <v>150</v>
      </c>
      <c r="X1689" s="14">
        <v>143</v>
      </c>
    </row>
    <row r="1690" spans="1:24" hidden="1" x14ac:dyDescent="0.3">
      <c r="A1690" s="14" t="s">
        <v>427</v>
      </c>
      <c r="B1690" s="14" t="s">
        <v>428</v>
      </c>
      <c r="C1690" s="14" t="s">
        <v>349</v>
      </c>
      <c r="D1690" s="14" t="s">
        <v>350</v>
      </c>
      <c r="E1690" s="14" t="s">
        <v>342</v>
      </c>
      <c r="F1690" s="14" t="s">
        <v>343</v>
      </c>
      <c r="G1690" s="14" t="s">
        <v>343</v>
      </c>
      <c r="H1690" s="14" t="s">
        <v>343</v>
      </c>
      <c r="U1690" s="14">
        <v>7.0000000000000007E-2</v>
      </c>
      <c r="V1690" s="14">
        <v>0.08</v>
      </c>
      <c r="W1690" s="14">
        <v>0.08</v>
      </c>
      <c r="X1690" s="14">
        <v>7.0000000000000007E-2</v>
      </c>
    </row>
    <row r="1691" spans="1:24" hidden="1" x14ac:dyDescent="0.3">
      <c r="A1691" s="14" t="s">
        <v>427</v>
      </c>
      <c r="B1691" s="14" t="s">
        <v>428</v>
      </c>
      <c r="C1691" s="14" t="s">
        <v>349</v>
      </c>
      <c r="D1691" s="14" t="s">
        <v>350</v>
      </c>
      <c r="E1691" s="14" t="s">
        <v>344</v>
      </c>
      <c r="F1691" s="14" t="s">
        <v>343</v>
      </c>
      <c r="G1691" s="14" t="s">
        <v>343</v>
      </c>
      <c r="H1691" s="14" t="s">
        <v>343</v>
      </c>
      <c r="U1691" s="14">
        <v>139</v>
      </c>
      <c r="V1691" s="14">
        <v>145</v>
      </c>
      <c r="W1691" s="14">
        <v>148</v>
      </c>
      <c r="X1691" s="14">
        <v>136</v>
      </c>
    </row>
    <row r="1692" spans="1:24" hidden="1" x14ac:dyDescent="0.3">
      <c r="A1692" s="14" t="s">
        <v>427</v>
      </c>
      <c r="B1692" s="14" t="s">
        <v>428</v>
      </c>
      <c r="C1692" s="14" t="s">
        <v>351</v>
      </c>
      <c r="D1692" s="14" t="s">
        <v>352</v>
      </c>
      <c r="E1692" s="14" t="s">
        <v>342</v>
      </c>
      <c r="F1692" s="14" t="s">
        <v>343</v>
      </c>
      <c r="G1692" s="14" t="s">
        <v>343</v>
      </c>
      <c r="H1692" s="14" t="s">
        <v>343</v>
      </c>
      <c r="U1692" s="14">
        <v>0.62</v>
      </c>
      <c r="V1692" s="14">
        <v>0.62</v>
      </c>
      <c r="W1692" s="14">
        <v>0.5</v>
      </c>
      <c r="X1692" s="14">
        <v>0.5</v>
      </c>
    </row>
    <row r="1693" spans="1:24" hidden="1" x14ac:dyDescent="0.3">
      <c r="A1693" s="14" t="s">
        <v>427</v>
      </c>
      <c r="B1693" s="14" t="s">
        <v>428</v>
      </c>
      <c r="C1693" s="14" t="s">
        <v>351</v>
      </c>
      <c r="D1693" s="14" t="s">
        <v>352</v>
      </c>
      <c r="E1693" s="14" t="s">
        <v>344</v>
      </c>
      <c r="F1693" s="14" t="s">
        <v>343</v>
      </c>
      <c r="G1693" s="14" t="s">
        <v>343</v>
      </c>
      <c r="H1693" s="14" t="s">
        <v>343</v>
      </c>
      <c r="U1693" s="14">
        <v>113</v>
      </c>
      <c r="V1693" s="14">
        <v>116</v>
      </c>
      <c r="W1693" s="14">
        <v>127</v>
      </c>
      <c r="X1693" s="14">
        <v>116</v>
      </c>
    </row>
    <row r="1694" spans="1:24" hidden="1" x14ac:dyDescent="0.3">
      <c r="A1694" s="14" t="s">
        <v>427</v>
      </c>
      <c r="B1694" s="14" t="s">
        <v>428</v>
      </c>
      <c r="C1694" s="14" t="s">
        <v>378</v>
      </c>
      <c r="D1694" s="14" t="s">
        <v>379</v>
      </c>
      <c r="E1694" s="14" t="s">
        <v>342</v>
      </c>
      <c r="F1694" s="14" t="s">
        <v>343</v>
      </c>
      <c r="G1694" s="14" t="s">
        <v>343</v>
      </c>
      <c r="H1694" s="14" t="s">
        <v>343</v>
      </c>
      <c r="S1694" s="14">
        <v>0.76</v>
      </c>
      <c r="U1694" s="14">
        <v>0.68</v>
      </c>
      <c r="V1694" s="14">
        <v>0.74</v>
      </c>
      <c r="W1694" s="14">
        <v>0.8</v>
      </c>
      <c r="X1694" s="14">
        <v>0.79</v>
      </c>
    </row>
    <row r="1695" spans="1:24" hidden="1" x14ac:dyDescent="0.3">
      <c r="A1695" s="14" t="s">
        <v>427</v>
      </c>
      <c r="B1695" s="14" t="s">
        <v>428</v>
      </c>
      <c r="C1695" s="14" t="s">
        <v>378</v>
      </c>
      <c r="D1695" s="14" t="s">
        <v>379</v>
      </c>
      <c r="E1695" s="14" t="s">
        <v>344</v>
      </c>
      <c r="F1695" s="14" t="s">
        <v>343</v>
      </c>
      <c r="G1695" s="14" t="s">
        <v>343</v>
      </c>
      <c r="H1695" s="14" t="s">
        <v>343</v>
      </c>
      <c r="S1695" s="14">
        <v>19</v>
      </c>
      <c r="U1695" s="14">
        <v>56</v>
      </c>
      <c r="V1695" s="14">
        <v>22</v>
      </c>
      <c r="W1695" s="14">
        <v>10</v>
      </c>
      <c r="X1695" s="14">
        <v>8</v>
      </c>
    </row>
    <row r="1696" spans="1:24" hidden="1" x14ac:dyDescent="0.3">
      <c r="A1696" s="14" t="s">
        <v>427</v>
      </c>
      <c r="B1696" s="14" t="s">
        <v>428</v>
      </c>
      <c r="C1696" s="14" t="s">
        <v>353</v>
      </c>
      <c r="D1696" s="14" t="s">
        <v>354</v>
      </c>
      <c r="E1696" s="14" t="s">
        <v>342</v>
      </c>
      <c r="F1696" s="14" t="s">
        <v>343</v>
      </c>
      <c r="G1696" s="14" t="s">
        <v>343</v>
      </c>
      <c r="H1696" s="14" t="s">
        <v>343</v>
      </c>
      <c r="U1696" s="14">
        <v>0.87</v>
      </c>
      <c r="V1696" s="14">
        <v>0.86</v>
      </c>
      <c r="W1696" s="14">
        <v>0.86</v>
      </c>
      <c r="X1696" s="14">
        <v>0.86</v>
      </c>
    </row>
    <row r="1697" spans="1:24" hidden="1" x14ac:dyDescent="0.3">
      <c r="A1697" s="14" t="s">
        <v>427</v>
      </c>
      <c r="B1697" s="14" t="s">
        <v>428</v>
      </c>
      <c r="C1697" s="14" t="s">
        <v>353</v>
      </c>
      <c r="D1697" s="14" t="s">
        <v>354</v>
      </c>
      <c r="E1697" s="14" t="s">
        <v>344</v>
      </c>
      <c r="F1697" s="14" t="s">
        <v>343</v>
      </c>
      <c r="G1697" s="14" t="s">
        <v>343</v>
      </c>
      <c r="H1697" s="14" t="s">
        <v>343</v>
      </c>
      <c r="U1697" s="14">
        <v>110</v>
      </c>
      <c r="V1697" s="14">
        <v>123</v>
      </c>
      <c r="W1697" s="14">
        <v>125</v>
      </c>
      <c r="X1697" s="14">
        <v>117</v>
      </c>
    </row>
    <row r="1698" spans="1:24" hidden="1" x14ac:dyDescent="0.3">
      <c r="A1698" s="14" t="s">
        <v>427</v>
      </c>
      <c r="B1698" s="14" t="s">
        <v>428</v>
      </c>
      <c r="C1698" s="14" t="s">
        <v>380</v>
      </c>
      <c r="D1698" s="14" t="s">
        <v>381</v>
      </c>
      <c r="E1698" s="14" t="s">
        <v>342</v>
      </c>
      <c r="F1698" s="14" t="s">
        <v>343</v>
      </c>
      <c r="G1698" s="14" t="s">
        <v>343</v>
      </c>
      <c r="H1698" s="14" t="s">
        <v>343</v>
      </c>
      <c r="U1698" s="14">
        <v>1</v>
      </c>
      <c r="V1698" s="14">
        <v>1</v>
      </c>
      <c r="W1698" s="14">
        <v>1</v>
      </c>
      <c r="X1698" s="14">
        <v>1</v>
      </c>
    </row>
    <row r="1699" spans="1:24" hidden="1" x14ac:dyDescent="0.3">
      <c r="A1699" s="14" t="s">
        <v>427</v>
      </c>
      <c r="B1699" s="14" t="s">
        <v>428</v>
      </c>
      <c r="C1699" s="14" t="s">
        <v>380</v>
      </c>
      <c r="D1699" s="14" t="s">
        <v>381</v>
      </c>
      <c r="E1699" s="14" t="s">
        <v>344</v>
      </c>
      <c r="F1699" s="14" t="s">
        <v>343</v>
      </c>
      <c r="G1699" s="14" t="s">
        <v>343</v>
      </c>
      <c r="H1699" s="14" t="s">
        <v>343</v>
      </c>
      <c r="U1699" s="14">
        <v>1</v>
      </c>
      <c r="V1699" s="14">
        <v>1</v>
      </c>
      <c r="W1699" s="14">
        <v>1</v>
      </c>
      <c r="X1699" s="14">
        <v>1</v>
      </c>
    </row>
    <row r="1700" spans="1:24" hidden="1" x14ac:dyDescent="0.3">
      <c r="A1700" s="14" t="s">
        <v>427</v>
      </c>
      <c r="B1700" s="14" t="s">
        <v>428</v>
      </c>
      <c r="C1700" s="14" t="s">
        <v>355</v>
      </c>
      <c r="D1700" s="14" t="s">
        <v>356</v>
      </c>
      <c r="E1700" s="14" t="s">
        <v>342</v>
      </c>
      <c r="F1700" s="14" t="s">
        <v>343</v>
      </c>
      <c r="G1700" s="14" t="s">
        <v>343</v>
      </c>
      <c r="H1700" s="14" t="s">
        <v>343</v>
      </c>
      <c r="U1700" s="14">
        <v>1</v>
      </c>
      <c r="V1700" s="14">
        <v>1</v>
      </c>
      <c r="W1700" s="14">
        <v>1</v>
      </c>
      <c r="X1700" s="14">
        <v>0.99</v>
      </c>
    </row>
    <row r="1701" spans="1:24" hidden="1" x14ac:dyDescent="0.3">
      <c r="A1701" s="14" t="s">
        <v>427</v>
      </c>
      <c r="B1701" s="14" t="s">
        <v>428</v>
      </c>
      <c r="C1701" s="14" t="s">
        <v>355</v>
      </c>
      <c r="D1701" s="14" t="s">
        <v>356</v>
      </c>
      <c r="E1701" s="14" t="s">
        <v>344</v>
      </c>
      <c r="F1701" s="14" t="s">
        <v>343</v>
      </c>
      <c r="G1701" s="14" t="s">
        <v>343</v>
      </c>
      <c r="H1701" s="14" t="s">
        <v>343</v>
      </c>
      <c r="U1701" s="14">
        <v>1</v>
      </c>
      <c r="V1701" s="14">
        <v>1</v>
      </c>
      <c r="W1701" s="14">
        <v>1</v>
      </c>
      <c r="X1701" s="14">
        <v>86</v>
      </c>
    </row>
    <row r="1702" spans="1:24" hidden="1" x14ac:dyDescent="0.3">
      <c r="A1702" s="14" t="s">
        <v>427</v>
      </c>
      <c r="B1702" s="14" t="s">
        <v>428</v>
      </c>
      <c r="C1702" s="14" t="s">
        <v>357</v>
      </c>
      <c r="D1702" s="14" t="s">
        <v>358</v>
      </c>
      <c r="E1702" s="14" t="s">
        <v>342</v>
      </c>
      <c r="F1702" s="14" t="s">
        <v>343</v>
      </c>
      <c r="G1702" s="14" t="s">
        <v>343</v>
      </c>
      <c r="H1702" s="14" t="s">
        <v>343</v>
      </c>
      <c r="U1702" s="14">
        <v>1</v>
      </c>
      <c r="V1702" s="14">
        <v>1</v>
      </c>
      <c r="W1702" s="14">
        <v>1</v>
      </c>
      <c r="X1702" s="14">
        <v>1</v>
      </c>
    </row>
    <row r="1703" spans="1:24" hidden="1" x14ac:dyDescent="0.3">
      <c r="A1703" s="14" t="s">
        <v>427</v>
      </c>
      <c r="B1703" s="14" t="s">
        <v>428</v>
      </c>
      <c r="C1703" s="14" t="s">
        <v>357</v>
      </c>
      <c r="D1703" s="14" t="s">
        <v>358</v>
      </c>
      <c r="E1703" s="14" t="s">
        <v>344</v>
      </c>
      <c r="F1703" s="14" t="s">
        <v>343</v>
      </c>
      <c r="G1703" s="14" t="s">
        <v>343</v>
      </c>
      <c r="H1703" s="14" t="s">
        <v>343</v>
      </c>
      <c r="U1703" s="14">
        <v>1</v>
      </c>
      <c r="V1703" s="14">
        <v>1</v>
      </c>
      <c r="W1703" s="14">
        <v>1</v>
      </c>
      <c r="X1703" s="14">
        <v>1</v>
      </c>
    </row>
    <row r="1704" spans="1:24" hidden="1" x14ac:dyDescent="0.3">
      <c r="A1704" s="14" t="s">
        <v>427</v>
      </c>
      <c r="B1704" s="14" t="s">
        <v>428</v>
      </c>
      <c r="C1704" s="14" t="s">
        <v>359</v>
      </c>
      <c r="D1704" s="14" t="s">
        <v>360</v>
      </c>
      <c r="E1704" s="14" t="s">
        <v>342</v>
      </c>
      <c r="F1704" s="14" t="s">
        <v>343</v>
      </c>
      <c r="G1704" s="14" t="s">
        <v>343</v>
      </c>
      <c r="H1704" s="14" t="s">
        <v>343</v>
      </c>
      <c r="I1704" s="14">
        <v>0.42</v>
      </c>
      <c r="J1704" s="14">
        <v>0.42</v>
      </c>
      <c r="K1704" s="14">
        <v>0.44</v>
      </c>
      <c r="L1704" s="14">
        <v>0.45</v>
      </c>
      <c r="M1704" s="14">
        <v>0.45</v>
      </c>
      <c r="N1704" s="14">
        <v>0.46</v>
      </c>
      <c r="O1704" s="14">
        <v>0.45</v>
      </c>
      <c r="P1704" s="14">
        <v>0.44</v>
      </c>
      <c r="Q1704" s="14">
        <v>0.46</v>
      </c>
      <c r="R1704" s="14">
        <v>0.44</v>
      </c>
      <c r="S1704" s="14">
        <v>0.44</v>
      </c>
      <c r="T1704" s="14">
        <v>0.41</v>
      </c>
      <c r="U1704" s="14">
        <v>0.42</v>
      </c>
      <c r="V1704" s="14">
        <v>0.44</v>
      </c>
      <c r="W1704" s="14">
        <v>0.42</v>
      </c>
      <c r="X1704" s="14">
        <v>0.4</v>
      </c>
    </row>
    <row r="1705" spans="1:24" hidden="1" x14ac:dyDescent="0.3">
      <c r="A1705" s="14" t="s">
        <v>427</v>
      </c>
      <c r="B1705" s="14" t="s">
        <v>428</v>
      </c>
      <c r="C1705" s="14" t="s">
        <v>359</v>
      </c>
      <c r="D1705" s="14" t="s">
        <v>360</v>
      </c>
      <c r="E1705" s="14" t="s">
        <v>344</v>
      </c>
      <c r="F1705" s="14" t="s">
        <v>343</v>
      </c>
      <c r="G1705" s="14" t="s">
        <v>343</v>
      </c>
      <c r="H1705" s="14" t="s">
        <v>343</v>
      </c>
      <c r="I1705" s="14">
        <v>108</v>
      </c>
      <c r="J1705" s="14">
        <v>120</v>
      </c>
      <c r="K1705" s="14">
        <v>120</v>
      </c>
      <c r="L1705" s="14">
        <v>124</v>
      </c>
      <c r="M1705" s="14">
        <v>121</v>
      </c>
      <c r="N1705" s="14">
        <v>122</v>
      </c>
      <c r="O1705" s="14">
        <v>124</v>
      </c>
      <c r="P1705" s="14">
        <v>125</v>
      </c>
      <c r="Q1705" s="14">
        <v>131</v>
      </c>
      <c r="R1705" s="14">
        <v>135</v>
      </c>
      <c r="S1705" s="14">
        <v>132</v>
      </c>
      <c r="T1705" s="14">
        <v>135</v>
      </c>
      <c r="U1705" s="14">
        <v>139</v>
      </c>
      <c r="V1705" s="14">
        <v>140</v>
      </c>
      <c r="W1705" s="14">
        <v>146</v>
      </c>
      <c r="X1705" s="14">
        <v>142</v>
      </c>
    </row>
    <row r="1706" spans="1:24" x14ac:dyDescent="0.3">
      <c r="A1706" s="14" t="s">
        <v>427</v>
      </c>
      <c r="B1706" s="14" t="s">
        <v>428</v>
      </c>
      <c r="C1706" s="14" t="s">
        <v>361</v>
      </c>
      <c r="D1706" s="14" t="s">
        <v>362</v>
      </c>
      <c r="E1706" s="14" t="s">
        <v>342</v>
      </c>
      <c r="F1706" s="14" t="s">
        <v>343</v>
      </c>
      <c r="G1706" s="14" t="s">
        <v>343</v>
      </c>
      <c r="H1706" s="14" t="s">
        <v>343</v>
      </c>
      <c r="I1706" s="14">
        <v>0.97</v>
      </c>
      <c r="J1706" s="14">
        <v>0.97</v>
      </c>
      <c r="K1706" s="14">
        <v>0.97</v>
      </c>
      <c r="L1706" s="14">
        <v>0.97</v>
      </c>
      <c r="M1706" s="14">
        <v>0.98</v>
      </c>
      <c r="N1706" s="14">
        <v>0.98</v>
      </c>
      <c r="O1706" s="14">
        <v>0.98</v>
      </c>
      <c r="P1706" s="14">
        <v>0.98</v>
      </c>
      <c r="Q1706" s="14">
        <v>0.98</v>
      </c>
      <c r="R1706" s="14">
        <v>0.97</v>
      </c>
      <c r="S1706" s="14">
        <v>0.97</v>
      </c>
      <c r="T1706" s="14">
        <v>0.97</v>
      </c>
      <c r="U1706" s="14">
        <v>0.97</v>
      </c>
      <c r="V1706" s="14">
        <v>0.97</v>
      </c>
      <c r="W1706" s="14">
        <v>0.97</v>
      </c>
      <c r="X1706" s="14">
        <v>0.97</v>
      </c>
    </row>
    <row r="1707" spans="1:24" hidden="1" x14ac:dyDescent="0.3">
      <c r="A1707" s="14" t="s">
        <v>427</v>
      </c>
      <c r="B1707" s="14" t="s">
        <v>428</v>
      </c>
      <c r="C1707" s="14" t="s">
        <v>361</v>
      </c>
      <c r="D1707" s="14" t="s">
        <v>362</v>
      </c>
      <c r="E1707" s="14" t="s">
        <v>344</v>
      </c>
      <c r="F1707" s="14" t="s">
        <v>343</v>
      </c>
      <c r="G1707" s="14" t="s">
        <v>343</v>
      </c>
      <c r="H1707" s="14" t="s">
        <v>343</v>
      </c>
      <c r="I1707" s="14">
        <v>66</v>
      </c>
      <c r="J1707" s="14">
        <v>83</v>
      </c>
      <c r="K1707" s="14">
        <v>84</v>
      </c>
      <c r="L1707" s="14">
        <v>89</v>
      </c>
      <c r="M1707" s="14">
        <v>52</v>
      </c>
      <c r="N1707" s="14">
        <v>52</v>
      </c>
      <c r="O1707" s="14">
        <v>54</v>
      </c>
      <c r="P1707" s="14">
        <v>51</v>
      </c>
      <c r="Q1707" s="14">
        <v>57</v>
      </c>
      <c r="R1707" s="14">
        <v>97</v>
      </c>
      <c r="S1707" s="14">
        <v>95</v>
      </c>
      <c r="T1707" s="14">
        <v>99</v>
      </c>
      <c r="U1707" s="14">
        <v>84</v>
      </c>
      <c r="V1707" s="14">
        <v>85</v>
      </c>
      <c r="W1707" s="14">
        <v>102</v>
      </c>
      <c r="X1707" s="14">
        <v>93</v>
      </c>
    </row>
    <row r="1708" spans="1:24" hidden="1" x14ac:dyDescent="0.3">
      <c r="A1708" s="14" t="s">
        <v>427</v>
      </c>
      <c r="B1708" s="14" t="s">
        <v>428</v>
      </c>
      <c r="C1708" s="14" t="s">
        <v>363</v>
      </c>
      <c r="D1708" s="14" t="s">
        <v>364</v>
      </c>
      <c r="E1708" s="14" t="s">
        <v>342</v>
      </c>
      <c r="F1708" s="14" t="s">
        <v>343</v>
      </c>
      <c r="G1708" s="14" t="s">
        <v>343</v>
      </c>
      <c r="H1708" s="14" t="s">
        <v>343</v>
      </c>
      <c r="U1708" s="14">
        <v>1.04</v>
      </c>
      <c r="V1708" s="14">
        <v>1.04</v>
      </c>
      <c r="W1708" s="14">
        <v>1.02</v>
      </c>
      <c r="X1708" s="14">
        <v>1.02</v>
      </c>
    </row>
    <row r="1709" spans="1:24" hidden="1" x14ac:dyDescent="0.3">
      <c r="A1709" s="14" t="s">
        <v>427</v>
      </c>
      <c r="B1709" s="14" t="s">
        <v>428</v>
      </c>
      <c r="C1709" s="14" t="s">
        <v>363</v>
      </c>
      <c r="D1709" s="14" t="s">
        <v>364</v>
      </c>
      <c r="E1709" s="14" t="s">
        <v>344</v>
      </c>
      <c r="F1709" s="14" t="s">
        <v>343</v>
      </c>
      <c r="G1709" s="14" t="s">
        <v>343</v>
      </c>
      <c r="H1709" s="14" t="s">
        <v>343</v>
      </c>
      <c r="U1709" s="14">
        <v>93</v>
      </c>
      <c r="V1709" s="14">
        <v>96</v>
      </c>
      <c r="W1709" s="14">
        <v>107</v>
      </c>
      <c r="X1709" s="14">
        <v>99</v>
      </c>
    </row>
    <row r="1710" spans="1:24" hidden="1" x14ac:dyDescent="0.3">
      <c r="A1710" s="14" t="s">
        <v>427</v>
      </c>
      <c r="B1710" s="14" t="s">
        <v>428</v>
      </c>
      <c r="C1710" s="14" t="s">
        <v>365</v>
      </c>
      <c r="D1710" s="14" t="s">
        <v>366</v>
      </c>
      <c r="E1710" s="14" t="s">
        <v>342</v>
      </c>
      <c r="F1710" s="14" t="s">
        <v>343</v>
      </c>
      <c r="G1710" s="14" t="s">
        <v>343</v>
      </c>
      <c r="H1710" s="14" t="s">
        <v>343</v>
      </c>
      <c r="U1710" s="14">
        <v>0.94</v>
      </c>
      <c r="V1710" s="14">
        <v>0.94</v>
      </c>
      <c r="W1710" s="14">
        <v>0.94</v>
      </c>
      <c r="X1710" s="14">
        <v>0.94</v>
      </c>
    </row>
    <row r="1711" spans="1:24" hidden="1" x14ac:dyDescent="0.3">
      <c r="A1711" s="14" t="s">
        <v>427</v>
      </c>
      <c r="B1711" s="14" t="s">
        <v>428</v>
      </c>
      <c r="C1711" s="14" t="s">
        <v>365</v>
      </c>
      <c r="D1711" s="14" t="s">
        <v>366</v>
      </c>
      <c r="E1711" s="14" t="s">
        <v>344</v>
      </c>
      <c r="F1711" s="14" t="s">
        <v>343</v>
      </c>
      <c r="G1711" s="14" t="s">
        <v>343</v>
      </c>
      <c r="H1711" s="14" t="s">
        <v>343</v>
      </c>
      <c r="U1711" s="14">
        <v>114</v>
      </c>
      <c r="V1711" s="14">
        <v>112</v>
      </c>
      <c r="W1711" s="14">
        <v>116</v>
      </c>
      <c r="X1711" s="14">
        <v>111</v>
      </c>
    </row>
    <row r="1712" spans="1:24" hidden="1" x14ac:dyDescent="0.3">
      <c r="A1712" s="14" t="s">
        <v>427</v>
      </c>
      <c r="B1712" s="14" t="s">
        <v>428</v>
      </c>
      <c r="C1712" s="14" t="s">
        <v>367</v>
      </c>
      <c r="D1712" s="14" t="s">
        <v>368</v>
      </c>
      <c r="E1712" s="14" t="s">
        <v>342</v>
      </c>
      <c r="F1712" s="14" t="s">
        <v>343</v>
      </c>
      <c r="G1712" s="14" t="s">
        <v>343</v>
      </c>
      <c r="H1712" s="14" t="s">
        <v>343</v>
      </c>
      <c r="I1712" s="14">
        <v>0.57999999999999996</v>
      </c>
      <c r="J1712" s="14">
        <v>0.57999999999999996</v>
      </c>
      <c r="K1712" s="14">
        <v>0.57999999999999996</v>
      </c>
      <c r="L1712" s="14">
        <v>0.59</v>
      </c>
      <c r="M1712" s="14">
        <v>0.59</v>
      </c>
      <c r="N1712" s="14">
        <v>0.59</v>
      </c>
      <c r="O1712" s="14">
        <v>0.6</v>
      </c>
      <c r="P1712" s="14">
        <v>0.59</v>
      </c>
      <c r="Q1712" s="14">
        <v>0.61</v>
      </c>
      <c r="R1712" s="14">
        <v>0.6</v>
      </c>
      <c r="S1712" s="14">
        <v>0.61</v>
      </c>
      <c r="T1712" s="14">
        <v>0.61</v>
      </c>
      <c r="U1712" s="14">
        <v>0.61</v>
      </c>
      <c r="V1712" s="14">
        <v>0.63</v>
      </c>
      <c r="W1712" s="14">
        <v>0.64</v>
      </c>
      <c r="X1712" s="14">
        <v>0.64</v>
      </c>
    </row>
    <row r="1713" spans="1:24" hidden="1" x14ac:dyDescent="0.3">
      <c r="A1713" s="14" t="s">
        <v>427</v>
      </c>
      <c r="B1713" s="14" t="s">
        <v>428</v>
      </c>
      <c r="C1713" s="14" t="s">
        <v>367</v>
      </c>
      <c r="D1713" s="14" t="s">
        <v>368</v>
      </c>
      <c r="E1713" s="14" t="s">
        <v>344</v>
      </c>
      <c r="F1713" s="14" t="s">
        <v>343</v>
      </c>
      <c r="G1713" s="14" t="s">
        <v>343</v>
      </c>
      <c r="H1713" s="14" t="s">
        <v>343</v>
      </c>
      <c r="I1713" s="14">
        <v>109</v>
      </c>
      <c r="J1713" s="14">
        <v>120</v>
      </c>
      <c r="K1713" s="14">
        <v>124</v>
      </c>
      <c r="L1713" s="14">
        <v>126</v>
      </c>
      <c r="M1713" s="14">
        <v>125</v>
      </c>
      <c r="N1713" s="14">
        <v>123</v>
      </c>
      <c r="O1713" s="14">
        <v>126</v>
      </c>
      <c r="P1713" s="14">
        <v>125</v>
      </c>
      <c r="Q1713" s="14">
        <v>129</v>
      </c>
      <c r="R1713" s="14">
        <v>136</v>
      </c>
      <c r="S1713" s="14">
        <v>132</v>
      </c>
      <c r="T1713" s="14">
        <v>134</v>
      </c>
      <c r="U1713" s="14">
        <v>135</v>
      </c>
      <c r="V1713" s="14">
        <v>134</v>
      </c>
      <c r="W1713" s="14">
        <v>129</v>
      </c>
      <c r="X1713" s="14">
        <v>129</v>
      </c>
    </row>
    <row r="1714" spans="1:24" hidden="1" x14ac:dyDescent="0.3">
      <c r="A1714" s="14" t="s">
        <v>427</v>
      </c>
      <c r="B1714" s="14" t="s">
        <v>428</v>
      </c>
      <c r="C1714" s="14" t="s">
        <v>369</v>
      </c>
      <c r="D1714" s="14" t="s">
        <v>370</v>
      </c>
      <c r="E1714" s="14" t="s">
        <v>342</v>
      </c>
      <c r="F1714" s="14" t="s">
        <v>343</v>
      </c>
      <c r="G1714" s="14" t="s">
        <v>343</v>
      </c>
      <c r="H1714" s="14" t="s">
        <v>343</v>
      </c>
      <c r="I1714" s="14">
        <v>0.02</v>
      </c>
      <c r="J1714" s="14">
        <v>0.02</v>
      </c>
      <c r="K1714" s="14">
        <v>0.02</v>
      </c>
      <c r="L1714" s="14">
        <v>0.02</v>
      </c>
      <c r="M1714" s="14">
        <v>0.03</v>
      </c>
      <c r="N1714" s="14">
        <v>0.03</v>
      </c>
      <c r="O1714" s="14">
        <v>0.03</v>
      </c>
      <c r="P1714" s="14">
        <v>0.03</v>
      </c>
      <c r="Q1714" s="14">
        <v>0.04</v>
      </c>
      <c r="R1714" s="14">
        <v>0.05</v>
      </c>
      <c r="S1714" s="14">
        <v>0.09</v>
      </c>
      <c r="T1714" s="14">
        <v>0.09</v>
      </c>
      <c r="U1714" s="14">
        <v>0.09</v>
      </c>
      <c r="V1714" s="14">
        <v>0.13</v>
      </c>
      <c r="W1714" s="14">
        <v>0.2</v>
      </c>
      <c r="X1714" s="14">
        <v>0.2</v>
      </c>
    </row>
    <row r="1715" spans="1:24" hidden="1" x14ac:dyDescent="0.3">
      <c r="A1715" s="14" t="s">
        <v>427</v>
      </c>
      <c r="B1715" s="14" t="s">
        <v>428</v>
      </c>
      <c r="C1715" s="14" t="s">
        <v>369</v>
      </c>
      <c r="D1715" s="14" t="s">
        <v>370</v>
      </c>
      <c r="E1715" s="14" t="s">
        <v>344</v>
      </c>
      <c r="F1715" s="14" t="s">
        <v>343</v>
      </c>
      <c r="G1715" s="14" t="s">
        <v>343</v>
      </c>
      <c r="H1715" s="14" t="s">
        <v>343</v>
      </c>
      <c r="I1715" s="14">
        <v>111</v>
      </c>
      <c r="J1715" s="14">
        <v>123</v>
      </c>
      <c r="K1715" s="14">
        <v>124</v>
      </c>
      <c r="L1715" s="14">
        <v>129</v>
      </c>
      <c r="M1715" s="14">
        <v>125</v>
      </c>
      <c r="N1715" s="14">
        <v>126</v>
      </c>
      <c r="O1715" s="14">
        <v>125</v>
      </c>
      <c r="P1715" s="14">
        <v>128</v>
      </c>
      <c r="Q1715" s="14">
        <v>134</v>
      </c>
      <c r="R1715" s="14">
        <v>136</v>
      </c>
      <c r="S1715" s="14">
        <v>115</v>
      </c>
      <c r="T1715" s="14">
        <v>119</v>
      </c>
      <c r="U1715" s="14">
        <v>122</v>
      </c>
      <c r="V1715" s="14">
        <v>103</v>
      </c>
      <c r="W1715" s="14">
        <v>78</v>
      </c>
      <c r="X1715" s="14">
        <v>78</v>
      </c>
    </row>
    <row r="1716" spans="1:24" hidden="1" x14ac:dyDescent="0.3">
      <c r="A1716" s="14" t="s">
        <v>427</v>
      </c>
      <c r="B1716" s="14" t="s">
        <v>428</v>
      </c>
      <c r="C1716" s="14" t="s">
        <v>371</v>
      </c>
      <c r="D1716" s="14" t="s">
        <v>372</v>
      </c>
      <c r="E1716" s="14" t="s">
        <v>342</v>
      </c>
      <c r="F1716" s="14" t="s">
        <v>343</v>
      </c>
      <c r="G1716" s="14" t="s">
        <v>343</v>
      </c>
      <c r="H1716" s="14" t="s">
        <v>343</v>
      </c>
      <c r="U1716" s="14">
        <v>0</v>
      </c>
      <c r="V1716" s="14">
        <v>0</v>
      </c>
      <c r="W1716" s="14">
        <v>0</v>
      </c>
      <c r="X1716" s="14">
        <v>0</v>
      </c>
    </row>
    <row r="1717" spans="1:24" hidden="1" x14ac:dyDescent="0.3">
      <c r="A1717" s="14" t="s">
        <v>427</v>
      </c>
      <c r="B1717" s="14" t="s">
        <v>428</v>
      </c>
      <c r="C1717" s="14" t="s">
        <v>371</v>
      </c>
      <c r="D1717" s="14" t="s">
        <v>372</v>
      </c>
      <c r="E1717" s="14" t="s">
        <v>344</v>
      </c>
      <c r="F1717" s="14" t="s">
        <v>343</v>
      </c>
      <c r="G1717" s="14" t="s">
        <v>343</v>
      </c>
      <c r="H1717" s="14" t="s">
        <v>343</v>
      </c>
      <c r="U1717" s="14">
        <v>71</v>
      </c>
      <c r="V1717" s="14">
        <v>73</v>
      </c>
      <c r="W1717" s="14">
        <v>76</v>
      </c>
      <c r="X1717" s="14">
        <v>78</v>
      </c>
    </row>
    <row r="1718" spans="1:24" hidden="1" x14ac:dyDescent="0.3">
      <c r="A1718" s="14" t="s">
        <v>427</v>
      </c>
      <c r="B1718" s="14" t="s">
        <v>428</v>
      </c>
      <c r="C1718" s="14" t="s">
        <v>373</v>
      </c>
      <c r="D1718" s="14" t="s">
        <v>374</v>
      </c>
      <c r="E1718" s="14" t="s">
        <v>342</v>
      </c>
      <c r="F1718" s="14" t="s">
        <v>343</v>
      </c>
      <c r="G1718" s="14" t="s">
        <v>343</v>
      </c>
      <c r="H1718" s="14" t="s">
        <v>343</v>
      </c>
      <c r="U1718" s="14">
        <v>0.13</v>
      </c>
      <c r="V1718" s="14">
        <v>0.32</v>
      </c>
      <c r="W1718" s="14">
        <v>0.32</v>
      </c>
      <c r="X1718" s="14">
        <v>0.32</v>
      </c>
    </row>
    <row r="1719" spans="1:24" hidden="1" x14ac:dyDescent="0.3">
      <c r="A1719" s="14" t="s">
        <v>427</v>
      </c>
      <c r="B1719" s="14" t="s">
        <v>428</v>
      </c>
      <c r="C1719" s="14" t="s">
        <v>373</v>
      </c>
      <c r="D1719" s="14" t="s">
        <v>374</v>
      </c>
      <c r="E1719" s="14" t="s">
        <v>344</v>
      </c>
      <c r="F1719" s="14" t="s">
        <v>343</v>
      </c>
      <c r="G1719" s="14" t="s">
        <v>343</v>
      </c>
      <c r="H1719" s="14" t="s">
        <v>343</v>
      </c>
      <c r="U1719" s="14">
        <v>106</v>
      </c>
      <c r="V1719" s="14">
        <v>65</v>
      </c>
      <c r="W1719" s="14">
        <v>68</v>
      </c>
      <c r="X1719" s="14">
        <v>66</v>
      </c>
    </row>
    <row r="1720" spans="1:24" hidden="1" x14ac:dyDescent="0.3">
      <c r="A1720" s="14" t="s">
        <v>427</v>
      </c>
      <c r="B1720" s="14" t="s">
        <v>428</v>
      </c>
      <c r="C1720" s="14" t="s">
        <v>375</v>
      </c>
      <c r="D1720" s="14" t="s">
        <v>376</v>
      </c>
      <c r="E1720" s="14" t="s">
        <v>342</v>
      </c>
      <c r="F1720" s="14" t="s">
        <v>343</v>
      </c>
      <c r="G1720" s="14" t="s">
        <v>343</v>
      </c>
      <c r="H1720" s="14" t="s">
        <v>343</v>
      </c>
      <c r="U1720" s="14">
        <v>0.18</v>
      </c>
      <c r="V1720" s="14">
        <v>0.18</v>
      </c>
      <c r="W1720" s="14">
        <v>0.38</v>
      </c>
      <c r="X1720" s="14">
        <v>0.38</v>
      </c>
    </row>
    <row r="1721" spans="1:24" hidden="1" x14ac:dyDescent="0.3">
      <c r="A1721" s="14" t="s">
        <v>427</v>
      </c>
      <c r="B1721" s="14" t="s">
        <v>428</v>
      </c>
      <c r="C1721" s="14" t="s">
        <v>375</v>
      </c>
      <c r="D1721" s="14" t="s">
        <v>376</v>
      </c>
      <c r="E1721" s="14" t="s">
        <v>344</v>
      </c>
      <c r="F1721" s="14" t="s">
        <v>343</v>
      </c>
      <c r="G1721" s="14" t="s">
        <v>343</v>
      </c>
      <c r="H1721" s="14" t="s">
        <v>343</v>
      </c>
      <c r="U1721" s="14">
        <v>112</v>
      </c>
      <c r="V1721" s="14">
        <v>117</v>
      </c>
      <c r="W1721" s="14">
        <v>59</v>
      </c>
      <c r="X1721" s="14">
        <v>63</v>
      </c>
    </row>
    <row r="1722" spans="1:24" hidden="1" x14ac:dyDescent="0.3">
      <c r="A1722" s="14" t="s">
        <v>429</v>
      </c>
      <c r="B1722" s="14" t="s">
        <v>224</v>
      </c>
      <c r="C1722" s="14" t="s">
        <v>340</v>
      </c>
      <c r="D1722" s="14" t="s">
        <v>341</v>
      </c>
      <c r="E1722" s="14" t="s">
        <v>342</v>
      </c>
      <c r="F1722" s="14" t="s">
        <v>343</v>
      </c>
      <c r="G1722" s="14" t="s">
        <v>343</v>
      </c>
      <c r="H1722" s="14" t="s">
        <v>343</v>
      </c>
      <c r="I1722" s="14">
        <v>0.99</v>
      </c>
      <c r="J1722" s="14">
        <v>0.99</v>
      </c>
      <c r="K1722" s="14">
        <v>0.99</v>
      </c>
      <c r="L1722" s="14">
        <v>0.99</v>
      </c>
      <c r="M1722" s="14">
        <v>1</v>
      </c>
      <c r="N1722" s="14">
        <v>1</v>
      </c>
      <c r="O1722" s="14">
        <v>1</v>
      </c>
      <c r="P1722" s="14">
        <v>1</v>
      </c>
      <c r="Q1722" s="14">
        <v>1</v>
      </c>
      <c r="R1722" s="14">
        <v>1</v>
      </c>
      <c r="S1722" s="14">
        <v>1</v>
      </c>
      <c r="T1722" s="14">
        <v>1</v>
      </c>
      <c r="U1722" s="14">
        <v>1</v>
      </c>
      <c r="V1722" s="14">
        <v>1</v>
      </c>
      <c r="W1722" s="14">
        <v>1</v>
      </c>
      <c r="X1722" s="14">
        <v>1</v>
      </c>
    </row>
    <row r="1723" spans="1:24" hidden="1" x14ac:dyDescent="0.3">
      <c r="A1723" s="14" t="s">
        <v>429</v>
      </c>
      <c r="B1723" s="14" t="s">
        <v>224</v>
      </c>
      <c r="C1723" s="14" t="s">
        <v>340</v>
      </c>
      <c r="D1723" s="14" t="s">
        <v>341</v>
      </c>
      <c r="E1723" s="14" t="s">
        <v>344</v>
      </c>
      <c r="F1723" s="14" t="s">
        <v>343</v>
      </c>
      <c r="G1723" s="14" t="s">
        <v>343</v>
      </c>
      <c r="H1723" s="14" t="s">
        <v>343</v>
      </c>
      <c r="I1723" s="14">
        <v>37</v>
      </c>
      <c r="J1723" s="14">
        <v>39</v>
      </c>
      <c r="K1723" s="14">
        <v>58</v>
      </c>
      <c r="L1723" s="14">
        <v>56</v>
      </c>
      <c r="M1723" s="14">
        <v>40</v>
      </c>
      <c r="N1723" s="14">
        <v>37</v>
      </c>
      <c r="O1723" s="14">
        <v>38</v>
      </c>
      <c r="P1723" s="14">
        <v>40</v>
      </c>
      <c r="Q1723" s="14">
        <v>44</v>
      </c>
      <c r="R1723" s="14">
        <v>47</v>
      </c>
      <c r="S1723" s="14">
        <v>43</v>
      </c>
      <c r="T1723" s="14">
        <v>45</v>
      </c>
      <c r="U1723" s="14">
        <v>47</v>
      </c>
      <c r="V1723" s="14">
        <v>43</v>
      </c>
      <c r="W1723" s="14">
        <v>44</v>
      </c>
      <c r="X1723" s="14">
        <v>36</v>
      </c>
    </row>
    <row r="1724" spans="1:24" hidden="1" x14ac:dyDescent="0.3">
      <c r="A1724" s="14" t="s">
        <v>429</v>
      </c>
      <c r="B1724" s="14" t="s">
        <v>224</v>
      </c>
      <c r="C1724" s="14" t="s">
        <v>345</v>
      </c>
      <c r="D1724" s="14" t="s">
        <v>346</v>
      </c>
      <c r="E1724" s="14" t="s">
        <v>342</v>
      </c>
      <c r="F1724" s="14" t="s">
        <v>343</v>
      </c>
      <c r="G1724" s="14" t="s">
        <v>343</v>
      </c>
      <c r="H1724" s="14" t="s">
        <v>343</v>
      </c>
      <c r="U1724" s="14">
        <v>0.66</v>
      </c>
      <c r="V1724" s="14">
        <v>0.66</v>
      </c>
      <c r="W1724" s="14">
        <v>0.65</v>
      </c>
      <c r="X1724" s="14">
        <v>0.67</v>
      </c>
    </row>
    <row r="1725" spans="1:24" hidden="1" x14ac:dyDescent="0.3">
      <c r="A1725" s="14" t="s">
        <v>429</v>
      </c>
      <c r="B1725" s="14" t="s">
        <v>224</v>
      </c>
      <c r="C1725" s="14" t="s">
        <v>345</v>
      </c>
      <c r="D1725" s="14" t="s">
        <v>346</v>
      </c>
      <c r="E1725" s="14" t="s">
        <v>344</v>
      </c>
      <c r="F1725" s="14" t="s">
        <v>343</v>
      </c>
      <c r="G1725" s="14" t="s">
        <v>343</v>
      </c>
      <c r="H1725" s="14" t="s">
        <v>343</v>
      </c>
      <c r="U1725" s="14">
        <v>50</v>
      </c>
      <c r="V1725" s="14">
        <v>55</v>
      </c>
      <c r="W1725" s="14">
        <v>61</v>
      </c>
      <c r="X1725" s="14">
        <v>58</v>
      </c>
    </row>
    <row r="1726" spans="1:24" hidden="1" x14ac:dyDescent="0.3">
      <c r="A1726" s="14" t="s">
        <v>429</v>
      </c>
      <c r="B1726" s="14" t="s">
        <v>224</v>
      </c>
      <c r="C1726" s="14" t="s">
        <v>347</v>
      </c>
      <c r="D1726" s="14" t="s">
        <v>348</v>
      </c>
      <c r="E1726" s="14" t="s">
        <v>342</v>
      </c>
      <c r="F1726" s="14" t="s">
        <v>343</v>
      </c>
      <c r="G1726" s="14" t="s">
        <v>343</v>
      </c>
      <c r="H1726" s="14" t="s">
        <v>343</v>
      </c>
      <c r="U1726" s="14">
        <v>0.87</v>
      </c>
      <c r="V1726" s="14">
        <v>0.87</v>
      </c>
      <c r="W1726" s="14">
        <v>0.88</v>
      </c>
      <c r="X1726" s="14">
        <v>0.84</v>
      </c>
    </row>
    <row r="1727" spans="1:24" hidden="1" x14ac:dyDescent="0.3">
      <c r="A1727" s="14" t="s">
        <v>429</v>
      </c>
      <c r="B1727" s="14" t="s">
        <v>224</v>
      </c>
      <c r="C1727" s="14" t="s">
        <v>347</v>
      </c>
      <c r="D1727" s="14" t="s">
        <v>348</v>
      </c>
      <c r="E1727" s="14" t="s">
        <v>344</v>
      </c>
      <c r="F1727" s="14" t="s">
        <v>343</v>
      </c>
      <c r="G1727" s="14" t="s">
        <v>343</v>
      </c>
      <c r="H1727" s="14" t="s">
        <v>343</v>
      </c>
      <c r="U1727" s="14">
        <v>52</v>
      </c>
      <c r="V1727" s="14">
        <v>54</v>
      </c>
      <c r="W1727" s="14">
        <v>59</v>
      </c>
      <c r="X1727" s="14">
        <v>49</v>
      </c>
    </row>
    <row r="1728" spans="1:24" hidden="1" x14ac:dyDescent="0.3">
      <c r="A1728" s="14" t="s">
        <v>429</v>
      </c>
      <c r="B1728" s="14" t="s">
        <v>224</v>
      </c>
      <c r="C1728" s="14" t="s">
        <v>349</v>
      </c>
      <c r="D1728" s="14" t="s">
        <v>350</v>
      </c>
      <c r="E1728" s="14" t="s">
        <v>342</v>
      </c>
      <c r="F1728" s="14" t="s">
        <v>343</v>
      </c>
      <c r="G1728" s="14" t="s">
        <v>343</v>
      </c>
      <c r="H1728" s="14" t="s">
        <v>343</v>
      </c>
      <c r="U1728" s="14">
        <v>0.44</v>
      </c>
      <c r="V1728" s="14">
        <v>0.47</v>
      </c>
      <c r="W1728" s="14">
        <v>0.5</v>
      </c>
      <c r="X1728" s="14">
        <v>0.54</v>
      </c>
    </row>
    <row r="1729" spans="1:24" hidden="1" x14ac:dyDescent="0.3">
      <c r="A1729" s="14" t="s">
        <v>429</v>
      </c>
      <c r="B1729" s="14" t="s">
        <v>224</v>
      </c>
      <c r="C1729" s="14" t="s">
        <v>349</v>
      </c>
      <c r="D1729" s="14" t="s">
        <v>350</v>
      </c>
      <c r="E1729" s="14" t="s">
        <v>344</v>
      </c>
      <c r="F1729" s="14" t="s">
        <v>343</v>
      </c>
      <c r="G1729" s="14" t="s">
        <v>343</v>
      </c>
      <c r="H1729" s="14" t="s">
        <v>343</v>
      </c>
      <c r="U1729" s="14">
        <v>80</v>
      </c>
      <c r="V1729" s="14">
        <v>73</v>
      </c>
      <c r="W1729" s="14">
        <v>76</v>
      </c>
      <c r="X1729" s="14">
        <v>66</v>
      </c>
    </row>
    <row r="1730" spans="1:24" hidden="1" x14ac:dyDescent="0.3">
      <c r="A1730" s="14" t="s">
        <v>429</v>
      </c>
      <c r="B1730" s="14" t="s">
        <v>224</v>
      </c>
      <c r="C1730" s="14" t="s">
        <v>351</v>
      </c>
      <c r="D1730" s="14" t="s">
        <v>352</v>
      </c>
      <c r="E1730" s="14" t="s">
        <v>342</v>
      </c>
      <c r="F1730" s="14" t="s">
        <v>343</v>
      </c>
      <c r="G1730" s="14" t="s">
        <v>343</v>
      </c>
      <c r="H1730" s="14" t="s">
        <v>343</v>
      </c>
      <c r="U1730" s="14">
        <v>0.98</v>
      </c>
      <c r="V1730" s="14">
        <v>0.98</v>
      </c>
      <c r="W1730" s="14">
        <v>1</v>
      </c>
      <c r="X1730" s="14">
        <v>1</v>
      </c>
    </row>
    <row r="1731" spans="1:24" hidden="1" x14ac:dyDescent="0.3">
      <c r="A1731" s="14" t="s">
        <v>429</v>
      </c>
      <c r="B1731" s="14" t="s">
        <v>224</v>
      </c>
      <c r="C1731" s="14" t="s">
        <v>351</v>
      </c>
      <c r="D1731" s="14" t="s">
        <v>352</v>
      </c>
      <c r="E1731" s="14" t="s">
        <v>344</v>
      </c>
      <c r="F1731" s="14" t="s">
        <v>343</v>
      </c>
      <c r="G1731" s="14" t="s">
        <v>343</v>
      </c>
      <c r="H1731" s="14" t="s">
        <v>343</v>
      </c>
      <c r="U1731" s="14">
        <v>69</v>
      </c>
      <c r="V1731" s="14">
        <v>74</v>
      </c>
      <c r="W1731" s="14">
        <v>1</v>
      </c>
      <c r="X1731" s="14">
        <v>1</v>
      </c>
    </row>
    <row r="1732" spans="1:24" hidden="1" x14ac:dyDescent="0.3">
      <c r="A1732" s="14" t="s">
        <v>429</v>
      </c>
      <c r="B1732" s="14" t="s">
        <v>224</v>
      </c>
      <c r="C1732" s="14" t="s">
        <v>378</v>
      </c>
      <c r="D1732" s="14" t="s">
        <v>379</v>
      </c>
      <c r="E1732" s="14" t="s">
        <v>342</v>
      </c>
      <c r="F1732" s="14" t="s">
        <v>343</v>
      </c>
      <c r="G1732" s="14" t="s">
        <v>343</v>
      </c>
      <c r="H1732" s="14" t="s">
        <v>343</v>
      </c>
      <c r="S1732" s="14">
        <v>0.55000000000000004</v>
      </c>
      <c r="U1732" s="14">
        <v>0.5</v>
      </c>
      <c r="V1732" s="14">
        <v>0.56000000000000005</v>
      </c>
      <c r="W1732" s="14">
        <v>0.6</v>
      </c>
      <c r="X1732" s="14">
        <v>0.62</v>
      </c>
    </row>
    <row r="1733" spans="1:24" hidden="1" x14ac:dyDescent="0.3">
      <c r="A1733" s="14" t="s">
        <v>429</v>
      </c>
      <c r="B1733" s="14" t="s">
        <v>224</v>
      </c>
      <c r="C1733" s="14" t="s">
        <v>378</v>
      </c>
      <c r="D1733" s="14" t="s">
        <v>379</v>
      </c>
      <c r="E1733" s="14" t="s">
        <v>344</v>
      </c>
      <c r="F1733" s="14" t="s">
        <v>343</v>
      </c>
      <c r="G1733" s="14" t="s">
        <v>343</v>
      </c>
      <c r="H1733" s="14" t="s">
        <v>343</v>
      </c>
      <c r="S1733" s="14">
        <v>118</v>
      </c>
      <c r="U1733" s="14">
        <v>129</v>
      </c>
      <c r="V1733" s="14">
        <v>115</v>
      </c>
      <c r="W1733" s="14">
        <v>102</v>
      </c>
      <c r="X1733" s="14">
        <v>89</v>
      </c>
    </row>
    <row r="1734" spans="1:24" hidden="1" x14ac:dyDescent="0.3">
      <c r="A1734" s="14" t="s">
        <v>429</v>
      </c>
      <c r="B1734" s="14" t="s">
        <v>224</v>
      </c>
      <c r="C1734" s="14" t="s">
        <v>353</v>
      </c>
      <c r="D1734" s="14" t="s">
        <v>354</v>
      </c>
      <c r="E1734" s="14" t="s">
        <v>342</v>
      </c>
      <c r="F1734" s="14" t="s">
        <v>343</v>
      </c>
      <c r="G1734" s="14" t="s">
        <v>343</v>
      </c>
      <c r="H1734" s="14" t="s">
        <v>343</v>
      </c>
      <c r="U1734" s="14">
        <v>0.99</v>
      </c>
      <c r="V1734" s="14">
        <v>0.99</v>
      </c>
      <c r="W1734" s="14">
        <v>0.99</v>
      </c>
      <c r="X1734" s="14">
        <v>0.99</v>
      </c>
    </row>
    <row r="1735" spans="1:24" hidden="1" x14ac:dyDescent="0.3">
      <c r="A1735" s="14" t="s">
        <v>429</v>
      </c>
      <c r="B1735" s="14" t="s">
        <v>224</v>
      </c>
      <c r="C1735" s="14" t="s">
        <v>353</v>
      </c>
      <c r="D1735" s="14" t="s">
        <v>354</v>
      </c>
      <c r="E1735" s="14" t="s">
        <v>344</v>
      </c>
      <c r="F1735" s="14" t="s">
        <v>343</v>
      </c>
      <c r="G1735" s="14" t="s">
        <v>343</v>
      </c>
      <c r="H1735" s="14" t="s">
        <v>343</v>
      </c>
      <c r="U1735" s="14">
        <v>68</v>
      </c>
      <c r="V1735" s="14">
        <v>69</v>
      </c>
      <c r="W1735" s="14">
        <v>69</v>
      </c>
      <c r="X1735" s="14">
        <v>68</v>
      </c>
    </row>
    <row r="1736" spans="1:24" hidden="1" x14ac:dyDescent="0.3">
      <c r="A1736" s="14" t="s">
        <v>429</v>
      </c>
      <c r="B1736" s="14" t="s">
        <v>224</v>
      </c>
      <c r="C1736" s="14" t="s">
        <v>380</v>
      </c>
      <c r="D1736" s="14" t="s">
        <v>381</v>
      </c>
      <c r="E1736" s="14" t="s">
        <v>342</v>
      </c>
      <c r="F1736" s="14" t="s">
        <v>343</v>
      </c>
      <c r="G1736" s="14" t="s">
        <v>343</v>
      </c>
      <c r="H1736" s="14" t="s">
        <v>343</v>
      </c>
      <c r="U1736" s="14">
        <v>1</v>
      </c>
      <c r="V1736" s="14">
        <v>1</v>
      </c>
      <c r="W1736" s="14">
        <v>1</v>
      </c>
      <c r="X1736" s="14">
        <v>1</v>
      </c>
    </row>
    <row r="1737" spans="1:24" hidden="1" x14ac:dyDescent="0.3">
      <c r="A1737" s="14" t="s">
        <v>429</v>
      </c>
      <c r="B1737" s="14" t="s">
        <v>224</v>
      </c>
      <c r="C1737" s="14" t="s">
        <v>380</v>
      </c>
      <c r="D1737" s="14" t="s">
        <v>381</v>
      </c>
      <c r="E1737" s="14" t="s">
        <v>344</v>
      </c>
      <c r="F1737" s="14" t="s">
        <v>343</v>
      </c>
      <c r="G1737" s="14" t="s">
        <v>343</v>
      </c>
      <c r="H1737" s="14" t="s">
        <v>343</v>
      </c>
      <c r="U1737" s="14">
        <v>1</v>
      </c>
      <c r="V1737" s="14">
        <v>1</v>
      </c>
      <c r="W1737" s="14">
        <v>1</v>
      </c>
      <c r="X1737" s="14">
        <v>1</v>
      </c>
    </row>
    <row r="1738" spans="1:24" hidden="1" x14ac:dyDescent="0.3">
      <c r="A1738" s="14" t="s">
        <v>429</v>
      </c>
      <c r="B1738" s="14" t="s">
        <v>224</v>
      </c>
      <c r="C1738" s="14" t="s">
        <v>355</v>
      </c>
      <c r="D1738" s="14" t="s">
        <v>356</v>
      </c>
      <c r="E1738" s="14" t="s">
        <v>342</v>
      </c>
      <c r="F1738" s="14" t="s">
        <v>343</v>
      </c>
      <c r="G1738" s="14" t="s">
        <v>343</v>
      </c>
      <c r="H1738" s="14" t="s">
        <v>343</v>
      </c>
      <c r="U1738" s="14">
        <v>1</v>
      </c>
      <c r="V1738" s="14">
        <v>1</v>
      </c>
      <c r="W1738" s="14">
        <v>1</v>
      </c>
      <c r="X1738" s="14">
        <v>1</v>
      </c>
    </row>
    <row r="1739" spans="1:24" hidden="1" x14ac:dyDescent="0.3">
      <c r="A1739" s="14" t="s">
        <v>429</v>
      </c>
      <c r="B1739" s="14" t="s">
        <v>224</v>
      </c>
      <c r="C1739" s="14" t="s">
        <v>355</v>
      </c>
      <c r="D1739" s="14" t="s">
        <v>356</v>
      </c>
      <c r="E1739" s="14" t="s">
        <v>344</v>
      </c>
      <c r="F1739" s="14" t="s">
        <v>343</v>
      </c>
      <c r="G1739" s="14" t="s">
        <v>343</v>
      </c>
      <c r="H1739" s="14" t="s">
        <v>343</v>
      </c>
      <c r="U1739" s="14">
        <v>1</v>
      </c>
      <c r="V1739" s="14">
        <v>1</v>
      </c>
      <c r="W1739" s="14">
        <v>1</v>
      </c>
      <c r="X1739" s="14">
        <v>1</v>
      </c>
    </row>
    <row r="1740" spans="1:24" hidden="1" x14ac:dyDescent="0.3">
      <c r="A1740" s="14" t="s">
        <v>429</v>
      </c>
      <c r="B1740" s="14" t="s">
        <v>224</v>
      </c>
      <c r="C1740" s="14" t="s">
        <v>357</v>
      </c>
      <c r="D1740" s="14" t="s">
        <v>358</v>
      </c>
      <c r="E1740" s="14" t="s">
        <v>342</v>
      </c>
      <c r="F1740" s="14" t="s">
        <v>343</v>
      </c>
      <c r="G1740" s="14" t="s">
        <v>343</v>
      </c>
      <c r="H1740" s="14" t="s">
        <v>343</v>
      </c>
      <c r="U1740" s="14">
        <v>1</v>
      </c>
      <c r="V1740" s="14">
        <v>1</v>
      </c>
      <c r="W1740" s="14">
        <v>1</v>
      </c>
      <c r="X1740" s="14">
        <v>1</v>
      </c>
    </row>
    <row r="1741" spans="1:24" hidden="1" x14ac:dyDescent="0.3">
      <c r="A1741" s="14" t="s">
        <v>429</v>
      </c>
      <c r="B1741" s="14" t="s">
        <v>224</v>
      </c>
      <c r="C1741" s="14" t="s">
        <v>357</v>
      </c>
      <c r="D1741" s="14" t="s">
        <v>358</v>
      </c>
      <c r="E1741" s="14" t="s">
        <v>344</v>
      </c>
      <c r="F1741" s="14" t="s">
        <v>343</v>
      </c>
      <c r="G1741" s="14" t="s">
        <v>343</v>
      </c>
      <c r="H1741" s="14" t="s">
        <v>343</v>
      </c>
      <c r="U1741" s="14">
        <v>1</v>
      </c>
      <c r="V1741" s="14">
        <v>1</v>
      </c>
      <c r="W1741" s="14">
        <v>1</v>
      </c>
      <c r="X1741" s="14">
        <v>1</v>
      </c>
    </row>
    <row r="1742" spans="1:24" hidden="1" x14ac:dyDescent="0.3">
      <c r="A1742" s="14" t="s">
        <v>429</v>
      </c>
      <c r="B1742" s="14" t="s">
        <v>224</v>
      </c>
      <c r="C1742" s="14" t="s">
        <v>359</v>
      </c>
      <c r="D1742" s="14" t="s">
        <v>360</v>
      </c>
      <c r="E1742" s="14" t="s">
        <v>342</v>
      </c>
      <c r="F1742" s="14" t="s">
        <v>343</v>
      </c>
      <c r="G1742" s="14" t="s">
        <v>343</v>
      </c>
      <c r="H1742" s="14" t="s">
        <v>343</v>
      </c>
      <c r="I1742" s="14">
        <v>0.54</v>
      </c>
      <c r="J1742" s="14">
        <v>0.59</v>
      </c>
      <c r="K1742" s="14">
        <v>0.57999999999999996</v>
      </c>
      <c r="L1742" s="14">
        <v>0.6</v>
      </c>
      <c r="M1742" s="14">
        <v>0.62</v>
      </c>
      <c r="N1742" s="14">
        <v>0.63</v>
      </c>
      <c r="O1742" s="14">
        <v>0.65</v>
      </c>
      <c r="P1742" s="14">
        <v>0.65</v>
      </c>
      <c r="Q1742" s="14">
        <v>0.65</v>
      </c>
      <c r="R1742" s="14">
        <v>0.67</v>
      </c>
      <c r="S1742" s="14">
        <v>0.67</v>
      </c>
      <c r="T1742" s="14">
        <v>0.66</v>
      </c>
      <c r="U1742" s="14">
        <v>0.66</v>
      </c>
      <c r="V1742" s="14">
        <v>0.68</v>
      </c>
      <c r="W1742" s="14">
        <v>0.7</v>
      </c>
      <c r="X1742" s="14">
        <v>0.71</v>
      </c>
    </row>
    <row r="1743" spans="1:24" hidden="1" x14ac:dyDescent="0.3">
      <c r="A1743" s="14" t="s">
        <v>429</v>
      </c>
      <c r="B1743" s="14" t="s">
        <v>224</v>
      </c>
      <c r="C1743" s="14" t="s">
        <v>359</v>
      </c>
      <c r="D1743" s="14" t="s">
        <v>360</v>
      </c>
      <c r="E1743" s="14" t="s">
        <v>344</v>
      </c>
      <c r="F1743" s="14" t="s">
        <v>343</v>
      </c>
      <c r="G1743" s="14" t="s">
        <v>343</v>
      </c>
      <c r="H1743" s="14" t="s">
        <v>343</v>
      </c>
      <c r="I1743" s="14">
        <v>85</v>
      </c>
      <c r="J1743" s="14">
        <v>84</v>
      </c>
      <c r="K1743" s="14">
        <v>89</v>
      </c>
      <c r="L1743" s="14">
        <v>90</v>
      </c>
      <c r="M1743" s="14">
        <v>78</v>
      </c>
      <c r="N1743" s="14">
        <v>74</v>
      </c>
      <c r="O1743" s="14">
        <v>75</v>
      </c>
      <c r="P1743" s="14">
        <v>76</v>
      </c>
      <c r="Q1743" s="14">
        <v>84</v>
      </c>
      <c r="R1743" s="14">
        <v>67</v>
      </c>
      <c r="S1743" s="14">
        <v>72</v>
      </c>
      <c r="T1743" s="14">
        <v>81</v>
      </c>
      <c r="U1743" s="14">
        <v>80</v>
      </c>
      <c r="V1743" s="14">
        <v>72</v>
      </c>
      <c r="W1743" s="14">
        <v>71</v>
      </c>
      <c r="X1743" s="14">
        <v>64</v>
      </c>
    </row>
    <row r="1744" spans="1:24" x14ac:dyDescent="0.3">
      <c r="A1744" s="14" t="s">
        <v>429</v>
      </c>
      <c r="B1744" s="14" t="s">
        <v>224</v>
      </c>
      <c r="C1744" s="14" t="s">
        <v>361</v>
      </c>
      <c r="D1744" s="14" t="s">
        <v>362</v>
      </c>
      <c r="E1744" s="14" t="s">
        <v>342</v>
      </c>
      <c r="F1744" s="14" t="s">
        <v>343</v>
      </c>
      <c r="G1744" s="14" t="s">
        <v>343</v>
      </c>
      <c r="H1744" s="14" t="s">
        <v>343</v>
      </c>
      <c r="I1744" s="14">
        <v>0.97</v>
      </c>
      <c r="J1744" s="14">
        <v>0.97</v>
      </c>
      <c r="K1744" s="14">
        <v>0.97</v>
      </c>
      <c r="L1744" s="14">
        <v>0.97</v>
      </c>
      <c r="M1744" s="14">
        <v>0.98</v>
      </c>
      <c r="N1744" s="14">
        <v>0.98</v>
      </c>
      <c r="O1744" s="14">
        <v>0.98</v>
      </c>
      <c r="P1744" s="14">
        <v>0.97</v>
      </c>
      <c r="Q1744" s="14">
        <v>0.97</v>
      </c>
      <c r="R1744" s="14">
        <v>0.97</v>
      </c>
      <c r="S1744" s="14">
        <v>0.97</v>
      </c>
      <c r="T1744" s="14">
        <v>0.97</v>
      </c>
      <c r="U1744" s="14">
        <v>0.97</v>
      </c>
      <c r="V1744" s="14">
        <v>0.97</v>
      </c>
      <c r="W1744" s="14">
        <v>0.96</v>
      </c>
      <c r="X1744" s="14">
        <v>0.96</v>
      </c>
    </row>
    <row r="1745" spans="1:24" hidden="1" x14ac:dyDescent="0.3">
      <c r="A1745" s="14" t="s">
        <v>429</v>
      </c>
      <c r="B1745" s="14" t="s">
        <v>224</v>
      </c>
      <c r="C1745" s="14" t="s">
        <v>361</v>
      </c>
      <c r="D1745" s="14" t="s">
        <v>362</v>
      </c>
      <c r="E1745" s="14" t="s">
        <v>344</v>
      </c>
      <c r="F1745" s="14" t="s">
        <v>343</v>
      </c>
      <c r="G1745" s="14" t="s">
        <v>343</v>
      </c>
      <c r="H1745" s="14" t="s">
        <v>343</v>
      </c>
      <c r="I1745" s="14">
        <v>71</v>
      </c>
      <c r="J1745" s="14">
        <v>74</v>
      </c>
      <c r="K1745" s="14">
        <v>76</v>
      </c>
      <c r="L1745" s="14">
        <v>80</v>
      </c>
      <c r="M1745" s="14">
        <v>63</v>
      </c>
      <c r="N1745" s="14">
        <v>56</v>
      </c>
      <c r="O1745" s="14">
        <v>34</v>
      </c>
      <c r="P1745" s="14">
        <v>75</v>
      </c>
      <c r="Q1745" s="14">
        <v>87</v>
      </c>
      <c r="R1745" s="14">
        <v>93</v>
      </c>
      <c r="S1745" s="14">
        <v>91</v>
      </c>
      <c r="T1745" s="14">
        <v>81</v>
      </c>
      <c r="U1745" s="14">
        <v>93</v>
      </c>
      <c r="V1745" s="14">
        <v>93</v>
      </c>
      <c r="W1745" s="14">
        <v>114</v>
      </c>
      <c r="X1745" s="14">
        <v>107</v>
      </c>
    </row>
    <row r="1746" spans="1:24" hidden="1" x14ac:dyDescent="0.3">
      <c r="A1746" s="14" t="s">
        <v>429</v>
      </c>
      <c r="B1746" s="14" t="s">
        <v>224</v>
      </c>
      <c r="C1746" s="14" t="s">
        <v>363</v>
      </c>
      <c r="D1746" s="14" t="s">
        <v>364</v>
      </c>
      <c r="E1746" s="14" t="s">
        <v>342</v>
      </c>
      <c r="F1746" s="14" t="s">
        <v>343</v>
      </c>
      <c r="G1746" s="14" t="s">
        <v>343</v>
      </c>
      <c r="H1746" s="14" t="s">
        <v>343</v>
      </c>
      <c r="U1746" s="14">
        <v>1.04</v>
      </c>
      <c r="V1746" s="14">
        <v>1.04</v>
      </c>
      <c r="W1746" s="14">
        <v>1.02</v>
      </c>
      <c r="X1746" s="14">
        <v>1.02</v>
      </c>
    </row>
    <row r="1747" spans="1:24" hidden="1" x14ac:dyDescent="0.3">
      <c r="A1747" s="14" t="s">
        <v>429</v>
      </c>
      <c r="B1747" s="14" t="s">
        <v>224</v>
      </c>
      <c r="C1747" s="14" t="s">
        <v>363</v>
      </c>
      <c r="D1747" s="14" t="s">
        <v>364</v>
      </c>
      <c r="E1747" s="14" t="s">
        <v>344</v>
      </c>
      <c r="F1747" s="14" t="s">
        <v>343</v>
      </c>
      <c r="G1747" s="14" t="s">
        <v>343</v>
      </c>
      <c r="H1747" s="14" t="s">
        <v>343</v>
      </c>
      <c r="U1747" s="14">
        <v>83</v>
      </c>
      <c r="V1747" s="14">
        <v>86</v>
      </c>
      <c r="W1747" s="14">
        <v>108</v>
      </c>
      <c r="X1747" s="14">
        <v>100</v>
      </c>
    </row>
    <row r="1748" spans="1:24" hidden="1" x14ac:dyDescent="0.3">
      <c r="A1748" s="14" t="s">
        <v>429</v>
      </c>
      <c r="B1748" s="14" t="s">
        <v>224</v>
      </c>
      <c r="C1748" s="14" t="s">
        <v>365</v>
      </c>
      <c r="D1748" s="14" t="s">
        <v>366</v>
      </c>
      <c r="E1748" s="14" t="s">
        <v>342</v>
      </c>
      <c r="F1748" s="14" t="s">
        <v>343</v>
      </c>
      <c r="G1748" s="14" t="s">
        <v>343</v>
      </c>
      <c r="H1748" s="14" t="s">
        <v>343</v>
      </c>
      <c r="U1748" s="14">
        <v>0.94</v>
      </c>
      <c r="V1748" s="14">
        <v>0.94</v>
      </c>
      <c r="W1748" s="14">
        <v>0.94</v>
      </c>
      <c r="X1748" s="14">
        <v>0.94</v>
      </c>
    </row>
    <row r="1749" spans="1:24" hidden="1" x14ac:dyDescent="0.3">
      <c r="A1749" s="14" t="s">
        <v>429</v>
      </c>
      <c r="B1749" s="14" t="s">
        <v>224</v>
      </c>
      <c r="C1749" s="14" t="s">
        <v>365</v>
      </c>
      <c r="D1749" s="14" t="s">
        <v>366</v>
      </c>
      <c r="E1749" s="14" t="s">
        <v>344</v>
      </c>
      <c r="F1749" s="14" t="s">
        <v>343</v>
      </c>
      <c r="G1749" s="14" t="s">
        <v>343</v>
      </c>
      <c r="H1749" s="14" t="s">
        <v>343</v>
      </c>
      <c r="U1749" s="14">
        <v>132</v>
      </c>
      <c r="V1749" s="14">
        <v>128</v>
      </c>
      <c r="W1749" s="14">
        <v>133</v>
      </c>
      <c r="X1749" s="14">
        <v>129</v>
      </c>
    </row>
    <row r="1750" spans="1:24" hidden="1" x14ac:dyDescent="0.3">
      <c r="A1750" s="14" t="s">
        <v>429</v>
      </c>
      <c r="B1750" s="14" t="s">
        <v>224</v>
      </c>
      <c r="C1750" s="14" t="s">
        <v>367</v>
      </c>
      <c r="D1750" s="14" t="s">
        <v>368</v>
      </c>
      <c r="E1750" s="14" t="s">
        <v>342</v>
      </c>
      <c r="F1750" s="14" t="s">
        <v>343</v>
      </c>
      <c r="G1750" s="14" t="s">
        <v>343</v>
      </c>
      <c r="H1750" s="14" t="s">
        <v>343</v>
      </c>
      <c r="I1750" s="14">
        <v>0.73</v>
      </c>
      <c r="J1750" s="14">
        <v>0.74</v>
      </c>
      <c r="K1750" s="14">
        <v>0.73</v>
      </c>
      <c r="L1750" s="14">
        <v>0.73</v>
      </c>
      <c r="M1750" s="14">
        <v>0.76</v>
      </c>
      <c r="N1750" s="14">
        <v>0.76</v>
      </c>
      <c r="O1750" s="14">
        <v>0.73</v>
      </c>
      <c r="P1750" s="14">
        <v>0.73</v>
      </c>
      <c r="Q1750" s="14">
        <v>0.73</v>
      </c>
      <c r="R1750" s="14">
        <v>0.74</v>
      </c>
      <c r="S1750" s="14">
        <v>0.74</v>
      </c>
      <c r="T1750" s="14">
        <v>0.75</v>
      </c>
      <c r="U1750" s="14">
        <v>0.75</v>
      </c>
      <c r="V1750" s="14">
        <v>0.8</v>
      </c>
      <c r="W1750" s="14">
        <v>0.79</v>
      </c>
      <c r="X1750" s="14">
        <v>0.79</v>
      </c>
    </row>
    <row r="1751" spans="1:24" hidden="1" x14ac:dyDescent="0.3">
      <c r="A1751" s="14" t="s">
        <v>429</v>
      </c>
      <c r="B1751" s="14" t="s">
        <v>224</v>
      </c>
      <c r="C1751" s="14" t="s">
        <v>367</v>
      </c>
      <c r="D1751" s="14" t="s">
        <v>368</v>
      </c>
      <c r="E1751" s="14" t="s">
        <v>344</v>
      </c>
      <c r="F1751" s="14" t="s">
        <v>343</v>
      </c>
      <c r="G1751" s="14" t="s">
        <v>343</v>
      </c>
      <c r="H1751" s="14" t="s">
        <v>343</v>
      </c>
      <c r="I1751" s="14">
        <v>11</v>
      </c>
      <c r="J1751" s="14">
        <v>10</v>
      </c>
      <c r="K1751" s="14">
        <v>17</v>
      </c>
      <c r="L1751" s="14">
        <v>17</v>
      </c>
      <c r="M1751" s="14">
        <v>11</v>
      </c>
      <c r="N1751" s="14">
        <v>12</v>
      </c>
      <c r="O1751" s="14">
        <v>26</v>
      </c>
      <c r="P1751" s="14">
        <v>30</v>
      </c>
      <c r="Q1751" s="14">
        <v>29</v>
      </c>
      <c r="R1751" s="14">
        <v>25</v>
      </c>
      <c r="S1751" s="14">
        <v>29</v>
      </c>
      <c r="T1751" s="14">
        <v>24</v>
      </c>
      <c r="U1751" s="14">
        <v>29</v>
      </c>
      <c r="V1751" s="14">
        <v>8</v>
      </c>
      <c r="W1751" s="14">
        <v>14</v>
      </c>
      <c r="X1751" s="14">
        <v>17</v>
      </c>
    </row>
    <row r="1752" spans="1:24" hidden="1" x14ac:dyDescent="0.3">
      <c r="A1752" s="14" t="s">
        <v>429</v>
      </c>
      <c r="B1752" s="14" t="s">
        <v>224</v>
      </c>
      <c r="C1752" s="14" t="s">
        <v>369</v>
      </c>
      <c r="D1752" s="14" t="s">
        <v>370</v>
      </c>
      <c r="E1752" s="14" t="s">
        <v>342</v>
      </c>
      <c r="F1752" s="14" t="s">
        <v>343</v>
      </c>
      <c r="G1752" s="14" t="s">
        <v>343</v>
      </c>
      <c r="H1752" s="14" t="s">
        <v>343</v>
      </c>
      <c r="I1752" s="14">
        <v>0.42</v>
      </c>
      <c r="J1752" s="14">
        <v>0.42</v>
      </c>
      <c r="K1752" s="14">
        <v>0.37</v>
      </c>
      <c r="L1752" s="14">
        <v>0.37</v>
      </c>
      <c r="M1752" s="14">
        <v>0.43</v>
      </c>
      <c r="N1752" s="14">
        <v>0.43</v>
      </c>
      <c r="O1752" s="14">
        <v>0.28000000000000003</v>
      </c>
      <c r="P1752" s="14">
        <v>0.28000000000000003</v>
      </c>
      <c r="Q1752" s="14">
        <v>0.31</v>
      </c>
      <c r="R1752" s="14">
        <v>0.33</v>
      </c>
      <c r="S1752" s="14">
        <v>0.32</v>
      </c>
      <c r="T1752" s="14">
        <v>0.35</v>
      </c>
      <c r="U1752" s="14">
        <v>0.35</v>
      </c>
      <c r="V1752" s="14">
        <v>0.53</v>
      </c>
      <c r="W1752" s="14">
        <v>0.49</v>
      </c>
      <c r="X1752" s="14">
        <v>0.48</v>
      </c>
    </row>
    <row r="1753" spans="1:24" hidden="1" x14ac:dyDescent="0.3">
      <c r="A1753" s="14" t="s">
        <v>429</v>
      </c>
      <c r="B1753" s="14" t="s">
        <v>224</v>
      </c>
      <c r="C1753" s="14" t="s">
        <v>369</v>
      </c>
      <c r="D1753" s="14" t="s">
        <v>370</v>
      </c>
      <c r="E1753" s="14" t="s">
        <v>344</v>
      </c>
      <c r="F1753" s="14" t="s">
        <v>343</v>
      </c>
      <c r="G1753" s="14" t="s">
        <v>343</v>
      </c>
      <c r="H1753" s="14" t="s">
        <v>343</v>
      </c>
      <c r="I1753" s="14">
        <v>5</v>
      </c>
      <c r="J1753" s="14">
        <v>5</v>
      </c>
      <c r="K1753" s="14">
        <v>7</v>
      </c>
      <c r="L1753" s="14">
        <v>9</v>
      </c>
      <c r="M1753" s="14">
        <v>5</v>
      </c>
      <c r="N1753" s="14">
        <v>5</v>
      </c>
      <c r="O1753" s="14">
        <v>27</v>
      </c>
      <c r="P1753" s="14">
        <v>27</v>
      </c>
      <c r="Q1753" s="14">
        <v>23</v>
      </c>
      <c r="R1753" s="14">
        <v>26</v>
      </c>
      <c r="S1753" s="14">
        <v>26</v>
      </c>
      <c r="T1753" s="14">
        <v>22</v>
      </c>
      <c r="U1753" s="14">
        <v>24</v>
      </c>
      <c r="V1753" s="14">
        <v>8</v>
      </c>
      <c r="W1753" s="14">
        <v>15</v>
      </c>
      <c r="X1753" s="14">
        <v>17</v>
      </c>
    </row>
    <row r="1754" spans="1:24" hidden="1" x14ac:dyDescent="0.3">
      <c r="A1754" s="14" t="s">
        <v>429</v>
      </c>
      <c r="B1754" s="14" t="s">
        <v>224</v>
      </c>
      <c r="C1754" s="14" t="s">
        <v>371</v>
      </c>
      <c r="D1754" s="14" t="s">
        <v>372</v>
      </c>
      <c r="E1754" s="14" t="s">
        <v>342</v>
      </c>
      <c r="F1754" s="14" t="s">
        <v>343</v>
      </c>
      <c r="G1754" s="14" t="s">
        <v>343</v>
      </c>
      <c r="H1754" s="14" t="s">
        <v>343</v>
      </c>
      <c r="U1754" s="14">
        <v>0</v>
      </c>
      <c r="V1754" s="14">
        <v>0</v>
      </c>
      <c r="W1754" s="14">
        <v>0</v>
      </c>
      <c r="X1754" s="14">
        <v>0</v>
      </c>
    </row>
    <row r="1755" spans="1:24" hidden="1" x14ac:dyDescent="0.3">
      <c r="A1755" s="14" t="s">
        <v>429</v>
      </c>
      <c r="B1755" s="14" t="s">
        <v>224</v>
      </c>
      <c r="C1755" s="14" t="s">
        <v>371</v>
      </c>
      <c r="D1755" s="14" t="s">
        <v>372</v>
      </c>
      <c r="E1755" s="14" t="s">
        <v>344</v>
      </c>
      <c r="F1755" s="14" t="s">
        <v>343</v>
      </c>
      <c r="G1755" s="14" t="s">
        <v>343</v>
      </c>
      <c r="H1755" s="14" t="s">
        <v>343</v>
      </c>
      <c r="U1755" s="14">
        <v>71</v>
      </c>
      <c r="V1755" s="14">
        <v>73</v>
      </c>
      <c r="W1755" s="14">
        <v>76</v>
      </c>
      <c r="X1755" s="14">
        <v>78</v>
      </c>
    </row>
    <row r="1756" spans="1:24" hidden="1" x14ac:dyDescent="0.3">
      <c r="A1756" s="14" t="s">
        <v>429</v>
      </c>
      <c r="B1756" s="14" t="s">
        <v>224</v>
      </c>
      <c r="C1756" s="14" t="s">
        <v>373</v>
      </c>
      <c r="D1756" s="14" t="s">
        <v>374</v>
      </c>
      <c r="E1756" s="14" t="s">
        <v>342</v>
      </c>
      <c r="F1756" s="14" t="s">
        <v>343</v>
      </c>
      <c r="G1756" s="14" t="s">
        <v>343</v>
      </c>
      <c r="H1756" s="14" t="s">
        <v>343</v>
      </c>
      <c r="U1756" s="14">
        <v>0.62</v>
      </c>
      <c r="V1756" s="14">
        <v>1</v>
      </c>
      <c r="W1756" s="14">
        <v>1</v>
      </c>
      <c r="X1756" s="14">
        <v>1</v>
      </c>
    </row>
    <row r="1757" spans="1:24" hidden="1" x14ac:dyDescent="0.3">
      <c r="A1757" s="14" t="s">
        <v>429</v>
      </c>
      <c r="B1757" s="14" t="s">
        <v>224</v>
      </c>
      <c r="C1757" s="14" t="s">
        <v>373</v>
      </c>
      <c r="D1757" s="14" t="s">
        <v>374</v>
      </c>
      <c r="E1757" s="14" t="s">
        <v>344</v>
      </c>
      <c r="F1757" s="14" t="s">
        <v>343</v>
      </c>
      <c r="G1757" s="14" t="s">
        <v>343</v>
      </c>
      <c r="H1757" s="14" t="s">
        <v>343</v>
      </c>
      <c r="U1757" s="14">
        <v>13</v>
      </c>
      <c r="V1757" s="14">
        <v>1</v>
      </c>
      <c r="W1757" s="14">
        <v>1</v>
      </c>
      <c r="X1757" s="14">
        <v>1</v>
      </c>
    </row>
    <row r="1758" spans="1:24" hidden="1" x14ac:dyDescent="0.3">
      <c r="A1758" s="14" t="s">
        <v>429</v>
      </c>
      <c r="B1758" s="14" t="s">
        <v>224</v>
      </c>
      <c r="C1758" s="14" t="s">
        <v>375</v>
      </c>
      <c r="D1758" s="14" t="s">
        <v>376</v>
      </c>
      <c r="E1758" s="14" t="s">
        <v>342</v>
      </c>
      <c r="F1758" s="14" t="s">
        <v>343</v>
      </c>
      <c r="G1758" s="14" t="s">
        <v>343</v>
      </c>
      <c r="H1758" s="14" t="s">
        <v>343</v>
      </c>
      <c r="U1758" s="14">
        <v>0.64</v>
      </c>
      <c r="V1758" s="14">
        <v>0.9</v>
      </c>
      <c r="W1758" s="14">
        <v>0.79</v>
      </c>
      <c r="X1758" s="14">
        <v>0.75</v>
      </c>
    </row>
    <row r="1759" spans="1:24" hidden="1" x14ac:dyDescent="0.3">
      <c r="A1759" s="14" t="s">
        <v>429</v>
      </c>
      <c r="B1759" s="14" t="s">
        <v>224</v>
      </c>
      <c r="C1759" s="14" t="s">
        <v>375</v>
      </c>
      <c r="D1759" s="14" t="s">
        <v>376</v>
      </c>
      <c r="E1759" s="14" t="s">
        <v>344</v>
      </c>
      <c r="F1759" s="14" t="s">
        <v>343</v>
      </c>
      <c r="G1759" s="14" t="s">
        <v>343</v>
      </c>
      <c r="H1759" s="14" t="s">
        <v>343</v>
      </c>
      <c r="U1759" s="14">
        <v>15</v>
      </c>
      <c r="V1759" s="14">
        <v>5</v>
      </c>
      <c r="W1759" s="14">
        <v>14</v>
      </c>
      <c r="X1759" s="14">
        <v>15</v>
      </c>
    </row>
    <row r="1760" spans="1:24" hidden="1" x14ac:dyDescent="0.3">
      <c r="A1760" s="14" t="s">
        <v>430</v>
      </c>
      <c r="B1760" s="14" t="s">
        <v>93</v>
      </c>
      <c r="C1760" s="14" t="s">
        <v>340</v>
      </c>
      <c r="D1760" s="14" t="s">
        <v>341</v>
      </c>
      <c r="E1760" s="14" t="s">
        <v>342</v>
      </c>
      <c r="F1760" s="14" t="s">
        <v>343</v>
      </c>
      <c r="G1760" s="14" t="s">
        <v>343</v>
      </c>
      <c r="H1760" s="14" t="s">
        <v>343</v>
      </c>
      <c r="I1760" s="14">
        <v>1</v>
      </c>
      <c r="J1760" s="14">
        <v>1</v>
      </c>
      <c r="K1760" s="14">
        <v>1</v>
      </c>
      <c r="L1760" s="14">
        <v>1</v>
      </c>
      <c r="M1760" s="14">
        <v>1</v>
      </c>
      <c r="N1760" s="14">
        <v>1</v>
      </c>
      <c r="O1760" s="14">
        <v>0.99</v>
      </c>
      <c r="P1760" s="14">
        <v>0.99</v>
      </c>
      <c r="Q1760" s="14">
        <v>1</v>
      </c>
      <c r="R1760" s="14">
        <v>1</v>
      </c>
      <c r="S1760" s="14">
        <v>1</v>
      </c>
      <c r="T1760" s="14">
        <v>1</v>
      </c>
      <c r="U1760" s="14">
        <v>1</v>
      </c>
      <c r="V1760" s="14">
        <v>1</v>
      </c>
      <c r="W1760" s="14">
        <v>1</v>
      </c>
      <c r="X1760" s="14">
        <v>1</v>
      </c>
    </row>
    <row r="1761" spans="1:24" hidden="1" x14ac:dyDescent="0.3">
      <c r="A1761" s="14" t="s">
        <v>430</v>
      </c>
      <c r="B1761" s="14" t="s">
        <v>93</v>
      </c>
      <c r="C1761" s="14" t="s">
        <v>340</v>
      </c>
      <c r="D1761" s="14" t="s">
        <v>341</v>
      </c>
      <c r="E1761" s="14" t="s">
        <v>344</v>
      </c>
      <c r="F1761" s="14" t="s">
        <v>343</v>
      </c>
      <c r="G1761" s="14" t="s">
        <v>343</v>
      </c>
      <c r="H1761" s="14" t="s">
        <v>343</v>
      </c>
      <c r="I1761" s="14">
        <v>16</v>
      </c>
      <c r="J1761" s="14">
        <v>20</v>
      </c>
      <c r="K1761" s="14">
        <v>48</v>
      </c>
      <c r="L1761" s="14">
        <v>37</v>
      </c>
      <c r="M1761" s="14">
        <v>38</v>
      </c>
      <c r="N1761" s="14">
        <v>38</v>
      </c>
      <c r="O1761" s="14">
        <v>58</v>
      </c>
      <c r="P1761" s="14">
        <v>59</v>
      </c>
      <c r="Q1761" s="14">
        <v>1</v>
      </c>
      <c r="R1761" s="14">
        <v>39</v>
      </c>
      <c r="S1761" s="14">
        <v>53</v>
      </c>
      <c r="T1761" s="14">
        <v>1</v>
      </c>
      <c r="U1761" s="14">
        <v>1</v>
      </c>
      <c r="V1761" s="14">
        <v>1</v>
      </c>
      <c r="W1761" s="14">
        <v>1</v>
      </c>
      <c r="X1761" s="14">
        <v>1</v>
      </c>
    </row>
    <row r="1762" spans="1:24" hidden="1" x14ac:dyDescent="0.3">
      <c r="A1762" s="14" t="s">
        <v>430</v>
      </c>
      <c r="B1762" s="14" t="s">
        <v>93</v>
      </c>
      <c r="C1762" s="14" t="s">
        <v>345</v>
      </c>
      <c r="D1762" s="14" t="s">
        <v>346</v>
      </c>
      <c r="E1762" s="14" t="s">
        <v>342</v>
      </c>
      <c r="F1762" s="14" t="s">
        <v>343</v>
      </c>
      <c r="G1762" s="14" t="s">
        <v>343</v>
      </c>
      <c r="H1762" s="14" t="s">
        <v>343</v>
      </c>
      <c r="U1762" s="14">
        <v>0.57999999999999996</v>
      </c>
      <c r="V1762" s="14">
        <v>0.57999999999999996</v>
      </c>
      <c r="W1762" s="14">
        <v>0.57999999999999996</v>
      </c>
      <c r="X1762" s="14">
        <v>0.68</v>
      </c>
    </row>
    <row r="1763" spans="1:24" hidden="1" x14ac:dyDescent="0.3">
      <c r="A1763" s="14" t="s">
        <v>430</v>
      </c>
      <c r="B1763" s="14" t="s">
        <v>93</v>
      </c>
      <c r="C1763" s="14" t="s">
        <v>345</v>
      </c>
      <c r="D1763" s="14" t="s">
        <v>346</v>
      </c>
      <c r="E1763" s="14" t="s">
        <v>344</v>
      </c>
      <c r="F1763" s="14" t="s">
        <v>343</v>
      </c>
      <c r="G1763" s="14" t="s">
        <v>343</v>
      </c>
      <c r="H1763" s="14" t="s">
        <v>343</v>
      </c>
      <c r="U1763" s="14">
        <v>87</v>
      </c>
      <c r="V1763" s="14">
        <v>92</v>
      </c>
      <c r="W1763" s="14">
        <v>92</v>
      </c>
      <c r="X1763" s="14">
        <v>55</v>
      </c>
    </row>
    <row r="1764" spans="1:24" hidden="1" x14ac:dyDescent="0.3">
      <c r="A1764" s="14" t="s">
        <v>430</v>
      </c>
      <c r="B1764" s="14" t="s">
        <v>93</v>
      </c>
      <c r="C1764" s="14" t="s">
        <v>347</v>
      </c>
      <c r="D1764" s="14" t="s">
        <v>348</v>
      </c>
      <c r="E1764" s="14" t="s">
        <v>342</v>
      </c>
      <c r="F1764" s="14" t="s">
        <v>343</v>
      </c>
      <c r="G1764" s="14" t="s">
        <v>343</v>
      </c>
      <c r="H1764" s="14" t="s">
        <v>343</v>
      </c>
      <c r="U1764" s="14">
        <v>0.9</v>
      </c>
      <c r="V1764" s="14">
        <v>0.91</v>
      </c>
      <c r="W1764" s="14">
        <v>0.92</v>
      </c>
      <c r="X1764" s="14">
        <v>0.82</v>
      </c>
    </row>
    <row r="1765" spans="1:24" hidden="1" x14ac:dyDescent="0.3">
      <c r="A1765" s="14" t="s">
        <v>430</v>
      </c>
      <c r="B1765" s="14" t="s">
        <v>93</v>
      </c>
      <c r="C1765" s="14" t="s">
        <v>347</v>
      </c>
      <c r="D1765" s="14" t="s">
        <v>348</v>
      </c>
      <c r="E1765" s="14" t="s">
        <v>344</v>
      </c>
      <c r="F1765" s="14" t="s">
        <v>343</v>
      </c>
      <c r="G1765" s="14" t="s">
        <v>343</v>
      </c>
      <c r="H1765" s="14" t="s">
        <v>343</v>
      </c>
      <c r="U1765" s="14">
        <v>36</v>
      </c>
      <c r="V1765" s="14">
        <v>32</v>
      </c>
      <c r="W1765" s="14">
        <v>27</v>
      </c>
      <c r="X1765" s="14">
        <v>58</v>
      </c>
    </row>
    <row r="1766" spans="1:24" hidden="1" x14ac:dyDescent="0.3">
      <c r="A1766" s="14" t="s">
        <v>430</v>
      </c>
      <c r="B1766" s="14" t="s">
        <v>93</v>
      </c>
      <c r="C1766" s="14" t="s">
        <v>349</v>
      </c>
      <c r="D1766" s="14" t="s">
        <v>350</v>
      </c>
      <c r="E1766" s="14" t="s">
        <v>342</v>
      </c>
      <c r="F1766" s="14" t="s">
        <v>343</v>
      </c>
      <c r="G1766" s="14" t="s">
        <v>343</v>
      </c>
      <c r="H1766" s="14" t="s">
        <v>343</v>
      </c>
      <c r="U1766" s="14">
        <v>0.63</v>
      </c>
      <c r="V1766" s="14">
        <v>0.56000000000000005</v>
      </c>
      <c r="W1766" s="14">
        <v>0.59</v>
      </c>
      <c r="X1766" s="14">
        <v>0.6</v>
      </c>
    </row>
    <row r="1767" spans="1:24" hidden="1" x14ac:dyDescent="0.3">
      <c r="A1767" s="14" t="s">
        <v>430</v>
      </c>
      <c r="B1767" s="14" t="s">
        <v>93</v>
      </c>
      <c r="C1767" s="14" t="s">
        <v>349</v>
      </c>
      <c r="D1767" s="14" t="s">
        <v>350</v>
      </c>
      <c r="E1767" s="14" t="s">
        <v>344</v>
      </c>
      <c r="F1767" s="14" t="s">
        <v>343</v>
      </c>
      <c r="G1767" s="14" t="s">
        <v>343</v>
      </c>
      <c r="H1767" s="14" t="s">
        <v>343</v>
      </c>
      <c r="U1767" s="14">
        <v>35</v>
      </c>
      <c r="V1767" s="14">
        <v>50</v>
      </c>
      <c r="W1767" s="14">
        <v>48</v>
      </c>
      <c r="X1767" s="14">
        <v>48</v>
      </c>
    </row>
    <row r="1768" spans="1:24" hidden="1" x14ac:dyDescent="0.3">
      <c r="A1768" s="14" t="s">
        <v>430</v>
      </c>
      <c r="B1768" s="14" t="s">
        <v>93</v>
      </c>
      <c r="C1768" s="14" t="s">
        <v>351</v>
      </c>
      <c r="D1768" s="14" t="s">
        <v>352</v>
      </c>
      <c r="E1768" s="14" t="s">
        <v>342</v>
      </c>
      <c r="F1768" s="14" t="s">
        <v>343</v>
      </c>
      <c r="G1768" s="14" t="s">
        <v>343</v>
      </c>
      <c r="H1768" s="14" t="s">
        <v>343</v>
      </c>
      <c r="U1768" s="14">
        <v>1</v>
      </c>
      <c r="V1768" s="14">
        <v>1</v>
      </c>
      <c r="W1768" s="14">
        <v>1</v>
      </c>
      <c r="X1768" s="14">
        <v>1</v>
      </c>
    </row>
    <row r="1769" spans="1:24" hidden="1" x14ac:dyDescent="0.3">
      <c r="A1769" s="14" t="s">
        <v>430</v>
      </c>
      <c r="B1769" s="14" t="s">
        <v>93</v>
      </c>
      <c r="C1769" s="14" t="s">
        <v>351</v>
      </c>
      <c r="D1769" s="14" t="s">
        <v>352</v>
      </c>
      <c r="E1769" s="14" t="s">
        <v>344</v>
      </c>
      <c r="F1769" s="14" t="s">
        <v>343</v>
      </c>
      <c r="G1769" s="14" t="s">
        <v>343</v>
      </c>
      <c r="H1769" s="14" t="s">
        <v>343</v>
      </c>
      <c r="U1769" s="14">
        <v>1</v>
      </c>
      <c r="V1769" s="14">
        <v>1</v>
      </c>
      <c r="W1769" s="14">
        <v>1</v>
      </c>
      <c r="X1769" s="14">
        <v>1</v>
      </c>
    </row>
    <row r="1770" spans="1:24" hidden="1" x14ac:dyDescent="0.3">
      <c r="A1770" s="14" t="s">
        <v>430</v>
      </c>
      <c r="B1770" s="14" t="s">
        <v>93</v>
      </c>
      <c r="C1770" s="14" t="s">
        <v>378</v>
      </c>
      <c r="D1770" s="14" t="s">
        <v>379</v>
      </c>
      <c r="E1770" s="14" t="s">
        <v>342</v>
      </c>
      <c r="F1770" s="14" t="s">
        <v>343</v>
      </c>
      <c r="G1770" s="14" t="s">
        <v>343</v>
      </c>
      <c r="H1770" s="14" t="s">
        <v>343</v>
      </c>
      <c r="S1770" s="14">
        <v>0.64</v>
      </c>
      <c r="U1770" s="14">
        <v>0.67</v>
      </c>
      <c r="V1770" s="14">
        <v>0.71</v>
      </c>
      <c r="W1770" s="14">
        <v>0.75</v>
      </c>
      <c r="X1770" s="14">
        <v>0.72</v>
      </c>
    </row>
    <row r="1771" spans="1:24" hidden="1" x14ac:dyDescent="0.3">
      <c r="A1771" s="14" t="s">
        <v>430</v>
      </c>
      <c r="B1771" s="14" t="s">
        <v>93</v>
      </c>
      <c r="C1771" s="14" t="s">
        <v>378</v>
      </c>
      <c r="D1771" s="14" t="s">
        <v>379</v>
      </c>
      <c r="E1771" s="14" t="s">
        <v>344</v>
      </c>
      <c r="F1771" s="14" t="s">
        <v>343</v>
      </c>
      <c r="G1771" s="14" t="s">
        <v>343</v>
      </c>
      <c r="H1771" s="14" t="s">
        <v>343</v>
      </c>
      <c r="S1771" s="14">
        <v>73</v>
      </c>
      <c r="U1771" s="14">
        <v>62</v>
      </c>
      <c r="V1771" s="14">
        <v>36</v>
      </c>
      <c r="W1771" s="14">
        <v>25</v>
      </c>
      <c r="X1771" s="14">
        <v>38</v>
      </c>
    </row>
    <row r="1772" spans="1:24" hidden="1" x14ac:dyDescent="0.3">
      <c r="A1772" s="14" t="s">
        <v>430</v>
      </c>
      <c r="B1772" s="14" t="s">
        <v>93</v>
      </c>
      <c r="C1772" s="14" t="s">
        <v>353</v>
      </c>
      <c r="D1772" s="14" t="s">
        <v>354</v>
      </c>
      <c r="E1772" s="14" t="s">
        <v>342</v>
      </c>
      <c r="F1772" s="14" t="s">
        <v>343</v>
      </c>
      <c r="G1772" s="14" t="s">
        <v>343</v>
      </c>
      <c r="H1772" s="14" t="s">
        <v>343</v>
      </c>
      <c r="U1772" s="14">
        <v>1</v>
      </c>
      <c r="V1772" s="14">
        <v>1</v>
      </c>
      <c r="W1772" s="14">
        <v>1</v>
      </c>
      <c r="X1772" s="14">
        <v>1</v>
      </c>
    </row>
    <row r="1773" spans="1:24" hidden="1" x14ac:dyDescent="0.3">
      <c r="A1773" s="14" t="s">
        <v>430</v>
      </c>
      <c r="B1773" s="14" t="s">
        <v>93</v>
      </c>
      <c r="C1773" s="14" t="s">
        <v>353</v>
      </c>
      <c r="D1773" s="14" t="s">
        <v>354</v>
      </c>
      <c r="E1773" s="14" t="s">
        <v>344</v>
      </c>
      <c r="F1773" s="14" t="s">
        <v>343</v>
      </c>
      <c r="G1773" s="14" t="s">
        <v>343</v>
      </c>
      <c r="H1773" s="14" t="s">
        <v>343</v>
      </c>
      <c r="U1773" s="14">
        <v>1</v>
      </c>
      <c r="V1773" s="14">
        <v>1</v>
      </c>
      <c r="W1773" s="14">
        <v>1</v>
      </c>
      <c r="X1773" s="14">
        <v>1</v>
      </c>
    </row>
    <row r="1774" spans="1:24" hidden="1" x14ac:dyDescent="0.3">
      <c r="A1774" s="14" t="s">
        <v>430</v>
      </c>
      <c r="B1774" s="14" t="s">
        <v>93</v>
      </c>
      <c r="C1774" s="14" t="s">
        <v>380</v>
      </c>
      <c r="D1774" s="14" t="s">
        <v>381</v>
      </c>
      <c r="E1774" s="14" t="s">
        <v>342</v>
      </c>
      <c r="F1774" s="14" t="s">
        <v>343</v>
      </c>
      <c r="G1774" s="14" t="s">
        <v>343</v>
      </c>
      <c r="H1774" s="14" t="s">
        <v>343</v>
      </c>
      <c r="U1774" s="14">
        <v>1</v>
      </c>
      <c r="V1774" s="14">
        <v>1</v>
      </c>
      <c r="W1774" s="14">
        <v>1</v>
      </c>
      <c r="X1774" s="14">
        <v>1</v>
      </c>
    </row>
    <row r="1775" spans="1:24" hidden="1" x14ac:dyDescent="0.3">
      <c r="A1775" s="14" t="s">
        <v>430</v>
      </c>
      <c r="B1775" s="14" t="s">
        <v>93</v>
      </c>
      <c r="C1775" s="14" t="s">
        <v>380</v>
      </c>
      <c r="D1775" s="14" t="s">
        <v>381</v>
      </c>
      <c r="E1775" s="14" t="s">
        <v>344</v>
      </c>
      <c r="F1775" s="14" t="s">
        <v>343</v>
      </c>
      <c r="G1775" s="14" t="s">
        <v>343</v>
      </c>
      <c r="H1775" s="14" t="s">
        <v>343</v>
      </c>
      <c r="U1775" s="14">
        <v>1</v>
      </c>
      <c r="V1775" s="14">
        <v>1</v>
      </c>
      <c r="W1775" s="14">
        <v>1</v>
      </c>
      <c r="X1775" s="14">
        <v>1</v>
      </c>
    </row>
    <row r="1776" spans="1:24" hidden="1" x14ac:dyDescent="0.3">
      <c r="A1776" s="14" t="s">
        <v>430</v>
      </c>
      <c r="B1776" s="14" t="s">
        <v>93</v>
      </c>
      <c r="C1776" s="14" t="s">
        <v>355</v>
      </c>
      <c r="D1776" s="14" t="s">
        <v>356</v>
      </c>
      <c r="E1776" s="14" t="s">
        <v>342</v>
      </c>
      <c r="F1776" s="14" t="s">
        <v>343</v>
      </c>
      <c r="G1776" s="14" t="s">
        <v>343</v>
      </c>
      <c r="H1776" s="14" t="s">
        <v>343</v>
      </c>
      <c r="U1776" s="14">
        <v>1</v>
      </c>
      <c r="V1776" s="14">
        <v>1</v>
      </c>
      <c r="W1776" s="14">
        <v>1</v>
      </c>
      <c r="X1776" s="14">
        <v>1</v>
      </c>
    </row>
    <row r="1777" spans="1:24" hidden="1" x14ac:dyDescent="0.3">
      <c r="A1777" s="14" t="s">
        <v>430</v>
      </c>
      <c r="B1777" s="14" t="s">
        <v>93</v>
      </c>
      <c r="C1777" s="14" t="s">
        <v>355</v>
      </c>
      <c r="D1777" s="14" t="s">
        <v>356</v>
      </c>
      <c r="E1777" s="14" t="s">
        <v>344</v>
      </c>
      <c r="F1777" s="14" t="s">
        <v>343</v>
      </c>
      <c r="G1777" s="14" t="s">
        <v>343</v>
      </c>
      <c r="H1777" s="14" t="s">
        <v>343</v>
      </c>
      <c r="U1777" s="14">
        <v>1</v>
      </c>
      <c r="V1777" s="14">
        <v>1</v>
      </c>
      <c r="W1777" s="14">
        <v>1</v>
      </c>
      <c r="X1777" s="14">
        <v>1</v>
      </c>
    </row>
    <row r="1778" spans="1:24" hidden="1" x14ac:dyDescent="0.3">
      <c r="A1778" s="14" t="s">
        <v>430</v>
      </c>
      <c r="B1778" s="14" t="s">
        <v>93</v>
      </c>
      <c r="C1778" s="14" t="s">
        <v>357</v>
      </c>
      <c r="D1778" s="14" t="s">
        <v>358</v>
      </c>
      <c r="E1778" s="14" t="s">
        <v>342</v>
      </c>
      <c r="F1778" s="14" t="s">
        <v>343</v>
      </c>
      <c r="G1778" s="14" t="s">
        <v>343</v>
      </c>
      <c r="H1778" s="14" t="s">
        <v>343</v>
      </c>
      <c r="U1778" s="14">
        <v>1</v>
      </c>
      <c r="V1778" s="14">
        <v>1</v>
      </c>
      <c r="W1778" s="14">
        <v>1</v>
      </c>
      <c r="X1778" s="14">
        <v>1</v>
      </c>
    </row>
    <row r="1779" spans="1:24" hidden="1" x14ac:dyDescent="0.3">
      <c r="A1779" s="14" t="s">
        <v>430</v>
      </c>
      <c r="B1779" s="14" t="s">
        <v>93</v>
      </c>
      <c r="C1779" s="14" t="s">
        <v>357</v>
      </c>
      <c r="D1779" s="14" t="s">
        <v>358</v>
      </c>
      <c r="E1779" s="14" t="s">
        <v>344</v>
      </c>
      <c r="F1779" s="14" t="s">
        <v>343</v>
      </c>
      <c r="G1779" s="14" t="s">
        <v>343</v>
      </c>
      <c r="H1779" s="14" t="s">
        <v>343</v>
      </c>
      <c r="U1779" s="14">
        <v>1</v>
      </c>
      <c r="V1779" s="14">
        <v>1</v>
      </c>
      <c r="W1779" s="14">
        <v>1</v>
      </c>
      <c r="X1779" s="14">
        <v>1</v>
      </c>
    </row>
    <row r="1780" spans="1:24" hidden="1" x14ac:dyDescent="0.3">
      <c r="A1780" s="14" t="s">
        <v>430</v>
      </c>
      <c r="B1780" s="14" t="s">
        <v>93</v>
      </c>
      <c r="C1780" s="14" t="s">
        <v>359</v>
      </c>
      <c r="D1780" s="14" t="s">
        <v>360</v>
      </c>
      <c r="E1780" s="14" t="s">
        <v>342</v>
      </c>
      <c r="F1780" s="14" t="s">
        <v>343</v>
      </c>
      <c r="G1780" s="14" t="s">
        <v>343</v>
      </c>
      <c r="H1780" s="14" t="s">
        <v>343</v>
      </c>
      <c r="I1780" s="14">
        <v>0.68</v>
      </c>
      <c r="J1780" s="14">
        <v>0.69</v>
      </c>
      <c r="K1780" s="14">
        <v>0.7</v>
      </c>
      <c r="L1780" s="14">
        <v>0.7</v>
      </c>
      <c r="M1780" s="14">
        <v>0.72</v>
      </c>
      <c r="N1780" s="14">
        <v>0.72</v>
      </c>
      <c r="O1780" s="14">
        <v>0.72</v>
      </c>
      <c r="P1780" s="14">
        <v>0.72</v>
      </c>
      <c r="Q1780" s="14">
        <v>0.71</v>
      </c>
      <c r="R1780" s="14">
        <v>0.71</v>
      </c>
      <c r="S1780" s="14">
        <v>0.7</v>
      </c>
      <c r="T1780" s="14">
        <v>0.73</v>
      </c>
      <c r="U1780" s="14">
        <v>0.73</v>
      </c>
      <c r="V1780" s="14">
        <v>0.74</v>
      </c>
      <c r="W1780" s="14">
        <v>0.75</v>
      </c>
      <c r="X1780" s="14">
        <v>0.75</v>
      </c>
    </row>
    <row r="1781" spans="1:24" hidden="1" x14ac:dyDescent="0.3">
      <c r="A1781" s="14" t="s">
        <v>430</v>
      </c>
      <c r="B1781" s="14" t="s">
        <v>93</v>
      </c>
      <c r="C1781" s="14" t="s">
        <v>359</v>
      </c>
      <c r="D1781" s="14" t="s">
        <v>360</v>
      </c>
      <c r="E1781" s="14" t="s">
        <v>344</v>
      </c>
      <c r="F1781" s="14" t="s">
        <v>343</v>
      </c>
      <c r="G1781" s="14" t="s">
        <v>343</v>
      </c>
      <c r="H1781" s="14" t="s">
        <v>343</v>
      </c>
      <c r="I1781" s="14">
        <v>27</v>
      </c>
      <c r="J1781" s="14">
        <v>34</v>
      </c>
      <c r="K1781" s="14">
        <v>33</v>
      </c>
      <c r="L1781" s="14">
        <v>36</v>
      </c>
      <c r="M1781" s="14">
        <v>35</v>
      </c>
      <c r="N1781" s="14">
        <v>35</v>
      </c>
      <c r="O1781" s="14">
        <v>40</v>
      </c>
      <c r="P1781" s="14">
        <v>41</v>
      </c>
      <c r="Q1781" s="14">
        <v>56</v>
      </c>
      <c r="R1781" s="14">
        <v>47</v>
      </c>
      <c r="S1781" s="14">
        <v>50</v>
      </c>
      <c r="T1781" s="14">
        <v>38</v>
      </c>
      <c r="U1781" s="14">
        <v>42</v>
      </c>
      <c r="V1781" s="14">
        <v>40</v>
      </c>
      <c r="W1781" s="14">
        <v>31</v>
      </c>
      <c r="X1781" s="14">
        <v>34</v>
      </c>
    </row>
    <row r="1782" spans="1:24" x14ac:dyDescent="0.3">
      <c r="A1782" s="14" t="s">
        <v>430</v>
      </c>
      <c r="B1782" s="14" t="s">
        <v>93</v>
      </c>
      <c r="C1782" s="14" t="s">
        <v>361</v>
      </c>
      <c r="D1782" s="14" t="s">
        <v>362</v>
      </c>
      <c r="E1782" s="14" t="s">
        <v>342</v>
      </c>
      <c r="F1782" s="14" t="s">
        <v>343</v>
      </c>
      <c r="G1782" s="14" t="s">
        <v>343</v>
      </c>
      <c r="H1782" s="14" t="s">
        <v>343</v>
      </c>
      <c r="I1782" s="14">
        <v>0.98</v>
      </c>
      <c r="J1782" s="14">
        <v>0.98</v>
      </c>
      <c r="K1782" s="14">
        <v>0.98</v>
      </c>
      <c r="L1782" s="14">
        <v>0.98</v>
      </c>
      <c r="M1782" s="14">
        <v>0.98</v>
      </c>
      <c r="N1782" s="14">
        <v>0.98</v>
      </c>
      <c r="O1782" s="14">
        <v>0.98</v>
      </c>
      <c r="P1782" s="14">
        <v>0.98</v>
      </c>
      <c r="Q1782" s="14">
        <v>0.98</v>
      </c>
      <c r="R1782" s="14">
        <v>0.98</v>
      </c>
      <c r="S1782" s="14">
        <v>0.98</v>
      </c>
      <c r="T1782" s="14">
        <v>0.98</v>
      </c>
      <c r="U1782" s="14">
        <v>0.98</v>
      </c>
      <c r="V1782" s="14">
        <v>0.97</v>
      </c>
      <c r="W1782" s="14">
        <v>0.98</v>
      </c>
      <c r="X1782" s="14">
        <v>0.98</v>
      </c>
    </row>
    <row r="1783" spans="1:24" hidden="1" x14ac:dyDescent="0.3">
      <c r="A1783" s="14" t="s">
        <v>430</v>
      </c>
      <c r="B1783" s="14" t="s">
        <v>93</v>
      </c>
      <c r="C1783" s="14" t="s">
        <v>361</v>
      </c>
      <c r="D1783" s="14" t="s">
        <v>362</v>
      </c>
      <c r="E1783" s="14" t="s">
        <v>344</v>
      </c>
      <c r="F1783" s="14" t="s">
        <v>343</v>
      </c>
      <c r="G1783" s="14" t="s">
        <v>343</v>
      </c>
      <c r="H1783" s="14" t="s">
        <v>343</v>
      </c>
      <c r="I1783" s="14">
        <v>36</v>
      </c>
      <c r="J1783" s="14">
        <v>37</v>
      </c>
      <c r="K1783" s="14">
        <v>38</v>
      </c>
      <c r="L1783" s="14">
        <v>41</v>
      </c>
      <c r="M1783" s="14">
        <v>50</v>
      </c>
      <c r="N1783" s="14">
        <v>51</v>
      </c>
      <c r="O1783" s="14">
        <v>34</v>
      </c>
      <c r="P1783" s="14">
        <v>34</v>
      </c>
      <c r="Q1783" s="14">
        <v>37</v>
      </c>
      <c r="R1783" s="14">
        <v>1</v>
      </c>
      <c r="S1783" s="14">
        <v>1</v>
      </c>
      <c r="T1783" s="14">
        <v>36</v>
      </c>
      <c r="U1783" s="14">
        <v>42</v>
      </c>
      <c r="V1783" s="14">
        <v>81</v>
      </c>
      <c r="W1783" s="14">
        <v>59</v>
      </c>
      <c r="X1783" s="14">
        <v>47</v>
      </c>
    </row>
    <row r="1784" spans="1:24" hidden="1" x14ac:dyDescent="0.3">
      <c r="A1784" s="14" t="s">
        <v>430</v>
      </c>
      <c r="B1784" s="14" t="s">
        <v>93</v>
      </c>
      <c r="C1784" s="14" t="s">
        <v>363</v>
      </c>
      <c r="D1784" s="14" t="s">
        <v>364</v>
      </c>
      <c r="E1784" s="14" t="s">
        <v>342</v>
      </c>
      <c r="F1784" s="14" t="s">
        <v>343</v>
      </c>
      <c r="G1784" s="14" t="s">
        <v>343</v>
      </c>
      <c r="H1784" s="14" t="s">
        <v>343</v>
      </c>
      <c r="U1784" s="14">
        <v>1.06</v>
      </c>
      <c r="V1784" s="14">
        <v>1.06</v>
      </c>
      <c r="W1784" s="14">
        <v>1.06</v>
      </c>
      <c r="X1784" s="14">
        <v>1.06</v>
      </c>
    </row>
    <row r="1785" spans="1:24" hidden="1" x14ac:dyDescent="0.3">
      <c r="A1785" s="14" t="s">
        <v>430</v>
      </c>
      <c r="B1785" s="14" t="s">
        <v>93</v>
      </c>
      <c r="C1785" s="14" t="s">
        <v>363</v>
      </c>
      <c r="D1785" s="14" t="s">
        <v>364</v>
      </c>
      <c r="E1785" s="14" t="s">
        <v>344</v>
      </c>
      <c r="F1785" s="14" t="s">
        <v>343</v>
      </c>
      <c r="G1785" s="14" t="s">
        <v>343</v>
      </c>
      <c r="H1785" s="14" t="s">
        <v>343</v>
      </c>
      <c r="U1785" s="14">
        <v>1</v>
      </c>
      <c r="V1785" s="14">
        <v>1</v>
      </c>
      <c r="W1785" s="14">
        <v>1</v>
      </c>
      <c r="X1785" s="14">
        <v>1</v>
      </c>
    </row>
    <row r="1786" spans="1:24" hidden="1" x14ac:dyDescent="0.3">
      <c r="A1786" s="14" t="s">
        <v>430</v>
      </c>
      <c r="B1786" s="14" t="s">
        <v>93</v>
      </c>
      <c r="C1786" s="14" t="s">
        <v>365</v>
      </c>
      <c r="D1786" s="14" t="s">
        <v>366</v>
      </c>
      <c r="E1786" s="14" t="s">
        <v>342</v>
      </c>
      <c r="F1786" s="14" t="s">
        <v>343</v>
      </c>
      <c r="G1786" s="14" t="s">
        <v>343</v>
      </c>
      <c r="H1786" s="14" t="s">
        <v>343</v>
      </c>
      <c r="U1786" s="14">
        <v>0.94</v>
      </c>
      <c r="V1786" s="14">
        <v>0.94</v>
      </c>
      <c r="W1786" s="14">
        <v>0.94</v>
      </c>
      <c r="X1786" s="14">
        <v>0.94</v>
      </c>
    </row>
    <row r="1787" spans="1:24" hidden="1" x14ac:dyDescent="0.3">
      <c r="A1787" s="14" t="s">
        <v>430</v>
      </c>
      <c r="B1787" s="14" t="s">
        <v>93</v>
      </c>
      <c r="C1787" s="14" t="s">
        <v>365</v>
      </c>
      <c r="D1787" s="14" t="s">
        <v>366</v>
      </c>
      <c r="E1787" s="14" t="s">
        <v>344</v>
      </c>
      <c r="F1787" s="14" t="s">
        <v>343</v>
      </c>
      <c r="G1787" s="14" t="s">
        <v>343</v>
      </c>
      <c r="H1787" s="14" t="s">
        <v>343</v>
      </c>
      <c r="U1787" s="14">
        <v>114</v>
      </c>
      <c r="V1787" s="14">
        <v>139</v>
      </c>
      <c r="W1787" s="14">
        <v>142</v>
      </c>
      <c r="X1787" s="14">
        <v>129</v>
      </c>
    </row>
    <row r="1788" spans="1:24" hidden="1" x14ac:dyDescent="0.3">
      <c r="A1788" s="14" t="s">
        <v>430</v>
      </c>
      <c r="B1788" s="14" t="s">
        <v>93</v>
      </c>
      <c r="C1788" s="14" t="s">
        <v>367</v>
      </c>
      <c r="D1788" s="14" t="s">
        <v>368</v>
      </c>
      <c r="E1788" s="14" t="s">
        <v>342</v>
      </c>
      <c r="F1788" s="14" t="s">
        <v>343</v>
      </c>
      <c r="G1788" s="14" t="s">
        <v>343</v>
      </c>
      <c r="H1788" s="14" t="s">
        <v>343</v>
      </c>
      <c r="I1788" s="14">
        <v>0.69</v>
      </c>
      <c r="J1788" s="14">
        <v>0.7</v>
      </c>
      <c r="K1788" s="14">
        <v>0.71</v>
      </c>
      <c r="L1788" s="14">
        <v>0.71</v>
      </c>
      <c r="M1788" s="14">
        <v>0.7</v>
      </c>
      <c r="N1788" s="14">
        <v>0.7</v>
      </c>
      <c r="O1788" s="14">
        <v>0.7</v>
      </c>
      <c r="P1788" s="14">
        <v>0.7</v>
      </c>
      <c r="Q1788" s="14">
        <v>0.7</v>
      </c>
      <c r="R1788" s="14">
        <v>0.75</v>
      </c>
      <c r="S1788" s="14">
        <v>0.75</v>
      </c>
      <c r="T1788" s="14">
        <v>0.73</v>
      </c>
      <c r="U1788" s="14">
        <v>0.73</v>
      </c>
      <c r="V1788" s="14">
        <v>0.75</v>
      </c>
      <c r="W1788" s="14">
        <v>0.73</v>
      </c>
      <c r="X1788" s="14">
        <v>0.73</v>
      </c>
    </row>
    <row r="1789" spans="1:24" hidden="1" x14ac:dyDescent="0.3">
      <c r="A1789" s="14" t="s">
        <v>430</v>
      </c>
      <c r="B1789" s="14" t="s">
        <v>93</v>
      </c>
      <c r="C1789" s="14" t="s">
        <v>367</v>
      </c>
      <c r="D1789" s="14" t="s">
        <v>368</v>
      </c>
      <c r="E1789" s="14" t="s">
        <v>344</v>
      </c>
      <c r="F1789" s="14" t="s">
        <v>343</v>
      </c>
      <c r="G1789" s="14" t="s">
        <v>343</v>
      </c>
      <c r="H1789" s="14" t="s">
        <v>343</v>
      </c>
      <c r="I1789" s="14">
        <v>29</v>
      </c>
      <c r="J1789" s="14">
        <v>30</v>
      </c>
      <c r="K1789" s="14">
        <v>37</v>
      </c>
      <c r="L1789" s="14">
        <v>37</v>
      </c>
      <c r="M1789" s="14">
        <v>47</v>
      </c>
      <c r="N1789" s="14">
        <v>52</v>
      </c>
      <c r="O1789" s="14">
        <v>60</v>
      </c>
      <c r="P1789" s="14">
        <v>59</v>
      </c>
      <c r="Q1789" s="14">
        <v>62</v>
      </c>
      <c r="R1789" s="14">
        <v>21</v>
      </c>
      <c r="S1789" s="14">
        <v>22</v>
      </c>
      <c r="T1789" s="14">
        <v>37</v>
      </c>
      <c r="U1789" s="14">
        <v>33</v>
      </c>
      <c r="V1789" s="14">
        <v>26</v>
      </c>
      <c r="W1789" s="14">
        <v>46</v>
      </c>
      <c r="X1789" s="14">
        <v>52</v>
      </c>
    </row>
    <row r="1790" spans="1:24" hidden="1" x14ac:dyDescent="0.3">
      <c r="A1790" s="14" t="s">
        <v>430</v>
      </c>
      <c r="B1790" s="14" t="s">
        <v>93</v>
      </c>
      <c r="C1790" s="14" t="s">
        <v>369</v>
      </c>
      <c r="D1790" s="14" t="s">
        <v>370</v>
      </c>
      <c r="E1790" s="14" t="s">
        <v>342</v>
      </c>
      <c r="F1790" s="14" t="s">
        <v>343</v>
      </c>
      <c r="G1790" s="14" t="s">
        <v>343</v>
      </c>
      <c r="H1790" s="14" t="s">
        <v>343</v>
      </c>
      <c r="I1790" s="14">
        <v>0.12</v>
      </c>
      <c r="J1790" s="14">
        <v>0.13</v>
      </c>
      <c r="K1790" s="14">
        <v>0.16</v>
      </c>
      <c r="L1790" s="14">
        <v>0.16</v>
      </c>
      <c r="M1790" s="14">
        <v>0.11</v>
      </c>
      <c r="N1790" s="14">
        <v>0.1</v>
      </c>
      <c r="O1790" s="14">
        <v>0.1</v>
      </c>
      <c r="P1790" s="14">
        <v>0.1</v>
      </c>
      <c r="Q1790" s="14">
        <v>0.12</v>
      </c>
      <c r="R1790" s="14">
        <v>0.31</v>
      </c>
      <c r="S1790" s="14">
        <v>0.31</v>
      </c>
      <c r="T1790" s="14">
        <v>0.22</v>
      </c>
      <c r="U1790" s="14">
        <v>0.23</v>
      </c>
      <c r="V1790" s="14">
        <v>0.28999999999999998</v>
      </c>
      <c r="W1790" s="14">
        <v>0.2</v>
      </c>
      <c r="X1790" s="14">
        <v>0.21</v>
      </c>
    </row>
    <row r="1791" spans="1:24" hidden="1" x14ac:dyDescent="0.3">
      <c r="A1791" s="14" t="s">
        <v>430</v>
      </c>
      <c r="B1791" s="14" t="s">
        <v>93</v>
      </c>
      <c r="C1791" s="14" t="s">
        <v>369</v>
      </c>
      <c r="D1791" s="14" t="s">
        <v>370</v>
      </c>
      <c r="E1791" s="14" t="s">
        <v>344</v>
      </c>
      <c r="F1791" s="14" t="s">
        <v>343</v>
      </c>
      <c r="G1791" s="14" t="s">
        <v>343</v>
      </c>
      <c r="H1791" s="14" t="s">
        <v>343</v>
      </c>
      <c r="I1791" s="14">
        <v>51</v>
      </c>
      <c r="J1791" s="14">
        <v>51</v>
      </c>
      <c r="K1791" s="14">
        <v>48</v>
      </c>
      <c r="L1791" s="14">
        <v>50</v>
      </c>
      <c r="M1791" s="14">
        <v>74</v>
      </c>
      <c r="N1791" s="14">
        <v>87</v>
      </c>
      <c r="O1791" s="14">
        <v>87</v>
      </c>
      <c r="P1791" s="14">
        <v>88</v>
      </c>
      <c r="Q1791" s="14">
        <v>88</v>
      </c>
      <c r="R1791" s="14">
        <v>30</v>
      </c>
      <c r="S1791" s="14">
        <v>30</v>
      </c>
      <c r="T1791" s="14">
        <v>52</v>
      </c>
      <c r="U1791" s="14">
        <v>51</v>
      </c>
      <c r="V1791" s="14">
        <v>37</v>
      </c>
      <c r="W1791" s="14">
        <v>75</v>
      </c>
      <c r="X1791" s="14">
        <v>73</v>
      </c>
    </row>
    <row r="1792" spans="1:24" hidden="1" x14ac:dyDescent="0.3">
      <c r="A1792" s="14" t="s">
        <v>430</v>
      </c>
      <c r="B1792" s="14" t="s">
        <v>93</v>
      </c>
      <c r="C1792" s="14" t="s">
        <v>371</v>
      </c>
      <c r="D1792" s="14" t="s">
        <v>372</v>
      </c>
      <c r="E1792" s="14" t="s">
        <v>342</v>
      </c>
      <c r="F1792" s="14" t="s">
        <v>343</v>
      </c>
      <c r="G1792" s="14" t="s">
        <v>343</v>
      </c>
      <c r="H1792" s="14" t="s">
        <v>343</v>
      </c>
      <c r="U1792" s="14">
        <v>0.04</v>
      </c>
      <c r="V1792" s="14">
        <v>0.06</v>
      </c>
      <c r="W1792" s="14">
        <v>0.09</v>
      </c>
      <c r="X1792" s="14">
        <v>0.14000000000000001</v>
      </c>
    </row>
    <row r="1793" spans="1:24" hidden="1" x14ac:dyDescent="0.3">
      <c r="A1793" s="14" t="s">
        <v>430</v>
      </c>
      <c r="B1793" s="14" t="s">
        <v>93</v>
      </c>
      <c r="C1793" s="14" t="s">
        <v>371</v>
      </c>
      <c r="D1793" s="14" t="s">
        <v>372</v>
      </c>
      <c r="E1793" s="14" t="s">
        <v>344</v>
      </c>
      <c r="F1793" s="14" t="s">
        <v>343</v>
      </c>
      <c r="G1793" s="14" t="s">
        <v>343</v>
      </c>
      <c r="H1793" s="14" t="s">
        <v>343</v>
      </c>
      <c r="U1793" s="14">
        <v>48</v>
      </c>
      <c r="V1793" s="14">
        <v>44</v>
      </c>
      <c r="W1793" s="14">
        <v>35</v>
      </c>
      <c r="X1793" s="14">
        <v>21</v>
      </c>
    </row>
    <row r="1794" spans="1:24" hidden="1" x14ac:dyDescent="0.3">
      <c r="A1794" s="14" t="s">
        <v>430</v>
      </c>
      <c r="B1794" s="14" t="s">
        <v>93</v>
      </c>
      <c r="C1794" s="14" t="s">
        <v>373</v>
      </c>
      <c r="D1794" s="14" t="s">
        <v>374</v>
      </c>
      <c r="E1794" s="14" t="s">
        <v>342</v>
      </c>
      <c r="F1794" s="14" t="s">
        <v>343</v>
      </c>
      <c r="G1794" s="14" t="s">
        <v>343</v>
      </c>
      <c r="H1794" s="14" t="s">
        <v>343</v>
      </c>
      <c r="U1794" s="14">
        <v>0.4</v>
      </c>
      <c r="V1794" s="14">
        <v>0.56000000000000005</v>
      </c>
      <c r="W1794" s="14">
        <v>0.17</v>
      </c>
      <c r="X1794" s="14">
        <v>0.17</v>
      </c>
    </row>
    <row r="1795" spans="1:24" hidden="1" x14ac:dyDescent="0.3">
      <c r="A1795" s="14" t="s">
        <v>430</v>
      </c>
      <c r="B1795" s="14" t="s">
        <v>93</v>
      </c>
      <c r="C1795" s="14" t="s">
        <v>373</v>
      </c>
      <c r="D1795" s="14" t="s">
        <v>374</v>
      </c>
      <c r="E1795" s="14" t="s">
        <v>344</v>
      </c>
      <c r="F1795" s="14" t="s">
        <v>343</v>
      </c>
      <c r="G1795" s="14" t="s">
        <v>343</v>
      </c>
      <c r="H1795" s="14" t="s">
        <v>343</v>
      </c>
      <c r="U1795" s="14">
        <v>27</v>
      </c>
      <c r="V1795" s="14">
        <v>23</v>
      </c>
      <c r="W1795" s="14">
        <v>106</v>
      </c>
      <c r="X1795" s="14">
        <v>101</v>
      </c>
    </row>
    <row r="1796" spans="1:24" hidden="1" x14ac:dyDescent="0.3">
      <c r="A1796" s="14" t="s">
        <v>430</v>
      </c>
      <c r="B1796" s="14" t="s">
        <v>93</v>
      </c>
      <c r="C1796" s="14" t="s">
        <v>375</v>
      </c>
      <c r="D1796" s="14" t="s">
        <v>376</v>
      </c>
      <c r="E1796" s="14" t="s">
        <v>342</v>
      </c>
      <c r="F1796" s="14" t="s">
        <v>343</v>
      </c>
      <c r="G1796" s="14" t="s">
        <v>343</v>
      </c>
      <c r="H1796" s="14" t="s">
        <v>343</v>
      </c>
      <c r="U1796" s="14">
        <v>0.36</v>
      </c>
      <c r="V1796" s="14">
        <v>0.42</v>
      </c>
      <c r="W1796" s="14">
        <v>0.38</v>
      </c>
      <c r="X1796" s="14">
        <v>0.35</v>
      </c>
    </row>
    <row r="1797" spans="1:24" hidden="1" x14ac:dyDescent="0.3">
      <c r="A1797" s="14" t="s">
        <v>430</v>
      </c>
      <c r="B1797" s="14" t="s">
        <v>93</v>
      </c>
      <c r="C1797" s="14" t="s">
        <v>375</v>
      </c>
      <c r="D1797" s="14" t="s">
        <v>376</v>
      </c>
      <c r="E1797" s="14" t="s">
        <v>344</v>
      </c>
      <c r="F1797" s="14" t="s">
        <v>343</v>
      </c>
      <c r="G1797" s="14" t="s">
        <v>343</v>
      </c>
      <c r="H1797" s="14" t="s">
        <v>343</v>
      </c>
      <c r="U1797" s="14">
        <v>54</v>
      </c>
      <c r="V1797" s="14">
        <v>47</v>
      </c>
      <c r="W1797" s="14">
        <v>56</v>
      </c>
      <c r="X1797" s="14">
        <v>77</v>
      </c>
    </row>
    <row r="1798" spans="1:24" hidden="1" x14ac:dyDescent="0.3">
      <c r="A1798" s="14" t="s">
        <v>431</v>
      </c>
      <c r="B1798" s="14" t="s">
        <v>95</v>
      </c>
      <c r="C1798" s="14" t="s">
        <v>340</v>
      </c>
      <c r="D1798" s="14" t="s">
        <v>341</v>
      </c>
      <c r="E1798" s="14" t="s">
        <v>342</v>
      </c>
      <c r="F1798" s="14" t="s">
        <v>343</v>
      </c>
      <c r="G1798" s="14" t="s">
        <v>343</v>
      </c>
      <c r="H1798" s="14" t="s">
        <v>343</v>
      </c>
      <c r="I1798" s="14">
        <v>0.74</v>
      </c>
      <c r="J1798" s="14">
        <v>0.74</v>
      </c>
      <c r="K1798" s="14">
        <v>0.7</v>
      </c>
      <c r="L1798" s="14">
        <v>0.7</v>
      </c>
      <c r="M1798" s="14">
        <v>0.7</v>
      </c>
      <c r="N1798" s="14">
        <v>0.7</v>
      </c>
      <c r="O1798" s="14">
        <v>0.74</v>
      </c>
      <c r="P1798" s="14">
        <v>0.75</v>
      </c>
      <c r="Q1798" s="14">
        <v>0.71</v>
      </c>
      <c r="R1798" s="14">
        <v>0.74</v>
      </c>
      <c r="S1798" s="14">
        <v>0.84</v>
      </c>
      <c r="T1798" s="14">
        <v>0.82</v>
      </c>
      <c r="U1798" s="14">
        <v>0.82</v>
      </c>
      <c r="V1798" s="14">
        <v>0.85</v>
      </c>
      <c r="W1798" s="14">
        <v>0.85</v>
      </c>
      <c r="X1798" s="14">
        <v>0.85</v>
      </c>
    </row>
    <row r="1799" spans="1:24" hidden="1" x14ac:dyDescent="0.3">
      <c r="A1799" s="14" t="s">
        <v>431</v>
      </c>
      <c r="B1799" s="14" t="s">
        <v>95</v>
      </c>
      <c r="C1799" s="14" t="s">
        <v>340</v>
      </c>
      <c r="D1799" s="14" t="s">
        <v>341</v>
      </c>
      <c r="E1799" s="14" t="s">
        <v>344</v>
      </c>
      <c r="F1799" s="14" t="s">
        <v>343</v>
      </c>
      <c r="G1799" s="14" t="s">
        <v>343</v>
      </c>
      <c r="H1799" s="14" t="s">
        <v>343</v>
      </c>
      <c r="I1799" s="14">
        <v>108</v>
      </c>
      <c r="J1799" s="14">
        <v>121</v>
      </c>
      <c r="K1799" s="14">
        <v>126</v>
      </c>
      <c r="L1799" s="14">
        <v>130</v>
      </c>
      <c r="M1799" s="14">
        <v>129</v>
      </c>
      <c r="N1799" s="14">
        <v>131</v>
      </c>
      <c r="O1799" s="14">
        <v>130</v>
      </c>
      <c r="P1799" s="14">
        <v>131</v>
      </c>
      <c r="Q1799" s="14">
        <v>139</v>
      </c>
      <c r="R1799" s="14">
        <v>140</v>
      </c>
      <c r="S1799" s="14">
        <v>132</v>
      </c>
      <c r="T1799" s="14">
        <v>134</v>
      </c>
      <c r="U1799" s="14">
        <v>137</v>
      </c>
      <c r="V1799" s="14">
        <v>140</v>
      </c>
      <c r="W1799" s="14">
        <v>141</v>
      </c>
      <c r="X1799" s="14">
        <v>133</v>
      </c>
    </row>
    <row r="1800" spans="1:24" hidden="1" x14ac:dyDescent="0.3">
      <c r="A1800" s="14" t="s">
        <v>431</v>
      </c>
      <c r="B1800" s="14" t="s">
        <v>95</v>
      </c>
      <c r="C1800" s="14" t="s">
        <v>345</v>
      </c>
      <c r="D1800" s="14" t="s">
        <v>346</v>
      </c>
      <c r="E1800" s="14" t="s">
        <v>342</v>
      </c>
      <c r="F1800" s="14" t="s">
        <v>343</v>
      </c>
      <c r="G1800" s="14" t="s">
        <v>343</v>
      </c>
      <c r="H1800" s="14" t="s">
        <v>343</v>
      </c>
      <c r="U1800" s="14">
        <v>0.6</v>
      </c>
      <c r="V1800" s="14">
        <v>0.57999999999999996</v>
      </c>
      <c r="W1800" s="14">
        <v>0.57999999999999996</v>
      </c>
      <c r="X1800" s="14">
        <v>0.6</v>
      </c>
    </row>
    <row r="1801" spans="1:24" hidden="1" x14ac:dyDescent="0.3">
      <c r="A1801" s="14" t="s">
        <v>431</v>
      </c>
      <c r="B1801" s="14" t="s">
        <v>95</v>
      </c>
      <c r="C1801" s="14" t="s">
        <v>345</v>
      </c>
      <c r="D1801" s="14" t="s">
        <v>346</v>
      </c>
      <c r="E1801" s="14" t="s">
        <v>344</v>
      </c>
      <c r="F1801" s="14" t="s">
        <v>343</v>
      </c>
      <c r="G1801" s="14" t="s">
        <v>343</v>
      </c>
      <c r="H1801" s="14" t="s">
        <v>343</v>
      </c>
      <c r="U1801" s="14">
        <v>80</v>
      </c>
      <c r="V1801" s="14">
        <v>93</v>
      </c>
      <c r="W1801" s="14">
        <v>93</v>
      </c>
      <c r="X1801" s="14">
        <v>93</v>
      </c>
    </row>
    <row r="1802" spans="1:24" hidden="1" x14ac:dyDescent="0.3">
      <c r="A1802" s="14" t="s">
        <v>431</v>
      </c>
      <c r="B1802" s="14" t="s">
        <v>95</v>
      </c>
      <c r="C1802" s="14" t="s">
        <v>347</v>
      </c>
      <c r="D1802" s="14" t="s">
        <v>348</v>
      </c>
      <c r="E1802" s="14" t="s">
        <v>342</v>
      </c>
      <c r="F1802" s="14" t="s">
        <v>343</v>
      </c>
      <c r="G1802" s="14" t="s">
        <v>343</v>
      </c>
      <c r="H1802" s="14" t="s">
        <v>343</v>
      </c>
      <c r="U1802" s="14">
        <v>0.9</v>
      </c>
      <c r="V1802" s="14">
        <v>0.88</v>
      </c>
      <c r="W1802" s="14">
        <v>0.88</v>
      </c>
      <c r="X1802" s="14">
        <v>0.85</v>
      </c>
    </row>
    <row r="1803" spans="1:24" hidden="1" x14ac:dyDescent="0.3">
      <c r="A1803" s="14" t="s">
        <v>431</v>
      </c>
      <c r="B1803" s="14" t="s">
        <v>95</v>
      </c>
      <c r="C1803" s="14" t="s">
        <v>347</v>
      </c>
      <c r="D1803" s="14" t="s">
        <v>348</v>
      </c>
      <c r="E1803" s="14" t="s">
        <v>344</v>
      </c>
      <c r="F1803" s="14" t="s">
        <v>343</v>
      </c>
      <c r="G1803" s="14" t="s">
        <v>343</v>
      </c>
      <c r="H1803" s="14" t="s">
        <v>343</v>
      </c>
      <c r="U1803" s="14">
        <v>41</v>
      </c>
      <c r="V1803" s="14">
        <v>52</v>
      </c>
      <c r="W1803" s="14">
        <v>57</v>
      </c>
      <c r="X1803" s="14">
        <v>43</v>
      </c>
    </row>
    <row r="1804" spans="1:24" hidden="1" x14ac:dyDescent="0.3">
      <c r="A1804" s="14" t="s">
        <v>431</v>
      </c>
      <c r="B1804" s="14" t="s">
        <v>95</v>
      </c>
      <c r="C1804" s="14" t="s">
        <v>349</v>
      </c>
      <c r="D1804" s="14" t="s">
        <v>350</v>
      </c>
      <c r="E1804" s="14" t="s">
        <v>342</v>
      </c>
      <c r="F1804" s="14" t="s">
        <v>343</v>
      </c>
      <c r="G1804" s="14" t="s">
        <v>343</v>
      </c>
      <c r="H1804" s="14" t="s">
        <v>343</v>
      </c>
      <c r="U1804" s="14">
        <v>0.36</v>
      </c>
      <c r="V1804" s="14">
        <v>0.36</v>
      </c>
      <c r="W1804" s="14">
        <v>0.36</v>
      </c>
      <c r="X1804" s="14">
        <v>0.36</v>
      </c>
    </row>
    <row r="1805" spans="1:24" hidden="1" x14ac:dyDescent="0.3">
      <c r="A1805" s="14" t="s">
        <v>431</v>
      </c>
      <c r="B1805" s="14" t="s">
        <v>95</v>
      </c>
      <c r="C1805" s="14" t="s">
        <v>349</v>
      </c>
      <c r="D1805" s="14" t="s">
        <v>350</v>
      </c>
      <c r="E1805" s="14" t="s">
        <v>344</v>
      </c>
      <c r="F1805" s="14" t="s">
        <v>343</v>
      </c>
      <c r="G1805" s="14" t="s">
        <v>343</v>
      </c>
      <c r="H1805" s="14" t="s">
        <v>343</v>
      </c>
      <c r="U1805" s="14">
        <v>97</v>
      </c>
      <c r="V1805" s="14">
        <v>103</v>
      </c>
      <c r="W1805" s="14">
        <v>102</v>
      </c>
      <c r="X1805" s="14">
        <v>99</v>
      </c>
    </row>
    <row r="1806" spans="1:24" hidden="1" x14ac:dyDescent="0.3">
      <c r="A1806" s="14" t="s">
        <v>431</v>
      </c>
      <c r="B1806" s="14" t="s">
        <v>95</v>
      </c>
      <c r="C1806" s="14" t="s">
        <v>351</v>
      </c>
      <c r="D1806" s="14" t="s">
        <v>352</v>
      </c>
      <c r="E1806" s="14" t="s">
        <v>342</v>
      </c>
      <c r="F1806" s="14" t="s">
        <v>343</v>
      </c>
      <c r="G1806" s="14" t="s">
        <v>343</v>
      </c>
      <c r="H1806" s="14" t="s">
        <v>343</v>
      </c>
      <c r="U1806" s="14">
        <v>0.48</v>
      </c>
      <c r="V1806" s="14">
        <v>0.48</v>
      </c>
      <c r="W1806" s="14">
        <v>0.43</v>
      </c>
      <c r="X1806" s="14">
        <v>0.48</v>
      </c>
    </row>
    <row r="1807" spans="1:24" hidden="1" x14ac:dyDescent="0.3">
      <c r="A1807" s="14" t="s">
        <v>431</v>
      </c>
      <c r="B1807" s="14" t="s">
        <v>95</v>
      </c>
      <c r="C1807" s="14" t="s">
        <v>351</v>
      </c>
      <c r="D1807" s="14" t="s">
        <v>352</v>
      </c>
      <c r="E1807" s="14" t="s">
        <v>344</v>
      </c>
      <c r="F1807" s="14" t="s">
        <v>343</v>
      </c>
      <c r="G1807" s="14" t="s">
        <v>343</v>
      </c>
      <c r="H1807" s="14" t="s">
        <v>343</v>
      </c>
      <c r="U1807" s="14">
        <v>124</v>
      </c>
      <c r="V1807" s="14">
        <v>129</v>
      </c>
      <c r="W1807" s="14">
        <v>135</v>
      </c>
      <c r="X1807" s="14">
        <v>120</v>
      </c>
    </row>
    <row r="1808" spans="1:24" hidden="1" x14ac:dyDescent="0.3">
      <c r="A1808" s="14" t="s">
        <v>431</v>
      </c>
      <c r="B1808" s="14" t="s">
        <v>95</v>
      </c>
      <c r="C1808" s="14" t="s">
        <v>378</v>
      </c>
      <c r="D1808" s="14" t="s">
        <v>379</v>
      </c>
      <c r="E1808" s="14" t="s">
        <v>342</v>
      </c>
      <c r="F1808" s="14" t="s">
        <v>343</v>
      </c>
      <c r="G1808" s="14" t="s">
        <v>343</v>
      </c>
      <c r="H1808" s="14" t="s">
        <v>343</v>
      </c>
      <c r="S1808" s="14">
        <v>0.56999999999999995</v>
      </c>
      <c r="U1808" s="14">
        <v>0.59</v>
      </c>
      <c r="V1808" s="14">
        <v>0.49</v>
      </c>
      <c r="W1808" s="14">
        <v>0.49</v>
      </c>
    </row>
    <row r="1809" spans="1:24" hidden="1" x14ac:dyDescent="0.3">
      <c r="A1809" s="14" t="s">
        <v>431</v>
      </c>
      <c r="B1809" s="14" t="s">
        <v>95</v>
      </c>
      <c r="C1809" s="14" t="s">
        <v>378</v>
      </c>
      <c r="D1809" s="14" t="s">
        <v>379</v>
      </c>
      <c r="E1809" s="14" t="s">
        <v>344</v>
      </c>
      <c r="F1809" s="14" t="s">
        <v>343</v>
      </c>
      <c r="G1809" s="14" t="s">
        <v>343</v>
      </c>
      <c r="H1809" s="14" t="s">
        <v>343</v>
      </c>
      <c r="S1809" s="14">
        <v>105</v>
      </c>
      <c r="U1809" s="14">
        <v>99</v>
      </c>
      <c r="V1809" s="14">
        <v>132</v>
      </c>
      <c r="W1809" s="14">
        <v>134</v>
      </c>
    </row>
    <row r="1810" spans="1:24" hidden="1" x14ac:dyDescent="0.3">
      <c r="A1810" s="14" t="s">
        <v>431</v>
      </c>
      <c r="B1810" s="14" t="s">
        <v>95</v>
      </c>
      <c r="C1810" s="14" t="s">
        <v>353</v>
      </c>
      <c r="D1810" s="14" t="s">
        <v>354</v>
      </c>
      <c r="E1810" s="14" t="s">
        <v>342</v>
      </c>
      <c r="F1810" s="14" t="s">
        <v>343</v>
      </c>
      <c r="G1810" s="14" t="s">
        <v>343</v>
      </c>
      <c r="H1810" s="14" t="s">
        <v>343</v>
      </c>
      <c r="U1810" s="14">
        <v>0.59</v>
      </c>
      <c r="V1810" s="14">
        <v>0.75</v>
      </c>
      <c r="W1810" s="14">
        <v>0.75</v>
      </c>
      <c r="X1810" s="14">
        <v>0.75</v>
      </c>
    </row>
    <row r="1811" spans="1:24" hidden="1" x14ac:dyDescent="0.3">
      <c r="A1811" s="14" t="s">
        <v>431</v>
      </c>
      <c r="B1811" s="14" t="s">
        <v>95</v>
      </c>
      <c r="C1811" s="14" t="s">
        <v>353</v>
      </c>
      <c r="D1811" s="14" t="s">
        <v>354</v>
      </c>
      <c r="E1811" s="14" t="s">
        <v>344</v>
      </c>
      <c r="F1811" s="14" t="s">
        <v>343</v>
      </c>
      <c r="G1811" s="14" t="s">
        <v>343</v>
      </c>
      <c r="H1811" s="14" t="s">
        <v>343</v>
      </c>
      <c r="U1811" s="14">
        <v>138</v>
      </c>
      <c r="V1811" s="14">
        <v>135</v>
      </c>
      <c r="W1811" s="14">
        <v>136</v>
      </c>
      <c r="X1811" s="14">
        <v>127</v>
      </c>
    </row>
    <row r="1812" spans="1:24" hidden="1" x14ac:dyDescent="0.3">
      <c r="A1812" s="14" t="s">
        <v>431</v>
      </c>
      <c r="B1812" s="14" t="s">
        <v>95</v>
      </c>
      <c r="C1812" s="14" t="s">
        <v>380</v>
      </c>
      <c r="D1812" s="14" t="s">
        <v>381</v>
      </c>
      <c r="E1812" s="14" t="s">
        <v>342</v>
      </c>
      <c r="F1812" s="14" t="s">
        <v>343</v>
      </c>
      <c r="G1812" s="14" t="s">
        <v>343</v>
      </c>
      <c r="H1812" s="14" t="s">
        <v>343</v>
      </c>
      <c r="U1812" s="14">
        <v>0.93</v>
      </c>
      <c r="V1812" s="14">
        <v>0.93</v>
      </c>
      <c r="W1812" s="14">
        <v>0.93</v>
      </c>
      <c r="X1812" s="14">
        <v>0.91</v>
      </c>
    </row>
    <row r="1813" spans="1:24" hidden="1" x14ac:dyDescent="0.3">
      <c r="A1813" s="14" t="s">
        <v>431</v>
      </c>
      <c r="B1813" s="14" t="s">
        <v>95</v>
      </c>
      <c r="C1813" s="14" t="s">
        <v>380</v>
      </c>
      <c r="D1813" s="14" t="s">
        <v>381</v>
      </c>
      <c r="E1813" s="14" t="s">
        <v>344</v>
      </c>
      <c r="F1813" s="14" t="s">
        <v>343</v>
      </c>
      <c r="G1813" s="14" t="s">
        <v>343</v>
      </c>
      <c r="H1813" s="14" t="s">
        <v>343</v>
      </c>
      <c r="U1813" s="14">
        <v>126</v>
      </c>
      <c r="V1813" s="14">
        <v>135</v>
      </c>
      <c r="W1813" s="14">
        <v>136</v>
      </c>
      <c r="X1813" s="14">
        <v>109</v>
      </c>
    </row>
    <row r="1814" spans="1:24" hidden="1" x14ac:dyDescent="0.3">
      <c r="A1814" s="14" t="s">
        <v>431</v>
      </c>
      <c r="B1814" s="14" t="s">
        <v>95</v>
      </c>
      <c r="C1814" s="14" t="s">
        <v>355</v>
      </c>
      <c r="D1814" s="14" t="s">
        <v>356</v>
      </c>
      <c r="E1814" s="14" t="s">
        <v>342</v>
      </c>
      <c r="F1814" s="14" t="s">
        <v>343</v>
      </c>
      <c r="G1814" s="14" t="s">
        <v>343</v>
      </c>
      <c r="H1814" s="14" t="s">
        <v>343</v>
      </c>
      <c r="U1814" s="14">
        <v>0.97</v>
      </c>
      <c r="V1814" s="14">
        <v>0.97</v>
      </c>
      <c r="W1814" s="14">
        <v>0.97</v>
      </c>
      <c r="X1814" s="14">
        <v>0.96</v>
      </c>
    </row>
    <row r="1815" spans="1:24" hidden="1" x14ac:dyDescent="0.3">
      <c r="A1815" s="14" t="s">
        <v>431</v>
      </c>
      <c r="B1815" s="14" t="s">
        <v>95</v>
      </c>
      <c r="C1815" s="14" t="s">
        <v>355</v>
      </c>
      <c r="D1815" s="14" t="s">
        <v>356</v>
      </c>
      <c r="E1815" s="14" t="s">
        <v>344</v>
      </c>
      <c r="F1815" s="14" t="s">
        <v>343</v>
      </c>
      <c r="G1815" s="14" t="s">
        <v>343</v>
      </c>
      <c r="H1815" s="14" t="s">
        <v>343</v>
      </c>
      <c r="U1815" s="14">
        <v>124</v>
      </c>
      <c r="V1815" s="14">
        <v>120</v>
      </c>
      <c r="W1815" s="14">
        <v>122</v>
      </c>
      <c r="X1815" s="14">
        <v>106</v>
      </c>
    </row>
    <row r="1816" spans="1:24" hidden="1" x14ac:dyDescent="0.3">
      <c r="A1816" s="14" t="s">
        <v>431</v>
      </c>
      <c r="B1816" s="14" t="s">
        <v>95</v>
      </c>
      <c r="C1816" s="14" t="s">
        <v>357</v>
      </c>
      <c r="D1816" s="14" t="s">
        <v>358</v>
      </c>
      <c r="E1816" s="14" t="s">
        <v>342</v>
      </c>
      <c r="F1816" s="14" t="s">
        <v>343</v>
      </c>
      <c r="G1816" s="14" t="s">
        <v>343</v>
      </c>
      <c r="H1816" s="14" t="s">
        <v>343</v>
      </c>
      <c r="U1816" s="14">
        <v>0.48</v>
      </c>
      <c r="V1816" s="14">
        <v>0.48</v>
      </c>
      <c r="W1816" s="14">
        <v>0.48</v>
      </c>
      <c r="X1816" s="14">
        <v>0.6</v>
      </c>
    </row>
    <row r="1817" spans="1:24" hidden="1" x14ac:dyDescent="0.3">
      <c r="A1817" s="14" t="s">
        <v>431</v>
      </c>
      <c r="B1817" s="14" t="s">
        <v>95</v>
      </c>
      <c r="C1817" s="14" t="s">
        <v>357</v>
      </c>
      <c r="D1817" s="14" t="s">
        <v>358</v>
      </c>
      <c r="E1817" s="14" t="s">
        <v>344</v>
      </c>
      <c r="F1817" s="14" t="s">
        <v>343</v>
      </c>
      <c r="G1817" s="14" t="s">
        <v>343</v>
      </c>
      <c r="H1817" s="14" t="s">
        <v>343</v>
      </c>
      <c r="U1817" s="14">
        <v>132</v>
      </c>
      <c r="V1817" s="14">
        <v>141</v>
      </c>
      <c r="W1817" s="14">
        <v>142</v>
      </c>
      <c r="X1817" s="14">
        <v>127</v>
      </c>
    </row>
    <row r="1818" spans="1:24" hidden="1" x14ac:dyDescent="0.3">
      <c r="A1818" s="14" t="s">
        <v>431</v>
      </c>
      <c r="B1818" s="14" t="s">
        <v>95</v>
      </c>
      <c r="C1818" s="14" t="s">
        <v>359</v>
      </c>
      <c r="D1818" s="14" t="s">
        <v>360</v>
      </c>
      <c r="E1818" s="14" t="s">
        <v>342</v>
      </c>
      <c r="F1818" s="14" t="s">
        <v>343</v>
      </c>
      <c r="G1818" s="14" t="s">
        <v>343</v>
      </c>
      <c r="H1818" s="14" t="s">
        <v>343</v>
      </c>
      <c r="I1818" s="14">
        <v>0.56999999999999995</v>
      </c>
      <c r="J1818" s="14">
        <v>0.59</v>
      </c>
      <c r="K1818" s="14">
        <v>0.56999999999999995</v>
      </c>
      <c r="L1818" s="14">
        <v>0.6</v>
      </c>
      <c r="M1818" s="14">
        <v>0.63</v>
      </c>
      <c r="N1818" s="14">
        <v>0.64</v>
      </c>
      <c r="O1818" s="14">
        <v>0.62</v>
      </c>
      <c r="P1818" s="14">
        <v>0.61</v>
      </c>
      <c r="Q1818" s="14">
        <v>0.62</v>
      </c>
      <c r="R1818" s="14">
        <v>0.61</v>
      </c>
      <c r="S1818" s="14">
        <v>0.6</v>
      </c>
      <c r="T1818" s="14">
        <v>0.6</v>
      </c>
      <c r="U1818" s="14">
        <v>0.61</v>
      </c>
      <c r="V1818" s="14">
        <v>0.56999999999999995</v>
      </c>
      <c r="W1818" s="14">
        <v>0.56000000000000005</v>
      </c>
      <c r="X1818" s="14">
        <v>0.6</v>
      </c>
    </row>
    <row r="1819" spans="1:24" hidden="1" x14ac:dyDescent="0.3">
      <c r="A1819" s="14" t="s">
        <v>431</v>
      </c>
      <c r="B1819" s="14" t="s">
        <v>95</v>
      </c>
      <c r="C1819" s="14" t="s">
        <v>359</v>
      </c>
      <c r="D1819" s="14" t="s">
        <v>360</v>
      </c>
      <c r="E1819" s="14" t="s">
        <v>344</v>
      </c>
      <c r="F1819" s="14" t="s">
        <v>343</v>
      </c>
      <c r="G1819" s="14" t="s">
        <v>343</v>
      </c>
      <c r="H1819" s="14" t="s">
        <v>343</v>
      </c>
      <c r="I1819" s="14">
        <v>74</v>
      </c>
      <c r="J1819" s="14">
        <v>86</v>
      </c>
      <c r="K1819" s="14">
        <v>96</v>
      </c>
      <c r="L1819" s="14">
        <v>91</v>
      </c>
      <c r="M1819" s="14">
        <v>74</v>
      </c>
      <c r="N1819" s="14">
        <v>71</v>
      </c>
      <c r="O1819" s="14">
        <v>85</v>
      </c>
      <c r="P1819" s="14">
        <v>93</v>
      </c>
      <c r="Q1819" s="14">
        <v>103</v>
      </c>
      <c r="R1819" s="14">
        <v>108</v>
      </c>
      <c r="S1819" s="14">
        <v>106</v>
      </c>
      <c r="T1819" s="14">
        <v>109</v>
      </c>
      <c r="U1819" s="14">
        <v>111</v>
      </c>
      <c r="V1819" s="14">
        <v>125</v>
      </c>
      <c r="W1819" s="14">
        <v>128</v>
      </c>
      <c r="X1819" s="14">
        <v>112</v>
      </c>
    </row>
    <row r="1820" spans="1:24" x14ac:dyDescent="0.3">
      <c r="A1820" s="14" t="s">
        <v>431</v>
      </c>
      <c r="B1820" s="14" t="s">
        <v>95</v>
      </c>
      <c r="C1820" s="14" t="s">
        <v>361</v>
      </c>
      <c r="D1820" s="14" t="s">
        <v>362</v>
      </c>
      <c r="E1820" s="14" t="s">
        <v>342</v>
      </c>
      <c r="F1820" s="14" t="s">
        <v>343</v>
      </c>
      <c r="G1820" s="14" t="s">
        <v>343</v>
      </c>
      <c r="H1820" s="14" t="s">
        <v>343</v>
      </c>
      <c r="I1820" s="14">
        <v>0.97</v>
      </c>
      <c r="J1820" s="14">
        <v>0.97</v>
      </c>
      <c r="K1820" s="14">
        <v>0.97</v>
      </c>
      <c r="L1820" s="14">
        <v>0.97</v>
      </c>
      <c r="M1820" s="14">
        <v>0.97</v>
      </c>
      <c r="N1820" s="14">
        <v>0.97</v>
      </c>
      <c r="O1820" s="14">
        <v>0.97</v>
      </c>
      <c r="P1820" s="14">
        <v>0.97</v>
      </c>
      <c r="Q1820" s="14">
        <v>0.97</v>
      </c>
      <c r="R1820" s="14">
        <v>0.98</v>
      </c>
      <c r="S1820" s="14">
        <v>0.98</v>
      </c>
      <c r="T1820" s="14">
        <v>0.98</v>
      </c>
      <c r="U1820" s="14">
        <v>0.98</v>
      </c>
      <c r="V1820" s="14">
        <v>0.98</v>
      </c>
      <c r="W1820" s="14">
        <v>0.97</v>
      </c>
      <c r="X1820" s="14">
        <v>0.97</v>
      </c>
    </row>
    <row r="1821" spans="1:24" hidden="1" x14ac:dyDescent="0.3">
      <c r="A1821" s="14" t="s">
        <v>431</v>
      </c>
      <c r="B1821" s="14" t="s">
        <v>95</v>
      </c>
      <c r="C1821" s="14" t="s">
        <v>361</v>
      </c>
      <c r="D1821" s="14" t="s">
        <v>362</v>
      </c>
      <c r="E1821" s="14" t="s">
        <v>344</v>
      </c>
      <c r="F1821" s="14" t="s">
        <v>343</v>
      </c>
      <c r="G1821" s="14" t="s">
        <v>343</v>
      </c>
      <c r="H1821" s="14" t="s">
        <v>343</v>
      </c>
      <c r="I1821" s="14">
        <v>87</v>
      </c>
      <c r="J1821" s="14">
        <v>100</v>
      </c>
      <c r="K1821" s="14">
        <v>101</v>
      </c>
      <c r="L1821" s="14">
        <v>106</v>
      </c>
      <c r="M1821" s="14">
        <v>75</v>
      </c>
      <c r="N1821" s="14">
        <v>77</v>
      </c>
      <c r="O1821" s="14">
        <v>72</v>
      </c>
      <c r="P1821" s="14">
        <v>68</v>
      </c>
      <c r="Q1821" s="14">
        <v>82</v>
      </c>
      <c r="R1821" s="14">
        <v>59</v>
      </c>
      <c r="S1821" s="14">
        <v>57</v>
      </c>
      <c r="T1821" s="14">
        <v>44</v>
      </c>
      <c r="U1821" s="14">
        <v>66</v>
      </c>
      <c r="V1821" s="14">
        <v>63</v>
      </c>
      <c r="W1821" s="14">
        <v>77</v>
      </c>
      <c r="X1821" s="14">
        <v>74</v>
      </c>
    </row>
    <row r="1822" spans="1:24" hidden="1" x14ac:dyDescent="0.3">
      <c r="A1822" s="14" t="s">
        <v>431</v>
      </c>
      <c r="B1822" s="14" t="s">
        <v>95</v>
      </c>
      <c r="C1822" s="14" t="s">
        <v>363</v>
      </c>
      <c r="D1822" s="14" t="s">
        <v>364</v>
      </c>
      <c r="E1822" s="14" t="s">
        <v>342</v>
      </c>
      <c r="F1822" s="14" t="s">
        <v>343</v>
      </c>
      <c r="G1822" s="14" t="s">
        <v>343</v>
      </c>
      <c r="H1822" s="14" t="s">
        <v>343</v>
      </c>
      <c r="U1822" s="14">
        <v>1.05</v>
      </c>
      <c r="V1822" s="14">
        <v>1.05</v>
      </c>
      <c r="W1822" s="14">
        <v>1.03</v>
      </c>
      <c r="X1822" s="14">
        <v>1.03</v>
      </c>
    </row>
    <row r="1823" spans="1:24" hidden="1" x14ac:dyDescent="0.3">
      <c r="A1823" s="14" t="s">
        <v>431</v>
      </c>
      <c r="B1823" s="14" t="s">
        <v>95</v>
      </c>
      <c r="C1823" s="14" t="s">
        <v>363</v>
      </c>
      <c r="D1823" s="14" t="s">
        <v>364</v>
      </c>
      <c r="E1823" s="14" t="s">
        <v>344</v>
      </c>
      <c r="F1823" s="14" t="s">
        <v>343</v>
      </c>
      <c r="G1823" s="14" t="s">
        <v>343</v>
      </c>
      <c r="H1823" s="14" t="s">
        <v>343</v>
      </c>
      <c r="U1823" s="14">
        <v>74</v>
      </c>
      <c r="V1823" s="14">
        <v>76</v>
      </c>
      <c r="W1823" s="14">
        <v>90</v>
      </c>
      <c r="X1823" s="14">
        <v>81</v>
      </c>
    </row>
    <row r="1824" spans="1:24" hidden="1" x14ac:dyDescent="0.3">
      <c r="A1824" s="14" t="s">
        <v>431</v>
      </c>
      <c r="B1824" s="14" t="s">
        <v>95</v>
      </c>
      <c r="C1824" s="14" t="s">
        <v>365</v>
      </c>
      <c r="D1824" s="14" t="s">
        <v>366</v>
      </c>
      <c r="E1824" s="14" t="s">
        <v>342</v>
      </c>
      <c r="F1824" s="14" t="s">
        <v>343</v>
      </c>
      <c r="G1824" s="14" t="s">
        <v>343</v>
      </c>
      <c r="H1824" s="14" t="s">
        <v>343</v>
      </c>
      <c r="U1824" s="14">
        <v>0.94</v>
      </c>
      <c r="V1824" s="14">
        <v>0.94</v>
      </c>
      <c r="W1824" s="14">
        <v>0.94</v>
      </c>
      <c r="X1824" s="14">
        <v>0.94</v>
      </c>
    </row>
    <row r="1825" spans="1:24" hidden="1" x14ac:dyDescent="0.3">
      <c r="A1825" s="14" t="s">
        <v>431</v>
      </c>
      <c r="B1825" s="14" t="s">
        <v>95</v>
      </c>
      <c r="C1825" s="14" t="s">
        <v>365</v>
      </c>
      <c r="D1825" s="14" t="s">
        <v>366</v>
      </c>
      <c r="E1825" s="14" t="s">
        <v>344</v>
      </c>
      <c r="F1825" s="14" t="s">
        <v>343</v>
      </c>
      <c r="G1825" s="14" t="s">
        <v>343</v>
      </c>
      <c r="H1825" s="14" t="s">
        <v>343</v>
      </c>
      <c r="U1825" s="14">
        <v>1</v>
      </c>
      <c r="V1825" s="14">
        <v>1</v>
      </c>
      <c r="W1825" s="14">
        <v>1</v>
      </c>
      <c r="X1825" s="14">
        <v>1</v>
      </c>
    </row>
    <row r="1826" spans="1:24" hidden="1" x14ac:dyDescent="0.3">
      <c r="A1826" s="14" t="s">
        <v>431</v>
      </c>
      <c r="B1826" s="14" t="s">
        <v>95</v>
      </c>
      <c r="C1826" s="14" t="s">
        <v>367</v>
      </c>
      <c r="D1826" s="14" t="s">
        <v>368</v>
      </c>
      <c r="E1826" s="14" t="s">
        <v>342</v>
      </c>
      <c r="F1826" s="14" t="s">
        <v>343</v>
      </c>
      <c r="G1826" s="14" t="s">
        <v>343</v>
      </c>
      <c r="H1826" s="14" t="s">
        <v>343</v>
      </c>
      <c r="I1826" s="14">
        <v>0.59</v>
      </c>
      <c r="J1826" s="14">
        <v>0.6</v>
      </c>
      <c r="K1826" s="14">
        <v>0.59</v>
      </c>
      <c r="L1826" s="14">
        <v>0.59</v>
      </c>
      <c r="M1826" s="14">
        <v>0.6</v>
      </c>
      <c r="N1826" s="14">
        <v>0.61</v>
      </c>
      <c r="O1826" s="14">
        <v>0.62</v>
      </c>
      <c r="P1826" s="14">
        <v>0.62</v>
      </c>
      <c r="Q1826" s="14">
        <v>0.61</v>
      </c>
      <c r="R1826" s="14">
        <v>0.64</v>
      </c>
      <c r="S1826" s="14">
        <v>0.66</v>
      </c>
      <c r="T1826" s="14">
        <v>0.66</v>
      </c>
      <c r="U1826" s="14">
        <v>0.66</v>
      </c>
      <c r="V1826" s="14">
        <v>0.7</v>
      </c>
      <c r="W1826" s="14">
        <v>0.69</v>
      </c>
      <c r="X1826" s="14">
        <v>0.71</v>
      </c>
    </row>
    <row r="1827" spans="1:24" hidden="1" x14ac:dyDescent="0.3">
      <c r="A1827" s="14" t="s">
        <v>431</v>
      </c>
      <c r="B1827" s="14" t="s">
        <v>95</v>
      </c>
      <c r="C1827" s="14" t="s">
        <v>367</v>
      </c>
      <c r="D1827" s="14" t="s">
        <v>368</v>
      </c>
      <c r="E1827" s="14" t="s">
        <v>344</v>
      </c>
      <c r="F1827" s="14" t="s">
        <v>343</v>
      </c>
      <c r="G1827" s="14" t="s">
        <v>343</v>
      </c>
      <c r="H1827" s="14" t="s">
        <v>343</v>
      </c>
      <c r="I1827" s="14">
        <v>100</v>
      </c>
      <c r="J1827" s="14">
        <v>113</v>
      </c>
      <c r="K1827" s="14">
        <v>122</v>
      </c>
      <c r="L1827" s="14">
        <v>122</v>
      </c>
      <c r="M1827" s="14">
        <v>121</v>
      </c>
      <c r="N1827" s="14">
        <v>116</v>
      </c>
      <c r="O1827" s="14">
        <v>118</v>
      </c>
      <c r="P1827" s="14">
        <v>118</v>
      </c>
      <c r="Q1827" s="14">
        <v>127</v>
      </c>
      <c r="R1827" s="14">
        <v>124</v>
      </c>
      <c r="S1827" s="14">
        <v>109</v>
      </c>
      <c r="T1827" s="14">
        <v>115</v>
      </c>
      <c r="U1827" s="14">
        <v>117</v>
      </c>
      <c r="V1827" s="14">
        <v>82</v>
      </c>
      <c r="W1827" s="14">
        <v>97</v>
      </c>
      <c r="X1827" s="14">
        <v>74</v>
      </c>
    </row>
    <row r="1828" spans="1:24" hidden="1" x14ac:dyDescent="0.3">
      <c r="A1828" s="14" t="s">
        <v>431</v>
      </c>
      <c r="B1828" s="14" t="s">
        <v>95</v>
      </c>
      <c r="C1828" s="14" t="s">
        <v>369</v>
      </c>
      <c r="D1828" s="14" t="s">
        <v>370</v>
      </c>
      <c r="E1828" s="14" t="s">
        <v>342</v>
      </c>
      <c r="F1828" s="14" t="s">
        <v>343</v>
      </c>
      <c r="G1828" s="14" t="s">
        <v>343</v>
      </c>
      <c r="H1828" s="14" t="s">
        <v>343</v>
      </c>
      <c r="I1828" s="14">
        <v>0.1</v>
      </c>
      <c r="J1828" s="14">
        <v>0.1</v>
      </c>
      <c r="K1828" s="14">
        <v>0.11</v>
      </c>
      <c r="L1828" s="14">
        <v>0.11</v>
      </c>
      <c r="M1828" s="14">
        <v>0.1</v>
      </c>
      <c r="N1828" s="14">
        <v>0.14000000000000001</v>
      </c>
      <c r="O1828" s="14">
        <v>0.15</v>
      </c>
      <c r="P1828" s="14">
        <v>0.15</v>
      </c>
      <c r="Q1828" s="14">
        <v>0.16</v>
      </c>
      <c r="R1828" s="14">
        <v>0.23</v>
      </c>
      <c r="S1828" s="14">
        <v>0.23</v>
      </c>
      <c r="T1828" s="14">
        <v>0.22</v>
      </c>
      <c r="U1828" s="14">
        <v>0.22</v>
      </c>
      <c r="V1828" s="14">
        <v>0.43</v>
      </c>
      <c r="W1828" s="14">
        <v>0.38</v>
      </c>
      <c r="X1828" s="14">
        <v>0.42</v>
      </c>
    </row>
    <row r="1829" spans="1:24" hidden="1" x14ac:dyDescent="0.3">
      <c r="A1829" s="14" t="s">
        <v>431</v>
      </c>
      <c r="B1829" s="14" t="s">
        <v>95</v>
      </c>
      <c r="C1829" s="14" t="s">
        <v>369</v>
      </c>
      <c r="D1829" s="14" t="s">
        <v>370</v>
      </c>
      <c r="E1829" s="14" t="s">
        <v>344</v>
      </c>
      <c r="F1829" s="14" t="s">
        <v>343</v>
      </c>
      <c r="G1829" s="14" t="s">
        <v>343</v>
      </c>
      <c r="H1829" s="14" t="s">
        <v>343</v>
      </c>
      <c r="I1829" s="14">
        <v>61</v>
      </c>
      <c r="J1829" s="14">
        <v>68</v>
      </c>
      <c r="K1829" s="14">
        <v>70</v>
      </c>
      <c r="L1829" s="14">
        <v>74</v>
      </c>
      <c r="M1829" s="14">
        <v>82</v>
      </c>
      <c r="N1829" s="14">
        <v>64</v>
      </c>
      <c r="O1829" s="14">
        <v>62</v>
      </c>
      <c r="P1829" s="14">
        <v>66</v>
      </c>
      <c r="Q1829" s="14">
        <v>70</v>
      </c>
      <c r="R1829" s="14">
        <v>44</v>
      </c>
      <c r="S1829" s="14">
        <v>45</v>
      </c>
      <c r="T1829" s="14">
        <v>50</v>
      </c>
      <c r="U1829" s="14">
        <v>52</v>
      </c>
      <c r="V1829" s="14">
        <v>16</v>
      </c>
      <c r="W1829" s="14">
        <v>28</v>
      </c>
      <c r="X1829" s="14">
        <v>26</v>
      </c>
    </row>
    <row r="1830" spans="1:24" hidden="1" x14ac:dyDescent="0.3">
      <c r="A1830" s="14" t="s">
        <v>431</v>
      </c>
      <c r="B1830" s="14" t="s">
        <v>95</v>
      </c>
      <c r="C1830" s="14" t="s">
        <v>371</v>
      </c>
      <c r="D1830" s="14" t="s">
        <v>372</v>
      </c>
      <c r="E1830" s="14" t="s">
        <v>342</v>
      </c>
      <c r="F1830" s="14" t="s">
        <v>343</v>
      </c>
      <c r="G1830" s="14" t="s">
        <v>343</v>
      </c>
      <c r="H1830" s="14" t="s">
        <v>343</v>
      </c>
      <c r="U1830" s="14">
        <v>0</v>
      </c>
      <c r="V1830" s="14">
        <v>0.01</v>
      </c>
      <c r="W1830" s="14">
        <v>0.05</v>
      </c>
      <c r="X1830" s="14">
        <v>7.0000000000000007E-2</v>
      </c>
    </row>
    <row r="1831" spans="1:24" hidden="1" x14ac:dyDescent="0.3">
      <c r="A1831" s="14" t="s">
        <v>431</v>
      </c>
      <c r="B1831" s="14" t="s">
        <v>95</v>
      </c>
      <c r="C1831" s="14" t="s">
        <v>371</v>
      </c>
      <c r="D1831" s="14" t="s">
        <v>372</v>
      </c>
      <c r="E1831" s="14" t="s">
        <v>344</v>
      </c>
      <c r="F1831" s="14" t="s">
        <v>343</v>
      </c>
      <c r="G1831" s="14" t="s">
        <v>343</v>
      </c>
      <c r="H1831" s="14" t="s">
        <v>343</v>
      </c>
      <c r="U1831" s="14">
        <v>71</v>
      </c>
      <c r="V1831" s="14">
        <v>59</v>
      </c>
      <c r="W1831" s="14">
        <v>50</v>
      </c>
      <c r="X1831" s="14">
        <v>40</v>
      </c>
    </row>
    <row r="1832" spans="1:24" hidden="1" x14ac:dyDescent="0.3">
      <c r="A1832" s="14" t="s">
        <v>431</v>
      </c>
      <c r="B1832" s="14" t="s">
        <v>95</v>
      </c>
      <c r="C1832" s="14" t="s">
        <v>373</v>
      </c>
      <c r="D1832" s="14" t="s">
        <v>374</v>
      </c>
      <c r="E1832" s="14" t="s">
        <v>342</v>
      </c>
      <c r="F1832" s="14" t="s">
        <v>343</v>
      </c>
      <c r="G1832" s="14" t="s">
        <v>343</v>
      </c>
      <c r="H1832" s="14" t="s">
        <v>343</v>
      </c>
      <c r="U1832" s="14">
        <v>0.11</v>
      </c>
      <c r="V1832" s="14">
        <v>0.91</v>
      </c>
      <c r="W1832" s="14">
        <v>0.67</v>
      </c>
      <c r="X1832" s="14">
        <v>0.67</v>
      </c>
    </row>
    <row r="1833" spans="1:24" hidden="1" x14ac:dyDescent="0.3">
      <c r="A1833" s="14" t="s">
        <v>431</v>
      </c>
      <c r="B1833" s="14" t="s">
        <v>95</v>
      </c>
      <c r="C1833" s="14" t="s">
        <v>373</v>
      </c>
      <c r="D1833" s="14" t="s">
        <v>374</v>
      </c>
      <c r="E1833" s="14" t="s">
        <v>344</v>
      </c>
      <c r="F1833" s="14" t="s">
        <v>343</v>
      </c>
      <c r="G1833" s="14" t="s">
        <v>343</v>
      </c>
      <c r="H1833" s="14" t="s">
        <v>343</v>
      </c>
      <c r="U1833" s="14">
        <v>113</v>
      </c>
      <c r="V1833" s="14">
        <v>11</v>
      </c>
      <c r="W1833" s="14">
        <v>23</v>
      </c>
      <c r="X1833" s="14">
        <v>23</v>
      </c>
    </row>
    <row r="1834" spans="1:24" hidden="1" x14ac:dyDescent="0.3">
      <c r="A1834" s="14" t="s">
        <v>431</v>
      </c>
      <c r="B1834" s="14" t="s">
        <v>95</v>
      </c>
      <c r="C1834" s="14" t="s">
        <v>375</v>
      </c>
      <c r="D1834" s="14" t="s">
        <v>376</v>
      </c>
      <c r="E1834" s="14" t="s">
        <v>342</v>
      </c>
      <c r="F1834" s="14" t="s">
        <v>343</v>
      </c>
      <c r="G1834" s="14" t="s">
        <v>343</v>
      </c>
      <c r="H1834" s="14" t="s">
        <v>343</v>
      </c>
      <c r="U1834" s="14">
        <v>0.63</v>
      </c>
      <c r="V1834" s="14">
        <v>0.63</v>
      </c>
      <c r="W1834" s="14">
        <v>0.63</v>
      </c>
      <c r="X1834" s="14">
        <v>0.71</v>
      </c>
    </row>
    <row r="1835" spans="1:24" hidden="1" x14ac:dyDescent="0.3">
      <c r="A1835" s="14" t="s">
        <v>431</v>
      </c>
      <c r="B1835" s="14" t="s">
        <v>95</v>
      </c>
      <c r="C1835" s="14" t="s">
        <v>375</v>
      </c>
      <c r="D1835" s="14" t="s">
        <v>376</v>
      </c>
      <c r="E1835" s="14" t="s">
        <v>344</v>
      </c>
      <c r="F1835" s="14" t="s">
        <v>343</v>
      </c>
      <c r="G1835" s="14" t="s">
        <v>343</v>
      </c>
      <c r="H1835" s="14" t="s">
        <v>343</v>
      </c>
      <c r="U1835" s="14">
        <v>17</v>
      </c>
      <c r="V1835" s="14">
        <v>21</v>
      </c>
      <c r="W1835" s="14">
        <v>29</v>
      </c>
      <c r="X1835" s="14">
        <v>21</v>
      </c>
    </row>
    <row r="1836" spans="1:24" hidden="1" x14ac:dyDescent="0.3">
      <c r="A1836" s="14" t="s">
        <v>432</v>
      </c>
      <c r="B1836" s="14" t="s">
        <v>98</v>
      </c>
      <c r="C1836" s="14" t="s">
        <v>340</v>
      </c>
      <c r="D1836" s="14" t="s">
        <v>341</v>
      </c>
      <c r="E1836" s="14" t="s">
        <v>342</v>
      </c>
      <c r="F1836" s="14" t="s">
        <v>343</v>
      </c>
      <c r="G1836" s="14" t="s">
        <v>343</v>
      </c>
      <c r="H1836" s="14" t="s">
        <v>343</v>
      </c>
      <c r="I1836" s="14">
        <v>1</v>
      </c>
      <c r="J1836" s="14">
        <v>1</v>
      </c>
      <c r="K1836" s="14">
        <v>1</v>
      </c>
      <c r="L1836" s="14">
        <v>1</v>
      </c>
      <c r="M1836" s="14">
        <v>1</v>
      </c>
      <c r="N1836" s="14">
        <v>1</v>
      </c>
      <c r="O1836" s="14">
        <v>1</v>
      </c>
      <c r="P1836" s="14">
        <v>1</v>
      </c>
      <c r="Q1836" s="14">
        <v>1</v>
      </c>
      <c r="R1836" s="14">
        <v>1</v>
      </c>
      <c r="S1836" s="14">
        <v>1</v>
      </c>
      <c r="T1836" s="14">
        <v>1</v>
      </c>
      <c r="U1836" s="14">
        <v>1</v>
      </c>
      <c r="V1836" s="14">
        <v>1</v>
      </c>
      <c r="W1836" s="14">
        <v>1</v>
      </c>
      <c r="X1836" s="14">
        <v>1</v>
      </c>
    </row>
    <row r="1837" spans="1:24" hidden="1" x14ac:dyDescent="0.3">
      <c r="A1837" s="14" t="s">
        <v>432</v>
      </c>
      <c r="B1837" s="14" t="s">
        <v>98</v>
      </c>
      <c r="C1837" s="14" t="s">
        <v>340</v>
      </c>
      <c r="D1837" s="14" t="s">
        <v>341</v>
      </c>
      <c r="E1837" s="14" t="s">
        <v>344</v>
      </c>
      <c r="F1837" s="14" t="s">
        <v>343</v>
      </c>
      <c r="G1837" s="14" t="s">
        <v>343</v>
      </c>
      <c r="H1837" s="14" t="s">
        <v>343</v>
      </c>
      <c r="I1837" s="14">
        <v>17</v>
      </c>
      <c r="J1837" s="14">
        <v>21</v>
      </c>
      <c r="K1837" s="14">
        <v>1</v>
      </c>
      <c r="L1837" s="14">
        <v>1</v>
      </c>
      <c r="M1837" s="14">
        <v>28</v>
      </c>
      <c r="N1837" s="14">
        <v>26</v>
      </c>
      <c r="O1837" s="14">
        <v>1</v>
      </c>
      <c r="P1837" s="14">
        <v>1</v>
      </c>
      <c r="Q1837" s="14">
        <v>1</v>
      </c>
      <c r="R1837" s="14">
        <v>1</v>
      </c>
      <c r="S1837" s="14">
        <v>1</v>
      </c>
      <c r="T1837" s="14">
        <v>1</v>
      </c>
      <c r="U1837" s="14">
        <v>1</v>
      </c>
      <c r="V1837" s="14">
        <v>1</v>
      </c>
      <c r="W1837" s="14">
        <v>1</v>
      </c>
      <c r="X1837" s="14">
        <v>1</v>
      </c>
    </row>
    <row r="1838" spans="1:24" hidden="1" x14ac:dyDescent="0.3">
      <c r="A1838" s="14" t="s">
        <v>432</v>
      </c>
      <c r="B1838" s="14" t="s">
        <v>98</v>
      </c>
      <c r="C1838" s="14" t="s">
        <v>345</v>
      </c>
      <c r="D1838" s="14" t="s">
        <v>346</v>
      </c>
      <c r="E1838" s="14" t="s">
        <v>342</v>
      </c>
      <c r="F1838" s="14" t="s">
        <v>343</v>
      </c>
      <c r="G1838" s="14" t="s">
        <v>343</v>
      </c>
      <c r="H1838" s="14" t="s">
        <v>343</v>
      </c>
      <c r="U1838" s="14">
        <v>0.72</v>
      </c>
      <c r="V1838" s="14">
        <v>0.72</v>
      </c>
      <c r="W1838" s="14">
        <v>0.72</v>
      </c>
      <c r="X1838" s="14">
        <v>0.72</v>
      </c>
    </row>
    <row r="1839" spans="1:24" hidden="1" x14ac:dyDescent="0.3">
      <c r="A1839" s="14" t="s">
        <v>432</v>
      </c>
      <c r="B1839" s="14" t="s">
        <v>98</v>
      </c>
      <c r="C1839" s="14" t="s">
        <v>345</v>
      </c>
      <c r="D1839" s="14" t="s">
        <v>346</v>
      </c>
      <c r="E1839" s="14" t="s">
        <v>344</v>
      </c>
      <c r="F1839" s="14" t="s">
        <v>343</v>
      </c>
      <c r="G1839" s="14" t="s">
        <v>343</v>
      </c>
      <c r="H1839" s="14" t="s">
        <v>343</v>
      </c>
      <c r="U1839" s="14">
        <v>28</v>
      </c>
      <c r="V1839" s="14">
        <v>33</v>
      </c>
      <c r="W1839" s="14">
        <v>34</v>
      </c>
      <c r="X1839" s="14">
        <v>34</v>
      </c>
    </row>
    <row r="1840" spans="1:24" hidden="1" x14ac:dyDescent="0.3">
      <c r="A1840" s="14" t="s">
        <v>432</v>
      </c>
      <c r="B1840" s="14" t="s">
        <v>98</v>
      </c>
      <c r="C1840" s="14" t="s">
        <v>347</v>
      </c>
      <c r="D1840" s="14" t="s">
        <v>348</v>
      </c>
      <c r="E1840" s="14" t="s">
        <v>342</v>
      </c>
      <c r="F1840" s="14" t="s">
        <v>343</v>
      </c>
      <c r="G1840" s="14" t="s">
        <v>343</v>
      </c>
      <c r="H1840" s="14" t="s">
        <v>343</v>
      </c>
      <c r="U1840" s="14">
        <v>0.96</v>
      </c>
      <c r="V1840" s="14">
        <v>0.96</v>
      </c>
      <c r="W1840" s="14">
        <v>0.96</v>
      </c>
      <c r="X1840" s="14">
        <v>0.88</v>
      </c>
    </row>
    <row r="1841" spans="1:24" hidden="1" x14ac:dyDescent="0.3">
      <c r="A1841" s="14" t="s">
        <v>432</v>
      </c>
      <c r="B1841" s="14" t="s">
        <v>98</v>
      </c>
      <c r="C1841" s="14" t="s">
        <v>347</v>
      </c>
      <c r="D1841" s="14" t="s">
        <v>348</v>
      </c>
      <c r="E1841" s="14" t="s">
        <v>344</v>
      </c>
      <c r="F1841" s="14" t="s">
        <v>343</v>
      </c>
      <c r="G1841" s="14" t="s">
        <v>343</v>
      </c>
      <c r="H1841" s="14" t="s">
        <v>343</v>
      </c>
      <c r="U1841" s="14">
        <v>11</v>
      </c>
      <c r="V1841" s="14">
        <v>13</v>
      </c>
      <c r="W1841" s="14">
        <v>11</v>
      </c>
      <c r="X1841" s="14">
        <v>24</v>
      </c>
    </row>
    <row r="1842" spans="1:24" hidden="1" x14ac:dyDescent="0.3">
      <c r="A1842" s="14" t="s">
        <v>432</v>
      </c>
      <c r="B1842" s="14" t="s">
        <v>98</v>
      </c>
      <c r="C1842" s="14" t="s">
        <v>349</v>
      </c>
      <c r="D1842" s="14" t="s">
        <v>350</v>
      </c>
      <c r="E1842" s="14" t="s">
        <v>342</v>
      </c>
      <c r="F1842" s="14" t="s">
        <v>343</v>
      </c>
      <c r="G1842" s="14" t="s">
        <v>343</v>
      </c>
      <c r="H1842" s="14" t="s">
        <v>343</v>
      </c>
      <c r="U1842" s="14">
        <v>0.46</v>
      </c>
      <c r="V1842" s="14">
        <v>0.47</v>
      </c>
      <c r="W1842" s="14">
        <v>0.57999999999999996</v>
      </c>
      <c r="X1842" s="14">
        <v>0.6</v>
      </c>
    </row>
    <row r="1843" spans="1:24" hidden="1" x14ac:dyDescent="0.3">
      <c r="A1843" s="14" t="s">
        <v>432</v>
      </c>
      <c r="B1843" s="14" t="s">
        <v>98</v>
      </c>
      <c r="C1843" s="14" t="s">
        <v>349</v>
      </c>
      <c r="D1843" s="14" t="s">
        <v>350</v>
      </c>
      <c r="E1843" s="14" t="s">
        <v>344</v>
      </c>
      <c r="F1843" s="14" t="s">
        <v>343</v>
      </c>
      <c r="G1843" s="14" t="s">
        <v>343</v>
      </c>
      <c r="H1843" s="14" t="s">
        <v>343</v>
      </c>
      <c r="U1843" s="14">
        <v>76</v>
      </c>
      <c r="V1843" s="14">
        <v>77</v>
      </c>
      <c r="W1843" s="14">
        <v>51</v>
      </c>
      <c r="X1843" s="14">
        <v>47</v>
      </c>
    </row>
    <row r="1844" spans="1:24" hidden="1" x14ac:dyDescent="0.3">
      <c r="A1844" s="14" t="s">
        <v>432</v>
      </c>
      <c r="B1844" s="14" t="s">
        <v>98</v>
      </c>
      <c r="C1844" s="14" t="s">
        <v>351</v>
      </c>
      <c r="D1844" s="14" t="s">
        <v>352</v>
      </c>
      <c r="E1844" s="14" t="s">
        <v>342</v>
      </c>
      <c r="F1844" s="14" t="s">
        <v>343</v>
      </c>
      <c r="G1844" s="14" t="s">
        <v>343</v>
      </c>
      <c r="H1844" s="14" t="s">
        <v>343</v>
      </c>
      <c r="U1844" s="14">
        <v>1</v>
      </c>
      <c r="V1844" s="14">
        <v>1</v>
      </c>
      <c r="W1844" s="14">
        <v>1</v>
      </c>
      <c r="X1844" s="14">
        <v>1</v>
      </c>
    </row>
    <row r="1845" spans="1:24" hidden="1" x14ac:dyDescent="0.3">
      <c r="A1845" s="14" t="s">
        <v>432</v>
      </c>
      <c r="B1845" s="14" t="s">
        <v>98</v>
      </c>
      <c r="C1845" s="14" t="s">
        <v>351</v>
      </c>
      <c r="D1845" s="14" t="s">
        <v>352</v>
      </c>
      <c r="E1845" s="14" t="s">
        <v>344</v>
      </c>
      <c r="F1845" s="14" t="s">
        <v>343</v>
      </c>
      <c r="G1845" s="14" t="s">
        <v>343</v>
      </c>
      <c r="H1845" s="14" t="s">
        <v>343</v>
      </c>
      <c r="U1845" s="14">
        <v>1</v>
      </c>
      <c r="V1845" s="14">
        <v>1</v>
      </c>
      <c r="W1845" s="14">
        <v>1</v>
      </c>
      <c r="X1845" s="14">
        <v>1</v>
      </c>
    </row>
    <row r="1846" spans="1:24" hidden="1" x14ac:dyDescent="0.3">
      <c r="A1846" s="14" t="s">
        <v>432</v>
      </c>
      <c r="B1846" s="14" t="s">
        <v>98</v>
      </c>
      <c r="C1846" s="14" t="s">
        <v>378</v>
      </c>
      <c r="D1846" s="14" t="s">
        <v>379</v>
      </c>
      <c r="E1846" s="14" t="s">
        <v>342</v>
      </c>
      <c r="F1846" s="14" t="s">
        <v>343</v>
      </c>
      <c r="G1846" s="14" t="s">
        <v>343</v>
      </c>
      <c r="H1846" s="14" t="s">
        <v>343</v>
      </c>
      <c r="S1846" s="14">
        <v>0.8</v>
      </c>
      <c r="U1846" s="14">
        <v>0.8</v>
      </c>
      <c r="V1846" s="14">
        <v>0.8</v>
      </c>
      <c r="W1846" s="14">
        <v>0.8</v>
      </c>
      <c r="X1846" s="14">
        <v>0.78</v>
      </c>
    </row>
    <row r="1847" spans="1:24" hidden="1" x14ac:dyDescent="0.3">
      <c r="A1847" s="14" t="s">
        <v>432</v>
      </c>
      <c r="B1847" s="14" t="s">
        <v>98</v>
      </c>
      <c r="C1847" s="14" t="s">
        <v>378</v>
      </c>
      <c r="D1847" s="14" t="s">
        <v>379</v>
      </c>
      <c r="E1847" s="14" t="s">
        <v>344</v>
      </c>
      <c r="F1847" s="14" t="s">
        <v>343</v>
      </c>
      <c r="G1847" s="14" t="s">
        <v>343</v>
      </c>
      <c r="H1847" s="14" t="s">
        <v>343</v>
      </c>
      <c r="S1847" s="14">
        <v>6</v>
      </c>
      <c r="U1847" s="14">
        <v>7</v>
      </c>
      <c r="V1847" s="14">
        <v>9</v>
      </c>
      <c r="W1847" s="14">
        <v>9</v>
      </c>
      <c r="X1847" s="14">
        <v>10</v>
      </c>
    </row>
    <row r="1848" spans="1:24" hidden="1" x14ac:dyDescent="0.3">
      <c r="A1848" s="14" t="s">
        <v>432</v>
      </c>
      <c r="B1848" s="14" t="s">
        <v>98</v>
      </c>
      <c r="C1848" s="14" t="s">
        <v>353</v>
      </c>
      <c r="D1848" s="14" t="s">
        <v>354</v>
      </c>
      <c r="E1848" s="14" t="s">
        <v>342</v>
      </c>
      <c r="F1848" s="14" t="s">
        <v>343</v>
      </c>
      <c r="G1848" s="14" t="s">
        <v>343</v>
      </c>
      <c r="H1848" s="14" t="s">
        <v>343</v>
      </c>
      <c r="U1848" s="14">
        <v>1</v>
      </c>
      <c r="V1848" s="14">
        <v>1</v>
      </c>
      <c r="W1848" s="14">
        <v>1</v>
      </c>
      <c r="X1848" s="14">
        <v>1</v>
      </c>
    </row>
    <row r="1849" spans="1:24" hidden="1" x14ac:dyDescent="0.3">
      <c r="A1849" s="14" t="s">
        <v>432</v>
      </c>
      <c r="B1849" s="14" t="s">
        <v>98</v>
      </c>
      <c r="C1849" s="14" t="s">
        <v>353</v>
      </c>
      <c r="D1849" s="14" t="s">
        <v>354</v>
      </c>
      <c r="E1849" s="14" t="s">
        <v>344</v>
      </c>
      <c r="F1849" s="14" t="s">
        <v>343</v>
      </c>
      <c r="G1849" s="14" t="s">
        <v>343</v>
      </c>
      <c r="H1849" s="14" t="s">
        <v>343</v>
      </c>
      <c r="U1849" s="14">
        <v>1</v>
      </c>
      <c r="V1849" s="14">
        <v>1</v>
      </c>
      <c r="W1849" s="14">
        <v>1</v>
      </c>
      <c r="X1849" s="14">
        <v>1</v>
      </c>
    </row>
    <row r="1850" spans="1:24" hidden="1" x14ac:dyDescent="0.3">
      <c r="A1850" s="14" t="s">
        <v>432</v>
      </c>
      <c r="B1850" s="14" t="s">
        <v>98</v>
      </c>
      <c r="C1850" s="14" t="s">
        <v>380</v>
      </c>
      <c r="D1850" s="14" t="s">
        <v>381</v>
      </c>
      <c r="E1850" s="14" t="s">
        <v>342</v>
      </c>
      <c r="F1850" s="14" t="s">
        <v>343</v>
      </c>
      <c r="G1850" s="14" t="s">
        <v>343</v>
      </c>
      <c r="H1850" s="14" t="s">
        <v>343</v>
      </c>
      <c r="U1850" s="14">
        <v>1</v>
      </c>
      <c r="V1850" s="14">
        <v>1</v>
      </c>
      <c r="W1850" s="14">
        <v>1</v>
      </c>
      <c r="X1850" s="14">
        <v>1</v>
      </c>
    </row>
    <row r="1851" spans="1:24" hidden="1" x14ac:dyDescent="0.3">
      <c r="A1851" s="14" t="s">
        <v>432</v>
      </c>
      <c r="B1851" s="14" t="s">
        <v>98</v>
      </c>
      <c r="C1851" s="14" t="s">
        <v>380</v>
      </c>
      <c r="D1851" s="14" t="s">
        <v>381</v>
      </c>
      <c r="E1851" s="14" t="s">
        <v>344</v>
      </c>
      <c r="F1851" s="14" t="s">
        <v>343</v>
      </c>
      <c r="G1851" s="14" t="s">
        <v>343</v>
      </c>
      <c r="H1851" s="14" t="s">
        <v>343</v>
      </c>
      <c r="U1851" s="14">
        <v>1</v>
      </c>
      <c r="V1851" s="14">
        <v>1</v>
      </c>
      <c r="W1851" s="14">
        <v>1</v>
      </c>
      <c r="X1851" s="14">
        <v>1</v>
      </c>
    </row>
    <row r="1852" spans="1:24" hidden="1" x14ac:dyDescent="0.3">
      <c r="A1852" s="14" t="s">
        <v>432</v>
      </c>
      <c r="B1852" s="14" t="s">
        <v>98</v>
      </c>
      <c r="C1852" s="14" t="s">
        <v>355</v>
      </c>
      <c r="D1852" s="14" t="s">
        <v>356</v>
      </c>
      <c r="E1852" s="14" t="s">
        <v>342</v>
      </c>
      <c r="F1852" s="14" t="s">
        <v>343</v>
      </c>
      <c r="G1852" s="14" t="s">
        <v>343</v>
      </c>
      <c r="H1852" s="14" t="s">
        <v>343</v>
      </c>
      <c r="U1852" s="14">
        <v>1</v>
      </c>
      <c r="V1852" s="14">
        <v>1</v>
      </c>
      <c r="W1852" s="14">
        <v>1</v>
      </c>
      <c r="X1852" s="14">
        <v>1</v>
      </c>
    </row>
    <row r="1853" spans="1:24" hidden="1" x14ac:dyDescent="0.3">
      <c r="A1853" s="14" t="s">
        <v>432</v>
      </c>
      <c r="B1853" s="14" t="s">
        <v>98</v>
      </c>
      <c r="C1853" s="14" t="s">
        <v>355</v>
      </c>
      <c r="D1853" s="14" t="s">
        <v>356</v>
      </c>
      <c r="E1853" s="14" t="s">
        <v>344</v>
      </c>
      <c r="F1853" s="14" t="s">
        <v>343</v>
      </c>
      <c r="G1853" s="14" t="s">
        <v>343</v>
      </c>
      <c r="H1853" s="14" t="s">
        <v>343</v>
      </c>
      <c r="U1853" s="14">
        <v>1</v>
      </c>
      <c r="V1853" s="14">
        <v>1</v>
      </c>
      <c r="W1853" s="14">
        <v>1</v>
      </c>
      <c r="X1853" s="14">
        <v>1</v>
      </c>
    </row>
    <row r="1854" spans="1:24" hidden="1" x14ac:dyDescent="0.3">
      <c r="A1854" s="14" t="s">
        <v>432</v>
      </c>
      <c r="B1854" s="14" t="s">
        <v>98</v>
      </c>
      <c r="C1854" s="14" t="s">
        <v>357</v>
      </c>
      <c r="D1854" s="14" t="s">
        <v>358</v>
      </c>
      <c r="E1854" s="14" t="s">
        <v>342</v>
      </c>
      <c r="F1854" s="14" t="s">
        <v>343</v>
      </c>
      <c r="G1854" s="14" t="s">
        <v>343</v>
      </c>
      <c r="H1854" s="14" t="s">
        <v>343</v>
      </c>
      <c r="U1854" s="14">
        <v>1</v>
      </c>
      <c r="V1854" s="14">
        <v>1</v>
      </c>
      <c r="W1854" s="14">
        <v>1</v>
      </c>
      <c r="X1854" s="14">
        <v>1</v>
      </c>
    </row>
    <row r="1855" spans="1:24" hidden="1" x14ac:dyDescent="0.3">
      <c r="A1855" s="14" t="s">
        <v>432</v>
      </c>
      <c r="B1855" s="14" t="s">
        <v>98</v>
      </c>
      <c r="C1855" s="14" t="s">
        <v>357</v>
      </c>
      <c r="D1855" s="14" t="s">
        <v>358</v>
      </c>
      <c r="E1855" s="14" t="s">
        <v>344</v>
      </c>
      <c r="F1855" s="14" t="s">
        <v>343</v>
      </c>
      <c r="G1855" s="14" t="s">
        <v>343</v>
      </c>
      <c r="H1855" s="14" t="s">
        <v>343</v>
      </c>
      <c r="U1855" s="14">
        <v>1</v>
      </c>
      <c r="V1855" s="14">
        <v>1</v>
      </c>
      <c r="W1855" s="14">
        <v>1</v>
      </c>
      <c r="X1855" s="14">
        <v>1</v>
      </c>
    </row>
    <row r="1856" spans="1:24" hidden="1" x14ac:dyDescent="0.3">
      <c r="A1856" s="14" t="s">
        <v>432</v>
      </c>
      <c r="B1856" s="14" t="s">
        <v>98</v>
      </c>
      <c r="C1856" s="14" t="s">
        <v>359</v>
      </c>
      <c r="D1856" s="14" t="s">
        <v>360</v>
      </c>
      <c r="E1856" s="14" t="s">
        <v>342</v>
      </c>
      <c r="F1856" s="14" t="s">
        <v>343</v>
      </c>
      <c r="G1856" s="14" t="s">
        <v>343</v>
      </c>
      <c r="H1856" s="14" t="s">
        <v>343</v>
      </c>
      <c r="I1856" s="14">
        <v>0.73</v>
      </c>
      <c r="J1856" s="14">
        <v>0.72</v>
      </c>
      <c r="K1856" s="14">
        <v>0.74</v>
      </c>
      <c r="L1856" s="14">
        <v>0.75</v>
      </c>
      <c r="M1856" s="14">
        <v>0.76</v>
      </c>
      <c r="N1856" s="14">
        <v>0.77</v>
      </c>
      <c r="O1856" s="14">
        <v>0.78</v>
      </c>
      <c r="P1856" s="14">
        <v>0.77</v>
      </c>
      <c r="Q1856" s="14">
        <v>0.79</v>
      </c>
      <c r="R1856" s="14">
        <v>0.82</v>
      </c>
      <c r="S1856" s="14">
        <v>0.79</v>
      </c>
      <c r="T1856" s="14">
        <v>0.79</v>
      </c>
      <c r="U1856" s="14">
        <v>0.79</v>
      </c>
      <c r="V1856" s="14">
        <v>0.79</v>
      </c>
      <c r="W1856" s="14">
        <v>0.81</v>
      </c>
      <c r="X1856" s="14">
        <v>0.79</v>
      </c>
    </row>
    <row r="1857" spans="1:24" hidden="1" x14ac:dyDescent="0.3">
      <c r="A1857" s="14" t="s">
        <v>432</v>
      </c>
      <c r="B1857" s="14" t="s">
        <v>98</v>
      </c>
      <c r="C1857" s="14" t="s">
        <v>359</v>
      </c>
      <c r="D1857" s="14" t="s">
        <v>360</v>
      </c>
      <c r="E1857" s="14" t="s">
        <v>344</v>
      </c>
      <c r="F1857" s="14" t="s">
        <v>343</v>
      </c>
      <c r="G1857" s="14" t="s">
        <v>343</v>
      </c>
      <c r="H1857" s="14" t="s">
        <v>343</v>
      </c>
      <c r="I1857" s="14">
        <v>8</v>
      </c>
      <c r="J1857" s="14">
        <v>22</v>
      </c>
      <c r="K1857" s="14">
        <v>19</v>
      </c>
      <c r="L1857" s="14">
        <v>15</v>
      </c>
      <c r="M1857" s="14">
        <v>16</v>
      </c>
      <c r="N1857" s="14">
        <v>12</v>
      </c>
      <c r="O1857" s="14">
        <v>14</v>
      </c>
      <c r="P1857" s="14">
        <v>19</v>
      </c>
      <c r="Q1857" s="14">
        <v>21</v>
      </c>
      <c r="R1857" s="14">
        <v>8</v>
      </c>
      <c r="S1857" s="14">
        <v>16</v>
      </c>
      <c r="T1857" s="14">
        <v>16</v>
      </c>
      <c r="U1857" s="14">
        <v>17</v>
      </c>
      <c r="V1857" s="14">
        <v>18</v>
      </c>
      <c r="W1857" s="14">
        <v>13</v>
      </c>
      <c r="X1857" s="14">
        <v>18</v>
      </c>
    </row>
    <row r="1858" spans="1:24" x14ac:dyDescent="0.3">
      <c r="A1858" s="14" t="s">
        <v>432</v>
      </c>
      <c r="B1858" s="14" t="s">
        <v>98</v>
      </c>
      <c r="C1858" s="14" t="s">
        <v>361</v>
      </c>
      <c r="D1858" s="14" t="s">
        <v>362</v>
      </c>
      <c r="E1858" s="14" t="s">
        <v>342</v>
      </c>
      <c r="F1858" s="14" t="s">
        <v>343</v>
      </c>
      <c r="G1858" s="14" t="s">
        <v>343</v>
      </c>
      <c r="H1858" s="14" t="s">
        <v>343</v>
      </c>
      <c r="I1858" s="14">
        <v>0.98</v>
      </c>
      <c r="J1858" s="14">
        <v>0.98</v>
      </c>
      <c r="K1858" s="14">
        <v>0.98</v>
      </c>
      <c r="L1858" s="14">
        <v>0.98</v>
      </c>
      <c r="M1858" s="14">
        <v>0.98</v>
      </c>
      <c r="N1858" s="14">
        <v>0.98</v>
      </c>
      <c r="O1858" s="14">
        <v>0.98</v>
      </c>
      <c r="P1858" s="14">
        <v>0.98</v>
      </c>
      <c r="Q1858" s="14">
        <v>0.98</v>
      </c>
      <c r="R1858" s="14">
        <v>0.98</v>
      </c>
      <c r="S1858" s="14">
        <v>0.98</v>
      </c>
      <c r="T1858" s="14">
        <v>0.98</v>
      </c>
      <c r="U1858" s="14">
        <v>0.98</v>
      </c>
      <c r="V1858" s="14">
        <v>0.98</v>
      </c>
      <c r="W1858" s="14">
        <v>0.97</v>
      </c>
      <c r="X1858" s="14">
        <v>0.97</v>
      </c>
    </row>
    <row r="1859" spans="1:24" hidden="1" x14ac:dyDescent="0.3">
      <c r="A1859" s="14" t="s">
        <v>432</v>
      </c>
      <c r="B1859" s="14" t="s">
        <v>98</v>
      </c>
      <c r="C1859" s="14" t="s">
        <v>361</v>
      </c>
      <c r="D1859" s="14" t="s">
        <v>362</v>
      </c>
      <c r="E1859" s="14" t="s">
        <v>344</v>
      </c>
      <c r="F1859" s="14" t="s">
        <v>343</v>
      </c>
      <c r="G1859" s="14" t="s">
        <v>343</v>
      </c>
      <c r="H1859" s="14" t="s">
        <v>343</v>
      </c>
      <c r="I1859" s="14">
        <v>1</v>
      </c>
      <c r="J1859" s="14">
        <v>1</v>
      </c>
      <c r="K1859" s="14">
        <v>1</v>
      </c>
      <c r="L1859" s="14">
        <v>1</v>
      </c>
      <c r="M1859" s="14">
        <v>1</v>
      </c>
      <c r="N1859" s="14">
        <v>1</v>
      </c>
      <c r="O1859" s="14">
        <v>1</v>
      </c>
      <c r="P1859" s="14">
        <v>1</v>
      </c>
      <c r="Q1859" s="14">
        <v>52</v>
      </c>
      <c r="R1859" s="14">
        <v>1</v>
      </c>
      <c r="S1859" s="14">
        <v>1</v>
      </c>
      <c r="T1859" s="14">
        <v>46</v>
      </c>
      <c r="U1859" s="14">
        <v>60</v>
      </c>
      <c r="V1859" s="14">
        <v>56</v>
      </c>
      <c r="W1859" s="14">
        <v>79</v>
      </c>
      <c r="X1859" s="14">
        <v>78</v>
      </c>
    </row>
    <row r="1860" spans="1:24" hidden="1" x14ac:dyDescent="0.3">
      <c r="A1860" s="14" t="s">
        <v>432</v>
      </c>
      <c r="B1860" s="14" t="s">
        <v>98</v>
      </c>
      <c r="C1860" s="14" t="s">
        <v>363</v>
      </c>
      <c r="D1860" s="14" t="s">
        <v>364</v>
      </c>
      <c r="E1860" s="14" t="s">
        <v>342</v>
      </c>
      <c r="F1860" s="14" t="s">
        <v>343</v>
      </c>
      <c r="G1860" s="14" t="s">
        <v>343</v>
      </c>
      <c r="H1860" s="14" t="s">
        <v>343</v>
      </c>
      <c r="U1860" s="14">
        <v>1.05</v>
      </c>
      <c r="V1860" s="14">
        <v>1.05</v>
      </c>
      <c r="W1860" s="14">
        <v>1.03</v>
      </c>
      <c r="X1860" s="14">
        <v>1.03</v>
      </c>
    </row>
    <row r="1861" spans="1:24" hidden="1" x14ac:dyDescent="0.3">
      <c r="A1861" s="14" t="s">
        <v>432</v>
      </c>
      <c r="B1861" s="14" t="s">
        <v>98</v>
      </c>
      <c r="C1861" s="14" t="s">
        <v>363</v>
      </c>
      <c r="D1861" s="14" t="s">
        <v>364</v>
      </c>
      <c r="E1861" s="14" t="s">
        <v>344</v>
      </c>
      <c r="F1861" s="14" t="s">
        <v>343</v>
      </c>
      <c r="G1861" s="14" t="s">
        <v>343</v>
      </c>
      <c r="H1861" s="14" t="s">
        <v>343</v>
      </c>
      <c r="U1861" s="14">
        <v>68</v>
      </c>
      <c r="V1861" s="14">
        <v>70</v>
      </c>
      <c r="W1861" s="14">
        <v>92</v>
      </c>
      <c r="X1861" s="14">
        <v>85</v>
      </c>
    </row>
    <row r="1862" spans="1:24" hidden="1" x14ac:dyDescent="0.3">
      <c r="A1862" s="14" t="s">
        <v>432</v>
      </c>
      <c r="B1862" s="14" t="s">
        <v>98</v>
      </c>
      <c r="C1862" s="14" t="s">
        <v>365</v>
      </c>
      <c r="D1862" s="14" t="s">
        <v>366</v>
      </c>
      <c r="E1862" s="14" t="s">
        <v>342</v>
      </c>
      <c r="F1862" s="14" t="s">
        <v>343</v>
      </c>
      <c r="G1862" s="14" t="s">
        <v>343</v>
      </c>
      <c r="H1862" s="14" t="s">
        <v>343</v>
      </c>
      <c r="U1862" s="14">
        <v>0.94</v>
      </c>
      <c r="V1862" s="14">
        <v>0.94</v>
      </c>
      <c r="W1862" s="14">
        <v>0.94</v>
      </c>
      <c r="X1862" s="14">
        <v>0.94</v>
      </c>
    </row>
    <row r="1863" spans="1:24" hidden="1" x14ac:dyDescent="0.3">
      <c r="A1863" s="14" t="s">
        <v>432</v>
      </c>
      <c r="B1863" s="14" t="s">
        <v>98</v>
      </c>
      <c r="C1863" s="14" t="s">
        <v>365</v>
      </c>
      <c r="D1863" s="14" t="s">
        <v>366</v>
      </c>
      <c r="E1863" s="14" t="s">
        <v>344</v>
      </c>
      <c r="F1863" s="14" t="s">
        <v>343</v>
      </c>
      <c r="G1863" s="14" t="s">
        <v>343</v>
      </c>
      <c r="H1863" s="14" t="s">
        <v>343</v>
      </c>
      <c r="U1863" s="14">
        <v>1</v>
      </c>
      <c r="V1863" s="14">
        <v>1</v>
      </c>
      <c r="W1863" s="14">
        <v>1</v>
      </c>
      <c r="X1863" s="14">
        <v>1</v>
      </c>
    </row>
    <row r="1864" spans="1:24" hidden="1" x14ac:dyDescent="0.3">
      <c r="A1864" s="14" t="s">
        <v>432</v>
      </c>
      <c r="B1864" s="14" t="s">
        <v>98</v>
      </c>
      <c r="C1864" s="14" t="s">
        <v>367</v>
      </c>
      <c r="D1864" s="14" t="s">
        <v>368</v>
      </c>
      <c r="E1864" s="14" t="s">
        <v>342</v>
      </c>
      <c r="F1864" s="14" t="s">
        <v>343</v>
      </c>
      <c r="G1864" s="14" t="s">
        <v>343</v>
      </c>
      <c r="H1864" s="14" t="s">
        <v>343</v>
      </c>
      <c r="I1864" s="14">
        <v>0.8</v>
      </c>
      <c r="J1864" s="14">
        <v>0.8</v>
      </c>
      <c r="K1864" s="14">
        <v>0.82</v>
      </c>
      <c r="L1864" s="14">
        <v>0.83</v>
      </c>
      <c r="M1864" s="14">
        <v>0.83</v>
      </c>
      <c r="N1864" s="14">
        <v>0.84</v>
      </c>
      <c r="O1864" s="14">
        <v>0.85</v>
      </c>
      <c r="P1864" s="14">
        <v>0.84</v>
      </c>
      <c r="Q1864" s="14">
        <v>0.85</v>
      </c>
      <c r="R1864" s="14">
        <v>0.85</v>
      </c>
      <c r="S1864" s="14">
        <v>0.84</v>
      </c>
      <c r="T1864" s="14">
        <v>0.82</v>
      </c>
      <c r="U1864" s="14">
        <v>0.82</v>
      </c>
      <c r="V1864" s="14">
        <v>0.83</v>
      </c>
      <c r="W1864" s="14">
        <v>0.86</v>
      </c>
      <c r="X1864" s="14">
        <v>0.86</v>
      </c>
    </row>
    <row r="1865" spans="1:24" hidden="1" x14ac:dyDescent="0.3">
      <c r="A1865" s="14" t="s">
        <v>432</v>
      </c>
      <c r="B1865" s="14" t="s">
        <v>98</v>
      </c>
      <c r="C1865" s="14" t="s">
        <v>367</v>
      </c>
      <c r="D1865" s="14" t="s">
        <v>368</v>
      </c>
      <c r="E1865" s="14" t="s">
        <v>344</v>
      </c>
      <c r="F1865" s="14" t="s">
        <v>343</v>
      </c>
      <c r="G1865" s="14" t="s">
        <v>343</v>
      </c>
      <c r="H1865" s="14" t="s">
        <v>343</v>
      </c>
      <c r="I1865" s="14">
        <v>3</v>
      </c>
      <c r="J1865" s="14">
        <v>3</v>
      </c>
      <c r="K1865" s="14">
        <v>2</v>
      </c>
      <c r="L1865" s="14">
        <v>2</v>
      </c>
      <c r="M1865" s="14">
        <v>3</v>
      </c>
      <c r="N1865" s="14">
        <v>3</v>
      </c>
      <c r="O1865" s="14">
        <v>2</v>
      </c>
      <c r="P1865" s="14">
        <v>2</v>
      </c>
      <c r="Q1865" s="14">
        <v>2</v>
      </c>
      <c r="R1865" s="14">
        <v>3</v>
      </c>
      <c r="S1865" s="14">
        <v>2</v>
      </c>
      <c r="T1865" s="14">
        <v>3</v>
      </c>
      <c r="U1865" s="14">
        <v>4</v>
      </c>
      <c r="V1865" s="14">
        <v>3</v>
      </c>
      <c r="W1865" s="14">
        <v>2</v>
      </c>
      <c r="X1865" s="14">
        <v>2</v>
      </c>
    </row>
    <row r="1866" spans="1:24" hidden="1" x14ac:dyDescent="0.3">
      <c r="A1866" s="14" t="s">
        <v>432</v>
      </c>
      <c r="B1866" s="14" t="s">
        <v>98</v>
      </c>
      <c r="C1866" s="14" t="s">
        <v>369</v>
      </c>
      <c r="D1866" s="14" t="s">
        <v>370</v>
      </c>
      <c r="E1866" s="14" t="s">
        <v>342</v>
      </c>
      <c r="F1866" s="14" t="s">
        <v>343</v>
      </c>
      <c r="G1866" s="14" t="s">
        <v>343</v>
      </c>
      <c r="H1866" s="14" t="s">
        <v>343</v>
      </c>
      <c r="I1866" s="14">
        <v>0.47</v>
      </c>
      <c r="J1866" s="14">
        <v>0.52</v>
      </c>
      <c r="K1866" s="14">
        <v>0.56000000000000005</v>
      </c>
      <c r="L1866" s="14">
        <v>0.56999999999999995</v>
      </c>
      <c r="M1866" s="14">
        <v>0.56999999999999995</v>
      </c>
      <c r="N1866" s="14">
        <v>0.61</v>
      </c>
      <c r="O1866" s="14">
        <v>0.62</v>
      </c>
      <c r="P1866" s="14">
        <v>0.62</v>
      </c>
      <c r="Q1866" s="14">
        <v>0.62</v>
      </c>
      <c r="R1866" s="14">
        <v>0.61</v>
      </c>
      <c r="S1866" s="14">
        <v>0.61</v>
      </c>
      <c r="T1866" s="14">
        <v>0.52</v>
      </c>
      <c r="U1866" s="14">
        <v>0.52</v>
      </c>
      <c r="V1866" s="14">
        <v>0.56000000000000005</v>
      </c>
      <c r="W1866" s="14">
        <v>0.67</v>
      </c>
      <c r="X1866" s="14">
        <v>0.68</v>
      </c>
    </row>
    <row r="1867" spans="1:24" hidden="1" x14ac:dyDescent="0.3">
      <c r="A1867" s="14" t="s">
        <v>432</v>
      </c>
      <c r="B1867" s="14" t="s">
        <v>98</v>
      </c>
      <c r="C1867" s="14" t="s">
        <v>369</v>
      </c>
      <c r="D1867" s="14" t="s">
        <v>370</v>
      </c>
      <c r="E1867" s="14" t="s">
        <v>344</v>
      </c>
      <c r="F1867" s="14" t="s">
        <v>343</v>
      </c>
      <c r="G1867" s="14" t="s">
        <v>343</v>
      </c>
      <c r="H1867" s="14" t="s">
        <v>343</v>
      </c>
      <c r="I1867" s="14">
        <v>3</v>
      </c>
      <c r="J1867" s="14">
        <v>2</v>
      </c>
      <c r="K1867" s="14">
        <v>1</v>
      </c>
      <c r="L1867" s="14">
        <v>2</v>
      </c>
      <c r="M1867" s="14">
        <v>2</v>
      </c>
      <c r="N1867" s="14">
        <v>2</v>
      </c>
      <c r="O1867" s="14">
        <v>2</v>
      </c>
      <c r="P1867" s="14">
        <v>2</v>
      </c>
      <c r="Q1867" s="14">
        <v>2</v>
      </c>
      <c r="R1867" s="14">
        <v>2</v>
      </c>
      <c r="S1867" s="14">
        <v>2</v>
      </c>
      <c r="T1867" s="14">
        <v>5</v>
      </c>
      <c r="U1867" s="14">
        <v>6</v>
      </c>
      <c r="V1867" s="14">
        <v>5</v>
      </c>
      <c r="W1867" s="14">
        <v>2</v>
      </c>
      <c r="X1867" s="14">
        <v>2</v>
      </c>
    </row>
    <row r="1868" spans="1:24" hidden="1" x14ac:dyDescent="0.3">
      <c r="A1868" s="14" t="s">
        <v>432</v>
      </c>
      <c r="B1868" s="14" t="s">
        <v>98</v>
      </c>
      <c r="C1868" s="14" t="s">
        <v>371</v>
      </c>
      <c r="D1868" s="14" t="s">
        <v>372</v>
      </c>
      <c r="E1868" s="14" t="s">
        <v>342</v>
      </c>
      <c r="F1868" s="14" t="s">
        <v>343</v>
      </c>
      <c r="G1868" s="14" t="s">
        <v>343</v>
      </c>
      <c r="H1868" s="14" t="s">
        <v>343</v>
      </c>
      <c r="U1868" s="14">
        <v>0.32</v>
      </c>
      <c r="V1868" s="14">
        <v>0.32</v>
      </c>
      <c r="W1868" s="14">
        <v>0.36</v>
      </c>
      <c r="X1868" s="14">
        <v>0.4</v>
      </c>
    </row>
    <row r="1869" spans="1:24" hidden="1" x14ac:dyDescent="0.3">
      <c r="A1869" s="14" t="s">
        <v>432</v>
      </c>
      <c r="B1869" s="14" t="s">
        <v>98</v>
      </c>
      <c r="C1869" s="14" t="s">
        <v>371</v>
      </c>
      <c r="D1869" s="14" t="s">
        <v>372</v>
      </c>
      <c r="E1869" s="14" t="s">
        <v>344</v>
      </c>
      <c r="F1869" s="14" t="s">
        <v>343</v>
      </c>
      <c r="G1869" s="14" t="s">
        <v>343</v>
      </c>
      <c r="H1869" s="14" t="s">
        <v>343</v>
      </c>
      <c r="U1869" s="14">
        <v>11</v>
      </c>
      <c r="V1869" s="14">
        <v>12</v>
      </c>
      <c r="W1869" s="14">
        <v>10</v>
      </c>
      <c r="X1869" s="14">
        <v>10</v>
      </c>
    </row>
    <row r="1870" spans="1:24" hidden="1" x14ac:dyDescent="0.3">
      <c r="A1870" s="14" t="s">
        <v>432</v>
      </c>
      <c r="B1870" s="14" t="s">
        <v>98</v>
      </c>
      <c r="C1870" s="14" t="s">
        <v>373</v>
      </c>
      <c r="D1870" s="14" t="s">
        <v>374</v>
      </c>
      <c r="E1870" s="14" t="s">
        <v>342</v>
      </c>
      <c r="F1870" s="14" t="s">
        <v>343</v>
      </c>
      <c r="G1870" s="14" t="s">
        <v>343</v>
      </c>
      <c r="H1870" s="14" t="s">
        <v>343</v>
      </c>
      <c r="U1870" s="14">
        <v>0.62</v>
      </c>
      <c r="V1870" s="14">
        <v>0.6</v>
      </c>
      <c r="W1870" s="14">
        <v>1</v>
      </c>
      <c r="X1870" s="14">
        <v>1</v>
      </c>
    </row>
    <row r="1871" spans="1:24" hidden="1" x14ac:dyDescent="0.3">
      <c r="A1871" s="14" t="s">
        <v>432</v>
      </c>
      <c r="B1871" s="14" t="s">
        <v>98</v>
      </c>
      <c r="C1871" s="14" t="s">
        <v>373</v>
      </c>
      <c r="D1871" s="14" t="s">
        <v>374</v>
      </c>
      <c r="E1871" s="14" t="s">
        <v>344</v>
      </c>
      <c r="F1871" s="14" t="s">
        <v>343</v>
      </c>
      <c r="G1871" s="14" t="s">
        <v>343</v>
      </c>
      <c r="H1871" s="14" t="s">
        <v>343</v>
      </c>
      <c r="U1871" s="14">
        <v>13</v>
      </c>
      <c r="V1871" s="14">
        <v>20</v>
      </c>
      <c r="W1871" s="14">
        <v>1</v>
      </c>
      <c r="X1871" s="14">
        <v>1</v>
      </c>
    </row>
    <row r="1872" spans="1:24" hidden="1" x14ac:dyDescent="0.3">
      <c r="A1872" s="14" t="s">
        <v>432</v>
      </c>
      <c r="B1872" s="14" t="s">
        <v>98</v>
      </c>
      <c r="C1872" s="14" t="s">
        <v>375</v>
      </c>
      <c r="D1872" s="14" t="s">
        <v>376</v>
      </c>
      <c r="E1872" s="14" t="s">
        <v>342</v>
      </c>
      <c r="F1872" s="14" t="s">
        <v>343</v>
      </c>
      <c r="G1872" s="14" t="s">
        <v>343</v>
      </c>
      <c r="H1872" s="14" t="s">
        <v>343</v>
      </c>
      <c r="U1872" s="14">
        <v>0.72</v>
      </c>
      <c r="V1872" s="14">
        <v>0.89</v>
      </c>
      <c r="W1872" s="14">
        <v>0.85</v>
      </c>
      <c r="X1872" s="14">
        <v>0.84</v>
      </c>
    </row>
    <row r="1873" spans="1:24" hidden="1" x14ac:dyDescent="0.3">
      <c r="A1873" s="14" t="s">
        <v>432</v>
      </c>
      <c r="B1873" s="14" t="s">
        <v>98</v>
      </c>
      <c r="C1873" s="14" t="s">
        <v>375</v>
      </c>
      <c r="D1873" s="14" t="s">
        <v>376</v>
      </c>
      <c r="E1873" s="14" t="s">
        <v>344</v>
      </c>
      <c r="F1873" s="14" t="s">
        <v>343</v>
      </c>
      <c r="G1873" s="14" t="s">
        <v>343</v>
      </c>
      <c r="H1873" s="14" t="s">
        <v>343</v>
      </c>
      <c r="U1873" s="14">
        <v>10</v>
      </c>
      <c r="V1873" s="14">
        <v>7</v>
      </c>
      <c r="W1873" s="14">
        <v>9</v>
      </c>
      <c r="X1873" s="14">
        <v>11</v>
      </c>
    </row>
    <row r="1874" spans="1:24" hidden="1" x14ac:dyDescent="0.3">
      <c r="A1874" s="14" t="s">
        <v>433</v>
      </c>
      <c r="B1874" s="14" t="s">
        <v>97</v>
      </c>
      <c r="C1874" s="14" t="s">
        <v>340</v>
      </c>
      <c r="D1874" s="14" t="s">
        <v>341</v>
      </c>
      <c r="E1874" s="14" t="s">
        <v>342</v>
      </c>
      <c r="F1874" s="14" t="s">
        <v>343</v>
      </c>
      <c r="G1874" s="14" t="s">
        <v>343</v>
      </c>
      <c r="H1874" s="14" t="s">
        <v>343</v>
      </c>
      <c r="L1874" s="14">
        <v>0.99</v>
      </c>
      <c r="M1874" s="14">
        <v>0.99</v>
      </c>
      <c r="N1874" s="14">
        <v>0.99</v>
      </c>
      <c r="O1874" s="14">
        <v>0.99</v>
      </c>
      <c r="P1874" s="14">
        <v>0.99</v>
      </c>
      <c r="Q1874" s="14">
        <v>0.99</v>
      </c>
      <c r="R1874" s="14">
        <v>0.99</v>
      </c>
      <c r="T1874" s="14">
        <v>0.99</v>
      </c>
      <c r="U1874" s="14">
        <v>0.99</v>
      </c>
      <c r="V1874" s="14">
        <v>1</v>
      </c>
      <c r="W1874" s="14">
        <v>1</v>
      </c>
      <c r="X1874" s="14">
        <v>1</v>
      </c>
    </row>
    <row r="1875" spans="1:24" hidden="1" x14ac:dyDescent="0.3">
      <c r="A1875" s="14" t="s">
        <v>433</v>
      </c>
      <c r="B1875" s="14" t="s">
        <v>97</v>
      </c>
      <c r="C1875" s="14" t="s">
        <v>340</v>
      </c>
      <c r="D1875" s="14" t="s">
        <v>341</v>
      </c>
      <c r="E1875" s="14" t="s">
        <v>344</v>
      </c>
      <c r="F1875" s="14" t="s">
        <v>343</v>
      </c>
      <c r="G1875" s="14" t="s">
        <v>343</v>
      </c>
      <c r="H1875" s="14" t="s">
        <v>343</v>
      </c>
      <c r="L1875" s="14">
        <v>72</v>
      </c>
      <c r="M1875" s="14">
        <v>70</v>
      </c>
      <c r="N1875" s="14">
        <v>70</v>
      </c>
      <c r="O1875" s="14">
        <v>63</v>
      </c>
      <c r="P1875" s="14">
        <v>63</v>
      </c>
      <c r="Q1875" s="14">
        <v>70</v>
      </c>
      <c r="R1875" s="14">
        <v>71</v>
      </c>
      <c r="T1875" s="14">
        <v>71</v>
      </c>
      <c r="U1875" s="14">
        <v>76</v>
      </c>
      <c r="V1875" s="14">
        <v>51</v>
      </c>
      <c r="W1875" s="14">
        <v>53</v>
      </c>
      <c r="X1875" s="14">
        <v>44</v>
      </c>
    </row>
    <row r="1876" spans="1:24" hidden="1" x14ac:dyDescent="0.3">
      <c r="A1876" s="14" t="s">
        <v>433</v>
      </c>
      <c r="B1876" s="14" t="s">
        <v>97</v>
      </c>
      <c r="C1876" s="14" t="s">
        <v>345</v>
      </c>
      <c r="D1876" s="14" t="s">
        <v>346</v>
      </c>
      <c r="E1876" s="14" t="s">
        <v>342</v>
      </c>
      <c r="F1876" s="14" t="s">
        <v>343</v>
      </c>
      <c r="G1876" s="14" t="s">
        <v>343</v>
      </c>
      <c r="H1876" s="14" t="s">
        <v>343</v>
      </c>
      <c r="U1876" s="14">
        <v>0.49</v>
      </c>
      <c r="V1876" s="14">
        <v>0.47</v>
      </c>
      <c r="W1876" s="14">
        <v>0.47</v>
      </c>
      <c r="X1876" s="14">
        <v>0.49</v>
      </c>
    </row>
    <row r="1877" spans="1:24" hidden="1" x14ac:dyDescent="0.3">
      <c r="A1877" s="14" t="s">
        <v>433</v>
      </c>
      <c r="B1877" s="14" t="s">
        <v>97</v>
      </c>
      <c r="C1877" s="14" t="s">
        <v>345</v>
      </c>
      <c r="D1877" s="14" t="s">
        <v>346</v>
      </c>
      <c r="E1877" s="14" t="s">
        <v>344</v>
      </c>
      <c r="F1877" s="14" t="s">
        <v>343</v>
      </c>
      <c r="G1877" s="14" t="s">
        <v>343</v>
      </c>
      <c r="H1877" s="14" t="s">
        <v>343</v>
      </c>
      <c r="U1877" s="14">
        <v>113</v>
      </c>
      <c r="V1877" s="14">
        <v>124</v>
      </c>
      <c r="W1877" s="14">
        <v>124</v>
      </c>
      <c r="X1877" s="14">
        <v>122</v>
      </c>
    </row>
    <row r="1878" spans="1:24" hidden="1" x14ac:dyDescent="0.3">
      <c r="A1878" s="14" t="s">
        <v>433</v>
      </c>
      <c r="B1878" s="14" t="s">
        <v>97</v>
      </c>
      <c r="C1878" s="14" t="s">
        <v>347</v>
      </c>
      <c r="D1878" s="14" t="s">
        <v>348</v>
      </c>
      <c r="E1878" s="14" t="s">
        <v>342</v>
      </c>
      <c r="F1878" s="14" t="s">
        <v>343</v>
      </c>
      <c r="G1878" s="14" t="s">
        <v>343</v>
      </c>
      <c r="H1878" s="14" t="s">
        <v>343</v>
      </c>
      <c r="U1878" s="14">
        <v>0.56000000000000005</v>
      </c>
      <c r="V1878" s="14">
        <v>0.52</v>
      </c>
      <c r="W1878" s="14">
        <v>0.51</v>
      </c>
      <c r="X1878" s="14">
        <v>0.5</v>
      </c>
    </row>
    <row r="1879" spans="1:24" hidden="1" x14ac:dyDescent="0.3">
      <c r="A1879" s="14" t="s">
        <v>433</v>
      </c>
      <c r="B1879" s="14" t="s">
        <v>97</v>
      </c>
      <c r="C1879" s="14" t="s">
        <v>347</v>
      </c>
      <c r="D1879" s="14" t="s">
        <v>348</v>
      </c>
      <c r="E1879" s="14" t="s">
        <v>344</v>
      </c>
      <c r="F1879" s="14" t="s">
        <v>343</v>
      </c>
      <c r="G1879" s="14" t="s">
        <v>343</v>
      </c>
      <c r="H1879" s="14" t="s">
        <v>343</v>
      </c>
      <c r="U1879" s="14">
        <v>126</v>
      </c>
      <c r="V1879" s="14">
        <v>132</v>
      </c>
      <c r="W1879" s="14">
        <v>135</v>
      </c>
      <c r="X1879" s="14">
        <v>130</v>
      </c>
    </row>
    <row r="1880" spans="1:24" hidden="1" x14ac:dyDescent="0.3">
      <c r="A1880" s="14" t="s">
        <v>433</v>
      </c>
      <c r="B1880" s="14" t="s">
        <v>97</v>
      </c>
      <c r="C1880" s="14" t="s">
        <v>349</v>
      </c>
      <c r="D1880" s="14" t="s">
        <v>350</v>
      </c>
      <c r="E1880" s="14" t="s">
        <v>342</v>
      </c>
      <c r="F1880" s="14" t="s">
        <v>343</v>
      </c>
      <c r="G1880" s="14" t="s">
        <v>343</v>
      </c>
      <c r="H1880" s="14" t="s">
        <v>343</v>
      </c>
      <c r="U1880" s="14">
        <v>0.64</v>
      </c>
      <c r="V1880" s="14">
        <v>0.64</v>
      </c>
      <c r="W1880" s="14">
        <v>0.64</v>
      </c>
      <c r="X1880" s="14">
        <v>0.64</v>
      </c>
    </row>
    <row r="1881" spans="1:24" hidden="1" x14ac:dyDescent="0.3">
      <c r="A1881" s="14" t="s">
        <v>433</v>
      </c>
      <c r="B1881" s="14" t="s">
        <v>97</v>
      </c>
      <c r="C1881" s="14" t="s">
        <v>349</v>
      </c>
      <c r="D1881" s="14" t="s">
        <v>350</v>
      </c>
      <c r="E1881" s="14" t="s">
        <v>344</v>
      </c>
      <c r="F1881" s="14" t="s">
        <v>343</v>
      </c>
      <c r="G1881" s="14" t="s">
        <v>343</v>
      </c>
      <c r="H1881" s="14" t="s">
        <v>343</v>
      </c>
      <c r="U1881" s="14">
        <v>32</v>
      </c>
      <c r="V1881" s="14">
        <v>30</v>
      </c>
      <c r="W1881" s="14">
        <v>42</v>
      </c>
      <c r="X1881" s="14">
        <v>40</v>
      </c>
    </row>
    <row r="1882" spans="1:24" hidden="1" x14ac:dyDescent="0.3">
      <c r="A1882" s="14" t="s">
        <v>433</v>
      </c>
      <c r="B1882" s="14" t="s">
        <v>97</v>
      </c>
      <c r="C1882" s="14" t="s">
        <v>351</v>
      </c>
      <c r="D1882" s="14" t="s">
        <v>352</v>
      </c>
      <c r="E1882" s="14" t="s">
        <v>342</v>
      </c>
      <c r="F1882" s="14" t="s">
        <v>343</v>
      </c>
      <c r="G1882" s="14" t="s">
        <v>343</v>
      </c>
      <c r="H1882" s="14" t="s">
        <v>343</v>
      </c>
      <c r="U1882" s="14">
        <v>0.85</v>
      </c>
      <c r="V1882" s="14">
        <v>0.85</v>
      </c>
      <c r="W1882" s="14">
        <v>0.76</v>
      </c>
      <c r="X1882" s="14">
        <v>0.85</v>
      </c>
    </row>
    <row r="1883" spans="1:24" hidden="1" x14ac:dyDescent="0.3">
      <c r="A1883" s="14" t="s">
        <v>433</v>
      </c>
      <c r="B1883" s="14" t="s">
        <v>97</v>
      </c>
      <c r="C1883" s="14" t="s">
        <v>351</v>
      </c>
      <c r="D1883" s="14" t="s">
        <v>352</v>
      </c>
      <c r="E1883" s="14" t="s">
        <v>344</v>
      </c>
      <c r="F1883" s="14" t="s">
        <v>343</v>
      </c>
      <c r="G1883" s="14" t="s">
        <v>343</v>
      </c>
      <c r="H1883" s="14" t="s">
        <v>343</v>
      </c>
      <c r="U1883" s="14">
        <v>96</v>
      </c>
      <c r="V1883" s="14">
        <v>99</v>
      </c>
      <c r="W1883" s="14">
        <v>101</v>
      </c>
      <c r="X1883" s="14">
        <v>91</v>
      </c>
    </row>
    <row r="1884" spans="1:24" hidden="1" x14ac:dyDescent="0.3">
      <c r="A1884" s="14" t="s">
        <v>433</v>
      </c>
      <c r="B1884" s="14" t="s">
        <v>97</v>
      </c>
      <c r="C1884" s="14" t="s">
        <v>353</v>
      </c>
      <c r="D1884" s="14" t="s">
        <v>354</v>
      </c>
      <c r="E1884" s="14" t="s">
        <v>342</v>
      </c>
      <c r="F1884" s="14" t="s">
        <v>343</v>
      </c>
      <c r="G1884" s="14" t="s">
        <v>343</v>
      </c>
      <c r="H1884" s="14" t="s">
        <v>343</v>
      </c>
      <c r="U1884" s="14">
        <v>0.96</v>
      </c>
      <c r="V1884" s="14">
        <v>1</v>
      </c>
      <c r="W1884" s="14">
        <v>1</v>
      </c>
      <c r="X1884" s="14">
        <v>1</v>
      </c>
    </row>
    <row r="1885" spans="1:24" hidden="1" x14ac:dyDescent="0.3">
      <c r="A1885" s="14" t="s">
        <v>433</v>
      </c>
      <c r="B1885" s="14" t="s">
        <v>97</v>
      </c>
      <c r="C1885" s="14" t="s">
        <v>353</v>
      </c>
      <c r="D1885" s="14" t="s">
        <v>354</v>
      </c>
      <c r="E1885" s="14" t="s">
        <v>344</v>
      </c>
      <c r="F1885" s="14" t="s">
        <v>343</v>
      </c>
      <c r="G1885" s="14" t="s">
        <v>343</v>
      </c>
      <c r="H1885" s="14" t="s">
        <v>343</v>
      </c>
      <c r="U1885" s="14">
        <v>87</v>
      </c>
      <c r="V1885" s="14">
        <v>1</v>
      </c>
      <c r="W1885" s="14">
        <v>1</v>
      </c>
      <c r="X1885" s="14">
        <v>1</v>
      </c>
    </row>
    <row r="1886" spans="1:24" hidden="1" x14ac:dyDescent="0.3">
      <c r="A1886" s="14" t="s">
        <v>433</v>
      </c>
      <c r="B1886" s="14" t="s">
        <v>97</v>
      </c>
      <c r="C1886" s="14" t="s">
        <v>380</v>
      </c>
      <c r="D1886" s="14" t="s">
        <v>381</v>
      </c>
      <c r="E1886" s="14" t="s">
        <v>342</v>
      </c>
      <c r="F1886" s="14" t="s">
        <v>343</v>
      </c>
      <c r="G1886" s="14" t="s">
        <v>343</v>
      </c>
      <c r="H1886" s="14" t="s">
        <v>343</v>
      </c>
      <c r="U1886" s="14">
        <v>1</v>
      </c>
      <c r="V1886" s="14">
        <v>0.99</v>
      </c>
      <c r="W1886" s="14">
        <v>0.99</v>
      </c>
      <c r="X1886" s="14">
        <v>0.99</v>
      </c>
    </row>
    <row r="1887" spans="1:24" hidden="1" x14ac:dyDescent="0.3">
      <c r="A1887" s="14" t="s">
        <v>433</v>
      </c>
      <c r="B1887" s="14" t="s">
        <v>97</v>
      </c>
      <c r="C1887" s="14" t="s">
        <v>380</v>
      </c>
      <c r="D1887" s="14" t="s">
        <v>381</v>
      </c>
      <c r="E1887" s="14" t="s">
        <v>344</v>
      </c>
      <c r="F1887" s="14" t="s">
        <v>343</v>
      </c>
      <c r="G1887" s="14" t="s">
        <v>343</v>
      </c>
      <c r="H1887" s="14" t="s">
        <v>343</v>
      </c>
      <c r="U1887" s="14">
        <v>1</v>
      </c>
      <c r="V1887" s="14">
        <v>102</v>
      </c>
      <c r="W1887" s="14">
        <v>104</v>
      </c>
      <c r="X1887" s="14">
        <v>87</v>
      </c>
    </row>
    <row r="1888" spans="1:24" hidden="1" x14ac:dyDescent="0.3">
      <c r="A1888" s="14" t="s">
        <v>433</v>
      </c>
      <c r="B1888" s="14" t="s">
        <v>97</v>
      </c>
      <c r="C1888" s="14" t="s">
        <v>355</v>
      </c>
      <c r="D1888" s="14" t="s">
        <v>356</v>
      </c>
      <c r="E1888" s="14" t="s">
        <v>342</v>
      </c>
      <c r="F1888" s="14" t="s">
        <v>343</v>
      </c>
      <c r="G1888" s="14" t="s">
        <v>343</v>
      </c>
      <c r="H1888" s="14" t="s">
        <v>343</v>
      </c>
      <c r="U1888" s="14">
        <v>1</v>
      </c>
      <c r="V1888" s="14">
        <v>1</v>
      </c>
      <c r="W1888" s="14">
        <v>1</v>
      </c>
      <c r="X1888" s="14">
        <v>1</v>
      </c>
    </row>
    <row r="1889" spans="1:24" hidden="1" x14ac:dyDescent="0.3">
      <c r="A1889" s="14" t="s">
        <v>433</v>
      </c>
      <c r="B1889" s="14" t="s">
        <v>97</v>
      </c>
      <c r="C1889" s="14" t="s">
        <v>355</v>
      </c>
      <c r="D1889" s="14" t="s">
        <v>356</v>
      </c>
      <c r="E1889" s="14" t="s">
        <v>344</v>
      </c>
      <c r="F1889" s="14" t="s">
        <v>343</v>
      </c>
      <c r="G1889" s="14" t="s">
        <v>343</v>
      </c>
      <c r="H1889" s="14" t="s">
        <v>343</v>
      </c>
      <c r="U1889" s="14">
        <v>1</v>
      </c>
      <c r="V1889" s="14">
        <v>1</v>
      </c>
      <c r="W1889" s="14">
        <v>1</v>
      </c>
      <c r="X1889" s="14">
        <v>1</v>
      </c>
    </row>
    <row r="1890" spans="1:24" hidden="1" x14ac:dyDescent="0.3">
      <c r="A1890" s="14" t="s">
        <v>433</v>
      </c>
      <c r="B1890" s="14" t="s">
        <v>97</v>
      </c>
      <c r="C1890" s="14" t="s">
        <v>357</v>
      </c>
      <c r="D1890" s="14" t="s">
        <v>358</v>
      </c>
      <c r="E1890" s="14" t="s">
        <v>342</v>
      </c>
      <c r="F1890" s="14" t="s">
        <v>343</v>
      </c>
      <c r="G1890" s="14" t="s">
        <v>343</v>
      </c>
      <c r="H1890" s="14" t="s">
        <v>343</v>
      </c>
      <c r="V1890" s="14">
        <v>1</v>
      </c>
      <c r="W1890" s="14">
        <v>1</v>
      </c>
      <c r="X1890" s="14">
        <v>1</v>
      </c>
    </row>
    <row r="1891" spans="1:24" hidden="1" x14ac:dyDescent="0.3">
      <c r="A1891" s="14" t="s">
        <v>433</v>
      </c>
      <c r="B1891" s="14" t="s">
        <v>97</v>
      </c>
      <c r="C1891" s="14" t="s">
        <v>357</v>
      </c>
      <c r="D1891" s="14" t="s">
        <v>358</v>
      </c>
      <c r="E1891" s="14" t="s">
        <v>344</v>
      </c>
      <c r="F1891" s="14" t="s">
        <v>343</v>
      </c>
      <c r="G1891" s="14" t="s">
        <v>343</v>
      </c>
      <c r="H1891" s="14" t="s">
        <v>343</v>
      </c>
      <c r="V1891" s="14">
        <v>1</v>
      </c>
      <c r="W1891" s="14">
        <v>1</v>
      </c>
      <c r="X1891" s="14">
        <v>1</v>
      </c>
    </row>
    <row r="1892" spans="1:24" hidden="1" x14ac:dyDescent="0.3">
      <c r="A1892" s="14" t="s">
        <v>433</v>
      </c>
      <c r="B1892" s="14" t="s">
        <v>97</v>
      </c>
      <c r="C1892" s="14" t="s">
        <v>359</v>
      </c>
      <c r="D1892" s="14" t="s">
        <v>360</v>
      </c>
      <c r="E1892" s="14" t="s">
        <v>342</v>
      </c>
      <c r="F1892" s="14" t="s">
        <v>343</v>
      </c>
      <c r="G1892" s="14" t="s">
        <v>343</v>
      </c>
      <c r="H1892" s="14" t="s">
        <v>343</v>
      </c>
      <c r="L1892" s="14">
        <v>0.53</v>
      </c>
      <c r="M1892" s="14">
        <v>0.5</v>
      </c>
      <c r="N1892" s="14">
        <v>0.5</v>
      </c>
      <c r="O1892" s="14">
        <v>0.5</v>
      </c>
      <c r="P1892" s="14">
        <v>0.5</v>
      </c>
      <c r="Q1892" s="14">
        <v>0.51</v>
      </c>
      <c r="R1892" s="14">
        <v>0.51</v>
      </c>
      <c r="T1892" s="14">
        <v>0.48</v>
      </c>
      <c r="U1892" s="14">
        <v>0.6</v>
      </c>
      <c r="V1892" s="14">
        <v>0.57999999999999996</v>
      </c>
      <c r="W1892" s="14">
        <v>0.56999999999999995</v>
      </c>
      <c r="X1892" s="14">
        <v>0.59</v>
      </c>
    </row>
    <row r="1893" spans="1:24" hidden="1" x14ac:dyDescent="0.3">
      <c r="A1893" s="14" t="s">
        <v>433</v>
      </c>
      <c r="B1893" s="14" t="s">
        <v>97</v>
      </c>
      <c r="C1893" s="14" t="s">
        <v>359</v>
      </c>
      <c r="D1893" s="14" t="s">
        <v>360</v>
      </c>
      <c r="E1893" s="14" t="s">
        <v>344</v>
      </c>
      <c r="F1893" s="14" t="s">
        <v>343</v>
      </c>
      <c r="G1893" s="14" t="s">
        <v>343</v>
      </c>
      <c r="H1893" s="14" t="s">
        <v>343</v>
      </c>
      <c r="L1893" s="14">
        <v>111</v>
      </c>
      <c r="M1893" s="14">
        <v>114</v>
      </c>
      <c r="N1893" s="14">
        <v>116</v>
      </c>
      <c r="O1893" s="14">
        <v>117</v>
      </c>
      <c r="P1893" s="14">
        <v>120</v>
      </c>
      <c r="Q1893" s="14">
        <v>125</v>
      </c>
      <c r="R1893" s="14">
        <v>129</v>
      </c>
      <c r="T1893" s="14">
        <v>127</v>
      </c>
      <c r="U1893" s="14">
        <v>112</v>
      </c>
      <c r="V1893" s="14">
        <v>123</v>
      </c>
      <c r="W1893" s="14">
        <v>127</v>
      </c>
      <c r="X1893" s="14">
        <v>118</v>
      </c>
    </row>
    <row r="1894" spans="1:24" x14ac:dyDescent="0.3">
      <c r="A1894" s="14" t="s">
        <v>433</v>
      </c>
      <c r="B1894" s="14" t="s">
        <v>97</v>
      </c>
      <c r="C1894" s="14" t="s">
        <v>361</v>
      </c>
      <c r="D1894" s="14" t="s">
        <v>362</v>
      </c>
      <c r="E1894" s="14" t="s">
        <v>342</v>
      </c>
      <c r="F1894" s="14" t="s">
        <v>343</v>
      </c>
      <c r="G1894" s="14" t="s">
        <v>343</v>
      </c>
      <c r="H1894" s="14" t="s">
        <v>343</v>
      </c>
      <c r="L1894" s="14">
        <v>0.98</v>
      </c>
      <c r="M1894" s="14">
        <v>0.98</v>
      </c>
      <c r="N1894" s="14">
        <v>0.98</v>
      </c>
      <c r="O1894" s="14">
        <v>0.98</v>
      </c>
      <c r="P1894" s="14">
        <v>0.98</v>
      </c>
      <c r="Q1894" s="14">
        <v>0.98</v>
      </c>
      <c r="R1894" s="14">
        <v>0.98</v>
      </c>
      <c r="T1894" s="14">
        <v>0.98</v>
      </c>
      <c r="U1894" s="14">
        <v>0.98</v>
      </c>
      <c r="V1894" s="14">
        <v>0.98</v>
      </c>
      <c r="W1894" s="14">
        <v>0.97</v>
      </c>
      <c r="X1894" s="14">
        <v>0.97</v>
      </c>
    </row>
    <row r="1895" spans="1:24" hidden="1" x14ac:dyDescent="0.3">
      <c r="A1895" s="14" t="s">
        <v>433</v>
      </c>
      <c r="B1895" s="14" t="s">
        <v>97</v>
      </c>
      <c r="C1895" s="14" t="s">
        <v>361</v>
      </c>
      <c r="D1895" s="14" t="s">
        <v>362</v>
      </c>
      <c r="E1895" s="14" t="s">
        <v>344</v>
      </c>
      <c r="F1895" s="14" t="s">
        <v>343</v>
      </c>
      <c r="G1895" s="14" t="s">
        <v>343</v>
      </c>
      <c r="H1895" s="14" t="s">
        <v>343</v>
      </c>
      <c r="L1895" s="14">
        <v>1</v>
      </c>
      <c r="M1895" s="14">
        <v>1</v>
      </c>
      <c r="N1895" s="14">
        <v>1</v>
      </c>
      <c r="O1895" s="14">
        <v>1</v>
      </c>
      <c r="P1895" s="14">
        <v>1</v>
      </c>
      <c r="Q1895" s="14">
        <v>1</v>
      </c>
      <c r="R1895" s="14">
        <v>1</v>
      </c>
      <c r="T1895" s="14">
        <v>36</v>
      </c>
      <c r="U1895" s="14">
        <v>42</v>
      </c>
      <c r="V1895" s="14">
        <v>41</v>
      </c>
      <c r="W1895" s="14">
        <v>72</v>
      </c>
      <c r="X1895" s="14">
        <v>69</v>
      </c>
    </row>
    <row r="1896" spans="1:24" hidden="1" x14ac:dyDescent="0.3">
      <c r="A1896" s="14" t="s">
        <v>433</v>
      </c>
      <c r="B1896" s="14" t="s">
        <v>97</v>
      </c>
      <c r="C1896" s="14" t="s">
        <v>363</v>
      </c>
      <c r="D1896" s="14" t="s">
        <v>364</v>
      </c>
      <c r="E1896" s="14" t="s">
        <v>342</v>
      </c>
      <c r="F1896" s="14" t="s">
        <v>343</v>
      </c>
      <c r="G1896" s="14" t="s">
        <v>343</v>
      </c>
      <c r="H1896" s="14" t="s">
        <v>343</v>
      </c>
      <c r="U1896" s="14">
        <v>1.06</v>
      </c>
      <c r="V1896" s="14">
        <v>1.06</v>
      </c>
      <c r="W1896" s="14">
        <v>1.04</v>
      </c>
      <c r="X1896" s="14">
        <v>1.04</v>
      </c>
    </row>
    <row r="1897" spans="1:24" hidden="1" x14ac:dyDescent="0.3">
      <c r="A1897" s="14" t="s">
        <v>433</v>
      </c>
      <c r="B1897" s="14" t="s">
        <v>97</v>
      </c>
      <c r="C1897" s="14" t="s">
        <v>363</v>
      </c>
      <c r="D1897" s="14" t="s">
        <v>364</v>
      </c>
      <c r="E1897" s="14" t="s">
        <v>344</v>
      </c>
      <c r="F1897" s="14" t="s">
        <v>343</v>
      </c>
      <c r="G1897" s="14" t="s">
        <v>343</v>
      </c>
      <c r="H1897" s="14" t="s">
        <v>343</v>
      </c>
      <c r="U1897" s="14">
        <v>1</v>
      </c>
      <c r="V1897" s="14">
        <v>1</v>
      </c>
      <c r="W1897" s="14">
        <v>79</v>
      </c>
      <c r="X1897" s="14">
        <v>74</v>
      </c>
    </row>
    <row r="1898" spans="1:24" hidden="1" x14ac:dyDescent="0.3">
      <c r="A1898" s="14" t="s">
        <v>433</v>
      </c>
      <c r="B1898" s="14" t="s">
        <v>97</v>
      </c>
      <c r="C1898" s="14" t="s">
        <v>365</v>
      </c>
      <c r="D1898" s="14" t="s">
        <v>366</v>
      </c>
      <c r="E1898" s="14" t="s">
        <v>342</v>
      </c>
      <c r="F1898" s="14" t="s">
        <v>343</v>
      </c>
      <c r="G1898" s="14" t="s">
        <v>343</v>
      </c>
      <c r="H1898" s="14" t="s">
        <v>343</v>
      </c>
      <c r="U1898" s="14">
        <v>0.94</v>
      </c>
      <c r="V1898" s="14">
        <v>0.94</v>
      </c>
      <c r="W1898" s="14">
        <v>0.94</v>
      </c>
      <c r="X1898" s="14">
        <v>0.94</v>
      </c>
    </row>
    <row r="1899" spans="1:24" hidden="1" x14ac:dyDescent="0.3">
      <c r="A1899" s="14" t="s">
        <v>433</v>
      </c>
      <c r="B1899" s="14" t="s">
        <v>97</v>
      </c>
      <c r="C1899" s="14" t="s">
        <v>365</v>
      </c>
      <c r="D1899" s="14" t="s">
        <v>366</v>
      </c>
      <c r="E1899" s="14" t="s">
        <v>344</v>
      </c>
      <c r="F1899" s="14" t="s">
        <v>343</v>
      </c>
      <c r="G1899" s="14" t="s">
        <v>343</v>
      </c>
      <c r="H1899" s="14" t="s">
        <v>343</v>
      </c>
      <c r="U1899" s="14">
        <v>114</v>
      </c>
      <c r="V1899" s="14">
        <v>112</v>
      </c>
      <c r="W1899" s="14">
        <v>116</v>
      </c>
      <c r="X1899" s="14">
        <v>111</v>
      </c>
    </row>
    <row r="1900" spans="1:24" hidden="1" x14ac:dyDescent="0.3">
      <c r="A1900" s="14" t="s">
        <v>433</v>
      </c>
      <c r="B1900" s="14" t="s">
        <v>97</v>
      </c>
      <c r="C1900" s="14" t="s">
        <v>367</v>
      </c>
      <c r="D1900" s="14" t="s">
        <v>368</v>
      </c>
      <c r="E1900" s="14" t="s">
        <v>342</v>
      </c>
      <c r="F1900" s="14" t="s">
        <v>343</v>
      </c>
      <c r="G1900" s="14" t="s">
        <v>343</v>
      </c>
      <c r="H1900" s="14" t="s">
        <v>343</v>
      </c>
      <c r="L1900" s="14">
        <v>0.64</v>
      </c>
      <c r="M1900" s="14">
        <v>0.63</v>
      </c>
      <c r="N1900" s="14">
        <v>0.63</v>
      </c>
      <c r="O1900" s="14">
        <v>0.63</v>
      </c>
      <c r="P1900" s="14">
        <v>0.63</v>
      </c>
      <c r="Q1900" s="14">
        <v>0.63</v>
      </c>
      <c r="R1900" s="14">
        <v>0.64</v>
      </c>
      <c r="T1900" s="14">
        <v>0.64</v>
      </c>
      <c r="U1900" s="14">
        <v>0.67</v>
      </c>
      <c r="V1900" s="14">
        <v>0.68</v>
      </c>
      <c r="W1900" s="14">
        <v>0.67</v>
      </c>
      <c r="X1900" s="14">
        <v>0.68</v>
      </c>
    </row>
    <row r="1901" spans="1:24" hidden="1" x14ac:dyDescent="0.3">
      <c r="A1901" s="14" t="s">
        <v>433</v>
      </c>
      <c r="B1901" s="14" t="s">
        <v>97</v>
      </c>
      <c r="C1901" s="14" t="s">
        <v>367</v>
      </c>
      <c r="D1901" s="14" t="s">
        <v>368</v>
      </c>
      <c r="E1901" s="14" t="s">
        <v>344</v>
      </c>
      <c r="F1901" s="14" t="s">
        <v>343</v>
      </c>
      <c r="G1901" s="14" t="s">
        <v>343</v>
      </c>
      <c r="H1901" s="14" t="s">
        <v>343</v>
      </c>
      <c r="L1901" s="14">
        <v>103</v>
      </c>
      <c r="M1901" s="14">
        <v>108</v>
      </c>
      <c r="N1901" s="14">
        <v>109</v>
      </c>
      <c r="O1901" s="14">
        <v>113</v>
      </c>
      <c r="P1901" s="14">
        <v>117</v>
      </c>
      <c r="Q1901" s="14">
        <v>122</v>
      </c>
      <c r="R1901" s="14">
        <v>121</v>
      </c>
      <c r="T1901" s="14">
        <v>125</v>
      </c>
      <c r="U1901" s="14">
        <v>106</v>
      </c>
      <c r="V1901" s="14">
        <v>103</v>
      </c>
      <c r="W1901" s="14">
        <v>113</v>
      </c>
      <c r="X1901" s="14">
        <v>107</v>
      </c>
    </row>
    <row r="1902" spans="1:24" hidden="1" x14ac:dyDescent="0.3">
      <c r="A1902" s="14" t="s">
        <v>433</v>
      </c>
      <c r="B1902" s="14" t="s">
        <v>97</v>
      </c>
      <c r="C1902" s="14" t="s">
        <v>369</v>
      </c>
      <c r="D1902" s="14" t="s">
        <v>370</v>
      </c>
      <c r="E1902" s="14" t="s">
        <v>342</v>
      </c>
      <c r="F1902" s="14" t="s">
        <v>343</v>
      </c>
      <c r="G1902" s="14" t="s">
        <v>343</v>
      </c>
      <c r="H1902" s="14" t="s">
        <v>343</v>
      </c>
      <c r="L1902" s="14">
        <v>0.06</v>
      </c>
      <c r="M1902" s="14">
        <v>0.04</v>
      </c>
      <c r="N1902" s="14">
        <v>0.04</v>
      </c>
      <c r="O1902" s="14">
        <v>0.04</v>
      </c>
      <c r="P1902" s="14">
        <v>0.04</v>
      </c>
      <c r="Q1902" s="14">
        <v>0.04</v>
      </c>
      <c r="R1902" s="14">
        <v>0.1</v>
      </c>
      <c r="T1902" s="14">
        <v>0.1</v>
      </c>
      <c r="U1902" s="14">
        <v>0.1</v>
      </c>
      <c r="V1902" s="14">
        <v>0.15</v>
      </c>
      <c r="W1902" s="14">
        <v>0.16</v>
      </c>
      <c r="X1902" s="14">
        <v>0.15</v>
      </c>
    </row>
    <row r="1903" spans="1:24" hidden="1" x14ac:dyDescent="0.3">
      <c r="A1903" s="14" t="s">
        <v>433</v>
      </c>
      <c r="B1903" s="14" t="s">
        <v>97</v>
      </c>
      <c r="C1903" s="14" t="s">
        <v>369</v>
      </c>
      <c r="D1903" s="14" t="s">
        <v>370</v>
      </c>
      <c r="E1903" s="14" t="s">
        <v>344</v>
      </c>
      <c r="F1903" s="14" t="s">
        <v>343</v>
      </c>
      <c r="G1903" s="14" t="s">
        <v>343</v>
      </c>
      <c r="H1903" s="14" t="s">
        <v>343</v>
      </c>
      <c r="L1903" s="14">
        <v>115</v>
      </c>
      <c r="M1903" s="14">
        <v>121</v>
      </c>
      <c r="N1903" s="14">
        <v>123</v>
      </c>
      <c r="O1903" s="14">
        <v>123</v>
      </c>
      <c r="P1903" s="14">
        <v>125</v>
      </c>
      <c r="Q1903" s="14">
        <v>136</v>
      </c>
      <c r="R1903" s="14">
        <v>110</v>
      </c>
      <c r="T1903" s="14">
        <v>105</v>
      </c>
      <c r="U1903" s="14">
        <v>107</v>
      </c>
      <c r="V1903" s="14">
        <v>97</v>
      </c>
      <c r="W1903" s="14">
        <v>95</v>
      </c>
      <c r="X1903" s="14">
        <v>97</v>
      </c>
    </row>
    <row r="1904" spans="1:24" hidden="1" x14ac:dyDescent="0.3">
      <c r="A1904" s="14" t="s">
        <v>433</v>
      </c>
      <c r="B1904" s="14" t="s">
        <v>97</v>
      </c>
      <c r="C1904" s="14" t="s">
        <v>371</v>
      </c>
      <c r="D1904" s="14" t="s">
        <v>372</v>
      </c>
      <c r="E1904" s="14" t="s">
        <v>342</v>
      </c>
      <c r="F1904" s="14" t="s">
        <v>343</v>
      </c>
      <c r="G1904" s="14" t="s">
        <v>343</v>
      </c>
      <c r="H1904" s="14" t="s">
        <v>343</v>
      </c>
      <c r="U1904" s="14">
        <v>0</v>
      </c>
      <c r="V1904" s="14">
        <v>0</v>
      </c>
      <c r="W1904" s="14">
        <v>0</v>
      </c>
      <c r="X1904" s="14">
        <v>0</v>
      </c>
    </row>
    <row r="1905" spans="1:24" hidden="1" x14ac:dyDescent="0.3">
      <c r="A1905" s="14" t="s">
        <v>433</v>
      </c>
      <c r="B1905" s="14" t="s">
        <v>97</v>
      </c>
      <c r="C1905" s="14" t="s">
        <v>371</v>
      </c>
      <c r="D1905" s="14" t="s">
        <v>372</v>
      </c>
      <c r="E1905" s="14" t="s">
        <v>344</v>
      </c>
      <c r="F1905" s="14" t="s">
        <v>343</v>
      </c>
      <c r="G1905" s="14" t="s">
        <v>343</v>
      </c>
      <c r="H1905" s="14" t="s">
        <v>343</v>
      </c>
      <c r="U1905" s="14">
        <v>71</v>
      </c>
      <c r="V1905" s="14">
        <v>73</v>
      </c>
      <c r="W1905" s="14">
        <v>76</v>
      </c>
      <c r="X1905" s="14">
        <v>78</v>
      </c>
    </row>
    <row r="1906" spans="1:24" hidden="1" x14ac:dyDescent="0.3">
      <c r="A1906" s="14" t="s">
        <v>433</v>
      </c>
      <c r="B1906" s="14" t="s">
        <v>97</v>
      </c>
      <c r="C1906" s="14" t="s">
        <v>373</v>
      </c>
      <c r="D1906" s="14" t="s">
        <v>374</v>
      </c>
      <c r="E1906" s="14" t="s">
        <v>342</v>
      </c>
      <c r="F1906" s="14" t="s">
        <v>343</v>
      </c>
      <c r="G1906" s="14" t="s">
        <v>343</v>
      </c>
      <c r="H1906" s="14" t="s">
        <v>343</v>
      </c>
      <c r="U1906" s="14">
        <v>0.18</v>
      </c>
      <c r="V1906" s="14">
        <v>0.3</v>
      </c>
      <c r="W1906" s="14">
        <v>0.3</v>
      </c>
      <c r="X1906" s="14">
        <v>0.3</v>
      </c>
    </row>
    <row r="1907" spans="1:24" hidden="1" x14ac:dyDescent="0.3">
      <c r="A1907" s="14" t="s">
        <v>433</v>
      </c>
      <c r="B1907" s="14" t="s">
        <v>97</v>
      </c>
      <c r="C1907" s="14" t="s">
        <v>373</v>
      </c>
      <c r="D1907" s="14" t="s">
        <v>374</v>
      </c>
      <c r="E1907" s="14" t="s">
        <v>344</v>
      </c>
      <c r="F1907" s="14" t="s">
        <v>343</v>
      </c>
      <c r="G1907" s="14" t="s">
        <v>343</v>
      </c>
      <c r="H1907" s="14" t="s">
        <v>343</v>
      </c>
      <c r="U1907" s="14">
        <v>93</v>
      </c>
      <c r="V1907" s="14">
        <v>69</v>
      </c>
      <c r="W1907" s="14">
        <v>71</v>
      </c>
      <c r="X1907" s="14">
        <v>68</v>
      </c>
    </row>
    <row r="1908" spans="1:24" hidden="1" x14ac:dyDescent="0.3">
      <c r="A1908" s="14" t="s">
        <v>433</v>
      </c>
      <c r="B1908" s="14" t="s">
        <v>97</v>
      </c>
      <c r="C1908" s="14" t="s">
        <v>375</v>
      </c>
      <c r="D1908" s="14" t="s">
        <v>376</v>
      </c>
      <c r="E1908" s="14" t="s">
        <v>342</v>
      </c>
      <c r="F1908" s="14" t="s">
        <v>343</v>
      </c>
      <c r="G1908" s="14" t="s">
        <v>343</v>
      </c>
      <c r="H1908" s="14" t="s">
        <v>343</v>
      </c>
      <c r="U1908" s="14">
        <v>0.19</v>
      </c>
      <c r="V1908" s="14">
        <v>0.24</v>
      </c>
      <c r="W1908" s="14">
        <v>0.28000000000000003</v>
      </c>
      <c r="X1908" s="14">
        <v>0.24</v>
      </c>
    </row>
    <row r="1909" spans="1:24" hidden="1" x14ac:dyDescent="0.3">
      <c r="A1909" s="14" t="s">
        <v>433</v>
      </c>
      <c r="B1909" s="14" t="s">
        <v>97</v>
      </c>
      <c r="C1909" s="14" t="s">
        <v>375</v>
      </c>
      <c r="D1909" s="14" t="s">
        <v>376</v>
      </c>
      <c r="E1909" s="14" t="s">
        <v>344</v>
      </c>
      <c r="F1909" s="14" t="s">
        <v>343</v>
      </c>
      <c r="G1909" s="14" t="s">
        <v>343</v>
      </c>
      <c r="H1909" s="14" t="s">
        <v>343</v>
      </c>
      <c r="U1909" s="14">
        <v>105</v>
      </c>
      <c r="V1909" s="14">
        <v>96</v>
      </c>
      <c r="W1909" s="14">
        <v>91</v>
      </c>
      <c r="X1909" s="14">
        <v>99</v>
      </c>
    </row>
    <row r="1910" spans="1:24" hidden="1" x14ac:dyDescent="0.3">
      <c r="A1910" s="14" t="s">
        <v>434</v>
      </c>
      <c r="B1910" s="14" t="s">
        <v>99</v>
      </c>
      <c r="C1910" s="14" t="s">
        <v>340</v>
      </c>
      <c r="D1910" s="14" t="s">
        <v>341</v>
      </c>
      <c r="E1910" s="14" t="s">
        <v>342</v>
      </c>
      <c r="F1910" s="14" t="s">
        <v>343</v>
      </c>
      <c r="G1910" s="14" t="s">
        <v>343</v>
      </c>
      <c r="H1910" s="14" t="s">
        <v>343</v>
      </c>
      <c r="I1910" s="14">
        <v>1</v>
      </c>
      <c r="J1910" s="14">
        <v>1</v>
      </c>
      <c r="K1910" s="14">
        <v>1</v>
      </c>
      <c r="L1910" s="14">
        <v>1</v>
      </c>
      <c r="M1910" s="14">
        <v>1</v>
      </c>
      <c r="N1910" s="14">
        <v>1</v>
      </c>
      <c r="O1910" s="14">
        <v>1</v>
      </c>
      <c r="P1910" s="14">
        <v>1</v>
      </c>
      <c r="Q1910" s="14">
        <v>1</v>
      </c>
      <c r="R1910" s="14">
        <v>1</v>
      </c>
      <c r="S1910" s="14">
        <v>1</v>
      </c>
      <c r="T1910" s="14">
        <v>1</v>
      </c>
      <c r="U1910" s="14">
        <v>1</v>
      </c>
      <c r="V1910" s="14">
        <v>1</v>
      </c>
      <c r="W1910" s="14">
        <v>1</v>
      </c>
      <c r="X1910" s="14">
        <v>1</v>
      </c>
    </row>
    <row r="1911" spans="1:24" hidden="1" x14ac:dyDescent="0.3">
      <c r="A1911" s="14" t="s">
        <v>434</v>
      </c>
      <c r="B1911" s="14" t="s">
        <v>99</v>
      </c>
      <c r="C1911" s="14" t="s">
        <v>340</v>
      </c>
      <c r="D1911" s="14" t="s">
        <v>341</v>
      </c>
      <c r="E1911" s="14" t="s">
        <v>344</v>
      </c>
      <c r="F1911" s="14" t="s">
        <v>343</v>
      </c>
      <c r="G1911" s="14" t="s">
        <v>343</v>
      </c>
      <c r="H1911" s="14" t="s">
        <v>343</v>
      </c>
      <c r="I1911" s="14">
        <v>1</v>
      </c>
      <c r="J1911" s="14">
        <v>1</v>
      </c>
      <c r="K1911" s="14">
        <v>1</v>
      </c>
      <c r="L1911" s="14">
        <v>1</v>
      </c>
      <c r="M1911" s="14">
        <v>1</v>
      </c>
      <c r="N1911" s="14">
        <v>1</v>
      </c>
      <c r="O1911" s="14">
        <v>1</v>
      </c>
      <c r="P1911" s="14">
        <v>1</v>
      </c>
      <c r="Q1911" s="14">
        <v>1</v>
      </c>
      <c r="R1911" s="14">
        <v>1</v>
      </c>
      <c r="S1911" s="14">
        <v>1</v>
      </c>
      <c r="T1911" s="14">
        <v>1</v>
      </c>
      <c r="U1911" s="14">
        <v>1</v>
      </c>
      <c r="V1911" s="14">
        <v>1</v>
      </c>
      <c r="W1911" s="14">
        <v>1</v>
      </c>
      <c r="X1911" s="14">
        <v>1</v>
      </c>
    </row>
    <row r="1912" spans="1:24" hidden="1" x14ac:dyDescent="0.3">
      <c r="A1912" s="14" t="s">
        <v>434</v>
      </c>
      <c r="B1912" s="14" t="s">
        <v>99</v>
      </c>
      <c r="C1912" s="14" t="s">
        <v>345</v>
      </c>
      <c r="D1912" s="14" t="s">
        <v>346</v>
      </c>
      <c r="E1912" s="14" t="s">
        <v>342</v>
      </c>
      <c r="F1912" s="14" t="s">
        <v>343</v>
      </c>
      <c r="G1912" s="14" t="s">
        <v>343</v>
      </c>
      <c r="H1912" s="14" t="s">
        <v>343</v>
      </c>
      <c r="U1912" s="14">
        <v>0.72</v>
      </c>
      <c r="V1912" s="14">
        <v>0.68</v>
      </c>
      <c r="W1912" s="14">
        <v>0.71</v>
      </c>
      <c r="X1912" s="14">
        <v>0.75</v>
      </c>
    </row>
    <row r="1913" spans="1:24" hidden="1" x14ac:dyDescent="0.3">
      <c r="A1913" s="14" t="s">
        <v>434</v>
      </c>
      <c r="B1913" s="14" t="s">
        <v>99</v>
      </c>
      <c r="C1913" s="14" t="s">
        <v>345</v>
      </c>
      <c r="D1913" s="14" t="s">
        <v>346</v>
      </c>
      <c r="E1913" s="14" t="s">
        <v>344</v>
      </c>
      <c r="F1913" s="14" t="s">
        <v>343</v>
      </c>
      <c r="G1913" s="14" t="s">
        <v>343</v>
      </c>
      <c r="H1913" s="14" t="s">
        <v>343</v>
      </c>
      <c r="U1913" s="14">
        <v>24</v>
      </c>
      <c r="V1913" s="14">
        <v>47</v>
      </c>
      <c r="W1913" s="14">
        <v>39</v>
      </c>
      <c r="X1913" s="14">
        <v>26</v>
      </c>
    </row>
    <row r="1914" spans="1:24" hidden="1" x14ac:dyDescent="0.3">
      <c r="A1914" s="14" t="s">
        <v>434</v>
      </c>
      <c r="B1914" s="14" t="s">
        <v>99</v>
      </c>
      <c r="C1914" s="14" t="s">
        <v>347</v>
      </c>
      <c r="D1914" s="14" t="s">
        <v>348</v>
      </c>
      <c r="E1914" s="14" t="s">
        <v>342</v>
      </c>
      <c r="F1914" s="14" t="s">
        <v>343</v>
      </c>
      <c r="G1914" s="14" t="s">
        <v>343</v>
      </c>
      <c r="H1914" s="14" t="s">
        <v>343</v>
      </c>
      <c r="U1914" s="14">
        <v>0.9</v>
      </c>
      <c r="V1914" s="14">
        <v>0.89</v>
      </c>
      <c r="W1914" s="14">
        <v>0.9</v>
      </c>
      <c r="X1914" s="14">
        <v>0.87</v>
      </c>
    </row>
    <row r="1915" spans="1:24" hidden="1" x14ac:dyDescent="0.3">
      <c r="A1915" s="14" t="s">
        <v>434</v>
      </c>
      <c r="B1915" s="14" t="s">
        <v>99</v>
      </c>
      <c r="C1915" s="14" t="s">
        <v>347</v>
      </c>
      <c r="D1915" s="14" t="s">
        <v>348</v>
      </c>
      <c r="E1915" s="14" t="s">
        <v>344</v>
      </c>
      <c r="F1915" s="14" t="s">
        <v>343</v>
      </c>
      <c r="G1915" s="14" t="s">
        <v>343</v>
      </c>
      <c r="H1915" s="14" t="s">
        <v>343</v>
      </c>
      <c r="U1915" s="14">
        <v>42</v>
      </c>
      <c r="V1915" s="14">
        <v>45</v>
      </c>
      <c r="W1915" s="14">
        <v>35</v>
      </c>
      <c r="X1915" s="14">
        <v>32</v>
      </c>
    </row>
    <row r="1916" spans="1:24" hidden="1" x14ac:dyDescent="0.3">
      <c r="A1916" s="14" t="s">
        <v>434</v>
      </c>
      <c r="B1916" s="14" t="s">
        <v>99</v>
      </c>
      <c r="C1916" s="14" t="s">
        <v>349</v>
      </c>
      <c r="D1916" s="14" t="s">
        <v>350</v>
      </c>
      <c r="E1916" s="14" t="s">
        <v>342</v>
      </c>
      <c r="F1916" s="14" t="s">
        <v>343</v>
      </c>
      <c r="G1916" s="14" t="s">
        <v>343</v>
      </c>
      <c r="H1916" s="14" t="s">
        <v>343</v>
      </c>
      <c r="U1916" s="14">
        <v>0.5</v>
      </c>
      <c r="V1916" s="14">
        <v>0.53</v>
      </c>
      <c r="W1916" s="14">
        <v>0.53</v>
      </c>
      <c r="X1916" s="14">
        <v>0.55000000000000004</v>
      </c>
    </row>
    <row r="1917" spans="1:24" hidden="1" x14ac:dyDescent="0.3">
      <c r="A1917" s="14" t="s">
        <v>434</v>
      </c>
      <c r="B1917" s="14" t="s">
        <v>99</v>
      </c>
      <c r="C1917" s="14" t="s">
        <v>349</v>
      </c>
      <c r="D1917" s="14" t="s">
        <v>350</v>
      </c>
      <c r="E1917" s="14" t="s">
        <v>344</v>
      </c>
      <c r="F1917" s="14" t="s">
        <v>343</v>
      </c>
      <c r="G1917" s="14" t="s">
        <v>343</v>
      </c>
      <c r="H1917" s="14" t="s">
        <v>343</v>
      </c>
      <c r="U1917" s="14">
        <v>63</v>
      </c>
      <c r="V1917" s="14">
        <v>59</v>
      </c>
      <c r="W1917" s="14">
        <v>65</v>
      </c>
      <c r="X1917" s="14">
        <v>60</v>
      </c>
    </row>
    <row r="1918" spans="1:24" hidden="1" x14ac:dyDescent="0.3">
      <c r="A1918" s="14" t="s">
        <v>434</v>
      </c>
      <c r="B1918" s="14" t="s">
        <v>99</v>
      </c>
      <c r="C1918" s="14" t="s">
        <v>351</v>
      </c>
      <c r="D1918" s="14" t="s">
        <v>352</v>
      </c>
      <c r="E1918" s="14" t="s">
        <v>342</v>
      </c>
      <c r="F1918" s="14" t="s">
        <v>343</v>
      </c>
      <c r="G1918" s="14" t="s">
        <v>343</v>
      </c>
      <c r="H1918" s="14" t="s">
        <v>343</v>
      </c>
      <c r="U1918" s="14">
        <v>1</v>
      </c>
      <c r="V1918" s="14">
        <v>1</v>
      </c>
      <c r="W1918" s="14">
        <v>0.96</v>
      </c>
      <c r="X1918" s="14">
        <v>1</v>
      </c>
    </row>
    <row r="1919" spans="1:24" hidden="1" x14ac:dyDescent="0.3">
      <c r="A1919" s="14" t="s">
        <v>434</v>
      </c>
      <c r="B1919" s="14" t="s">
        <v>99</v>
      </c>
      <c r="C1919" s="14" t="s">
        <v>351</v>
      </c>
      <c r="D1919" s="14" t="s">
        <v>352</v>
      </c>
      <c r="E1919" s="14" t="s">
        <v>344</v>
      </c>
      <c r="F1919" s="14" t="s">
        <v>343</v>
      </c>
      <c r="G1919" s="14" t="s">
        <v>343</v>
      </c>
      <c r="H1919" s="14" t="s">
        <v>343</v>
      </c>
      <c r="U1919" s="14">
        <v>1</v>
      </c>
      <c r="V1919" s="14">
        <v>1</v>
      </c>
      <c r="W1919" s="14">
        <v>82</v>
      </c>
      <c r="X1919" s="14">
        <v>1</v>
      </c>
    </row>
    <row r="1920" spans="1:24" hidden="1" x14ac:dyDescent="0.3">
      <c r="A1920" s="14" t="s">
        <v>434</v>
      </c>
      <c r="B1920" s="14" t="s">
        <v>99</v>
      </c>
      <c r="C1920" s="14" t="s">
        <v>378</v>
      </c>
      <c r="D1920" s="14" t="s">
        <v>379</v>
      </c>
      <c r="E1920" s="14" t="s">
        <v>342</v>
      </c>
      <c r="F1920" s="14" t="s">
        <v>343</v>
      </c>
      <c r="G1920" s="14" t="s">
        <v>343</v>
      </c>
      <c r="H1920" s="14" t="s">
        <v>343</v>
      </c>
      <c r="S1920" s="14">
        <v>0.47</v>
      </c>
      <c r="U1920" s="14">
        <v>0.49</v>
      </c>
      <c r="V1920" s="14">
        <v>0.53</v>
      </c>
      <c r="W1920" s="14">
        <v>0.56999999999999995</v>
      </c>
      <c r="X1920" s="14">
        <v>0.63</v>
      </c>
    </row>
    <row r="1921" spans="1:24" hidden="1" x14ac:dyDescent="0.3">
      <c r="A1921" s="14" t="s">
        <v>434</v>
      </c>
      <c r="B1921" s="14" t="s">
        <v>99</v>
      </c>
      <c r="C1921" s="14" t="s">
        <v>378</v>
      </c>
      <c r="D1921" s="14" t="s">
        <v>379</v>
      </c>
      <c r="E1921" s="14" t="s">
        <v>344</v>
      </c>
      <c r="F1921" s="14" t="s">
        <v>343</v>
      </c>
      <c r="G1921" s="14" t="s">
        <v>343</v>
      </c>
      <c r="H1921" s="14" t="s">
        <v>343</v>
      </c>
      <c r="S1921" s="14">
        <v>134</v>
      </c>
      <c r="U1921" s="14">
        <v>133</v>
      </c>
      <c r="V1921" s="14">
        <v>127</v>
      </c>
      <c r="W1921" s="14">
        <v>115</v>
      </c>
      <c r="X1921" s="14">
        <v>82</v>
      </c>
    </row>
    <row r="1922" spans="1:24" hidden="1" x14ac:dyDescent="0.3">
      <c r="A1922" s="14" t="s">
        <v>434</v>
      </c>
      <c r="B1922" s="14" t="s">
        <v>99</v>
      </c>
      <c r="C1922" s="14" t="s">
        <v>353</v>
      </c>
      <c r="D1922" s="14" t="s">
        <v>354</v>
      </c>
      <c r="E1922" s="14" t="s">
        <v>342</v>
      </c>
      <c r="F1922" s="14" t="s">
        <v>343</v>
      </c>
      <c r="G1922" s="14" t="s">
        <v>343</v>
      </c>
      <c r="H1922" s="14" t="s">
        <v>343</v>
      </c>
      <c r="U1922" s="14">
        <v>1</v>
      </c>
      <c r="V1922" s="14">
        <v>1</v>
      </c>
      <c r="W1922" s="14">
        <v>1</v>
      </c>
      <c r="X1922" s="14">
        <v>1</v>
      </c>
    </row>
    <row r="1923" spans="1:24" hidden="1" x14ac:dyDescent="0.3">
      <c r="A1923" s="14" t="s">
        <v>434</v>
      </c>
      <c r="B1923" s="14" t="s">
        <v>99</v>
      </c>
      <c r="C1923" s="14" t="s">
        <v>353</v>
      </c>
      <c r="D1923" s="14" t="s">
        <v>354</v>
      </c>
      <c r="E1923" s="14" t="s">
        <v>344</v>
      </c>
      <c r="F1923" s="14" t="s">
        <v>343</v>
      </c>
      <c r="G1923" s="14" t="s">
        <v>343</v>
      </c>
      <c r="H1923" s="14" t="s">
        <v>343</v>
      </c>
      <c r="U1923" s="14">
        <v>1</v>
      </c>
      <c r="V1923" s="14">
        <v>1</v>
      </c>
      <c r="W1923" s="14">
        <v>1</v>
      </c>
      <c r="X1923" s="14">
        <v>1</v>
      </c>
    </row>
    <row r="1924" spans="1:24" hidden="1" x14ac:dyDescent="0.3">
      <c r="A1924" s="14" t="s">
        <v>434</v>
      </c>
      <c r="B1924" s="14" t="s">
        <v>99</v>
      </c>
      <c r="C1924" s="14" t="s">
        <v>380</v>
      </c>
      <c r="D1924" s="14" t="s">
        <v>381</v>
      </c>
      <c r="E1924" s="14" t="s">
        <v>342</v>
      </c>
      <c r="F1924" s="14" t="s">
        <v>343</v>
      </c>
      <c r="G1924" s="14" t="s">
        <v>343</v>
      </c>
      <c r="H1924" s="14" t="s">
        <v>343</v>
      </c>
      <c r="U1924" s="14">
        <v>1</v>
      </c>
      <c r="V1924" s="14">
        <v>1</v>
      </c>
      <c r="W1924" s="14">
        <v>1</v>
      </c>
      <c r="X1924" s="14">
        <v>1</v>
      </c>
    </row>
    <row r="1925" spans="1:24" hidden="1" x14ac:dyDescent="0.3">
      <c r="A1925" s="14" t="s">
        <v>434</v>
      </c>
      <c r="B1925" s="14" t="s">
        <v>99</v>
      </c>
      <c r="C1925" s="14" t="s">
        <v>380</v>
      </c>
      <c r="D1925" s="14" t="s">
        <v>381</v>
      </c>
      <c r="E1925" s="14" t="s">
        <v>344</v>
      </c>
      <c r="F1925" s="14" t="s">
        <v>343</v>
      </c>
      <c r="G1925" s="14" t="s">
        <v>343</v>
      </c>
      <c r="H1925" s="14" t="s">
        <v>343</v>
      </c>
      <c r="U1925" s="14">
        <v>1</v>
      </c>
      <c r="V1925" s="14">
        <v>1</v>
      </c>
      <c r="W1925" s="14">
        <v>1</v>
      </c>
      <c r="X1925" s="14">
        <v>1</v>
      </c>
    </row>
    <row r="1926" spans="1:24" hidden="1" x14ac:dyDescent="0.3">
      <c r="A1926" s="14" t="s">
        <v>434</v>
      </c>
      <c r="B1926" s="14" t="s">
        <v>99</v>
      </c>
      <c r="C1926" s="14" t="s">
        <v>355</v>
      </c>
      <c r="D1926" s="14" t="s">
        <v>356</v>
      </c>
      <c r="E1926" s="14" t="s">
        <v>342</v>
      </c>
      <c r="F1926" s="14" t="s">
        <v>343</v>
      </c>
      <c r="G1926" s="14" t="s">
        <v>343</v>
      </c>
      <c r="H1926" s="14" t="s">
        <v>343</v>
      </c>
      <c r="U1926" s="14">
        <v>1</v>
      </c>
      <c r="V1926" s="14">
        <v>1</v>
      </c>
      <c r="W1926" s="14">
        <v>1</v>
      </c>
      <c r="X1926" s="14">
        <v>1</v>
      </c>
    </row>
    <row r="1927" spans="1:24" hidden="1" x14ac:dyDescent="0.3">
      <c r="A1927" s="14" t="s">
        <v>434</v>
      </c>
      <c r="B1927" s="14" t="s">
        <v>99</v>
      </c>
      <c r="C1927" s="14" t="s">
        <v>355</v>
      </c>
      <c r="D1927" s="14" t="s">
        <v>356</v>
      </c>
      <c r="E1927" s="14" t="s">
        <v>344</v>
      </c>
      <c r="F1927" s="14" t="s">
        <v>343</v>
      </c>
      <c r="G1927" s="14" t="s">
        <v>343</v>
      </c>
      <c r="H1927" s="14" t="s">
        <v>343</v>
      </c>
      <c r="U1927" s="14">
        <v>1</v>
      </c>
      <c r="V1927" s="14">
        <v>1</v>
      </c>
      <c r="W1927" s="14">
        <v>1</v>
      </c>
      <c r="X1927" s="14">
        <v>1</v>
      </c>
    </row>
    <row r="1928" spans="1:24" hidden="1" x14ac:dyDescent="0.3">
      <c r="A1928" s="14" t="s">
        <v>434</v>
      </c>
      <c r="B1928" s="14" t="s">
        <v>99</v>
      </c>
      <c r="C1928" s="14" t="s">
        <v>357</v>
      </c>
      <c r="D1928" s="14" t="s">
        <v>358</v>
      </c>
      <c r="E1928" s="14" t="s">
        <v>342</v>
      </c>
      <c r="F1928" s="14" t="s">
        <v>343</v>
      </c>
      <c r="G1928" s="14" t="s">
        <v>343</v>
      </c>
      <c r="H1928" s="14" t="s">
        <v>343</v>
      </c>
      <c r="U1928" s="14">
        <v>1</v>
      </c>
      <c r="V1928" s="14">
        <v>1</v>
      </c>
      <c r="W1928" s="14">
        <v>1</v>
      </c>
      <c r="X1928" s="14">
        <v>1</v>
      </c>
    </row>
    <row r="1929" spans="1:24" hidden="1" x14ac:dyDescent="0.3">
      <c r="A1929" s="14" t="s">
        <v>434</v>
      </c>
      <c r="B1929" s="14" t="s">
        <v>99</v>
      </c>
      <c r="C1929" s="14" t="s">
        <v>357</v>
      </c>
      <c r="D1929" s="14" t="s">
        <v>358</v>
      </c>
      <c r="E1929" s="14" t="s">
        <v>344</v>
      </c>
      <c r="F1929" s="14" t="s">
        <v>343</v>
      </c>
      <c r="G1929" s="14" t="s">
        <v>343</v>
      </c>
      <c r="H1929" s="14" t="s">
        <v>343</v>
      </c>
      <c r="U1929" s="14">
        <v>1</v>
      </c>
      <c r="V1929" s="14">
        <v>1</v>
      </c>
      <c r="W1929" s="14">
        <v>1</v>
      </c>
      <c r="X1929" s="14">
        <v>1</v>
      </c>
    </row>
    <row r="1930" spans="1:24" hidden="1" x14ac:dyDescent="0.3">
      <c r="A1930" s="14" t="s">
        <v>434</v>
      </c>
      <c r="B1930" s="14" t="s">
        <v>99</v>
      </c>
      <c r="C1930" s="14" t="s">
        <v>359</v>
      </c>
      <c r="D1930" s="14" t="s">
        <v>360</v>
      </c>
      <c r="E1930" s="14" t="s">
        <v>342</v>
      </c>
      <c r="F1930" s="14" t="s">
        <v>343</v>
      </c>
      <c r="G1930" s="14" t="s">
        <v>343</v>
      </c>
      <c r="H1930" s="14" t="s">
        <v>343</v>
      </c>
      <c r="I1930" s="14">
        <v>0.52</v>
      </c>
      <c r="J1930" s="14">
        <v>0.65</v>
      </c>
      <c r="K1930" s="14">
        <v>0.66</v>
      </c>
      <c r="L1930" s="14">
        <v>0.66</v>
      </c>
      <c r="M1930" s="14">
        <v>0.66</v>
      </c>
      <c r="N1930" s="14">
        <v>0.66</v>
      </c>
      <c r="O1930" s="14">
        <v>0.67</v>
      </c>
      <c r="P1930" s="14">
        <v>0.67</v>
      </c>
      <c r="Q1930" s="14">
        <v>0.7</v>
      </c>
      <c r="R1930" s="14">
        <v>0.7</v>
      </c>
      <c r="S1930" s="14">
        <v>0.68</v>
      </c>
      <c r="T1930" s="14">
        <v>0.68</v>
      </c>
      <c r="U1930" s="14">
        <v>0.68</v>
      </c>
      <c r="V1930" s="14">
        <v>0.69</v>
      </c>
      <c r="W1930" s="14">
        <v>0.71</v>
      </c>
      <c r="X1930" s="14">
        <v>0.74</v>
      </c>
    </row>
    <row r="1931" spans="1:24" hidden="1" x14ac:dyDescent="0.3">
      <c r="A1931" s="14" t="s">
        <v>434</v>
      </c>
      <c r="B1931" s="14" t="s">
        <v>99</v>
      </c>
      <c r="C1931" s="14" t="s">
        <v>359</v>
      </c>
      <c r="D1931" s="14" t="s">
        <v>360</v>
      </c>
      <c r="E1931" s="14" t="s">
        <v>344</v>
      </c>
      <c r="F1931" s="14" t="s">
        <v>343</v>
      </c>
      <c r="G1931" s="14" t="s">
        <v>343</v>
      </c>
      <c r="H1931" s="14" t="s">
        <v>343</v>
      </c>
      <c r="I1931" s="14">
        <v>88</v>
      </c>
      <c r="J1931" s="14">
        <v>61</v>
      </c>
      <c r="K1931" s="14">
        <v>53</v>
      </c>
      <c r="L1931" s="14">
        <v>61</v>
      </c>
      <c r="M1931" s="14">
        <v>60</v>
      </c>
      <c r="N1931" s="14">
        <v>61</v>
      </c>
      <c r="O1931" s="14">
        <v>62</v>
      </c>
      <c r="P1931" s="14">
        <v>67</v>
      </c>
      <c r="Q1931" s="14">
        <v>57</v>
      </c>
      <c r="R1931" s="14">
        <v>56</v>
      </c>
      <c r="S1931" s="14">
        <v>64</v>
      </c>
      <c r="T1931" s="14">
        <v>64</v>
      </c>
      <c r="U1931" s="14">
        <v>63</v>
      </c>
      <c r="V1931" s="14">
        <v>65</v>
      </c>
      <c r="W1931" s="14">
        <v>58</v>
      </c>
      <c r="X1931" s="14">
        <v>40</v>
      </c>
    </row>
    <row r="1932" spans="1:24" x14ac:dyDescent="0.3">
      <c r="A1932" s="14" t="s">
        <v>434</v>
      </c>
      <c r="B1932" s="14" t="s">
        <v>99</v>
      </c>
      <c r="C1932" s="14" t="s">
        <v>361</v>
      </c>
      <c r="D1932" s="14" t="s">
        <v>362</v>
      </c>
      <c r="E1932" s="14" t="s">
        <v>342</v>
      </c>
      <c r="F1932" s="14" t="s">
        <v>343</v>
      </c>
      <c r="G1932" s="14" t="s">
        <v>343</v>
      </c>
      <c r="H1932" s="14" t="s">
        <v>343</v>
      </c>
      <c r="I1932" s="14">
        <v>0.98</v>
      </c>
      <c r="J1932" s="14">
        <v>0.98</v>
      </c>
      <c r="K1932" s="14">
        <v>0.98</v>
      </c>
      <c r="L1932" s="14">
        <v>0.98</v>
      </c>
      <c r="M1932" s="14">
        <v>0.98</v>
      </c>
      <c r="N1932" s="14">
        <v>0.98</v>
      </c>
      <c r="O1932" s="14">
        <v>0.98</v>
      </c>
      <c r="P1932" s="14">
        <v>0.98</v>
      </c>
      <c r="Q1932" s="14">
        <v>0.98</v>
      </c>
      <c r="R1932" s="14">
        <v>0.98</v>
      </c>
      <c r="S1932" s="14">
        <v>0.98</v>
      </c>
      <c r="T1932" s="14">
        <v>0.98</v>
      </c>
      <c r="U1932" s="14">
        <v>0.97</v>
      </c>
      <c r="V1932" s="14">
        <v>0.97</v>
      </c>
      <c r="W1932" s="14">
        <v>0.97</v>
      </c>
      <c r="X1932" s="14">
        <v>0.97</v>
      </c>
    </row>
    <row r="1933" spans="1:24" hidden="1" x14ac:dyDescent="0.3">
      <c r="A1933" s="14" t="s">
        <v>434</v>
      </c>
      <c r="B1933" s="14" t="s">
        <v>99</v>
      </c>
      <c r="C1933" s="14" t="s">
        <v>361</v>
      </c>
      <c r="D1933" s="14" t="s">
        <v>362</v>
      </c>
      <c r="E1933" s="14" t="s">
        <v>344</v>
      </c>
      <c r="F1933" s="14" t="s">
        <v>343</v>
      </c>
      <c r="G1933" s="14" t="s">
        <v>343</v>
      </c>
      <c r="H1933" s="14" t="s">
        <v>343</v>
      </c>
      <c r="I1933" s="14">
        <v>1</v>
      </c>
      <c r="J1933" s="14">
        <v>1</v>
      </c>
      <c r="K1933" s="14">
        <v>1</v>
      </c>
      <c r="L1933" s="14">
        <v>1</v>
      </c>
      <c r="M1933" s="14">
        <v>1</v>
      </c>
      <c r="N1933" s="14">
        <v>1</v>
      </c>
      <c r="O1933" s="14">
        <v>1</v>
      </c>
      <c r="P1933" s="14">
        <v>1</v>
      </c>
      <c r="Q1933" s="14">
        <v>1</v>
      </c>
      <c r="R1933" s="14">
        <v>1</v>
      </c>
      <c r="S1933" s="14">
        <v>1</v>
      </c>
      <c r="T1933" s="14">
        <v>54</v>
      </c>
      <c r="U1933" s="14">
        <v>78</v>
      </c>
      <c r="V1933" s="14">
        <v>78</v>
      </c>
      <c r="W1933" s="14">
        <v>86</v>
      </c>
      <c r="X1933" s="14">
        <v>81</v>
      </c>
    </row>
    <row r="1934" spans="1:24" hidden="1" x14ac:dyDescent="0.3">
      <c r="A1934" s="14" t="s">
        <v>434</v>
      </c>
      <c r="B1934" s="14" t="s">
        <v>99</v>
      </c>
      <c r="C1934" s="14" t="s">
        <v>363</v>
      </c>
      <c r="D1934" s="14" t="s">
        <v>364</v>
      </c>
      <c r="E1934" s="14" t="s">
        <v>342</v>
      </c>
      <c r="F1934" s="14" t="s">
        <v>343</v>
      </c>
      <c r="G1934" s="14" t="s">
        <v>343</v>
      </c>
      <c r="H1934" s="14" t="s">
        <v>343</v>
      </c>
      <c r="U1934" s="14">
        <v>1.04</v>
      </c>
      <c r="W1934" s="14">
        <v>1.03</v>
      </c>
      <c r="X1934" s="14">
        <v>1.03</v>
      </c>
    </row>
    <row r="1935" spans="1:24" hidden="1" x14ac:dyDescent="0.3">
      <c r="A1935" s="14" t="s">
        <v>434</v>
      </c>
      <c r="B1935" s="14" t="s">
        <v>99</v>
      </c>
      <c r="C1935" s="14" t="s">
        <v>363</v>
      </c>
      <c r="D1935" s="14" t="s">
        <v>364</v>
      </c>
      <c r="E1935" s="14" t="s">
        <v>344</v>
      </c>
      <c r="F1935" s="14" t="s">
        <v>343</v>
      </c>
      <c r="G1935" s="14" t="s">
        <v>343</v>
      </c>
      <c r="H1935" s="14" t="s">
        <v>343</v>
      </c>
      <c r="U1935" s="14">
        <v>87</v>
      </c>
      <c r="V1935" s="14">
        <v>90</v>
      </c>
      <c r="W1935" s="14">
        <v>98</v>
      </c>
      <c r="X1935" s="14">
        <v>89</v>
      </c>
    </row>
    <row r="1936" spans="1:24" hidden="1" x14ac:dyDescent="0.3">
      <c r="A1936" s="14" t="s">
        <v>434</v>
      </c>
      <c r="B1936" s="14" t="s">
        <v>99</v>
      </c>
      <c r="C1936" s="14" t="s">
        <v>365</v>
      </c>
      <c r="D1936" s="14" t="s">
        <v>366</v>
      </c>
      <c r="E1936" s="14" t="s">
        <v>342</v>
      </c>
      <c r="F1936" s="14" t="s">
        <v>343</v>
      </c>
      <c r="G1936" s="14" t="s">
        <v>343</v>
      </c>
      <c r="H1936" s="14" t="s">
        <v>343</v>
      </c>
      <c r="U1936" s="14">
        <v>0.94</v>
      </c>
      <c r="V1936" s="14">
        <v>0.94</v>
      </c>
      <c r="W1936" s="14">
        <v>0.94</v>
      </c>
      <c r="X1936" s="14">
        <v>0.94</v>
      </c>
    </row>
    <row r="1937" spans="1:24" hidden="1" x14ac:dyDescent="0.3">
      <c r="A1937" s="14" t="s">
        <v>434</v>
      </c>
      <c r="B1937" s="14" t="s">
        <v>99</v>
      </c>
      <c r="C1937" s="14" t="s">
        <v>365</v>
      </c>
      <c r="D1937" s="14" t="s">
        <v>366</v>
      </c>
      <c r="E1937" s="14" t="s">
        <v>344</v>
      </c>
      <c r="F1937" s="14" t="s">
        <v>343</v>
      </c>
      <c r="G1937" s="14" t="s">
        <v>343</v>
      </c>
      <c r="H1937" s="14" t="s">
        <v>343</v>
      </c>
      <c r="U1937" s="14">
        <v>1</v>
      </c>
      <c r="V1937" s="14">
        <v>1</v>
      </c>
      <c r="W1937" s="14">
        <v>1</v>
      </c>
      <c r="X1937" s="14">
        <v>1</v>
      </c>
    </row>
    <row r="1938" spans="1:24" hidden="1" x14ac:dyDescent="0.3">
      <c r="A1938" s="14" t="s">
        <v>434</v>
      </c>
      <c r="B1938" s="14" t="s">
        <v>99</v>
      </c>
      <c r="C1938" s="14" t="s">
        <v>367</v>
      </c>
      <c r="D1938" s="14" t="s">
        <v>368</v>
      </c>
      <c r="E1938" s="14" t="s">
        <v>342</v>
      </c>
      <c r="F1938" s="14" t="s">
        <v>343</v>
      </c>
      <c r="G1938" s="14" t="s">
        <v>343</v>
      </c>
      <c r="H1938" s="14" t="s">
        <v>343</v>
      </c>
      <c r="I1938" s="14">
        <v>0.65</v>
      </c>
      <c r="J1938" s="14">
        <v>0.68</v>
      </c>
      <c r="K1938" s="14">
        <v>0.73</v>
      </c>
      <c r="L1938" s="14">
        <v>0.73</v>
      </c>
      <c r="M1938" s="14">
        <v>0.7</v>
      </c>
      <c r="N1938" s="14">
        <v>0.7</v>
      </c>
      <c r="O1938" s="14">
        <v>0.7</v>
      </c>
      <c r="P1938" s="14">
        <v>0.71</v>
      </c>
      <c r="Q1938" s="14">
        <v>0.76</v>
      </c>
      <c r="R1938" s="14">
        <v>0.76</v>
      </c>
      <c r="S1938" s="14">
        <v>0.76</v>
      </c>
      <c r="T1938" s="14">
        <v>0.78</v>
      </c>
      <c r="U1938" s="14">
        <v>0.78</v>
      </c>
      <c r="V1938" s="14">
        <v>0.78</v>
      </c>
      <c r="W1938" s="14">
        <v>0.78</v>
      </c>
      <c r="X1938" s="14">
        <v>0.79</v>
      </c>
    </row>
    <row r="1939" spans="1:24" hidden="1" x14ac:dyDescent="0.3">
      <c r="A1939" s="14" t="s">
        <v>434</v>
      </c>
      <c r="B1939" s="14" t="s">
        <v>99</v>
      </c>
      <c r="C1939" s="14" t="s">
        <v>367</v>
      </c>
      <c r="D1939" s="14" t="s">
        <v>368</v>
      </c>
      <c r="E1939" s="14" t="s">
        <v>344</v>
      </c>
      <c r="F1939" s="14" t="s">
        <v>343</v>
      </c>
      <c r="G1939" s="14" t="s">
        <v>343</v>
      </c>
      <c r="H1939" s="14" t="s">
        <v>343</v>
      </c>
      <c r="I1939" s="14">
        <v>70</v>
      </c>
      <c r="J1939" s="14">
        <v>51</v>
      </c>
      <c r="K1939" s="14">
        <v>15</v>
      </c>
      <c r="L1939" s="14">
        <v>18</v>
      </c>
      <c r="M1939" s="14">
        <v>46</v>
      </c>
      <c r="N1939" s="14">
        <v>48</v>
      </c>
      <c r="O1939" s="14">
        <v>57</v>
      </c>
      <c r="P1939" s="14">
        <v>45</v>
      </c>
      <c r="Q1939" s="14">
        <v>16</v>
      </c>
      <c r="R1939" s="14">
        <v>15</v>
      </c>
      <c r="S1939" s="14">
        <v>17</v>
      </c>
      <c r="T1939" s="14">
        <v>11</v>
      </c>
      <c r="U1939" s="14">
        <v>12</v>
      </c>
      <c r="V1939" s="14">
        <v>15</v>
      </c>
      <c r="W1939" s="14">
        <v>16</v>
      </c>
      <c r="X1939" s="14">
        <v>15</v>
      </c>
    </row>
    <row r="1940" spans="1:24" hidden="1" x14ac:dyDescent="0.3">
      <c r="A1940" s="14" t="s">
        <v>434</v>
      </c>
      <c r="B1940" s="14" t="s">
        <v>99</v>
      </c>
      <c r="C1940" s="14" t="s">
        <v>369</v>
      </c>
      <c r="D1940" s="14" t="s">
        <v>370</v>
      </c>
      <c r="E1940" s="14" t="s">
        <v>342</v>
      </c>
      <c r="F1940" s="14" t="s">
        <v>343</v>
      </c>
      <c r="G1940" s="14" t="s">
        <v>343</v>
      </c>
      <c r="H1940" s="14" t="s">
        <v>343</v>
      </c>
      <c r="I1940" s="14">
        <v>0.1</v>
      </c>
      <c r="J1940" s="14">
        <v>0.1</v>
      </c>
      <c r="K1940" s="14">
        <v>0.28999999999999998</v>
      </c>
      <c r="L1940" s="14">
        <v>0.28999999999999998</v>
      </c>
      <c r="M1940" s="14">
        <v>0.17</v>
      </c>
      <c r="N1940" s="14">
        <v>0.17</v>
      </c>
      <c r="O1940" s="14">
        <v>0.15</v>
      </c>
      <c r="P1940" s="14">
        <v>0.19</v>
      </c>
      <c r="Q1940" s="14">
        <v>0.35</v>
      </c>
      <c r="R1940" s="14">
        <v>0.36</v>
      </c>
      <c r="S1940" s="14">
        <v>0.36</v>
      </c>
      <c r="T1940" s="14">
        <v>0.45</v>
      </c>
      <c r="U1940" s="14">
        <v>0.46</v>
      </c>
      <c r="V1940" s="14">
        <v>0.46</v>
      </c>
      <c r="W1940" s="14">
        <v>0.46</v>
      </c>
      <c r="X1940" s="14">
        <v>0.46</v>
      </c>
    </row>
    <row r="1941" spans="1:24" hidden="1" x14ac:dyDescent="0.3">
      <c r="A1941" s="14" t="s">
        <v>434</v>
      </c>
      <c r="B1941" s="14" t="s">
        <v>99</v>
      </c>
      <c r="C1941" s="14" t="s">
        <v>369</v>
      </c>
      <c r="D1941" s="14" t="s">
        <v>370</v>
      </c>
      <c r="E1941" s="14" t="s">
        <v>344</v>
      </c>
      <c r="F1941" s="14" t="s">
        <v>343</v>
      </c>
      <c r="G1941" s="14" t="s">
        <v>343</v>
      </c>
      <c r="H1941" s="14" t="s">
        <v>343</v>
      </c>
      <c r="I1941" s="14">
        <v>60</v>
      </c>
      <c r="J1941" s="14">
        <v>67</v>
      </c>
      <c r="K1941" s="14">
        <v>18</v>
      </c>
      <c r="L1941" s="14">
        <v>16</v>
      </c>
      <c r="M1941" s="14">
        <v>47</v>
      </c>
      <c r="N1941" s="14">
        <v>46</v>
      </c>
      <c r="O1941" s="14">
        <v>63</v>
      </c>
      <c r="P1941" s="14">
        <v>45</v>
      </c>
      <c r="Q1941" s="14">
        <v>20</v>
      </c>
      <c r="R1941" s="14">
        <v>19</v>
      </c>
      <c r="S1941" s="14">
        <v>19</v>
      </c>
      <c r="T1941" s="14">
        <v>9</v>
      </c>
      <c r="U1941" s="14">
        <v>10</v>
      </c>
      <c r="V1941" s="14">
        <v>15</v>
      </c>
      <c r="W1941" s="14">
        <v>20</v>
      </c>
      <c r="X1941" s="14">
        <v>20</v>
      </c>
    </row>
    <row r="1942" spans="1:24" hidden="1" x14ac:dyDescent="0.3">
      <c r="A1942" s="14" t="s">
        <v>434</v>
      </c>
      <c r="B1942" s="14" t="s">
        <v>99</v>
      </c>
      <c r="C1942" s="14" t="s">
        <v>371</v>
      </c>
      <c r="D1942" s="14" t="s">
        <v>372</v>
      </c>
      <c r="E1942" s="14" t="s">
        <v>342</v>
      </c>
      <c r="F1942" s="14" t="s">
        <v>343</v>
      </c>
      <c r="G1942" s="14" t="s">
        <v>343</v>
      </c>
      <c r="H1942" s="14" t="s">
        <v>343</v>
      </c>
      <c r="U1942" s="14">
        <v>0.02</v>
      </c>
      <c r="V1942" s="14">
        <v>0.02</v>
      </c>
      <c r="W1942" s="14">
        <v>0.02</v>
      </c>
      <c r="X1942" s="14">
        <v>0.02</v>
      </c>
    </row>
    <row r="1943" spans="1:24" hidden="1" x14ac:dyDescent="0.3">
      <c r="A1943" s="14" t="s">
        <v>434</v>
      </c>
      <c r="B1943" s="14" t="s">
        <v>99</v>
      </c>
      <c r="C1943" s="14" t="s">
        <v>371</v>
      </c>
      <c r="D1943" s="14" t="s">
        <v>372</v>
      </c>
      <c r="E1943" s="14" t="s">
        <v>344</v>
      </c>
      <c r="F1943" s="14" t="s">
        <v>343</v>
      </c>
      <c r="G1943" s="14" t="s">
        <v>343</v>
      </c>
      <c r="H1943" s="14" t="s">
        <v>343</v>
      </c>
      <c r="U1943" s="14">
        <v>53</v>
      </c>
      <c r="V1943" s="14">
        <v>56</v>
      </c>
      <c r="W1943" s="14">
        <v>62</v>
      </c>
      <c r="X1943" s="14">
        <v>62</v>
      </c>
    </row>
    <row r="1944" spans="1:24" hidden="1" x14ac:dyDescent="0.3">
      <c r="A1944" s="14" t="s">
        <v>434</v>
      </c>
      <c r="B1944" s="14" t="s">
        <v>99</v>
      </c>
      <c r="C1944" s="14" t="s">
        <v>373</v>
      </c>
      <c r="D1944" s="14" t="s">
        <v>374</v>
      </c>
      <c r="E1944" s="14" t="s">
        <v>342</v>
      </c>
      <c r="F1944" s="14" t="s">
        <v>343</v>
      </c>
      <c r="G1944" s="14" t="s">
        <v>343</v>
      </c>
      <c r="H1944" s="14" t="s">
        <v>343</v>
      </c>
      <c r="U1944" s="14">
        <v>1</v>
      </c>
      <c r="V1944" s="14">
        <v>1</v>
      </c>
      <c r="W1944" s="14">
        <v>1</v>
      </c>
      <c r="X1944" s="14">
        <v>1</v>
      </c>
    </row>
    <row r="1945" spans="1:24" hidden="1" x14ac:dyDescent="0.3">
      <c r="A1945" s="14" t="s">
        <v>434</v>
      </c>
      <c r="B1945" s="14" t="s">
        <v>99</v>
      </c>
      <c r="C1945" s="14" t="s">
        <v>373</v>
      </c>
      <c r="D1945" s="14" t="s">
        <v>374</v>
      </c>
      <c r="E1945" s="14" t="s">
        <v>344</v>
      </c>
      <c r="F1945" s="14" t="s">
        <v>343</v>
      </c>
      <c r="G1945" s="14" t="s">
        <v>343</v>
      </c>
      <c r="H1945" s="14" t="s">
        <v>343</v>
      </c>
      <c r="U1945" s="14">
        <v>1</v>
      </c>
      <c r="V1945" s="14">
        <v>1</v>
      </c>
      <c r="W1945" s="14">
        <v>1</v>
      </c>
      <c r="X1945" s="14">
        <v>1</v>
      </c>
    </row>
    <row r="1946" spans="1:24" hidden="1" x14ac:dyDescent="0.3">
      <c r="A1946" s="14" t="s">
        <v>434</v>
      </c>
      <c r="B1946" s="14" t="s">
        <v>99</v>
      </c>
      <c r="C1946" s="14" t="s">
        <v>375</v>
      </c>
      <c r="D1946" s="14" t="s">
        <v>376</v>
      </c>
      <c r="E1946" s="14" t="s">
        <v>342</v>
      </c>
      <c r="F1946" s="14" t="s">
        <v>343</v>
      </c>
      <c r="G1946" s="14" t="s">
        <v>343</v>
      </c>
      <c r="H1946" s="14" t="s">
        <v>343</v>
      </c>
      <c r="U1946" s="14">
        <v>0.66</v>
      </c>
      <c r="V1946" s="14">
        <v>0.66</v>
      </c>
      <c r="W1946" s="14">
        <v>0.65</v>
      </c>
      <c r="X1946" s="14">
        <v>0.65</v>
      </c>
    </row>
    <row r="1947" spans="1:24" hidden="1" x14ac:dyDescent="0.3">
      <c r="A1947" s="14" t="s">
        <v>434</v>
      </c>
      <c r="B1947" s="14" t="s">
        <v>99</v>
      </c>
      <c r="C1947" s="14" t="s">
        <v>375</v>
      </c>
      <c r="D1947" s="14" t="s">
        <v>376</v>
      </c>
      <c r="E1947" s="14" t="s">
        <v>344</v>
      </c>
      <c r="F1947" s="14" t="s">
        <v>343</v>
      </c>
      <c r="G1947" s="14" t="s">
        <v>343</v>
      </c>
      <c r="H1947" s="14" t="s">
        <v>343</v>
      </c>
      <c r="U1947" s="14">
        <v>14</v>
      </c>
      <c r="V1947" s="14">
        <v>16</v>
      </c>
      <c r="W1947" s="14">
        <v>25</v>
      </c>
      <c r="X1947" s="14">
        <v>30</v>
      </c>
    </row>
    <row r="1948" spans="1:24" hidden="1" x14ac:dyDescent="0.3">
      <c r="A1948" s="14" t="s">
        <v>435</v>
      </c>
      <c r="B1948" s="14" t="s">
        <v>327</v>
      </c>
      <c r="C1948" s="14" t="s">
        <v>340</v>
      </c>
      <c r="D1948" s="14" t="s">
        <v>341</v>
      </c>
      <c r="E1948" s="14" t="s">
        <v>342</v>
      </c>
      <c r="F1948" s="14" t="s">
        <v>343</v>
      </c>
      <c r="G1948" s="14" t="s">
        <v>343</v>
      </c>
      <c r="H1948" s="14" t="s">
        <v>343</v>
      </c>
      <c r="I1948" s="14">
        <v>1</v>
      </c>
      <c r="J1948" s="14">
        <v>1</v>
      </c>
      <c r="K1948" s="14">
        <v>1</v>
      </c>
      <c r="L1948" s="14">
        <v>1</v>
      </c>
      <c r="M1948" s="14">
        <v>1</v>
      </c>
      <c r="N1948" s="14">
        <v>1</v>
      </c>
      <c r="O1948" s="14">
        <v>1</v>
      </c>
      <c r="P1948" s="14">
        <v>1</v>
      </c>
      <c r="Q1948" s="14">
        <v>1</v>
      </c>
      <c r="R1948" s="14">
        <v>1</v>
      </c>
      <c r="S1948" s="14">
        <v>1</v>
      </c>
      <c r="T1948" s="14">
        <v>1</v>
      </c>
      <c r="U1948" s="14">
        <v>1</v>
      </c>
      <c r="V1948" s="14">
        <v>1</v>
      </c>
      <c r="W1948" s="14">
        <v>1</v>
      </c>
      <c r="X1948" s="14">
        <v>1</v>
      </c>
    </row>
    <row r="1949" spans="1:24" hidden="1" x14ac:dyDescent="0.3">
      <c r="A1949" s="14" t="s">
        <v>435</v>
      </c>
      <c r="B1949" s="14" t="s">
        <v>327</v>
      </c>
      <c r="C1949" s="14" t="s">
        <v>340</v>
      </c>
      <c r="D1949" s="14" t="s">
        <v>341</v>
      </c>
      <c r="E1949" s="14" t="s">
        <v>344</v>
      </c>
      <c r="F1949" s="14" t="s">
        <v>343</v>
      </c>
      <c r="G1949" s="14" t="s">
        <v>343</v>
      </c>
      <c r="H1949" s="14" t="s">
        <v>343</v>
      </c>
      <c r="I1949" s="14">
        <v>1</v>
      </c>
      <c r="J1949" s="14">
        <v>1</v>
      </c>
      <c r="K1949" s="14">
        <v>1</v>
      </c>
      <c r="L1949" s="14">
        <v>1</v>
      </c>
      <c r="M1949" s="14">
        <v>1</v>
      </c>
      <c r="N1949" s="14">
        <v>1</v>
      </c>
      <c r="O1949" s="14">
        <v>27</v>
      </c>
      <c r="P1949" s="14">
        <v>31</v>
      </c>
      <c r="Q1949" s="14">
        <v>32</v>
      </c>
      <c r="R1949" s="14">
        <v>37</v>
      </c>
      <c r="S1949" s="14">
        <v>34</v>
      </c>
      <c r="T1949" s="14">
        <v>36</v>
      </c>
      <c r="U1949" s="14">
        <v>38</v>
      </c>
      <c r="V1949" s="14">
        <v>38</v>
      </c>
      <c r="W1949" s="14">
        <v>40</v>
      </c>
      <c r="X1949" s="14">
        <v>33</v>
      </c>
    </row>
    <row r="1950" spans="1:24" hidden="1" x14ac:dyDescent="0.3">
      <c r="A1950" s="14" t="s">
        <v>435</v>
      </c>
      <c r="B1950" s="14" t="s">
        <v>327</v>
      </c>
      <c r="C1950" s="14" t="s">
        <v>345</v>
      </c>
      <c r="D1950" s="14" t="s">
        <v>346</v>
      </c>
      <c r="E1950" s="14" t="s">
        <v>342</v>
      </c>
      <c r="F1950" s="14" t="s">
        <v>343</v>
      </c>
      <c r="G1950" s="14" t="s">
        <v>343</v>
      </c>
      <c r="H1950" s="14" t="s">
        <v>343</v>
      </c>
      <c r="U1950" s="14">
        <v>0.55000000000000004</v>
      </c>
      <c r="V1950" s="14">
        <v>0.56000000000000005</v>
      </c>
      <c r="W1950" s="14">
        <v>0.57999999999999996</v>
      </c>
      <c r="X1950" s="14">
        <v>0.61</v>
      </c>
    </row>
    <row r="1951" spans="1:24" hidden="1" x14ac:dyDescent="0.3">
      <c r="A1951" s="14" t="s">
        <v>435</v>
      </c>
      <c r="B1951" s="14" t="s">
        <v>327</v>
      </c>
      <c r="C1951" s="14" t="s">
        <v>345</v>
      </c>
      <c r="D1951" s="14" t="s">
        <v>346</v>
      </c>
      <c r="E1951" s="14" t="s">
        <v>344</v>
      </c>
      <c r="F1951" s="14" t="s">
        <v>343</v>
      </c>
      <c r="G1951" s="14" t="s">
        <v>343</v>
      </c>
      <c r="H1951" s="14" t="s">
        <v>343</v>
      </c>
      <c r="U1951" s="14">
        <v>96</v>
      </c>
      <c r="V1951" s="14">
        <v>102</v>
      </c>
      <c r="W1951" s="14">
        <v>91</v>
      </c>
      <c r="X1951" s="14">
        <v>91</v>
      </c>
    </row>
    <row r="1952" spans="1:24" hidden="1" x14ac:dyDescent="0.3">
      <c r="A1952" s="14" t="s">
        <v>435</v>
      </c>
      <c r="B1952" s="14" t="s">
        <v>327</v>
      </c>
      <c r="C1952" s="14" t="s">
        <v>347</v>
      </c>
      <c r="D1952" s="14" t="s">
        <v>348</v>
      </c>
      <c r="E1952" s="14" t="s">
        <v>342</v>
      </c>
      <c r="F1952" s="14" t="s">
        <v>343</v>
      </c>
      <c r="G1952" s="14" t="s">
        <v>343</v>
      </c>
      <c r="H1952" s="14" t="s">
        <v>343</v>
      </c>
      <c r="U1952" s="14">
        <v>0.88</v>
      </c>
      <c r="V1952" s="14">
        <v>0.89</v>
      </c>
      <c r="W1952" s="14">
        <v>0.89</v>
      </c>
      <c r="X1952" s="14">
        <v>0.86</v>
      </c>
    </row>
    <row r="1953" spans="1:24" hidden="1" x14ac:dyDescent="0.3">
      <c r="A1953" s="14" t="s">
        <v>435</v>
      </c>
      <c r="B1953" s="14" t="s">
        <v>327</v>
      </c>
      <c r="C1953" s="14" t="s">
        <v>347</v>
      </c>
      <c r="D1953" s="14" t="s">
        <v>348</v>
      </c>
      <c r="E1953" s="14" t="s">
        <v>344</v>
      </c>
      <c r="F1953" s="14" t="s">
        <v>343</v>
      </c>
      <c r="G1953" s="14" t="s">
        <v>343</v>
      </c>
      <c r="H1953" s="14" t="s">
        <v>343</v>
      </c>
      <c r="U1953" s="14">
        <v>51</v>
      </c>
      <c r="V1953" s="14">
        <v>49</v>
      </c>
      <c r="W1953" s="14">
        <v>44</v>
      </c>
      <c r="X1953" s="14">
        <v>37</v>
      </c>
    </row>
    <row r="1954" spans="1:24" hidden="1" x14ac:dyDescent="0.3">
      <c r="A1954" s="14" t="s">
        <v>435</v>
      </c>
      <c r="B1954" s="14" t="s">
        <v>327</v>
      </c>
      <c r="C1954" s="14" t="s">
        <v>349</v>
      </c>
      <c r="D1954" s="14" t="s">
        <v>350</v>
      </c>
      <c r="E1954" s="14" t="s">
        <v>342</v>
      </c>
      <c r="F1954" s="14" t="s">
        <v>343</v>
      </c>
      <c r="G1954" s="14" t="s">
        <v>343</v>
      </c>
      <c r="H1954" s="14" t="s">
        <v>343</v>
      </c>
      <c r="U1954" s="14">
        <v>0.56999999999999995</v>
      </c>
      <c r="V1954" s="14">
        <v>0.56999999999999995</v>
      </c>
      <c r="W1954" s="14">
        <v>0.57999999999999996</v>
      </c>
      <c r="X1954" s="14">
        <v>0.57999999999999996</v>
      </c>
    </row>
    <row r="1955" spans="1:24" hidden="1" x14ac:dyDescent="0.3">
      <c r="A1955" s="14" t="s">
        <v>435</v>
      </c>
      <c r="B1955" s="14" t="s">
        <v>327</v>
      </c>
      <c r="C1955" s="14" t="s">
        <v>349</v>
      </c>
      <c r="D1955" s="14" t="s">
        <v>350</v>
      </c>
      <c r="E1955" s="14" t="s">
        <v>344</v>
      </c>
      <c r="F1955" s="14" t="s">
        <v>343</v>
      </c>
      <c r="G1955" s="14" t="s">
        <v>343</v>
      </c>
      <c r="H1955" s="14" t="s">
        <v>343</v>
      </c>
      <c r="U1955" s="14">
        <v>46</v>
      </c>
      <c r="V1955" s="14">
        <v>47</v>
      </c>
      <c r="W1955" s="14">
        <v>52</v>
      </c>
      <c r="X1955" s="14">
        <v>52</v>
      </c>
    </row>
    <row r="1956" spans="1:24" hidden="1" x14ac:dyDescent="0.3">
      <c r="A1956" s="14" t="s">
        <v>435</v>
      </c>
      <c r="B1956" s="14" t="s">
        <v>327</v>
      </c>
      <c r="C1956" s="14" t="s">
        <v>351</v>
      </c>
      <c r="D1956" s="14" t="s">
        <v>352</v>
      </c>
      <c r="E1956" s="14" t="s">
        <v>342</v>
      </c>
      <c r="F1956" s="14" t="s">
        <v>343</v>
      </c>
      <c r="G1956" s="14" t="s">
        <v>343</v>
      </c>
      <c r="H1956" s="14" t="s">
        <v>343</v>
      </c>
      <c r="U1956" s="14">
        <v>1</v>
      </c>
      <c r="V1956" s="14">
        <v>0.99</v>
      </c>
      <c r="W1956" s="14">
        <v>0.96</v>
      </c>
      <c r="X1956" s="14">
        <v>0.99</v>
      </c>
    </row>
    <row r="1957" spans="1:24" hidden="1" x14ac:dyDescent="0.3">
      <c r="A1957" s="14" t="s">
        <v>435</v>
      </c>
      <c r="B1957" s="14" t="s">
        <v>327</v>
      </c>
      <c r="C1957" s="14" t="s">
        <v>351</v>
      </c>
      <c r="D1957" s="14" t="s">
        <v>352</v>
      </c>
      <c r="E1957" s="14" t="s">
        <v>344</v>
      </c>
      <c r="F1957" s="14" t="s">
        <v>343</v>
      </c>
      <c r="G1957" s="14" t="s">
        <v>343</v>
      </c>
      <c r="H1957" s="14" t="s">
        <v>343</v>
      </c>
      <c r="U1957" s="14">
        <v>68</v>
      </c>
      <c r="V1957" s="14">
        <v>71</v>
      </c>
      <c r="W1957" s="14">
        <v>81</v>
      </c>
      <c r="X1957" s="14">
        <v>71</v>
      </c>
    </row>
    <row r="1958" spans="1:24" hidden="1" x14ac:dyDescent="0.3">
      <c r="A1958" s="14" t="s">
        <v>435</v>
      </c>
      <c r="B1958" s="14" t="s">
        <v>327</v>
      </c>
      <c r="C1958" s="14" t="s">
        <v>378</v>
      </c>
      <c r="D1958" s="14" t="s">
        <v>379</v>
      </c>
      <c r="E1958" s="14" t="s">
        <v>342</v>
      </c>
      <c r="F1958" s="14" t="s">
        <v>343</v>
      </c>
      <c r="G1958" s="14" t="s">
        <v>343</v>
      </c>
      <c r="H1958" s="14" t="s">
        <v>343</v>
      </c>
      <c r="S1958" s="14">
        <v>0.67</v>
      </c>
      <c r="U1958" s="14">
        <v>0.65</v>
      </c>
      <c r="V1958" s="14">
        <v>0.64</v>
      </c>
      <c r="W1958" s="14">
        <v>0.66</v>
      </c>
      <c r="X1958" s="14">
        <v>0.71</v>
      </c>
    </row>
    <row r="1959" spans="1:24" hidden="1" x14ac:dyDescent="0.3">
      <c r="A1959" s="14" t="s">
        <v>435</v>
      </c>
      <c r="B1959" s="14" t="s">
        <v>327</v>
      </c>
      <c r="C1959" s="14" t="s">
        <v>378</v>
      </c>
      <c r="D1959" s="14" t="s">
        <v>379</v>
      </c>
      <c r="E1959" s="14" t="s">
        <v>344</v>
      </c>
      <c r="F1959" s="14" t="s">
        <v>343</v>
      </c>
      <c r="G1959" s="14" t="s">
        <v>343</v>
      </c>
      <c r="H1959" s="14" t="s">
        <v>343</v>
      </c>
      <c r="S1959" s="14">
        <v>52</v>
      </c>
      <c r="U1959" s="14">
        <v>64</v>
      </c>
      <c r="V1959" s="14">
        <v>76</v>
      </c>
      <c r="W1959" s="14">
        <v>75</v>
      </c>
      <c r="X1959" s="14">
        <v>42</v>
      </c>
    </row>
    <row r="1960" spans="1:24" hidden="1" x14ac:dyDescent="0.3">
      <c r="A1960" s="14" t="s">
        <v>435</v>
      </c>
      <c r="B1960" s="14" t="s">
        <v>327</v>
      </c>
      <c r="C1960" s="14" t="s">
        <v>353</v>
      </c>
      <c r="D1960" s="14" t="s">
        <v>354</v>
      </c>
      <c r="E1960" s="14" t="s">
        <v>342</v>
      </c>
      <c r="F1960" s="14" t="s">
        <v>343</v>
      </c>
      <c r="G1960" s="14" t="s">
        <v>343</v>
      </c>
      <c r="H1960" s="14" t="s">
        <v>343</v>
      </c>
      <c r="U1960" s="14">
        <v>1</v>
      </c>
      <c r="V1960" s="14">
        <v>1</v>
      </c>
      <c r="W1960" s="14">
        <v>1</v>
      </c>
      <c r="X1960" s="14">
        <v>1</v>
      </c>
    </row>
    <row r="1961" spans="1:24" hidden="1" x14ac:dyDescent="0.3">
      <c r="A1961" s="14" t="s">
        <v>435</v>
      </c>
      <c r="B1961" s="14" t="s">
        <v>327</v>
      </c>
      <c r="C1961" s="14" t="s">
        <v>353</v>
      </c>
      <c r="D1961" s="14" t="s">
        <v>354</v>
      </c>
      <c r="E1961" s="14" t="s">
        <v>344</v>
      </c>
      <c r="F1961" s="14" t="s">
        <v>343</v>
      </c>
      <c r="G1961" s="14" t="s">
        <v>343</v>
      </c>
      <c r="H1961" s="14" t="s">
        <v>343</v>
      </c>
      <c r="U1961" s="14">
        <v>1</v>
      </c>
      <c r="V1961" s="14">
        <v>1</v>
      </c>
      <c r="W1961" s="14">
        <v>1</v>
      </c>
      <c r="X1961" s="14">
        <v>1</v>
      </c>
    </row>
    <row r="1962" spans="1:24" hidden="1" x14ac:dyDescent="0.3">
      <c r="A1962" s="14" t="s">
        <v>435</v>
      </c>
      <c r="B1962" s="14" t="s">
        <v>327</v>
      </c>
      <c r="C1962" s="14" t="s">
        <v>380</v>
      </c>
      <c r="D1962" s="14" t="s">
        <v>381</v>
      </c>
      <c r="E1962" s="14" t="s">
        <v>342</v>
      </c>
      <c r="F1962" s="14" t="s">
        <v>343</v>
      </c>
      <c r="G1962" s="14" t="s">
        <v>343</v>
      </c>
      <c r="H1962" s="14" t="s">
        <v>343</v>
      </c>
      <c r="U1962" s="14">
        <v>1</v>
      </c>
      <c r="V1962" s="14">
        <v>1</v>
      </c>
      <c r="W1962" s="14">
        <v>1</v>
      </c>
      <c r="X1962" s="14">
        <v>1</v>
      </c>
    </row>
    <row r="1963" spans="1:24" hidden="1" x14ac:dyDescent="0.3">
      <c r="A1963" s="14" t="s">
        <v>435</v>
      </c>
      <c r="B1963" s="14" t="s">
        <v>327</v>
      </c>
      <c r="C1963" s="14" t="s">
        <v>380</v>
      </c>
      <c r="D1963" s="14" t="s">
        <v>381</v>
      </c>
      <c r="E1963" s="14" t="s">
        <v>344</v>
      </c>
      <c r="F1963" s="14" t="s">
        <v>343</v>
      </c>
      <c r="G1963" s="14" t="s">
        <v>343</v>
      </c>
      <c r="H1963" s="14" t="s">
        <v>343</v>
      </c>
      <c r="U1963" s="14">
        <v>72</v>
      </c>
      <c r="V1963" s="14">
        <v>88</v>
      </c>
      <c r="W1963" s="14">
        <v>91</v>
      </c>
      <c r="X1963" s="14">
        <v>79</v>
      </c>
    </row>
    <row r="1964" spans="1:24" hidden="1" x14ac:dyDescent="0.3">
      <c r="A1964" s="14" t="s">
        <v>435</v>
      </c>
      <c r="B1964" s="14" t="s">
        <v>327</v>
      </c>
      <c r="C1964" s="14" t="s">
        <v>355</v>
      </c>
      <c r="D1964" s="14" t="s">
        <v>356</v>
      </c>
      <c r="E1964" s="14" t="s">
        <v>342</v>
      </c>
      <c r="F1964" s="14" t="s">
        <v>343</v>
      </c>
      <c r="G1964" s="14" t="s">
        <v>343</v>
      </c>
      <c r="H1964" s="14" t="s">
        <v>343</v>
      </c>
      <c r="U1964" s="14">
        <v>1</v>
      </c>
      <c r="V1964" s="14">
        <v>1</v>
      </c>
      <c r="W1964" s="14">
        <v>1</v>
      </c>
      <c r="X1964" s="14">
        <v>1</v>
      </c>
    </row>
    <row r="1965" spans="1:24" hidden="1" x14ac:dyDescent="0.3">
      <c r="A1965" s="14" t="s">
        <v>435</v>
      </c>
      <c r="B1965" s="14" t="s">
        <v>327</v>
      </c>
      <c r="C1965" s="14" t="s">
        <v>355</v>
      </c>
      <c r="D1965" s="14" t="s">
        <v>356</v>
      </c>
      <c r="E1965" s="14" t="s">
        <v>344</v>
      </c>
      <c r="F1965" s="14" t="s">
        <v>343</v>
      </c>
      <c r="G1965" s="14" t="s">
        <v>343</v>
      </c>
      <c r="H1965" s="14" t="s">
        <v>343</v>
      </c>
      <c r="U1965" s="14">
        <v>1</v>
      </c>
      <c r="V1965" s="14">
        <v>1</v>
      </c>
      <c r="W1965" s="14">
        <v>1</v>
      </c>
      <c r="X1965" s="14">
        <v>1</v>
      </c>
    </row>
    <row r="1966" spans="1:24" hidden="1" x14ac:dyDescent="0.3">
      <c r="A1966" s="14" t="s">
        <v>435</v>
      </c>
      <c r="B1966" s="14" t="s">
        <v>327</v>
      </c>
      <c r="C1966" s="14" t="s">
        <v>357</v>
      </c>
      <c r="D1966" s="14" t="s">
        <v>358</v>
      </c>
      <c r="E1966" s="14" t="s">
        <v>342</v>
      </c>
      <c r="F1966" s="14" t="s">
        <v>343</v>
      </c>
      <c r="G1966" s="14" t="s">
        <v>343</v>
      </c>
      <c r="H1966" s="14" t="s">
        <v>343</v>
      </c>
      <c r="U1966" s="14">
        <v>1</v>
      </c>
      <c r="V1966" s="14">
        <v>1</v>
      </c>
      <c r="W1966" s="14">
        <v>1</v>
      </c>
      <c r="X1966" s="14">
        <v>1</v>
      </c>
    </row>
    <row r="1967" spans="1:24" hidden="1" x14ac:dyDescent="0.3">
      <c r="A1967" s="14" t="s">
        <v>435</v>
      </c>
      <c r="B1967" s="14" t="s">
        <v>327</v>
      </c>
      <c r="C1967" s="14" t="s">
        <v>357</v>
      </c>
      <c r="D1967" s="14" t="s">
        <v>358</v>
      </c>
      <c r="E1967" s="14" t="s">
        <v>344</v>
      </c>
      <c r="F1967" s="14" t="s">
        <v>343</v>
      </c>
      <c r="G1967" s="14" t="s">
        <v>343</v>
      </c>
      <c r="H1967" s="14" t="s">
        <v>343</v>
      </c>
      <c r="U1967" s="14">
        <v>1</v>
      </c>
      <c r="V1967" s="14">
        <v>1</v>
      </c>
      <c r="W1967" s="14">
        <v>1</v>
      </c>
      <c r="X1967" s="14">
        <v>1</v>
      </c>
    </row>
    <row r="1968" spans="1:24" hidden="1" x14ac:dyDescent="0.3">
      <c r="A1968" s="14" t="s">
        <v>435</v>
      </c>
      <c r="B1968" s="14" t="s">
        <v>327</v>
      </c>
      <c r="C1968" s="14" t="s">
        <v>359</v>
      </c>
      <c r="D1968" s="14" t="s">
        <v>360</v>
      </c>
      <c r="E1968" s="14" t="s">
        <v>342</v>
      </c>
      <c r="F1968" s="14" t="s">
        <v>343</v>
      </c>
      <c r="G1968" s="14" t="s">
        <v>343</v>
      </c>
      <c r="H1968" s="14" t="s">
        <v>343</v>
      </c>
      <c r="I1968" s="14">
        <v>0.66</v>
      </c>
      <c r="J1968" s="14">
        <v>0.69</v>
      </c>
      <c r="K1968" s="14">
        <v>0.69</v>
      </c>
      <c r="L1968" s="14">
        <v>0.71</v>
      </c>
      <c r="M1968" s="14">
        <v>0.72</v>
      </c>
      <c r="N1968" s="14">
        <v>0.72</v>
      </c>
      <c r="O1968" s="14">
        <v>0.73</v>
      </c>
      <c r="P1968" s="14">
        <v>0.73</v>
      </c>
      <c r="Q1968" s="14">
        <v>0.71</v>
      </c>
      <c r="R1968" s="14">
        <v>0.72</v>
      </c>
      <c r="S1968" s="14">
        <v>0.7</v>
      </c>
      <c r="T1968" s="14">
        <v>0.7</v>
      </c>
      <c r="U1968" s="14">
        <v>0.7</v>
      </c>
      <c r="V1968" s="14">
        <v>0.7</v>
      </c>
      <c r="W1968" s="14">
        <v>0.72</v>
      </c>
      <c r="X1968" s="14">
        <v>0.73</v>
      </c>
    </row>
    <row r="1969" spans="1:24" hidden="1" x14ac:dyDescent="0.3">
      <c r="A1969" s="14" t="s">
        <v>435</v>
      </c>
      <c r="B1969" s="14" t="s">
        <v>327</v>
      </c>
      <c r="C1969" s="14" t="s">
        <v>359</v>
      </c>
      <c r="D1969" s="14" t="s">
        <v>360</v>
      </c>
      <c r="E1969" s="14" t="s">
        <v>344</v>
      </c>
      <c r="F1969" s="14" t="s">
        <v>343</v>
      </c>
      <c r="G1969" s="14" t="s">
        <v>343</v>
      </c>
      <c r="H1969" s="14" t="s">
        <v>343</v>
      </c>
      <c r="I1969" s="14">
        <v>37</v>
      </c>
      <c r="J1969" s="14">
        <v>32</v>
      </c>
      <c r="K1969" s="14">
        <v>42</v>
      </c>
      <c r="L1969" s="14">
        <v>35</v>
      </c>
      <c r="M1969" s="14">
        <v>34</v>
      </c>
      <c r="N1969" s="14">
        <v>33</v>
      </c>
      <c r="O1969" s="14">
        <v>33</v>
      </c>
      <c r="P1969" s="14">
        <v>35</v>
      </c>
      <c r="Q1969" s="14">
        <v>46</v>
      </c>
      <c r="R1969" s="14">
        <v>43</v>
      </c>
      <c r="S1969" s="14">
        <v>53</v>
      </c>
      <c r="T1969" s="14">
        <v>53</v>
      </c>
      <c r="U1969" s="14">
        <v>52</v>
      </c>
      <c r="V1969" s="14">
        <v>58</v>
      </c>
      <c r="W1969" s="14">
        <v>55</v>
      </c>
      <c r="X1969" s="14">
        <v>44</v>
      </c>
    </row>
    <row r="1970" spans="1:24" x14ac:dyDescent="0.3">
      <c r="A1970" s="14" t="s">
        <v>435</v>
      </c>
      <c r="B1970" s="14" t="s">
        <v>327</v>
      </c>
      <c r="C1970" s="14" t="s">
        <v>361</v>
      </c>
      <c r="D1970" s="14" t="s">
        <v>362</v>
      </c>
      <c r="E1970" s="14" t="s">
        <v>342</v>
      </c>
      <c r="F1970" s="14" t="s">
        <v>343</v>
      </c>
      <c r="G1970" s="14" t="s">
        <v>343</v>
      </c>
      <c r="H1970" s="14" t="s">
        <v>343</v>
      </c>
      <c r="I1970" s="14">
        <v>0.97</v>
      </c>
      <c r="J1970" s="14">
        <v>0.97</v>
      </c>
      <c r="K1970" s="14">
        <v>0.97</v>
      </c>
      <c r="L1970" s="14">
        <v>0.97</v>
      </c>
      <c r="M1970" s="14">
        <v>0.97</v>
      </c>
      <c r="N1970" s="14">
        <v>0.97</v>
      </c>
      <c r="O1970" s="14">
        <v>0.97</v>
      </c>
      <c r="P1970" s="14">
        <v>0.97</v>
      </c>
      <c r="Q1970" s="14">
        <v>0.97</v>
      </c>
      <c r="R1970" s="14">
        <v>0.97</v>
      </c>
      <c r="S1970" s="14">
        <v>0.97</v>
      </c>
      <c r="T1970" s="14">
        <v>0.97</v>
      </c>
      <c r="U1970" s="14">
        <v>0.97</v>
      </c>
      <c r="V1970" s="14">
        <v>0.97</v>
      </c>
      <c r="W1970" s="14">
        <v>0.97</v>
      </c>
      <c r="X1970" s="14">
        <v>0.96</v>
      </c>
    </row>
    <row r="1971" spans="1:24" hidden="1" x14ac:dyDescent="0.3">
      <c r="A1971" s="14" t="s">
        <v>435</v>
      </c>
      <c r="B1971" s="14" t="s">
        <v>327</v>
      </c>
      <c r="C1971" s="14" t="s">
        <v>361</v>
      </c>
      <c r="D1971" s="14" t="s">
        <v>362</v>
      </c>
      <c r="E1971" s="14" t="s">
        <v>344</v>
      </c>
      <c r="F1971" s="14" t="s">
        <v>343</v>
      </c>
      <c r="G1971" s="14" t="s">
        <v>343</v>
      </c>
      <c r="H1971" s="14" t="s">
        <v>343</v>
      </c>
      <c r="I1971" s="14">
        <v>63</v>
      </c>
      <c r="J1971" s="14">
        <v>67</v>
      </c>
      <c r="K1971" s="14">
        <v>69</v>
      </c>
      <c r="L1971" s="14">
        <v>72</v>
      </c>
      <c r="M1971" s="14">
        <v>90</v>
      </c>
      <c r="N1971" s="14">
        <v>91</v>
      </c>
      <c r="O1971" s="14">
        <v>93</v>
      </c>
      <c r="P1971" s="14">
        <v>92</v>
      </c>
      <c r="Q1971" s="14">
        <v>94</v>
      </c>
      <c r="R1971" s="14">
        <v>66</v>
      </c>
      <c r="S1971" s="14">
        <v>64</v>
      </c>
      <c r="T1971" s="14">
        <v>100</v>
      </c>
      <c r="U1971" s="14">
        <v>110</v>
      </c>
      <c r="V1971" s="14">
        <v>112</v>
      </c>
      <c r="W1971" s="14">
        <v>110</v>
      </c>
      <c r="X1971" s="14">
        <v>105</v>
      </c>
    </row>
    <row r="1972" spans="1:24" hidden="1" x14ac:dyDescent="0.3">
      <c r="A1972" s="14" t="s">
        <v>435</v>
      </c>
      <c r="B1972" s="14" t="s">
        <v>327</v>
      </c>
      <c r="C1972" s="14" t="s">
        <v>363</v>
      </c>
      <c r="D1972" s="14" t="s">
        <v>364</v>
      </c>
      <c r="E1972" s="14" t="s">
        <v>342</v>
      </c>
      <c r="F1972" s="14" t="s">
        <v>343</v>
      </c>
      <c r="G1972" s="14" t="s">
        <v>343</v>
      </c>
      <c r="H1972" s="14" t="s">
        <v>343</v>
      </c>
      <c r="U1972" s="14">
        <v>1.03</v>
      </c>
      <c r="V1972" s="14">
        <v>1.03</v>
      </c>
      <c r="W1972" s="14">
        <v>1.01</v>
      </c>
      <c r="X1972" s="14">
        <v>1.01</v>
      </c>
    </row>
    <row r="1973" spans="1:24" hidden="1" x14ac:dyDescent="0.3">
      <c r="A1973" s="14" t="s">
        <v>435</v>
      </c>
      <c r="B1973" s="14" t="s">
        <v>327</v>
      </c>
      <c r="C1973" s="14" t="s">
        <v>363</v>
      </c>
      <c r="D1973" s="14" t="s">
        <v>364</v>
      </c>
      <c r="E1973" s="14" t="s">
        <v>344</v>
      </c>
      <c r="F1973" s="14" t="s">
        <v>343</v>
      </c>
      <c r="G1973" s="14" t="s">
        <v>343</v>
      </c>
      <c r="H1973" s="14" t="s">
        <v>343</v>
      </c>
      <c r="U1973" s="14">
        <v>119</v>
      </c>
      <c r="V1973" s="14">
        <v>123</v>
      </c>
      <c r="W1973" s="14">
        <v>121</v>
      </c>
      <c r="X1973" s="14">
        <v>116</v>
      </c>
    </row>
    <row r="1974" spans="1:24" hidden="1" x14ac:dyDescent="0.3">
      <c r="A1974" s="14" t="s">
        <v>435</v>
      </c>
      <c r="B1974" s="14" t="s">
        <v>327</v>
      </c>
      <c r="C1974" s="14" t="s">
        <v>365</v>
      </c>
      <c r="D1974" s="14" t="s">
        <v>366</v>
      </c>
      <c r="E1974" s="14" t="s">
        <v>342</v>
      </c>
      <c r="F1974" s="14" t="s">
        <v>343</v>
      </c>
      <c r="G1974" s="14" t="s">
        <v>343</v>
      </c>
      <c r="H1974" s="14" t="s">
        <v>343</v>
      </c>
      <c r="U1974" s="14">
        <v>0.94</v>
      </c>
      <c r="V1974" s="14">
        <v>0.94</v>
      </c>
      <c r="W1974" s="14">
        <v>0.94</v>
      </c>
      <c r="X1974" s="14">
        <v>0.94</v>
      </c>
    </row>
    <row r="1975" spans="1:24" hidden="1" x14ac:dyDescent="0.3">
      <c r="A1975" s="14" t="s">
        <v>435</v>
      </c>
      <c r="B1975" s="14" t="s">
        <v>327</v>
      </c>
      <c r="C1975" s="14" t="s">
        <v>365</v>
      </c>
      <c r="D1975" s="14" t="s">
        <v>366</v>
      </c>
      <c r="E1975" s="14" t="s">
        <v>344</v>
      </c>
      <c r="F1975" s="14" t="s">
        <v>343</v>
      </c>
      <c r="G1975" s="14" t="s">
        <v>343</v>
      </c>
      <c r="H1975" s="14" t="s">
        <v>343</v>
      </c>
      <c r="U1975" s="14">
        <v>1</v>
      </c>
      <c r="V1975" s="14">
        <v>1</v>
      </c>
      <c r="W1975" s="14">
        <v>1</v>
      </c>
      <c r="X1975" s="14">
        <v>1</v>
      </c>
    </row>
    <row r="1976" spans="1:24" hidden="1" x14ac:dyDescent="0.3">
      <c r="A1976" s="14" t="s">
        <v>435</v>
      </c>
      <c r="B1976" s="14" t="s">
        <v>327</v>
      </c>
      <c r="C1976" s="14" t="s">
        <v>367</v>
      </c>
      <c r="D1976" s="14" t="s">
        <v>368</v>
      </c>
      <c r="E1976" s="14" t="s">
        <v>342</v>
      </c>
      <c r="F1976" s="14" t="s">
        <v>343</v>
      </c>
      <c r="G1976" s="14" t="s">
        <v>343</v>
      </c>
      <c r="H1976" s="14" t="s">
        <v>343</v>
      </c>
      <c r="I1976" s="14">
        <v>0.74</v>
      </c>
      <c r="J1976" s="14">
        <v>0.74</v>
      </c>
      <c r="K1976" s="14">
        <v>0.74</v>
      </c>
      <c r="L1976" s="14">
        <v>0.74</v>
      </c>
      <c r="M1976" s="14">
        <v>0.75</v>
      </c>
      <c r="N1976" s="14">
        <v>0.75</v>
      </c>
      <c r="O1976" s="14">
        <v>0.74</v>
      </c>
      <c r="P1976" s="14">
        <v>0.74</v>
      </c>
      <c r="Q1976" s="14">
        <v>0.74</v>
      </c>
      <c r="R1976" s="14">
        <v>0.76</v>
      </c>
      <c r="S1976" s="14">
        <v>0.75</v>
      </c>
      <c r="T1976" s="14">
        <v>0.77</v>
      </c>
      <c r="U1976" s="14">
        <v>0.77</v>
      </c>
      <c r="V1976" s="14">
        <v>0.77</v>
      </c>
      <c r="W1976" s="14">
        <v>0.78</v>
      </c>
      <c r="X1976" s="14">
        <v>0.78</v>
      </c>
    </row>
    <row r="1977" spans="1:24" hidden="1" x14ac:dyDescent="0.3">
      <c r="A1977" s="14" t="s">
        <v>435</v>
      </c>
      <c r="B1977" s="14" t="s">
        <v>327</v>
      </c>
      <c r="C1977" s="14" t="s">
        <v>367</v>
      </c>
      <c r="D1977" s="14" t="s">
        <v>368</v>
      </c>
      <c r="E1977" s="14" t="s">
        <v>344</v>
      </c>
      <c r="F1977" s="14" t="s">
        <v>343</v>
      </c>
      <c r="G1977" s="14" t="s">
        <v>343</v>
      </c>
      <c r="H1977" s="14" t="s">
        <v>343</v>
      </c>
      <c r="I1977" s="14">
        <v>9</v>
      </c>
      <c r="J1977" s="14">
        <v>11</v>
      </c>
      <c r="K1977" s="14">
        <v>13</v>
      </c>
      <c r="L1977" s="14">
        <v>15</v>
      </c>
      <c r="M1977" s="14">
        <v>15</v>
      </c>
      <c r="N1977" s="14">
        <v>16</v>
      </c>
      <c r="O1977" s="14">
        <v>18</v>
      </c>
      <c r="P1977" s="14">
        <v>18</v>
      </c>
      <c r="Q1977" s="14">
        <v>26</v>
      </c>
      <c r="R1977" s="14">
        <v>18</v>
      </c>
      <c r="S1977" s="14">
        <v>20</v>
      </c>
      <c r="T1977" s="14">
        <v>15</v>
      </c>
      <c r="U1977" s="14">
        <v>15</v>
      </c>
      <c r="V1977" s="14">
        <v>21</v>
      </c>
      <c r="W1977" s="14">
        <v>23</v>
      </c>
      <c r="X1977" s="14">
        <v>22</v>
      </c>
    </row>
    <row r="1978" spans="1:24" hidden="1" x14ac:dyDescent="0.3">
      <c r="A1978" s="14" t="s">
        <v>435</v>
      </c>
      <c r="B1978" s="14" t="s">
        <v>327</v>
      </c>
      <c r="C1978" s="14" t="s">
        <v>369</v>
      </c>
      <c r="D1978" s="14" t="s">
        <v>370</v>
      </c>
      <c r="E1978" s="14" t="s">
        <v>342</v>
      </c>
      <c r="F1978" s="14" t="s">
        <v>343</v>
      </c>
      <c r="G1978" s="14" t="s">
        <v>343</v>
      </c>
      <c r="H1978" s="14" t="s">
        <v>343</v>
      </c>
      <c r="I1978" s="14">
        <v>0.31</v>
      </c>
      <c r="J1978" s="14">
        <v>0.31</v>
      </c>
      <c r="K1978" s="14">
        <v>0.28000000000000003</v>
      </c>
      <c r="L1978" s="14">
        <v>0.28000000000000003</v>
      </c>
      <c r="M1978" s="14">
        <v>0.28999999999999998</v>
      </c>
      <c r="N1978" s="14">
        <v>0.28999999999999998</v>
      </c>
      <c r="O1978" s="14">
        <v>0.27</v>
      </c>
      <c r="P1978" s="14">
        <v>0.27</v>
      </c>
      <c r="Q1978" s="14">
        <v>0.27</v>
      </c>
      <c r="R1978" s="14">
        <v>0.34</v>
      </c>
      <c r="S1978" s="14">
        <v>0.34</v>
      </c>
      <c r="T1978" s="14">
        <v>0.4</v>
      </c>
      <c r="U1978" s="14">
        <v>0.42</v>
      </c>
      <c r="V1978" s="14">
        <v>0.4</v>
      </c>
      <c r="W1978" s="14">
        <v>0.42</v>
      </c>
      <c r="X1978" s="14">
        <v>0.42</v>
      </c>
    </row>
    <row r="1979" spans="1:24" hidden="1" x14ac:dyDescent="0.3">
      <c r="A1979" s="14" t="s">
        <v>435</v>
      </c>
      <c r="B1979" s="14" t="s">
        <v>327</v>
      </c>
      <c r="C1979" s="14" t="s">
        <v>369</v>
      </c>
      <c r="D1979" s="14" t="s">
        <v>370</v>
      </c>
      <c r="E1979" s="14" t="s">
        <v>344</v>
      </c>
      <c r="F1979" s="14" t="s">
        <v>343</v>
      </c>
      <c r="G1979" s="14" t="s">
        <v>343</v>
      </c>
      <c r="H1979" s="14" t="s">
        <v>343</v>
      </c>
      <c r="I1979" s="14">
        <v>12</v>
      </c>
      <c r="J1979" s="14">
        <v>12</v>
      </c>
      <c r="K1979" s="14">
        <v>21</v>
      </c>
      <c r="L1979" s="14">
        <v>22</v>
      </c>
      <c r="M1979" s="14">
        <v>22</v>
      </c>
      <c r="N1979" s="14">
        <v>23</v>
      </c>
      <c r="O1979" s="14">
        <v>29</v>
      </c>
      <c r="P1979" s="14">
        <v>29</v>
      </c>
      <c r="Q1979" s="14">
        <v>33</v>
      </c>
      <c r="R1979" s="14">
        <v>23</v>
      </c>
      <c r="S1979" s="14">
        <v>24</v>
      </c>
      <c r="T1979" s="14">
        <v>17</v>
      </c>
      <c r="U1979" s="14">
        <v>11</v>
      </c>
      <c r="V1979" s="14">
        <v>20</v>
      </c>
      <c r="W1979" s="14">
        <v>23</v>
      </c>
      <c r="X1979" s="14">
        <v>24</v>
      </c>
    </row>
    <row r="1980" spans="1:24" hidden="1" x14ac:dyDescent="0.3">
      <c r="A1980" s="14" t="s">
        <v>435</v>
      </c>
      <c r="B1980" s="14" t="s">
        <v>327</v>
      </c>
      <c r="C1980" s="14" t="s">
        <v>371</v>
      </c>
      <c r="D1980" s="14" t="s">
        <v>372</v>
      </c>
      <c r="E1980" s="14" t="s">
        <v>342</v>
      </c>
      <c r="F1980" s="14" t="s">
        <v>343</v>
      </c>
      <c r="G1980" s="14" t="s">
        <v>343</v>
      </c>
      <c r="H1980" s="14" t="s">
        <v>343</v>
      </c>
      <c r="U1980" s="14">
        <v>0.37</v>
      </c>
      <c r="V1980" s="14">
        <v>0.41</v>
      </c>
      <c r="W1980" s="14">
        <v>0.41</v>
      </c>
      <c r="X1980" s="14">
        <v>0.41</v>
      </c>
    </row>
    <row r="1981" spans="1:24" hidden="1" x14ac:dyDescent="0.3">
      <c r="A1981" s="14" t="s">
        <v>435</v>
      </c>
      <c r="B1981" s="14" t="s">
        <v>327</v>
      </c>
      <c r="C1981" s="14" t="s">
        <v>371</v>
      </c>
      <c r="D1981" s="14" t="s">
        <v>372</v>
      </c>
      <c r="E1981" s="14" t="s">
        <v>344</v>
      </c>
      <c r="F1981" s="14" t="s">
        <v>343</v>
      </c>
      <c r="G1981" s="14" t="s">
        <v>343</v>
      </c>
      <c r="H1981" s="14" t="s">
        <v>343</v>
      </c>
      <c r="U1981" s="14">
        <v>7</v>
      </c>
      <c r="V1981" s="14">
        <v>7</v>
      </c>
      <c r="W1981" s="14">
        <v>8</v>
      </c>
      <c r="X1981" s="14">
        <v>9</v>
      </c>
    </row>
    <row r="1982" spans="1:24" hidden="1" x14ac:dyDescent="0.3">
      <c r="A1982" s="14" t="s">
        <v>435</v>
      </c>
      <c r="B1982" s="14" t="s">
        <v>327</v>
      </c>
      <c r="C1982" s="14" t="s">
        <v>373</v>
      </c>
      <c r="D1982" s="14" t="s">
        <v>374</v>
      </c>
      <c r="E1982" s="14" t="s">
        <v>342</v>
      </c>
      <c r="F1982" s="14" t="s">
        <v>343</v>
      </c>
      <c r="G1982" s="14" t="s">
        <v>343</v>
      </c>
      <c r="H1982" s="14" t="s">
        <v>343</v>
      </c>
      <c r="U1982" s="14">
        <v>0.44</v>
      </c>
      <c r="V1982" s="14">
        <v>0.28000000000000003</v>
      </c>
      <c r="W1982" s="14">
        <v>0.31</v>
      </c>
      <c r="X1982" s="14">
        <v>0.31</v>
      </c>
    </row>
    <row r="1983" spans="1:24" hidden="1" x14ac:dyDescent="0.3">
      <c r="A1983" s="14" t="s">
        <v>435</v>
      </c>
      <c r="B1983" s="14" t="s">
        <v>327</v>
      </c>
      <c r="C1983" s="14" t="s">
        <v>373</v>
      </c>
      <c r="D1983" s="14" t="s">
        <v>374</v>
      </c>
      <c r="E1983" s="14" t="s">
        <v>344</v>
      </c>
      <c r="F1983" s="14" t="s">
        <v>343</v>
      </c>
      <c r="G1983" s="14" t="s">
        <v>343</v>
      </c>
      <c r="H1983" s="14" t="s">
        <v>343</v>
      </c>
      <c r="U1983" s="14">
        <v>23</v>
      </c>
      <c r="V1983" s="14">
        <v>76</v>
      </c>
      <c r="W1983" s="14">
        <v>69</v>
      </c>
      <c r="X1983" s="14">
        <v>67</v>
      </c>
    </row>
    <row r="1984" spans="1:24" hidden="1" x14ac:dyDescent="0.3">
      <c r="A1984" s="14" t="s">
        <v>435</v>
      </c>
      <c r="B1984" s="14" t="s">
        <v>327</v>
      </c>
      <c r="C1984" s="14" t="s">
        <v>375</v>
      </c>
      <c r="D1984" s="14" t="s">
        <v>376</v>
      </c>
      <c r="E1984" s="14" t="s">
        <v>342</v>
      </c>
      <c r="F1984" s="14" t="s">
        <v>343</v>
      </c>
      <c r="G1984" s="14" t="s">
        <v>343</v>
      </c>
      <c r="H1984" s="14" t="s">
        <v>343</v>
      </c>
      <c r="U1984" s="14">
        <v>0.47</v>
      </c>
      <c r="V1984" s="14">
        <v>0.47</v>
      </c>
      <c r="W1984" s="14">
        <v>0.51</v>
      </c>
      <c r="X1984" s="14">
        <v>0.53</v>
      </c>
    </row>
    <row r="1985" spans="1:24" hidden="1" x14ac:dyDescent="0.3">
      <c r="A1985" s="14" t="s">
        <v>435</v>
      </c>
      <c r="B1985" s="14" t="s">
        <v>327</v>
      </c>
      <c r="C1985" s="14" t="s">
        <v>375</v>
      </c>
      <c r="D1985" s="14" t="s">
        <v>376</v>
      </c>
      <c r="E1985" s="14" t="s">
        <v>344</v>
      </c>
      <c r="F1985" s="14" t="s">
        <v>343</v>
      </c>
      <c r="G1985" s="14" t="s">
        <v>343</v>
      </c>
      <c r="H1985" s="14" t="s">
        <v>343</v>
      </c>
      <c r="U1985" s="14">
        <v>36</v>
      </c>
      <c r="V1985" s="14">
        <v>36</v>
      </c>
      <c r="W1985" s="14">
        <v>36</v>
      </c>
      <c r="X1985" s="14">
        <v>42</v>
      </c>
    </row>
    <row r="1986" spans="1:24" hidden="1" x14ac:dyDescent="0.3">
      <c r="A1986" s="14" t="s">
        <v>436</v>
      </c>
      <c r="B1986" s="14" t="s">
        <v>104</v>
      </c>
      <c r="C1986" s="14" t="s">
        <v>340</v>
      </c>
      <c r="D1986" s="14" t="s">
        <v>341</v>
      </c>
      <c r="E1986" s="14" t="s">
        <v>342</v>
      </c>
      <c r="F1986" s="14" t="s">
        <v>343</v>
      </c>
      <c r="G1986" s="14" t="s">
        <v>343</v>
      </c>
      <c r="H1986" s="14" t="s">
        <v>343</v>
      </c>
      <c r="I1986" s="14">
        <v>1</v>
      </c>
      <c r="J1986" s="14">
        <v>1</v>
      </c>
      <c r="K1986" s="14">
        <v>1</v>
      </c>
      <c r="L1986" s="14">
        <v>0.99</v>
      </c>
      <c r="M1986" s="14">
        <v>0.98</v>
      </c>
      <c r="N1986" s="14">
        <v>0.99</v>
      </c>
      <c r="O1986" s="14">
        <v>0.98</v>
      </c>
      <c r="P1986" s="14">
        <v>0.98</v>
      </c>
      <c r="Q1986" s="14">
        <v>0.99</v>
      </c>
      <c r="R1986" s="14">
        <v>1</v>
      </c>
      <c r="S1986" s="14">
        <v>0.99</v>
      </c>
      <c r="T1986" s="14">
        <v>0.99</v>
      </c>
      <c r="U1986" s="14">
        <v>1</v>
      </c>
      <c r="V1986" s="14">
        <v>1</v>
      </c>
      <c r="W1986" s="14">
        <v>1</v>
      </c>
      <c r="X1986" s="14">
        <v>1</v>
      </c>
    </row>
    <row r="1987" spans="1:24" hidden="1" x14ac:dyDescent="0.3">
      <c r="A1987" s="14" t="s">
        <v>436</v>
      </c>
      <c r="B1987" s="14" t="s">
        <v>104</v>
      </c>
      <c r="C1987" s="14" t="s">
        <v>340</v>
      </c>
      <c r="D1987" s="14" t="s">
        <v>341</v>
      </c>
      <c r="E1987" s="14" t="s">
        <v>344</v>
      </c>
      <c r="F1987" s="14" t="s">
        <v>343</v>
      </c>
      <c r="G1987" s="14" t="s">
        <v>343</v>
      </c>
      <c r="H1987" s="14" t="s">
        <v>343</v>
      </c>
      <c r="I1987" s="14">
        <v>27</v>
      </c>
      <c r="J1987" s="14">
        <v>28</v>
      </c>
      <c r="K1987" s="14">
        <v>1</v>
      </c>
      <c r="L1987" s="14">
        <v>82</v>
      </c>
      <c r="M1987" s="14">
        <v>87</v>
      </c>
      <c r="N1987" s="14">
        <v>67</v>
      </c>
      <c r="O1987" s="14">
        <v>89</v>
      </c>
      <c r="P1987" s="14">
        <v>89</v>
      </c>
      <c r="Q1987" s="14">
        <v>80</v>
      </c>
      <c r="R1987" s="14">
        <v>31</v>
      </c>
      <c r="S1987" s="14">
        <v>78</v>
      </c>
      <c r="T1987" s="14">
        <v>81</v>
      </c>
      <c r="U1987" s="14">
        <v>60</v>
      </c>
      <c r="V1987" s="14">
        <v>29</v>
      </c>
      <c r="W1987" s="14">
        <v>30</v>
      </c>
      <c r="X1987" s="14">
        <v>29</v>
      </c>
    </row>
    <row r="1988" spans="1:24" hidden="1" x14ac:dyDescent="0.3">
      <c r="A1988" s="14" t="s">
        <v>436</v>
      </c>
      <c r="B1988" s="14" t="s">
        <v>104</v>
      </c>
      <c r="C1988" s="14" t="s">
        <v>345</v>
      </c>
      <c r="D1988" s="14" t="s">
        <v>346</v>
      </c>
      <c r="E1988" s="14" t="s">
        <v>342</v>
      </c>
      <c r="F1988" s="14" t="s">
        <v>343</v>
      </c>
      <c r="G1988" s="14" t="s">
        <v>343</v>
      </c>
      <c r="H1988" s="14" t="s">
        <v>343</v>
      </c>
      <c r="U1988" s="14">
        <v>0.5</v>
      </c>
      <c r="V1988" s="14">
        <v>0.49</v>
      </c>
      <c r="W1988" s="14">
        <v>0.51</v>
      </c>
      <c r="X1988" s="14">
        <v>0.5</v>
      </c>
    </row>
    <row r="1989" spans="1:24" hidden="1" x14ac:dyDescent="0.3">
      <c r="A1989" s="14" t="s">
        <v>436</v>
      </c>
      <c r="B1989" s="14" t="s">
        <v>104</v>
      </c>
      <c r="C1989" s="14" t="s">
        <v>345</v>
      </c>
      <c r="D1989" s="14" t="s">
        <v>346</v>
      </c>
      <c r="E1989" s="14" t="s">
        <v>344</v>
      </c>
      <c r="F1989" s="14" t="s">
        <v>343</v>
      </c>
      <c r="G1989" s="14" t="s">
        <v>343</v>
      </c>
      <c r="H1989" s="14" t="s">
        <v>343</v>
      </c>
      <c r="U1989" s="14">
        <v>110</v>
      </c>
      <c r="V1989" s="14">
        <v>118</v>
      </c>
      <c r="W1989" s="14">
        <v>115</v>
      </c>
      <c r="X1989" s="14">
        <v>119</v>
      </c>
    </row>
    <row r="1990" spans="1:24" hidden="1" x14ac:dyDescent="0.3">
      <c r="A1990" s="14" t="s">
        <v>436</v>
      </c>
      <c r="B1990" s="14" t="s">
        <v>104</v>
      </c>
      <c r="C1990" s="14" t="s">
        <v>347</v>
      </c>
      <c r="D1990" s="14" t="s">
        <v>348</v>
      </c>
      <c r="E1990" s="14" t="s">
        <v>342</v>
      </c>
      <c r="F1990" s="14" t="s">
        <v>343</v>
      </c>
      <c r="G1990" s="14" t="s">
        <v>343</v>
      </c>
      <c r="H1990" s="14" t="s">
        <v>343</v>
      </c>
      <c r="U1990" s="14">
        <v>0.76</v>
      </c>
      <c r="V1990" s="14">
        <v>0.76</v>
      </c>
      <c r="W1990" s="14">
        <v>0.79</v>
      </c>
      <c r="X1990" s="14">
        <v>0.75</v>
      </c>
    </row>
    <row r="1991" spans="1:24" hidden="1" x14ac:dyDescent="0.3">
      <c r="A1991" s="14" t="s">
        <v>436</v>
      </c>
      <c r="B1991" s="14" t="s">
        <v>104</v>
      </c>
      <c r="C1991" s="14" t="s">
        <v>347</v>
      </c>
      <c r="D1991" s="14" t="s">
        <v>348</v>
      </c>
      <c r="E1991" s="14" t="s">
        <v>344</v>
      </c>
      <c r="F1991" s="14" t="s">
        <v>343</v>
      </c>
      <c r="G1991" s="14" t="s">
        <v>343</v>
      </c>
      <c r="H1991" s="14" t="s">
        <v>343</v>
      </c>
      <c r="U1991" s="14">
        <v>86</v>
      </c>
      <c r="V1991" s="14">
        <v>91</v>
      </c>
      <c r="W1991" s="14">
        <v>88</v>
      </c>
      <c r="X1991" s="14">
        <v>84</v>
      </c>
    </row>
    <row r="1992" spans="1:24" hidden="1" x14ac:dyDescent="0.3">
      <c r="A1992" s="14" t="s">
        <v>436</v>
      </c>
      <c r="B1992" s="14" t="s">
        <v>104</v>
      </c>
      <c r="C1992" s="14" t="s">
        <v>349</v>
      </c>
      <c r="D1992" s="14" t="s">
        <v>350</v>
      </c>
      <c r="E1992" s="14" t="s">
        <v>342</v>
      </c>
      <c r="F1992" s="14" t="s">
        <v>343</v>
      </c>
      <c r="G1992" s="14" t="s">
        <v>343</v>
      </c>
      <c r="H1992" s="14" t="s">
        <v>343</v>
      </c>
      <c r="U1992" s="14">
        <v>0.47</v>
      </c>
      <c r="V1992" s="14">
        <v>0.79</v>
      </c>
      <c r="W1992" s="14">
        <v>0.57999999999999996</v>
      </c>
      <c r="X1992" s="14">
        <v>0.56999999999999995</v>
      </c>
    </row>
    <row r="1993" spans="1:24" hidden="1" x14ac:dyDescent="0.3">
      <c r="A1993" s="14" t="s">
        <v>436</v>
      </c>
      <c r="B1993" s="14" t="s">
        <v>104</v>
      </c>
      <c r="C1993" s="14" t="s">
        <v>349</v>
      </c>
      <c r="D1993" s="14" t="s">
        <v>350</v>
      </c>
      <c r="E1993" s="14" t="s">
        <v>344</v>
      </c>
      <c r="F1993" s="14" t="s">
        <v>343</v>
      </c>
      <c r="G1993" s="14" t="s">
        <v>343</v>
      </c>
      <c r="H1993" s="14" t="s">
        <v>343</v>
      </c>
      <c r="U1993" s="14">
        <v>71</v>
      </c>
      <c r="V1993" s="14">
        <v>14</v>
      </c>
      <c r="W1993" s="14">
        <v>53</v>
      </c>
      <c r="X1993" s="14">
        <v>56</v>
      </c>
    </row>
    <row r="1994" spans="1:24" hidden="1" x14ac:dyDescent="0.3">
      <c r="A1994" s="14" t="s">
        <v>436</v>
      </c>
      <c r="B1994" s="14" t="s">
        <v>104</v>
      </c>
      <c r="C1994" s="14" t="s">
        <v>351</v>
      </c>
      <c r="D1994" s="14" t="s">
        <v>352</v>
      </c>
      <c r="E1994" s="14" t="s">
        <v>342</v>
      </c>
      <c r="F1994" s="14" t="s">
        <v>343</v>
      </c>
      <c r="G1994" s="14" t="s">
        <v>343</v>
      </c>
      <c r="H1994" s="14" t="s">
        <v>343</v>
      </c>
      <c r="U1994" s="14">
        <v>1</v>
      </c>
      <c r="V1994" s="14">
        <v>1</v>
      </c>
      <c r="W1994" s="14">
        <v>1</v>
      </c>
      <c r="X1994" s="14">
        <v>1</v>
      </c>
    </row>
    <row r="1995" spans="1:24" hidden="1" x14ac:dyDescent="0.3">
      <c r="A1995" s="14" t="s">
        <v>436</v>
      </c>
      <c r="B1995" s="14" t="s">
        <v>104</v>
      </c>
      <c r="C1995" s="14" t="s">
        <v>351</v>
      </c>
      <c r="D1995" s="14" t="s">
        <v>352</v>
      </c>
      <c r="E1995" s="14" t="s">
        <v>344</v>
      </c>
      <c r="F1995" s="14" t="s">
        <v>343</v>
      </c>
      <c r="G1995" s="14" t="s">
        <v>343</v>
      </c>
      <c r="H1995" s="14" t="s">
        <v>343</v>
      </c>
      <c r="U1995" s="14">
        <v>1</v>
      </c>
      <c r="V1995" s="14">
        <v>1</v>
      </c>
      <c r="W1995" s="14">
        <v>1</v>
      </c>
      <c r="X1995" s="14">
        <v>1</v>
      </c>
    </row>
    <row r="1996" spans="1:24" hidden="1" x14ac:dyDescent="0.3">
      <c r="A1996" s="14" t="s">
        <v>436</v>
      </c>
      <c r="B1996" s="14" t="s">
        <v>104</v>
      </c>
      <c r="C1996" s="14" t="s">
        <v>378</v>
      </c>
      <c r="D1996" s="14" t="s">
        <v>379</v>
      </c>
      <c r="E1996" s="14" t="s">
        <v>342</v>
      </c>
      <c r="F1996" s="14" t="s">
        <v>343</v>
      </c>
      <c r="G1996" s="14" t="s">
        <v>343</v>
      </c>
      <c r="H1996" s="14" t="s">
        <v>343</v>
      </c>
      <c r="S1996" s="14">
        <v>0.72</v>
      </c>
      <c r="U1996" s="14">
        <v>0.65</v>
      </c>
      <c r="V1996" s="14">
        <v>0.65</v>
      </c>
      <c r="W1996" s="14">
        <v>0.74</v>
      </c>
      <c r="X1996" s="14">
        <v>0.75</v>
      </c>
    </row>
    <row r="1997" spans="1:24" hidden="1" x14ac:dyDescent="0.3">
      <c r="A1997" s="14" t="s">
        <v>436</v>
      </c>
      <c r="B1997" s="14" t="s">
        <v>104</v>
      </c>
      <c r="C1997" s="14" t="s">
        <v>378</v>
      </c>
      <c r="D1997" s="14" t="s">
        <v>379</v>
      </c>
      <c r="E1997" s="14" t="s">
        <v>344</v>
      </c>
      <c r="F1997" s="14" t="s">
        <v>343</v>
      </c>
      <c r="G1997" s="14" t="s">
        <v>343</v>
      </c>
      <c r="H1997" s="14" t="s">
        <v>343</v>
      </c>
      <c r="S1997" s="14">
        <v>34</v>
      </c>
      <c r="U1997" s="14">
        <v>69</v>
      </c>
      <c r="V1997" s="14">
        <v>73</v>
      </c>
      <c r="W1997" s="14">
        <v>30</v>
      </c>
      <c r="X1997" s="14">
        <v>22</v>
      </c>
    </row>
    <row r="1998" spans="1:24" hidden="1" x14ac:dyDescent="0.3">
      <c r="A1998" s="14" t="s">
        <v>436</v>
      </c>
      <c r="B1998" s="14" t="s">
        <v>104</v>
      </c>
      <c r="C1998" s="14" t="s">
        <v>353</v>
      </c>
      <c r="D1998" s="14" t="s">
        <v>354</v>
      </c>
      <c r="E1998" s="14" t="s">
        <v>342</v>
      </c>
      <c r="F1998" s="14" t="s">
        <v>343</v>
      </c>
      <c r="G1998" s="14" t="s">
        <v>343</v>
      </c>
      <c r="H1998" s="14" t="s">
        <v>343</v>
      </c>
      <c r="U1998" s="14">
        <v>1</v>
      </c>
      <c r="V1998" s="14">
        <v>1</v>
      </c>
      <c r="W1998" s="14">
        <v>1</v>
      </c>
      <c r="X1998" s="14">
        <v>1</v>
      </c>
    </row>
    <row r="1999" spans="1:24" hidden="1" x14ac:dyDescent="0.3">
      <c r="A1999" s="14" t="s">
        <v>436</v>
      </c>
      <c r="B1999" s="14" t="s">
        <v>104</v>
      </c>
      <c r="C1999" s="14" t="s">
        <v>353</v>
      </c>
      <c r="D1999" s="14" t="s">
        <v>354</v>
      </c>
      <c r="E1999" s="14" t="s">
        <v>344</v>
      </c>
      <c r="F1999" s="14" t="s">
        <v>343</v>
      </c>
      <c r="G1999" s="14" t="s">
        <v>343</v>
      </c>
      <c r="H1999" s="14" t="s">
        <v>343</v>
      </c>
      <c r="U1999" s="14">
        <v>53</v>
      </c>
      <c r="V1999" s="14">
        <v>58</v>
      </c>
      <c r="W1999" s="14">
        <v>58</v>
      </c>
      <c r="X1999" s="14">
        <v>59</v>
      </c>
    </row>
    <row r="2000" spans="1:24" hidden="1" x14ac:dyDescent="0.3">
      <c r="A2000" s="14" t="s">
        <v>436</v>
      </c>
      <c r="B2000" s="14" t="s">
        <v>104</v>
      </c>
      <c r="C2000" s="14" t="s">
        <v>380</v>
      </c>
      <c r="D2000" s="14" t="s">
        <v>381</v>
      </c>
      <c r="E2000" s="14" t="s">
        <v>342</v>
      </c>
      <c r="F2000" s="14" t="s">
        <v>343</v>
      </c>
      <c r="G2000" s="14" t="s">
        <v>343</v>
      </c>
      <c r="H2000" s="14" t="s">
        <v>343</v>
      </c>
      <c r="U2000" s="14">
        <v>0.99</v>
      </c>
      <c r="V2000" s="14">
        <v>1</v>
      </c>
      <c r="W2000" s="14">
        <v>1</v>
      </c>
      <c r="X2000" s="14">
        <v>1</v>
      </c>
    </row>
    <row r="2001" spans="1:24" hidden="1" x14ac:dyDescent="0.3">
      <c r="A2001" s="14" t="s">
        <v>436</v>
      </c>
      <c r="B2001" s="14" t="s">
        <v>104</v>
      </c>
      <c r="C2001" s="14" t="s">
        <v>380</v>
      </c>
      <c r="D2001" s="14" t="s">
        <v>381</v>
      </c>
      <c r="E2001" s="14" t="s">
        <v>344</v>
      </c>
      <c r="F2001" s="14" t="s">
        <v>343</v>
      </c>
      <c r="G2001" s="14" t="s">
        <v>343</v>
      </c>
      <c r="H2001" s="14" t="s">
        <v>343</v>
      </c>
      <c r="U2001" s="14">
        <v>99</v>
      </c>
      <c r="V2001" s="14">
        <v>1</v>
      </c>
      <c r="W2001" s="14">
        <v>1</v>
      </c>
      <c r="X2001" s="14">
        <v>1</v>
      </c>
    </row>
    <row r="2002" spans="1:24" hidden="1" x14ac:dyDescent="0.3">
      <c r="A2002" s="14" t="s">
        <v>436</v>
      </c>
      <c r="B2002" s="14" t="s">
        <v>104</v>
      </c>
      <c r="C2002" s="14" t="s">
        <v>355</v>
      </c>
      <c r="D2002" s="14" t="s">
        <v>356</v>
      </c>
      <c r="E2002" s="14" t="s">
        <v>342</v>
      </c>
      <c r="F2002" s="14" t="s">
        <v>343</v>
      </c>
      <c r="G2002" s="14" t="s">
        <v>343</v>
      </c>
      <c r="H2002" s="14" t="s">
        <v>343</v>
      </c>
      <c r="U2002" s="14">
        <v>1</v>
      </c>
      <c r="V2002" s="14">
        <v>1</v>
      </c>
      <c r="W2002" s="14">
        <v>1</v>
      </c>
      <c r="X2002" s="14">
        <v>1</v>
      </c>
    </row>
    <row r="2003" spans="1:24" hidden="1" x14ac:dyDescent="0.3">
      <c r="A2003" s="14" t="s">
        <v>436</v>
      </c>
      <c r="B2003" s="14" t="s">
        <v>104</v>
      </c>
      <c r="C2003" s="14" t="s">
        <v>355</v>
      </c>
      <c r="D2003" s="14" t="s">
        <v>356</v>
      </c>
      <c r="E2003" s="14" t="s">
        <v>344</v>
      </c>
      <c r="F2003" s="14" t="s">
        <v>343</v>
      </c>
      <c r="G2003" s="14" t="s">
        <v>343</v>
      </c>
      <c r="H2003" s="14" t="s">
        <v>343</v>
      </c>
      <c r="U2003" s="14">
        <v>1</v>
      </c>
      <c r="V2003" s="14">
        <v>1</v>
      </c>
      <c r="W2003" s="14">
        <v>1</v>
      </c>
      <c r="X2003" s="14">
        <v>1</v>
      </c>
    </row>
    <row r="2004" spans="1:24" hidden="1" x14ac:dyDescent="0.3">
      <c r="A2004" s="14" t="s">
        <v>436</v>
      </c>
      <c r="B2004" s="14" t="s">
        <v>104</v>
      </c>
      <c r="C2004" s="14" t="s">
        <v>357</v>
      </c>
      <c r="D2004" s="14" t="s">
        <v>358</v>
      </c>
      <c r="E2004" s="14" t="s">
        <v>342</v>
      </c>
      <c r="F2004" s="14" t="s">
        <v>343</v>
      </c>
      <c r="G2004" s="14" t="s">
        <v>343</v>
      </c>
      <c r="H2004" s="14" t="s">
        <v>343</v>
      </c>
      <c r="U2004" s="14">
        <v>1</v>
      </c>
      <c r="V2004" s="14">
        <v>1</v>
      </c>
      <c r="W2004" s="14">
        <v>1</v>
      </c>
      <c r="X2004" s="14">
        <v>1</v>
      </c>
    </row>
    <row r="2005" spans="1:24" hidden="1" x14ac:dyDescent="0.3">
      <c r="A2005" s="14" t="s">
        <v>436</v>
      </c>
      <c r="B2005" s="14" t="s">
        <v>104</v>
      </c>
      <c r="C2005" s="14" t="s">
        <v>357</v>
      </c>
      <c r="D2005" s="14" t="s">
        <v>358</v>
      </c>
      <c r="E2005" s="14" t="s">
        <v>344</v>
      </c>
      <c r="F2005" s="14" t="s">
        <v>343</v>
      </c>
      <c r="G2005" s="14" t="s">
        <v>343</v>
      </c>
      <c r="H2005" s="14" t="s">
        <v>343</v>
      </c>
      <c r="U2005" s="14">
        <v>1</v>
      </c>
      <c r="V2005" s="14">
        <v>1</v>
      </c>
      <c r="W2005" s="14">
        <v>1</v>
      </c>
      <c r="X2005" s="14">
        <v>1</v>
      </c>
    </row>
    <row r="2006" spans="1:24" hidden="1" x14ac:dyDescent="0.3">
      <c r="A2006" s="14" t="s">
        <v>436</v>
      </c>
      <c r="B2006" s="14" t="s">
        <v>104</v>
      </c>
      <c r="C2006" s="14" t="s">
        <v>359</v>
      </c>
      <c r="D2006" s="14" t="s">
        <v>360</v>
      </c>
      <c r="E2006" s="14" t="s">
        <v>342</v>
      </c>
      <c r="F2006" s="14" t="s">
        <v>343</v>
      </c>
      <c r="G2006" s="14" t="s">
        <v>343</v>
      </c>
      <c r="H2006" s="14" t="s">
        <v>343</v>
      </c>
      <c r="I2006" s="14">
        <v>0.66</v>
      </c>
      <c r="J2006" s="14">
        <v>0.63</v>
      </c>
      <c r="K2006" s="14">
        <v>0.64</v>
      </c>
      <c r="L2006" s="14">
        <v>0.68</v>
      </c>
      <c r="M2006" s="14">
        <v>0.68</v>
      </c>
      <c r="N2006" s="14">
        <v>0.67</v>
      </c>
      <c r="O2006" s="14">
        <v>0.68</v>
      </c>
      <c r="P2006" s="14">
        <v>0.67</v>
      </c>
      <c r="Q2006" s="14">
        <v>0.68</v>
      </c>
      <c r="R2006" s="14">
        <v>0.69</v>
      </c>
      <c r="S2006" s="14">
        <v>0.68</v>
      </c>
      <c r="T2006" s="14">
        <v>0.67</v>
      </c>
      <c r="U2006" s="14">
        <v>0.65</v>
      </c>
      <c r="V2006" s="14">
        <v>0.7</v>
      </c>
      <c r="W2006" s="14">
        <v>0.7</v>
      </c>
      <c r="X2006" s="14">
        <v>0.7</v>
      </c>
    </row>
    <row r="2007" spans="1:24" hidden="1" x14ac:dyDescent="0.3">
      <c r="A2007" s="14" t="s">
        <v>436</v>
      </c>
      <c r="B2007" s="14" t="s">
        <v>104</v>
      </c>
      <c r="C2007" s="14" t="s">
        <v>359</v>
      </c>
      <c r="D2007" s="14" t="s">
        <v>360</v>
      </c>
      <c r="E2007" s="14" t="s">
        <v>344</v>
      </c>
      <c r="F2007" s="14" t="s">
        <v>343</v>
      </c>
      <c r="G2007" s="14" t="s">
        <v>343</v>
      </c>
      <c r="H2007" s="14" t="s">
        <v>343</v>
      </c>
      <c r="I2007" s="14">
        <v>41</v>
      </c>
      <c r="J2007" s="14">
        <v>69</v>
      </c>
      <c r="K2007" s="14">
        <v>69</v>
      </c>
      <c r="L2007" s="14">
        <v>54</v>
      </c>
      <c r="M2007" s="14">
        <v>54</v>
      </c>
      <c r="N2007" s="14">
        <v>54</v>
      </c>
      <c r="O2007" s="14">
        <v>57</v>
      </c>
      <c r="P2007" s="14">
        <v>64</v>
      </c>
      <c r="Q2007" s="14">
        <v>66</v>
      </c>
      <c r="R2007" s="14">
        <v>60</v>
      </c>
      <c r="S2007" s="14">
        <v>61</v>
      </c>
      <c r="T2007" s="14">
        <v>75</v>
      </c>
      <c r="U2007" s="14">
        <v>85</v>
      </c>
      <c r="V2007" s="14">
        <v>61</v>
      </c>
      <c r="W2007" s="14">
        <v>64</v>
      </c>
      <c r="X2007" s="14">
        <v>72</v>
      </c>
    </row>
    <row r="2008" spans="1:24" x14ac:dyDescent="0.3">
      <c r="A2008" s="14" t="s">
        <v>436</v>
      </c>
      <c r="B2008" s="14" t="s">
        <v>104</v>
      </c>
      <c r="C2008" s="14" t="s">
        <v>361</v>
      </c>
      <c r="D2008" s="14" t="s">
        <v>362</v>
      </c>
      <c r="E2008" s="14" t="s">
        <v>342</v>
      </c>
      <c r="F2008" s="14" t="s">
        <v>343</v>
      </c>
      <c r="G2008" s="14" t="s">
        <v>343</v>
      </c>
      <c r="H2008" s="14" t="s">
        <v>343</v>
      </c>
      <c r="I2008" s="14">
        <v>0.92</v>
      </c>
      <c r="J2008" s="14">
        <v>0.93</v>
      </c>
      <c r="K2008" s="14">
        <v>0.94</v>
      </c>
      <c r="L2008" s="14">
        <v>0.94</v>
      </c>
      <c r="M2008" s="14">
        <v>0.94</v>
      </c>
      <c r="N2008" s="14">
        <v>0.95</v>
      </c>
      <c r="O2008" s="14">
        <v>0.95</v>
      </c>
      <c r="P2008" s="14">
        <v>0.96</v>
      </c>
      <c r="Q2008" s="14">
        <v>0.97</v>
      </c>
      <c r="R2008" s="14">
        <v>0.97</v>
      </c>
      <c r="S2008" s="14">
        <v>0.97</v>
      </c>
      <c r="T2008" s="14">
        <v>0.97</v>
      </c>
      <c r="U2008" s="14">
        <v>0.97</v>
      </c>
      <c r="V2008" s="14">
        <v>0.98</v>
      </c>
      <c r="W2008" s="14">
        <v>0.98</v>
      </c>
      <c r="X2008" s="14">
        <v>0.98</v>
      </c>
    </row>
    <row r="2009" spans="1:24" hidden="1" x14ac:dyDescent="0.3">
      <c r="A2009" s="14" t="s">
        <v>436</v>
      </c>
      <c r="B2009" s="14" t="s">
        <v>104</v>
      </c>
      <c r="C2009" s="14" t="s">
        <v>361</v>
      </c>
      <c r="D2009" s="14" t="s">
        <v>362</v>
      </c>
      <c r="E2009" s="14" t="s">
        <v>344</v>
      </c>
      <c r="F2009" s="14" t="s">
        <v>343</v>
      </c>
      <c r="G2009" s="14" t="s">
        <v>343</v>
      </c>
      <c r="H2009" s="14" t="s">
        <v>343</v>
      </c>
      <c r="I2009" s="14">
        <v>115</v>
      </c>
      <c r="J2009" s="14">
        <v>125</v>
      </c>
      <c r="K2009" s="14">
        <v>127</v>
      </c>
      <c r="L2009" s="14">
        <v>131</v>
      </c>
      <c r="M2009" s="14">
        <v>129</v>
      </c>
      <c r="N2009" s="14">
        <v>128</v>
      </c>
      <c r="O2009" s="14">
        <v>129</v>
      </c>
      <c r="P2009" s="14">
        <v>126</v>
      </c>
      <c r="Q2009" s="14">
        <v>115</v>
      </c>
      <c r="R2009" s="14">
        <v>120</v>
      </c>
      <c r="S2009" s="14">
        <v>119</v>
      </c>
      <c r="T2009" s="14">
        <v>124</v>
      </c>
      <c r="U2009" s="14">
        <v>123</v>
      </c>
      <c r="V2009" s="14">
        <v>68</v>
      </c>
      <c r="W2009" s="14">
        <v>50</v>
      </c>
      <c r="X2009" s="14">
        <v>37</v>
      </c>
    </row>
    <row r="2010" spans="1:24" hidden="1" x14ac:dyDescent="0.3">
      <c r="A2010" s="14" t="s">
        <v>436</v>
      </c>
      <c r="B2010" s="14" t="s">
        <v>104</v>
      </c>
      <c r="C2010" s="14" t="s">
        <v>363</v>
      </c>
      <c r="D2010" s="14" t="s">
        <v>364</v>
      </c>
      <c r="E2010" s="14" t="s">
        <v>342</v>
      </c>
      <c r="F2010" s="14" t="s">
        <v>343</v>
      </c>
      <c r="G2010" s="14" t="s">
        <v>343</v>
      </c>
      <c r="H2010" s="14" t="s">
        <v>343</v>
      </c>
      <c r="U2010" s="14">
        <v>1.06</v>
      </c>
      <c r="V2010" s="14">
        <v>1.06</v>
      </c>
      <c r="W2010" s="14">
        <v>1.06</v>
      </c>
      <c r="X2010" s="14">
        <v>1.06</v>
      </c>
    </row>
    <row r="2011" spans="1:24" hidden="1" x14ac:dyDescent="0.3">
      <c r="A2011" s="14" t="s">
        <v>436</v>
      </c>
      <c r="B2011" s="14" t="s">
        <v>104</v>
      </c>
      <c r="C2011" s="14" t="s">
        <v>363</v>
      </c>
      <c r="D2011" s="14" t="s">
        <v>364</v>
      </c>
      <c r="E2011" s="14" t="s">
        <v>344</v>
      </c>
      <c r="F2011" s="14" t="s">
        <v>343</v>
      </c>
      <c r="G2011" s="14" t="s">
        <v>343</v>
      </c>
      <c r="H2011" s="14" t="s">
        <v>343</v>
      </c>
      <c r="U2011" s="14">
        <v>1</v>
      </c>
      <c r="V2011" s="14">
        <v>1</v>
      </c>
      <c r="W2011" s="14">
        <v>1</v>
      </c>
      <c r="X2011" s="14">
        <v>1</v>
      </c>
    </row>
    <row r="2012" spans="1:24" hidden="1" x14ac:dyDescent="0.3">
      <c r="A2012" s="14" t="s">
        <v>436</v>
      </c>
      <c r="B2012" s="14" t="s">
        <v>104</v>
      </c>
      <c r="C2012" s="14" t="s">
        <v>365</v>
      </c>
      <c r="D2012" s="14" t="s">
        <v>366</v>
      </c>
      <c r="E2012" s="14" t="s">
        <v>342</v>
      </c>
      <c r="F2012" s="14" t="s">
        <v>343</v>
      </c>
      <c r="G2012" s="14" t="s">
        <v>343</v>
      </c>
      <c r="H2012" s="14" t="s">
        <v>343</v>
      </c>
      <c r="U2012" s="14">
        <v>0.93</v>
      </c>
      <c r="V2012" s="14">
        <v>0.94</v>
      </c>
      <c r="W2012" s="14">
        <v>0.94</v>
      </c>
      <c r="X2012" s="14">
        <v>0.94</v>
      </c>
    </row>
    <row r="2013" spans="1:24" hidden="1" x14ac:dyDescent="0.3">
      <c r="A2013" s="14" t="s">
        <v>436</v>
      </c>
      <c r="B2013" s="14" t="s">
        <v>104</v>
      </c>
      <c r="C2013" s="14" t="s">
        <v>365</v>
      </c>
      <c r="D2013" s="14" t="s">
        <v>366</v>
      </c>
      <c r="E2013" s="14" t="s">
        <v>344</v>
      </c>
      <c r="F2013" s="14" t="s">
        <v>343</v>
      </c>
      <c r="G2013" s="14" t="s">
        <v>343</v>
      </c>
      <c r="H2013" s="14" t="s">
        <v>343</v>
      </c>
      <c r="U2013" s="14">
        <v>143</v>
      </c>
      <c r="V2013" s="14">
        <v>130</v>
      </c>
      <c r="W2013" s="14">
        <v>133</v>
      </c>
      <c r="X2013" s="14">
        <v>122</v>
      </c>
    </row>
    <row r="2014" spans="1:24" hidden="1" x14ac:dyDescent="0.3">
      <c r="A2014" s="14" t="s">
        <v>436</v>
      </c>
      <c r="B2014" s="14" t="s">
        <v>104</v>
      </c>
      <c r="C2014" s="14" t="s">
        <v>367</v>
      </c>
      <c r="D2014" s="14" t="s">
        <v>368</v>
      </c>
      <c r="E2014" s="14" t="s">
        <v>342</v>
      </c>
      <c r="F2014" s="14" t="s">
        <v>343</v>
      </c>
      <c r="G2014" s="14" t="s">
        <v>343</v>
      </c>
      <c r="H2014" s="14" t="s">
        <v>343</v>
      </c>
      <c r="I2014" s="14">
        <v>0.67</v>
      </c>
      <c r="J2014" s="14">
        <v>0.67</v>
      </c>
      <c r="K2014" s="14">
        <v>0.67</v>
      </c>
      <c r="L2014" s="14">
        <v>0.67</v>
      </c>
      <c r="M2014" s="14">
        <v>0.66</v>
      </c>
      <c r="N2014" s="14">
        <v>0.66</v>
      </c>
      <c r="O2014" s="14">
        <v>0.67</v>
      </c>
      <c r="P2014" s="14">
        <v>0.68</v>
      </c>
      <c r="Q2014" s="14">
        <v>0.69</v>
      </c>
      <c r="R2014" s="14">
        <v>0.69</v>
      </c>
      <c r="S2014" s="14">
        <v>0.68</v>
      </c>
      <c r="T2014" s="14">
        <v>0.68</v>
      </c>
      <c r="U2014" s="14">
        <v>0.68</v>
      </c>
      <c r="V2014" s="14">
        <v>0.71</v>
      </c>
      <c r="W2014" s="14">
        <v>0.73</v>
      </c>
      <c r="X2014" s="14">
        <v>0.73</v>
      </c>
    </row>
    <row r="2015" spans="1:24" hidden="1" x14ac:dyDescent="0.3">
      <c r="A2015" s="14" t="s">
        <v>436</v>
      </c>
      <c r="B2015" s="14" t="s">
        <v>104</v>
      </c>
      <c r="C2015" s="14" t="s">
        <v>367</v>
      </c>
      <c r="D2015" s="14" t="s">
        <v>368</v>
      </c>
      <c r="E2015" s="14" t="s">
        <v>344</v>
      </c>
      <c r="F2015" s="14" t="s">
        <v>343</v>
      </c>
      <c r="G2015" s="14" t="s">
        <v>343</v>
      </c>
      <c r="H2015" s="14" t="s">
        <v>343</v>
      </c>
      <c r="I2015" s="14">
        <v>54</v>
      </c>
      <c r="J2015" s="14">
        <v>67</v>
      </c>
      <c r="K2015" s="14">
        <v>82</v>
      </c>
      <c r="L2015" s="14">
        <v>83</v>
      </c>
      <c r="M2015" s="14">
        <v>88</v>
      </c>
      <c r="N2015" s="14">
        <v>86</v>
      </c>
      <c r="O2015" s="14">
        <v>85</v>
      </c>
      <c r="P2015" s="14">
        <v>86</v>
      </c>
      <c r="Q2015" s="14">
        <v>85</v>
      </c>
      <c r="R2015" s="14">
        <v>82</v>
      </c>
      <c r="S2015" s="14">
        <v>90</v>
      </c>
      <c r="T2015" s="14">
        <v>94</v>
      </c>
      <c r="U2015" s="14">
        <v>99</v>
      </c>
      <c r="V2015" s="14">
        <v>74</v>
      </c>
      <c r="W2015" s="14">
        <v>49</v>
      </c>
      <c r="X2015" s="14">
        <v>55</v>
      </c>
    </row>
    <row r="2016" spans="1:24" hidden="1" x14ac:dyDescent="0.3">
      <c r="A2016" s="14" t="s">
        <v>436</v>
      </c>
      <c r="B2016" s="14" t="s">
        <v>104</v>
      </c>
      <c r="C2016" s="14" t="s">
        <v>369</v>
      </c>
      <c r="D2016" s="14" t="s">
        <v>370</v>
      </c>
      <c r="E2016" s="14" t="s">
        <v>342</v>
      </c>
      <c r="F2016" s="14" t="s">
        <v>343</v>
      </c>
      <c r="G2016" s="14" t="s">
        <v>343</v>
      </c>
      <c r="H2016" s="14" t="s">
        <v>343</v>
      </c>
      <c r="I2016" s="14">
        <v>0.1</v>
      </c>
      <c r="J2016" s="14">
        <v>0.1</v>
      </c>
      <c r="K2016" s="14">
        <v>0.09</v>
      </c>
      <c r="L2016" s="14">
        <v>7.0000000000000007E-2</v>
      </c>
      <c r="M2016" s="14">
        <v>0.04</v>
      </c>
      <c r="N2016" s="14">
        <v>0.04</v>
      </c>
      <c r="O2016" s="14">
        <v>7.0000000000000007E-2</v>
      </c>
      <c r="P2016" s="14">
        <v>0.09</v>
      </c>
      <c r="Q2016" s="14">
        <v>0.11</v>
      </c>
      <c r="R2016" s="14">
        <v>0.09</v>
      </c>
      <c r="S2016" s="14">
        <v>0.09</v>
      </c>
      <c r="T2016" s="14">
        <v>0.09</v>
      </c>
      <c r="U2016" s="14">
        <v>0.09</v>
      </c>
      <c r="V2016" s="14">
        <v>0.15</v>
      </c>
      <c r="W2016" s="14">
        <v>0.24</v>
      </c>
      <c r="X2016" s="14">
        <v>0.25</v>
      </c>
    </row>
    <row r="2017" spans="1:24" hidden="1" x14ac:dyDescent="0.3">
      <c r="A2017" s="14" t="s">
        <v>436</v>
      </c>
      <c r="B2017" s="14" t="s">
        <v>104</v>
      </c>
      <c r="C2017" s="14" t="s">
        <v>369</v>
      </c>
      <c r="D2017" s="14" t="s">
        <v>370</v>
      </c>
      <c r="E2017" s="14" t="s">
        <v>344</v>
      </c>
      <c r="F2017" s="14" t="s">
        <v>343</v>
      </c>
      <c r="G2017" s="14" t="s">
        <v>343</v>
      </c>
      <c r="H2017" s="14" t="s">
        <v>343</v>
      </c>
      <c r="I2017" s="14">
        <v>59</v>
      </c>
      <c r="J2017" s="14">
        <v>66</v>
      </c>
      <c r="K2017" s="14">
        <v>92</v>
      </c>
      <c r="L2017" s="14">
        <v>103</v>
      </c>
      <c r="M2017" s="14">
        <v>119</v>
      </c>
      <c r="N2017" s="14">
        <v>120</v>
      </c>
      <c r="O2017" s="14">
        <v>109</v>
      </c>
      <c r="P2017" s="14">
        <v>97</v>
      </c>
      <c r="Q2017" s="14">
        <v>94</v>
      </c>
      <c r="R2017" s="14">
        <v>114</v>
      </c>
      <c r="S2017" s="14">
        <v>114</v>
      </c>
      <c r="T2017" s="14">
        <v>114</v>
      </c>
      <c r="U2017" s="14">
        <v>119</v>
      </c>
      <c r="V2017" s="14">
        <v>94</v>
      </c>
      <c r="W2017" s="14">
        <v>60</v>
      </c>
      <c r="X2017" s="14">
        <v>57</v>
      </c>
    </row>
    <row r="2018" spans="1:24" hidden="1" x14ac:dyDescent="0.3">
      <c r="A2018" s="14" t="s">
        <v>436</v>
      </c>
      <c r="B2018" s="14" t="s">
        <v>104</v>
      </c>
      <c r="C2018" s="14" t="s">
        <v>371</v>
      </c>
      <c r="D2018" s="14" t="s">
        <v>372</v>
      </c>
      <c r="E2018" s="14" t="s">
        <v>342</v>
      </c>
      <c r="F2018" s="14" t="s">
        <v>343</v>
      </c>
      <c r="G2018" s="14" t="s">
        <v>343</v>
      </c>
      <c r="H2018" s="14" t="s">
        <v>343</v>
      </c>
      <c r="U2018" s="14">
        <v>0.01</v>
      </c>
      <c r="V2018" s="14">
        <v>0.02</v>
      </c>
      <c r="W2018" s="14">
        <v>0.05</v>
      </c>
      <c r="X2018" s="14">
        <v>0.08</v>
      </c>
    </row>
    <row r="2019" spans="1:24" hidden="1" x14ac:dyDescent="0.3">
      <c r="A2019" s="14" t="s">
        <v>436</v>
      </c>
      <c r="B2019" s="14" t="s">
        <v>104</v>
      </c>
      <c r="C2019" s="14" t="s">
        <v>371</v>
      </c>
      <c r="D2019" s="14" t="s">
        <v>372</v>
      </c>
      <c r="E2019" s="14" t="s">
        <v>344</v>
      </c>
      <c r="F2019" s="14" t="s">
        <v>343</v>
      </c>
      <c r="G2019" s="14" t="s">
        <v>343</v>
      </c>
      <c r="H2019" s="14" t="s">
        <v>343</v>
      </c>
      <c r="U2019" s="14">
        <v>62</v>
      </c>
      <c r="V2019" s="14">
        <v>57</v>
      </c>
      <c r="W2019" s="14">
        <v>49</v>
      </c>
      <c r="X2019" s="14">
        <v>39</v>
      </c>
    </row>
    <row r="2020" spans="1:24" hidden="1" x14ac:dyDescent="0.3">
      <c r="A2020" s="14" t="s">
        <v>436</v>
      </c>
      <c r="B2020" s="14" t="s">
        <v>104</v>
      </c>
      <c r="C2020" s="14" t="s">
        <v>373</v>
      </c>
      <c r="D2020" s="14" t="s">
        <v>374</v>
      </c>
      <c r="E2020" s="14" t="s">
        <v>342</v>
      </c>
      <c r="F2020" s="14" t="s">
        <v>343</v>
      </c>
      <c r="G2020" s="14" t="s">
        <v>343</v>
      </c>
      <c r="H2020" s="14" t="s">
        <v>343</v>
      </c>
      <c r="U2020" s="14">
        <v>0.12</v>
      </c>
      <c r="V2020" s="14">
        <v>0.38</v>
      </c>
      <c r="W2020" s="14">
        <v>0.56999999999999995</v>
      </c>
      <c r="X2020" s="14">
        <v>0.56999999999999995</v>
      </c>
    </row>
    <row r="2021" spans="1:24" hidden="1" x14ac:dyDescent="0.3">
      <c r="A2021" s="14" t="s">
        <v>436</v>
      </c>
      <c r="B2021" s="14" t="s">
        <v>104</v>
      </c>
      <c r="C2021" s="14" t="s">
        <v>373</v>
      </c>
      <c r="D2021" s="14" t="s">
        <v>374</v>
      </c>
      <c r="E2021" s="14" t="s">
        <v>344</v>
      </c>
      <c r="F2021" s="14" t="s">
        <v>343</v>
      </c>
      <c r="G2021" s="14" t="s">
        <v>343</v>
      </c>
      <c r="H2021" s="14" t="s">
        <v>343</v>
      </c>
      <c r="U2021" s="14">
        <v>109</v>
      </c>
      <c r="V2021" s="14">
        <v>49</v>
      </c>
      <c r="W2021" s="14">
        <v>33</v>
      </c>
      <c r="X2021" s="14">
        <v>33</v>
      </c>
    </row>
    <row r="2022" spans="1:24" hidden="1" x14ac:dyDescent="0.3">
      <c r="A2022" s="14" t="s">
        <v>436</v>
      </c>
      <c r="B2022" s="14" t="s">
        <v>104</v>
      </c>
      <c r="C2022" s="14" t="s">
        <v>375</v>
      </c>
      <c r="D2022" s="14" t="s">
        <v>376</v>
      </c>
      <c r="E2022" s="14" t="s">
        <v>342</v>
      </c>
      <c r="F2022" s="14" t="s">
        <v>343</v>
      </c>
      <c r="G2022" s="14" t="s">
        <v>343</v>
      </c>
      <c r="H2022" s="14" t="s">
        <v>343</v>
      </c>
      <c r="U2022" s="14">
        <v>0.19</v>
      </c>
      <c r="V2022" s="14">
        <v>0.17</v>
      </c>
      <c r="W2022" s="14">
        <v>0.26</v>
      </c>
      <c r="X2022" s="14">
        <v>0.24</v>
      </c>
    </row>
    <row r="2023" spans="1:24" hidden="1" x14ac:dyDescent="0.3">
      <c r="A2023" s="14" t="s">
        <v>436</v>
      </c>
      <c r="B2023" s="14" t="s">
        <v>104</v>
      </c>
      <c r="C2023" s="14" t="s">
        <v>375</v>
      </c>
      <c r="D2023" s="14" t="s">
        <v>376</v>
      </c>
      <c r="E2023" s="14" t="s">
        <v>344</v>
      </c>
      <c r="F2023" s="14" t="s">
        <v>343</v>
      </c>
      <c r="G2023" s="14" t="s">
        <v>343</v>
      </c>
      <c r="H2023" s="14" t="s">
        <v>343</v>
      </c>
      <c r="U2023" s="14">
        <v>105</v>
      </c>
      <c r="V2023" s="14">
        <v>120</v>
      </c>
      <c r="W2023" s="14">
        <v>99</v>
      </c>
      <c r="X2023" s="14">
        <v>101</v>
      </c>
    </row>
    <row r="2024" spans="1:24" hidden="1" x14ac:dyDescent="0.3">
      <c r="A2024" s="14" t="s">
        <v>437</v>
      </c>
      <c r="B2024" s="14" t="s">
        <v>106</v>
      </c>
      <c r="C2024" s="14" t="s">
        <v>340</v>
      </c>
      <c r="D2024" s="14" t="s">
        <v>341</v>
      </c>
      <c r="E2024" s="14" t="s">
        <v>342</v>
      </c>
      <c r="F2024" s="14" t="s">
        <v>343</v>
      </c>
      <c r="G2024" s="14" t="s">
        <v>343</v>
      </c>
      <c r="H2024" s="14" t="s">
        <v>343</v>
      </c>
      <c r="I2024" s="14">
        <v>0.87</v>
      </c>
      <c r="J2024" s="14">
        <v>0.87</v>
      </c>
      <c r="K2024" s="14">
        <v>0.87</v>
      </c>
      <c r="L2024" s="14">
        <v>0.89</v>
      </c>
      <c r="M2024" s="14">
        <v>0.89</v>
      </c>
      <c r="N2024" s="14">
        <v>0.9</v>
      </c>
      <c r="O2024" s="14">
        <v>0.91</v>
      </c>
      <c r="P2024" s="14">
        <v>0.9</v>
      </c>
      <c r="Q2024" s="14">
        <v>0.91</v>
      </c>
      <c r="R2024" s="14">
        <v>0.92</v>
      </c>
      <c r="S2024" s="14">
        <v>0.93</v>
      </c>
      <c r="T2024" s="14">
        <v>0.93</v>
      </c>
      <c r="U2024" s="14">
        <v>0.94</v>
      </c>
      <c r="V2024" s="14">
        <v>0.95</v>
      </c>
      <c r="W2024" s="14">
        <v>0.95</v>
      </c>
      <c r="X2024" s="14">
        <v>0.97</v>
      </c>
    </row>
    <row r="2025" spans="1:24" hidden="1" x14ac:dyDescent="0.3">
      <c r="A2025" s="14" t="s">
        <v>437</v>
      </c>
      <c r="B2025" s="14" t="s">
        <v>106</v>
      </c>
      <c r="C2025" s="14" t="s">
        <v>340</v>
      </c>
      <c r="D2025" s="14" t="s">
        <v>341</v>
      </c>
      <c r="E2025" s="14" t="s">
        <v>344</v>
      </c>
      <c r="F2025" s="14" t="s">
        <v>343</v>
      </c>
      <c r="G2025" s="14" t="s">
        <v>343</v>
      </c>
      <c r="H2025" s="14" t="s">
        <v>343</v>
      </c>
      <c r="I2025" s="14">
        <v>94</v>
      </c>
      <c r="J2025" s="14">
        <v>106</v>
      </c>
      <c r="K2025" s="14">
        <v>110</v>
      </c>
      <c r="L2025" s="14">
        <v>112</v>
      </c>
      <c r="M2025" s="14">
        <v>111</v>
      </c>
      <c r="N2025" s="14">
        <v>111</v>
      </c>
      <c r="O2025" s="14">
        <v>113</v>
      </c>
      <c r="P2025" s="14">
        <v>111</v>
      </c>
      <c r="Q2025" s="14">
        <v>117</v>
      </c>
      <c r="R2025" s="14">
        <v>119</v>
      </c>
      <c r="S2025" s="14">
        <v>119</v>
      </c>
      <c r="T2025" s="14">
        <v>119</v>
      </c>
      <c r="U2025" s="14">
        <v>120</v>
      </c>
      <c r="V2025" s="14">
        <v>119</v>
      </c>
      <c r="W2025" s="14">
        <v>120</v>
      </c>
      <c r="X2025" s="14">
        <v>104</v>
      </c>
    </row>
    <row r="2026" spans="1:24" hidden="1" x14ac:dyDescent="0.3">
      <c r="A2026" s="14" t="s">
        <v>437</v>
      </c>
      <c r="B2026" s="14" t="s">
        <v>106</v>
      </c>
      <c r="C2026" s="14" t="s">
        <v>345</v>
      </c>
      <c r="D2026" s="14" t="s">
        <v>346</v>
      </c>
      <c r="E2026" s="14" t="s">
        <v>342</v>
      </c>
      <c r="F2026" s="14" t="s">
        <v>343</v>
      </c>
      <c r="G2026" s="14" t="s">
        <v>343</v>
      </c>
      <c r="H2026" s="14" t="s">
        <v>343</v>
      </c>
      <c r="U2026" s="14">
        <v>0.7</v>
      </c>
      <c r="V2026" s="14">
        <v>0.31</v>
      </c>
      <c r="W2026" s="14">
        <v>0.28999999999999998</v>
      </c>
      <c r="X2026" s="14">
        <v>0.28999999999999998</v>
      </c>
    </row>
    <row r="2027" spans="1:24" hidden="1" x14ac:dyDescent="0.3">
      <c r="A2027" s="14" t="s">
        <v>437</v>
      </c>
      <c r="B2027" s="14" t="s">
        <v>106</v>
      </c>
      <c r="C2027" s="14" t="s">
        <v>345</v>
      </c>
      <c r="D2027" s="14" t="s">
        <v>346</v>
      </c>
      <c r="E2027" s="14" t="s">
        <v>344</v>
      </c>
      <c r="F2027" s="14" t="s">
        <v>343</v>
      </c>
      <c r="G2027" s="14" t="s">
        <v>343</v>
      </c>
      <c r="H2027" s="14" t="s">
        <v>343</v>
      </c>
      <c r="U2027" s="14">
        <v>32</v>
      </c>
      <c r="V2027" s="14">
        <v>136</v>
      </c>
      <c r="W2027" s="14">
        <v>140</v>
      </c>
      <c r="X2027" s="14">
        <v>136</v>
      </c>
    </row>
    <row r="2028" spans="1:24" hidden="1" x14ac:dyDescent="0.3">
      <c r="A2028" s="14" t="s">
        <v>437</v>
      </c>
      <c r="B2028" s="14" t="s">
        <v>106</v>
      </c>
      <c r="C2028" s="14" t="s">
        <v>347</v>
      </c>
      <c r="D2028" s="14" t="s">
        <v>348</v>
      </c>
      <c r="E2028" s="14" t="s">
        <v>342</v>
      </c>
      <c r="F2028" s="14" t="s">
        <v>343</v>
      </c>
      <c r="G2028" s="14" t="s">
        <v>343</v>
      </c>
      <c r="H2028" s="14" t="s">
        <v>343</v>
      </c>
      <c r="U2028" s="14">
        <v>0.95</v>
      </c>
      <c r="V2028" s="14">
        <v>0.9</v>
      </c>
      <c r="W2028" s="14">
        <v>0.9</v>
      </c>
      <c r="X2028" s="14">
        <v>0.89</v>
      </c>
    </row>
    <row r="2029" spans="1:24" hidden="1" x14ac:dyDescent="0.3">
      <c r="A2029" s="14" t="s">
        <v>437</v>
      </c>
      <c r="B2029" s="14" t="s">
        <v>106</v>
      </c>
      <c r="C2029" s="14" t="s">
        <v>347</v>
      </c>
      <c r="D2029" s="14" t="s">
        <v>348</v>
      </c>
      <c r="E2029" s="14" t="s">
        <v>344</v>
      </c>
      <c r="F2029" s="14" t="s">
        <v>343</v>
      </c>
      <c r="G2029" s="14" t="s">
        <v>343</v>
      </c>
      <c r="H2029" s="14" t="s">
        <v>343</v>
      </c>
      <c r="U2029" s="14">
        <v>15</v>
      </c>
      <c r="V2029" s="14">
        <v>39</v>
      </c>
      <c r="W2029" s="14">
        <v>43</v>
      </c>
      <c r="X2029" s="14">
        <v>18</v>
      </c>
    </row>
    <row r="2030" spans="1:24" hidden="1" x14ac:dyDescent="0.3">
      <c r="A2030" s="14" t="s">
        <v>437</v>
      </c>
      <c r="B2030" s="14" t="s">
        <v>106</v>
      </c>
      <c r="C2030" s="14" t="s">
        <v>349</v>
      </c>
      <c r="D2030" s="14" t="s">
        <v>350</v>
      </c>
      <c r="E2030" s="14" t="s">
        <v>342</v>
      </c>
      <c r="F2030" s="14" t="s">
        <v>343</v>
      </c>
      <c r="G2030" s="14" t="s">
        <v>343</v>
      </c>
      <c r="H2030" s="14" t="s">
        <v>343</v>
      </c>
      <c r="U2030" s="14">
        <v>0.72</v>
      </c>
      <c r="V2030" s="14">
        <v>0.72</v>
      </c>
      <c r="W2030" s="14">
        <v>0.51</v>
      </c>
      <c r="X2030" s="14">
        <v>0.51</v>
      </c>
    </row>
    <row r="2031" spans="1:24" hidden="1" x14ac:dyDescent="0.3">
      <c r="A2031" s="14" t="s">
        <v>437</v>
      </c>
      <c r="B2031" s="14" t="s">
        <v>106</v>
      </c>
      <c r="C2031" s="14" t="s">
        <v>349</v>
      </c>
      <c r="D2031" s="14" t="s">
        <v>350</v>
      </c>
      <c r="E2031" s="14" t="s">
        <v>344</v>
      </c>
      <c r="F2031" s="14" t="s">
        <v>343</v>
      </c>
      <c r="G2031" s="14" t="s">
        <v>343</v>
      </c>
      <c r="H2031" s="14" t="s">
        <v>343</v>
      </c>
      <c r="U2031" s="14">
        <v>17</v>
      </c>
      <c r="V2031" s="14">
        <v>20</v>
      </c>
      <c r="W2031" s="14">
        <v>70</v>
      </c>
      <c r="X2031" s="14">
        <v>74</v>
      </c>
    </row>
    <row r="2032" spans="1:24" hidden="1" x14ac:dyDescent="0.3">
      <c r="A2032" s="14" t="s">
        <v>437</v>
      </c>
      <c r="B2032" s="14" t="s">
        <v>106</v>
      </c>
      <c r="C2032" s="14" t="s">
        <v>351</v>
      </c>
      <c r="D2032" s="14" t="s">
        <v>352</v>
      </c>
      <c r="E2032" s="14" t="s">
        <v>342</v>
      </c>
      <c r="F2032" s="14" t="s">
        <v>343</v>
      </c>
      <c r="G2032" s="14" t="s">
        <v>343</v>
      </c>
      <c r="H2032" s="14" t="s">
        <v>343</v>
      </c>
      <c r="U2032" s="14">
        <v>0.69</v>
      </c>
      <c r="V2032" s="14">
        <v>0.59</v>
      </c>
      <c r="W2032" s="14">
        <v>0.51</v>
      </c>
      <c r="X2032" s="14">
        <v>0.59</v>
      </c>
    </row>
    <row r="2033" spans="1:24" hidden="1" x14ac:dyDescent="0.3">
      <c r="A2033" s="14" t="s">
        <v>437</v>
      </c>
      <c r="B2033" s="14" t="s">
        <v>106</v>
      </c>
      <c r="C2033" s="14" t="s">
        <v>351</v>
      </c>
      <c r="D2033" s="14" t="s">
        <v>352</v>
      </c>
      <c r="E2033" s="14" t="s">
        <v>344</v>
      </c>
      <c r="F2033" s="14" t="s">
        <v>343</v>
      </c>
      <c r="G2033" s="14" t="s">
        <v>343</v>
      </c>
      <c r="H2033" s="14" t="s">
        <v>343</v>
      </c>
      <c r="U2033" s="14">
        <v>107</v>
      </c>
      <c r="V2033" s="14">
        <v>119</v>
      </c>
      <c r="W2033" s="14">
        <v>126</v>
      </c>
      <c r="X2033" s="14">
        <v>107</v>
      </c>
    </row>
    <row r="2034" spans="1:24" hidden="1" x14ac:dyDescent="0.3">
      <c r="A2034" s="14" t="s">
        <v>437</v>
      </c>
      <c r="B2034" s="14" t="s">
        <v>106</v>
      </c>
      <c r="C2034" s="14" t="s">
        <v>378</v>
      </c>
      <c r="D2034" s="14" t="s">
        <v>379</v>
      </c>
      <c r="E2034" s="14" t="s">
        <v>342</v>
      </c>
      <c r="F2034" s="14" t="s">
        <v>343</v>
      </c>
      <c r="G2034" s="14" t="s">
        <v>343</v>
      </c>
      <c r="H2034" s="14" t="s">
        <v>343</v>
      </c>
      <c r="S2034" s="14">
        <v>0.75</v>
      </c>
      <c r="U2034" s="14">
        <v>0.7</v>
      </c>
      <c r="V2034" s="14">
        <v>0.7</v>
      </c>
      <c r="W2034" s="14">
        <v>0.7</v>
      </c>
      <c r="X2034" s="14">
        <v>0.7</v>
      </c>
    </row>
    <row r="2035" spans="1:24" hidden="1" x14ac:dyDescent="0.3">
      <c r="A2035" s="14" t="s">
        <v>437</v>
      </c>
      <c r="B2035" s="14" t="s">
        <v>106</v>
      </c>
      <c r="C2035" s="14" t="s">
        <v>378</v>
      </c>
      <c r="D2035" s="14" t="s">
        <v>379</v>
      </c>
      <c r="E2035" s="14" t="s">
        <v>344</v>
      </c>
      <c r="F2035" s="14" t="s">
        <v>343</v>
      </c>
      <c r="G2035" s="14" t="s">
        <v>343</v>
      </c>
      <c r="H2035" s="14" t="s">
        <v>343</v>
      </c>
      <c r="S2035" s="14">
        <v>26</v>
      </c>
      <c r="U2035" s="14">
        <v>43</v>
      </c>
      <c r="V2035" s="14">
        <v>46</v>
      </c>
      <c r="W2035" s="14">
        <v>54</v>
      </c>
      <c r="X2035" s="14">
        <v>48</v>
      </c>
    </row>
    <row r="2036" spans="1:24" hidden="1" x14ac:dyDescent="0.3">
      <c r="A2036" s="14" t="s">
        <v>437</v>
      </c>
      <c r="B2036" s="14" t="s">
        <v>106</v>
      </c>
      <c r="C2036" s="14" t="s">
        <v>353</v>
      </c>
      <c r="D2036" s="14" t="s">
        <v>354</v>
      </c>
      <c r="E2036" s="14" t="s">
        <v>342</v>
      </c>
      <c r="F2036" s="14" t="s">
        <v>343</v>
      </c>
      <c r="G2036" s="14" t="s">
        <v>343</v>
      </c>
      <c r="H2036" s="14" t="s">
        <v>343</v>
      </c>
      <c r="U2036" s="14">
        <v>0.83</v>
      </c>
      <c r="V2036" s="14">
        <v>0.89</v>
      </c>
      <c r="W2036" s="14">
        <v>0.89</v>
      </c>
      <c r="X2036" s="14">
        <v>0.89</v>
      </c>
    </row>
    <row r="2037" spans="1:24" hidden="1" x14ac:dyDescent="0.3">
      <c r="A2037" s="14" t="s">
        <v>437</v>
      </c>
      <c r="B2037" s="14" t="s">
        <v>106</v>
      </c>
      <c r="C2037" s="14" t="s">
        <v>353</v>
      </c>
      <c r="D2037" s="14" t="s">
        <v>354</v>
      </c>
      <c r="E2037" s="14" t="s">
        <v>344</v>
      </c>
      <c r="F2037" s="14" t="s">
        <v>343</v>
      </c>
      <c r="G2037" s="14" t="s">
        <v>343</v>
      </c>
      <c r="H2037" s="14" t="s">
        <v>343</v>
      </c>
      <c r="U2037" s="14">
        <v>114</v>
      </c>
      <c r="V2037" s="14">
        <v>114</v>
      </c>
      <c r="W2037" s="14">
        <v>115</v>
      </c>
      <c r="X2037" s="14">
        <v>110</v>
      </c>
    </row>
    <row r="2038" spans="1:24" hidden="1" x14ac:dyDescent="0.3">
      <c r="A2038" s="14" t="s">
        <v>437</v>
      </c>
      <c r="B2038" s="14" t="s">
        <v>106</v>
      </c>
      <c r="C2038" s="14" t="s">
        <v>380</v>
      </c>
      <c r="D2038" s="14" t="s">
        <v>381</v>
      </c>
      <c r="E2038" s="14" t="s">
        <v>342</v>
      </c>
      <c r="F2038" s="14" t="s">
        <v>343</v>
      </c>
      <c r="G2038" s="14" t="s">
        <v>343</v>
      </c>
      <c r="H2038" s="14" t="s">
        <v>343</v>
      </c>
      <c r="U2038" s="14">
        <v>1</v>
      </c>
      <c r="V2038" s="14">
        <v>1</v>
      </c>
      <c r="W2038" s="14">
        <v>1</v>
      </c>
      <c r="X2038" s="14">
        <v>1</v>
      </c>
    </row>
    <row r="2039" spans="1:24" hidden="1" x14ac:dyDescent="0.3">
      <c r="A2039" s="14" t="s">
        <v>437</v>
      </c>
      <c r="B2039" s="14" t="s">
        <v>106</v>
      </c>
      <c r="C2039" s="14" t="s">
        <v>380</v>
      </c>
      <c r="D2039" s="14" t="s">
        <v>381</v>
      </c>
      <c r="E2039" s="14" t="s">
        <v>344</v>
      </c>
      <c r="F2039" s="14" t="s">
        <v>343</v>
      </c>
      <c r="G2039" s="14" t="s">
        <v>343</v>
      </c>
      <c r="H2039" s="14" t="s">
        <v>343</v>
      </c>
      <c r="U2039" s="14">
        <v>1</v>
      </c>
      <c r="V2039" s="14">
        <v>1</v>
      </c>
      <c r="W2039" s="14">
        <v>1</v>
      </c>
      <c r="X2039" s="14">
        <v>1</v>
      </c>
    </row>
    <row r="2040" spans="1:24" hidden="1" x14ac:dyDescent="0.3">
      <c r="A2040" s="14" t="s">
        <v>437</v>
      </c>
      <c r="B2040" s="14" t="s">
        <v>106</v>
      </c>
      <c r="C2040" s="14" t="s">
        <v>355</v>
      </c>
      <c r="D2040" s="14" t="s">
        <v>356</v>
      </c>
      <c r="E2040" s="14" t="s">
        <v>342</v>
      </c>
      <c r="F2040" s="14" t="s">
        <v>343</v>
      </c>
      <c r="G2040" s="14" t="s">
        <v>343</v>
      </c>
      <c r="H2040" s="14" t="s">
        <v>343</v>
      </c>
      <c r="U2040" s="14">
        <v>1</v>
      </c>
      <c r="V2040" s="14">
        <v>1</v>
      </c>
      <c r="W2040" s="14">
        <v>1</v>
      </c>
      <c r="X2040" s="14">
        <v>1</v>
      </c>
    </row>
    <row r="2041" spans="1:24" hidden="1" x14ac:dyDescent="0.3">
      <c r="A2041" s="14" t="s">
        <v>437</v>
      </c>
      <c r="B2041" s="14" t="s">
        <v>106</v>
      </c>
      <c r="C2041" s="14" t="s">
        <v>355</v>
      </c>
      <c r="D2041" s="14" t="s">
        <v>356</v>
      </c>
      <c r="E2041" s="14" t="s">
        <v>344</v>
      </c>
      <c r="F2041" s="14" t="s">
        <v>343</v>
      </c>
      <c r="G2041" s="14" t="s">
        <v>343</v>
      </c>
      <c r="H2041" s="14" t="s">
        <v>343</v>
      </c>
      <c r="U2041" s="14">
        <v>1</v>
      </c>
      <c r="V2041" s="14">
        <v>1</v>
      </c>
      <c r="W2041" s="14">
        <v>1</v>
      </c>
      <c r="X2041" s="14">
        <v>1</v>
      </c>
    </row>
    <row r="2042" spans="1:24" hidden="1" x14ac:dyDescent="0.3">
      <c r="A2042" s="14" t="s">
        <v>437</v>
      </c>
      <c r="B2042" s="14" t="s">
        <v>106</v>
      </c>
      <c r="C2042" s="14" t="s">
        <v>357</v>
      </c>
      <c r="D2042" s="14" t="s">
        <v>358</v>
      </c>
      <c r="E2042" s="14" t="s">
        <v>342</v>
      </c>
      <c r="F2042" s="14" t="s">
        <v>343</v>
      </c>
      <c r="G2042" s="14" t="s">
        <v>343</v>
      </c>
      <c r="H2042" s="14" t="s">
        <v>343</v>
      </c>
      <c r="U2042" s="14">
        <v>0.72</v>
      </c>
      <c r="V2042" s="14">
        <v>0.76</v>
      </c>
      <c r="W2042" s="14">
        <v>0.76</v>
      </c>
      <c r="X2042" s="14">
        <v>0.9</v>
      </c>
    </row>
    <row r="2043" spans="1:24" hidden="1" x14ac:dyDescent="0.3">
      <c r="A2043" s="14" t="s">
        <v>437</v>
      </c>
      <c r="B2043" s="14" t="s">
        <v>106</v>
      </c>
      <c r="C2043" s="14" t="s">
        <v>357</v>
      </c>
      <c r="D2043" s="14" t="s">
        <v>358</v>
      </c>
      <c r="E2043" s="14" t="s">
        <v>344</v>
      </c>
      <c r="F2043" s="14" t="s">
        <v>343</v>
      </c>
      <c r="G2043" s="14" t="s">
        <v>343</v>
      </c>
      <c r="H2043" s="14" t="s">
        <v>343</v>
      </c>
      <c r="U2043" s="14">
        <v>118</v>
      </c>
      <c r="V2043" s="14">
        <v>121</v>
      </c>
      <c r="W2043" s="14">
        <v>122</v>
      </c>
      <c r="X2043" s="14">
        <v>108</v>
      </c>
    </row>
    <row r="2044" spans="1:24" hidden="1" x14ac:dyDescent="0.3">
      <c r="A2044" s="14" t="s">
        <v>437</v>
      </c>
      <c r="B2044" s="14" t="s">
        <v>106</v>
      </c>
      <c r="C2044" s="14" t="s">
        <v>359</v>
      </c>
      <c r="D2044" s="14" t="s">
        <v>360</v>
      </c>
      <c r="E2044" s="14" t="s">
        <v>342</v>
      </c>
      <c r="F2044" s="14" t="s">
        <v>343</v>
      </c>
      <c r="G2044" s="14" t="s">
        <v>343</v>
      </c>
      <c r="H2044" s="14" t="s">
        <v>343</v>
      </c>
      <c r="I2044" s="14">
        <v>0.75</v>
      </c>
      <c r="J2044" s="14">
        <v>0.78</v>
      </c>
      <c r="K2044" s="14">
        <v>0.74</v>
      </c>
      <c r="L2044" s="14">
        <v>0.75</v>
      </c>
      <c r="M2044" s="14">
        <v>0.76</v>
      </c>
      <c r="N2044" s="14">
        <v>0.76</v>
      </c>
      <c r="O2044" s="14">
        <v>0.75</v>
      </c>
      <c r="P2044" s="14">
        <v>0.77</v>
      </c>
      <c r="Q2044" s="14">
        <v>0.68</v>
      </c>
      <c r="R2044" s="14">
        <v>0.81</v>
      </c>
      <c r="S2044" s="14">
        <v>0.8</v>
      </c>
      <c r="T2044" s="14">
        <v>0.78</v>
      </c>
      <c r="U2044" s="14">
        <v>0.75</v>
      </c>
      <c r="V2044" s="14">
        <v>0.64</v>
      </c>
      <c r="W2044" s="14">
        <v>0.6</v>
      </c>
      <c r="X2044" s="14">
        <v>0.61</v>
      </c>
    </row>
    <row r="2045" spans="1:24" hidden="1" x14ac:dyDescent="0.3">
      <c r="A2045" s="14" t="s">
        <v>437</v>
      </c>
      <c r="B2045" s="14" t="s">
        <v>106</v>
      </c>
      <c r="C2045" s="14" t="s">
        <v>359</v>
      </c>
      <c r="D2045" s="14" t="s">
        <v>360</v>
      </c>
      <c r="E2045" s="14" t="s">
        <v>344</v>
      </c>
      <c r="F2045" s="14" t="s">
        <v>343</v>
      </c>
      <c r="G2045" s="14" t="s">
        <v>343</v>
      </c>
      <c r="H2045" s="14" t="s">
        <v>343</v>
      </c>
      <c r="I2045" s="14">
        <v>5</v>
      </c>
      <c r="J2045" s="14">
        <v>3</v>
      </c>
      <c r="K2045" s="14">
        <v>14</v>
      </c>
      <c r="L2045" s="14">
        <v>13</v>
      </c>
      <c r="M2045" s="14">
        <v>15</v>
      </c>
      <c r="N2045" s="14">
        <v>17</v>
      </c>
      <c r="O2045" s="14">
        <v>26</v>
      </c>
      <c r="P2045" s="14">
        <v>24</v>
      </c>
      <c r="Q2045" s="14">
        <v>64</v>
      </c>
      <c r="R2045" s="14">
        <v>13</v>
      </c>
      <c r="S2045" s="14">
        <v>10</v>
      </c>
      <c r="T2045" s="14">
        <v>18</v>
      </c>
      <c r="U2045" s="14">
        <v>25</v>
      </c>
      <c r="V2045" s="14">
        <v>94</v>
      </c>
      <c r="W2045" s="14">
        <v>119</v>
      </c>
      <c r="X2045" s="14">
        <v>108</v>
      </c>
    </row>
    <row r="2046" spans="1:24" x14ac:dyDescent="0.3">
      <c r="A2046" s="14" t="s">
        <v>437</v>
      </c>
      <c r="B2046" s="14" t="s">
        <v>106</v>
      </c>
      <c r="C2046" s="14" t="s">
        <v>361</v>
      </c>
      <c r="D2046" s="14" t="s">
        <v>362</v>
      </c>
      <c r="E2046" s="14" t="s">
        <v>342</v>
      </c>
      <c r="F2046" s="14" t="s">
        <v>343</v>
      </c>
      <c r="G2046" s="14" t="s">
        <v>343</v>
      </c>
      <c r="H2046" s="14" t="s">
        <v>343</v>
      </c>
      <c r="I2046" s="14">
        <v>0.97</v>
      </c>
      <c r="J2046" s="14">
        <v>0.97</v>
      </c>
      <c r="K2046" s="14">
        <v>0.97</v>
      </c>
      <c r="L2046" s="14">
        <v>0.97</v>
      </c>
      <c r="M2046" s="14">
        <v>0.97</v>
      </c>
      <c r="N2046" s="14">
        <v>0.97</v>
      </c>
      <c r="O2046" s="14">
        <v>0.97</v>
      </c>
      <c r="P2046" s="14">
        <v>0.97</v>
      </c>
      <c r="Q2046" s="14">
        <v>0.97</v>
      </c>
      <c r="R2046" s="14">
        <v>0.97</v>
      </c>
      <c r="S2046" s="14">
        <v>0.97</v>
      </c>
      <c r="T2046" s="14">
        <v>0.97</v>
      </c>
      <c r="U2046" s="14">
        <v>0.97</v>
      </c>
      <c r="V2046" s="14">
        <v>0.97</v>
      </c>
      <c r="W2046" s="14">
        <v>0.98</v>
      </c>
      <c r="X2046" s="14">
        <v>0.98</v>
      </c>
    </row>
    <row r="2047" spans="1:24" hidden="1" x14ac:dyDescent="0.3">
      <c r="A2047" s="14" t="s">
        <v>437</v>
      </c>
      <c r="B2047" s="14" t="s">
        <v>106</v>
      </c>
      <c r="C2047" s="14" t="s">
        <v>361</v>
      </c>
      <c r="D2047" s="14" t="s">
        <v>362</v>
      </c>
      <c r="E2047" s="14" t="s">
        <v>344</v>
      </c>
      <c r="F2047" s="14" t="s">
        <v>343</v>
      </c>
      <c r="G2047" s="14" t="s">
        <v>343</v>
      </c>
      <c r="H2047" s="14" t="s">
        <v>343</v>
      </c>
      <c r="I2047" s="14">
        <v>89</v>
      </c>
      <c r="J2047" s="14">
        <v>105</v>
      </c>
      <c r="K2047" s="14">
        <v>106</v>
      </c>
      <c r="L2047" s="14">
        <v>111</v>
      </c>
      <c r="M2047" s="14">
        <v>103</v>
      </c>
      <c r="N2047" s="14">
        <v>104</v>
      </c>
      <c r="O2047" s="14">
        <v>105</v>
      </c>
      <c r="P2047" s="14">
        <v>104</v>
      </c>
      <c r="Q2047" s="14">
        <v>116</v>
      </c>
      <c r="R2047" s="14">
        <v>87</v>
      </c>
      <c r="S2047" s="14">
        <v>85</v>
      </c>
      <c r="T2047" s="14">
        <v>118</v>
      </c>
      <c r="U2047" s="14">
        <v>119</v>
      </c>
      <c r="V2047" s="14">
        <v>121</v>
      </c>
      <c r="W2047" s="14">
        <v>40</v>
      </c>
      <c r="X2047" s="14">
        <v>40</v>
      </c>
    </row>
    <row r="2048" spans="1:24" hidden="1" x14ac:dyDescent="0.3">
      <c r="A2048" s="14" t="s">
        <v>437</v>
      </c>
      <c r="B2048" s="14" t="s">
        <v>106</v>
      </c>
      <c r="C2048" s="14" t="s">
        <v>363</v>
      </c>
      <c r="D2048" s="14" t="s">
        <v>364</v>
      </c>
      <c r="E2048" s="14" t="s">
        <v>342</v>
      </c>
      <c r="F2048" s="14" t="s">
        <v>343</v>
      </c>
      <c r="G2048" s="14" t="s">
        <v>343</v>
      </c>
      <c r="H2048" s="14" t="s">
        <v>343</v>
      </c>
      <c r="U2048" s="14">
        <v>1.02</v>
      </c>
      <c r="V2048" s="14">
        <v>1.02</v>
      </c>
      <c r="W2048" s="14">
        <v>1.06</v>
      </c>
      <c r="X2048" s="14">
        <v>1.05</v>
      </c>
    </row>
    <row r="2049" spans="1:24" hidden="1" x14ac:dyDescent="0.3">
      <c r="A2049" s="14" t="s">
        <v>437</v>
      </c>
      <c r="B2049" s="14" t="s">
        <v>106</v>
      </c>
      <c r="C2049" s="14" t="s">
        <v>363</v>
      </c>
      <c r="D2049" s="14" t="s">
        <v>364</v>
      </c>
      <c r="E2049" s="14" t="s">
        <v>344</v>
      </c>
      <c r="F2049" s="14" t="s">
        <v>343</v>
      </c>
      <c r="G2049" s="14" t="s">
        <v>343</v>
      </c>
      <c r="H2049" s="14" t="s">
        <v>343</v>
      </c>
      <c r="U2049" s="14">
        <v>127</v>
      </c>
      <c r="V2049" s="14">
        <v>131</v>
      </c>
      <c r="W2049" s="14">
        <v>51</v>
      </c>
      <c r="X2049" s="14">
        <v>47</v>
      </c>
    </row>
    <row r="2050" spans="1:24" hidden="1" x14ac:dyDescent="0.3">
      <c r="A2050" s="14" t="s">
        <v>437</v>
      </c>
      <c r="B2050" s="14" t="s">
        <v>106</v>
      </c>
      <c r="C2050" s="14" t="s">
        <v>365</v>
      </c>
      <c r="D2050" s="14" t="s">
        <v>366</v>
      </c>
      <c r="E2050" s="14" t="s">
        <v>342</v>
      </c>
      <c r="F2050" s="14" t="s">
        <v>343</v>
      </c>
      <c r="G2050" s="14" t="s">
        <v>343</v>
      </c>
      <c r="H2050" s="14" t="s">
        <v>343</v>
      </c>
      <c r="U2050" s="14">
        <v>0.94</v>
      </c>
      <c r="V2050" s="14">
        <v>0.94</v>
      </c>
      <c r="W2050" s="14">
        <v>0.94</v>
      </c>
      <c r="X2050" s="14">
        <v>0.94</v>
      </c>
    </row>
    <row r="2051" spans="1:24" hidden="1" x14ac:dyDescent="0.3">
      <c r="A2051" s="14" t="s">
        <v>437</v>
      </c>
      <c r="B2051" s="14" t="s">
        <v>106</v>
      </c>
      <c r="C2051" s="14" t="s">
        <v>365</v>
      </c>
      <c r="D2051" s="14" t="s">
        <v>366</v>
      </c>
      <c r="E2051" s="14" t="s">
        <v>344</v>
      </c>
      <c r="F2051" s="14" t="s">
        <v>343</v>
      </c>
      <c r="G2051" s="14" t="s">
        <v>343</v>
      </c>
      <c r="H2051" s="14" t="s">
        <v>343</v>
      </c>
      <c r="U2051" s="14">
        <v>1</v>
      </c>
      <c r="V2051" s="14">
        <v>1</v>
      </c>
      <c r="W2051" s="14">
        <v>1</v>
      </c>
      <c r="X2051" s="14">
        <v>1</v>
      </c>
    </row>
    <row r="2052" spans="1:24" hidden="1" x14ac:dyDescent="0.3">
      <c r="A2052" s="14" t="s">
        <v>437</v>
      </c>
      <c r="B2052" s="14" t="s">
        <v>106</v>
      </c>
      <c r="C2052" s="14" t="s">
        <v>367</v>
      </c>
      <c r="D2052" s="14" t="s">
        <v>368</v>
      </c>
      <c r="E2052" s="14" t="s">
        <v>342</v>
      </c>
      <c r="F2052" s="14" t="s">
        <v>343</v>
      </c>
      <c r="G2052" s="14" t="s">
        <v>343</v>
      </c>
      <c r="H2052" s="14" t="s">
        <v>343</v>
      </c>
      <c r="I2052" s="14">
        <v>0.67</v>
      </c>
      <c r="J2052" s="14">
        <v>0.67</v>
      </c>
      <c r="K2052" s="14">
        <v>0.67</v>
      </c>
      <c r="L2052" s="14">
        <v>0.67</v>
      </c>
      <c r="M2052" s="14">
        <v>0.68</v>
      </c>
      <c r="N2052" s="14">
        <v>0.68</v>
      </c>
      <c r="O2052" s="14">
        <v>0.68</v>
      </c>
      <c r="P2052" s="14">
        <v>0.68</v>
      </c>
      <c r="Q2052" s="14">
        <v>0.67</v>
      </c>
      <c r="R2052" s="14">
        <v>0.7</v>
      </c>
      <c r="S2052" s="14">
        <v>0.7</v>
      </c>
      <c r="T2052" s="14">
        <v>0.7</v>
      </c>
      <c r="U2052" s="14">
        <v>0.69</v>
      </c>
      <c r="V2052" s="14">
        <v>0.67</v>
      </c>
      <c r="W2052" s="14">
        <v>0.67</v>
      </c>
      <c r="X2052" s="14">
        <v>0.67</v>
      </c>
    </row>
    <row r="2053" spans="1:24" hidden="1" x14ac:dyDescent="0.3">
      <c r="A2053" s="14" t="s">
        <v>437</v>
      </c>
      <c r="B2053" s="14" t="s">
        <v>106</v>
      </c>
      <c r="C2053" s="14" t="s">
        <v>367</v>
      </c>
      <c r="D2053" s="14" t="s">
        <v>368</v>
      </c>
      <c r="E2053" s="14" t="s">
        <v>344</v>
      </c>
      <c r="F2053" s="14" t="s">
        <v>343</v>
      </c>
      <c r="G2053" s="14" t="s">
        <v>343</v>
      </c>
      <c r="H2053" s="14" t="s">
        <v>343</v>
      </c>
      <c r="I2053" s="14">
        <v>58</v>
      </c>
      <c r="J2053" s="14">
        <v>63</v>
      </c>
      <c r="K2053" s="14">
        <v>77</v>
      </c>
      <c r="L2053" s="14">
        <v>80</v>
      </c>
      <c r="M2053" s="14">
        <v>70</v>
      </c>
      <c r="N2053" s="14">
        <v>70</v>
      </c>
      <c r="O2053" s="14">
        <v>71</v>
      </c>
      <c r="P2053" s="14">
        <v>76</v>
      </c>
      <c r="Q2053" s="14">
        <v>101</v>
      </c>
      <c r="R2053" s="14">
        <v>63</v>
      </c>
      <c r="S2053" s="14">
        <v>59</v>
      </c>
      <c r="T2053" s="14">
        <v>72</v>
      </c>
      <c r="U2053" s="14">
        <v>89</v>
      </c>
      <c r="V2053" s="14">
        <v>107</v>
      </c>
      <c r="W2053" s="14">
        <v>117</v>
      </c>
      <c r="X2053" s="14">
        <v>108</v>
      </c>
    </row>
    <row r="2054" spans="1:24" hidden="1" x14ac:dyDescent="0.3">
      <c r="A2054" s="14" t="s">
        <v>437</v>
      </c>
      <c r="B2054" s="14" t="s">
        <v>106</v>
      </c>
      <c r="C2054" s="14" t="s">
        <v>369</v>
      </c>
      <c r="D2054" s="14" t="s">
        <v>370</v>
      </c>
      <c r="E2054" s="14" t="s">
        <v>342</v>
      </c>
      <c r="F2054" s="14" t="s">
        <v>343</v>
      </c>
      <c r="G2054" s="14" t="s">
        <v>343</v>
      </c>
      <c r="H2054" s="14" t="s">
        <v>343</v>
      </c>
      <c r="I2054" s="14">
        <v>7.0000000000000007E-2</v>
      </c>
      <c r="J2054" s="14">
        <v>7.0000000000000007E-2</v>
      </c>
      <c r="K2054" s="14">
        <v>0.08</v>
      </c>
      <c r="L2054" s="14">
        <v>7.0000000000000007E-2</v>
      </c>
      <c r="M2054" s="14">
        <v>0.1</v>
      </c>
      <c r="N2054" s="14">
        <v>0.1</v>
      </c>
      <c r="O2054" s="14">
        <v>0.08</v>
      </c>
      <c r="P2054" s="14">
        <v>0.09</v>
      </c>
      <c r="Q2054" s="14">
        <v>0.11</v>
      </c>
      <c r="R2054" s="14">
        <v>0.11</v>
      </c>
      <c r="S2054" s="14">
        <v>0.11</v>
      </c>
      <c r="T2054" s="14">
        <v>0.1</v>
      </c>
      <c r="U2054" s="14">
        <v>0.1</v>
      </c>
      <c r="V2054" s="14">
        <v>0.13</v>
      </c>
      <c r="W2054" s="14">
        <v>0.14000000000000001</v>
      </c>
      <c r="X2054" s="14">
        <v>0.14000000000000001</v>
      </c>
    </row>
    <row r="2055" spans="1:24" hidden="1" x14ac:dyDescent="0.3">
      <c r="A2055" s="14" t="s">
        <v>437</v>
      </c>
      <c r="B2055" s="14" t="s">
        <v>106</v>
      </c>
      <c r="C2055" s="14" t="s">
        <v>369</v>
      </c>
      <c r="D2055" s="14" t="s">
        <v>370</v>
      </c>
      <c r="E2055" s="14" t="s">
        <v>344</v>
      </c>
      <c r="F2055" s="14" t="s">
        <v>343</v>
      </c>
      <c r="G2055" s="14" t="s">
        <v>343</v>
      </c>
      <c r="H2055" s="14" t="s">
        <v>343</v>
      </c>
      <c r="I2055" s="14">
        <v>80</v>
      </c>
      <c r="J2055" s="14">
        <v>91</v>
      </c>
      <c r="K2055" s="14">
        <v>94</v>
      </c>
      <c r="L2055" s="14">
        <v>101</v>
      </c>
      <c r="M2055" s="14">
        <v>88</v>
      </c>
      <c r="N2055" s="14">
        <v>91</v>
      </c>
      <c r="O2055" s="14">
        <v>100</v>
      </c>
      <c r="P2055" s="14">
        <v>95</v>
      </c>
      <c r="Q2055" s="14">
        <v>97</v>
      </c>
      <c r="R2055" s="14">
        <v>96</v>
      </c>
      <c r="S2055" s="14">
        <v>95</v>
      </c>
      <c r="T2055" s="14">
        <v>112</v>
      </c>
      <c r="U2055" s="14">
        <v>117</v>
      </c>
      <c r="V2055" s="14">
        <v>107</v>
      </c>
      <c r="W2055" s="14">
        <v>110</v>
      </c>
      <c r="X2055" s="14">
        <v>105</v>
      </c>
    </row>
    <row r="2056" spans="1:24" hidden="1" x14ac:dyDescent="0.3">
      <c r="A2056" s="14" t="s">
        <v>437</v>
      </c>
      <c r="B2056" s="14" t="s">
        <v>106</v>
      </c>
      <c r="C2056" s="14" t="s">
        <v>371</v>
      </c>
      <c r="D2056" s="14" t="s">
        <v>372</v>
      </c>
      <c r="E2056" s="14" t="s">
        <v>342</v>
      </c>
      <c r="F2056" s="14" t="s">
        <v>343</v>
      </c>
      <c r="G2056" s="14" t="s">
        <v>343</v>
      </c>
      <c r="H2056" s="14" t="s">
        <v>343</v>
      </c>
      <c r="U2056" s="14">
        <v>0</v>
      </c>
      <c r="V2056" s="14">
        <v>0</v>
      </c>
      <c r="W2056" s="14">
        <v>0</v>
      </c>
      <c r="X2056" s="14">
        <v>0</v>
      </c>
    </row>
    <row r="2057" spans="1:24" hidden="1" x14ac:dyDescent="0.3">
      <c r="A2057" s="14" t="s">
        <v>437</v>
      </c>
      <c r="B2057" s="14" t="s">
        <v>106</v>
      </c>
      <c r="C2057" s="14" t="s">
        <v>371</v>
      </c>
      <c r="D2057" s="14" t="s">
        <v>372</v>
      </c>
      <c r="E2057" s="14" t="s">
        <v>344</v>
      </c>
      <c r="F2057" s="14" t="s">
        <v>343</v>
      </c>
      <c r="G2057" s="14" t="s">
        <v>343</v>
      </c>
      <c r="H2057" s="14" t="s">
        <v>343</v>
      </c>
      <c r="U2057" s="14">
        <v>71</v>
      </c>
      <c r="V2057" s="14">
        <v>73</v>
      </c>
      <c r="W2057" s="14">
        <v>76</v>
      </c>
      <c r="X2057" s="14">
        <v>78</v>
      </c>
    </row>
    <row r="2058" spans="1:24" hidden="1" x14ac:dyDescent="0.3">
      <c r="A2058" s="14" t="s">
        <v>437</v>
      </c>
      <c r="B2058" s="14" t="s">
        <v>106</v>
      </c>
      <c r="C2058" s="14" t="s">
        <v>373</v>
      </c>
      <c r="D2058" s="14" t="s">
        <v>374</v>
      </c>
      <c r="E2058" s="14" t="s">
        <v>342</v>
      </c>
      <c r="F2058" s="14" t="s">
        <v>343</v>
      </c>
      <c r="G2058" s="14" t="s">
        <v>343</v>
      </c>
      <c r="H2058" s="14" t="s">
        <v>343</v>
      </c>
      <c r="U2058" s="14">
        <v>0.21</v>
      </c>
      <c r="V2058" s="14">
        <v>0.33</v>
      </c>
      <c r="W2058" s="14">
        <v>0.33</v>
      </c>
      <c r="X2058" s="14">
        <v>0.33</v>
      </c>
    </row>
    <row r="2059" spans="1:24" hidden="1" x14ac:dyDescent="0.3">
      <c r="A2059" s="14" t="s">
        <v>437</v>
      </c>
      <c r="B2059" s="14" t="s">
        <v>106</v>
      </c>
      <c r="C2059" s="14" t="s">
        <v>373</v>
      </c>
      <c r="D2059" s="14" t="s">
        <v>374</v>
      </c>
      <c r="E2059" s="14" t="s">
        <v>344</v>
      </c>
      <c r="F2059" s="14" t="s">
        <v>343</v>
      </c>
      <c r="G2059" s="14" t="s">
        <v>343</v>
      </c>
      <c r="H2059" s="14" t="s">
        <v>343</v>
      </c>
      <c r="U2059" s="14">
        <v>82</v>
      </c>
      <c r="V2059" s="14">
        <v>57</v>
      </c>
      <c r="W2059" s="14">
        <v>65</v>
      </c>
      <c r="X2059" s="14">
        <v>63</v>
      </c>
    </row>
    <row r="2060" spans="1:24" hidden="1" x14ac:dyDescent="0.3">
      <c r="A2060" s="14" t="s">
        <v>437</v>
      </c>
      <c r="B2060" s="14" t="s">
        <v>106</v>
      </c>
      <c r="C2060" s="14" t="s">
        <v>375</v>
      </c>
      <c r="D2060" s="14" t="s">
        <v>376</v>
      </c>
      <c r="E2060" s="14" t="s">
        <v>342</v>
      </c>
      <c r="F2060" s="14" t="s">
        <v>343</v>
      </c>
      <c r="G2060" s="14" t="s">
        <v>343</v>
      </c>
      <c r="H2060" s="14" t="s">
        <v>343</v>
      </c>
      <c r="U2060" s="14">
        <v>0.15</v>
      </c>
      <c r="V2060" s="14">
        <v>0.15</v>
      </c>
      <c r="W2060" s="14">
        <v>0.17</v>
      </c>
      <c r="X2060" s="14">
        <v>0.17</v>
      </c>
    </row>
    <row r="2061" spans="1:24" hidden="1" x14ac:dyDescent="0.3">
      <c r="A2061" s="14" t="s">
        <v>437</v>
      </c>
      <c r="B2061" s="14" t="s">
        <v>106</v>
      </c>
      <c r="C2061" s="14" t="s">
        <v>375</v>
      </c>
      <c r="D2061" s="14" t="s">
        <v>376</v>
      </c>
      <c r="E2061" s="14" t="s">
        <v>344</v>
      </c>
      <c r="F2061" s="14" t="s">
        <v>343</v>
      </c>
      <c r="G2061" s="14" t="s">
        <v>343</v>
      </c>
      <c r="H2061" s="14" t="s">
        <v>343</v>
      </c>
      <c r="U2061" s="14">
        <v>116</v>
      </c>
      <c r="V2061" s="14">
        <v>125</v>
      </c>
      <c r="W2061" s="14">
        <v>127</v>
      </c>
      <c r="X2061" s="14">
        <v>120</v>
      </c>
    </row>
    <row r="2062" spans="1:24" hidden="1" x14ac:dyDescent="0.3">
      <c r="A2062" s="14" t="s">
        <v>438</v>
      </c>
      <c r="B2062" s="14" t="s">
        <v>114</v>
      </c>
      <c r="C2062" s="14" t="s">
        <v>340</v>
      </c>
      <c r="D2062" s="14" t="s">
        <v>341</v>
      </c>
      <c r="E2062" s="14" t="s">
        <v>342</v>
      </c>
      <c r="F2062" s="14" t="s">
        <v>343</v>
      </c>
      <c r="G2062" s="14" t="s">
        <v>343</v>
      </c>
      <c r="H2062" s="14" t="s">
        <v>343</v>
      </c>
      <c r="Q2062" s="14">
        <v>0.65</v>
      </c>
      <c r="R2062" s="14">
        <v>0.71</v>
      </c>
      <c r="S2062" s="14">
        <v>0.72</v>
      </c>
      <c r="T2062" s="14">
        <v>0.7</v>
      </c>
      <c r="U2062" s="14">
        <v>0.68</v>
      </c>
      <c r="V2062" s="14">
        <v>0.68</v>
      </c>
      <c r="W2062" s="14">
        <v>0.68</v>
      </c>
      <c r="X2062" s="14">
        <v>0.69</v>
      </c>
    </row>
    <row r="2063" spans="1:24" hidden="1" x14ac:dyDescent="0.3">
      <c r="A2063" s="14" t="s">
        <v>438</v>
      </c>
      <c r="B2063" s="14" t="s">
        <v>114</v>
      </c>
      <c r="C2063" s="14" t="s">
        <v>340</v>
      </c>
      <c r="D2063" s="14" t="s">
        <v>341</v>
      </c>
      <c r="E2063" s="14" t="s">
        <v>344</v>
      </c>
      <c r="F2063" s="14" t="s">
        <v>343</v>
      </c>
      <c r="G2063" s="14" t="s">
        <v>343</v>
      </c>
      <c r="H2063" s="14" t="s">
        <v>343</v>
      </c>
      <c r="Q2063" s="14">
        <v>141</v>
      </c>
      <c r="R2063" s="14">
        <v>143</v>
      </c>
      <c r="S2063" s="14">
        <v>142</v>
      </c>
      <c r="T2063" s="14">
        <v>143</v>
      </c>
      <c r="U2063" s="14">
        <v>147</v>
      </c>
      <c r="V2063" s="14">
        <v>151</v>
      </c>
      <c r="W2063" s="14">
        <v>153</v>
      </c>
      <c r="X2063" s="14">
        <v>143</v>
      </c>
    </row>
    <row r="2064" spans="1:24" hidden="1" x14ac:dyDescent="0.3">
      <c r="A2064" s="14" t="s">
        <v>438</v>
      </c>
      <c r="B2064" s="14" t="s">
        <v>114</v>
      </c>
      <c r="C2064" s="14" t="s">
        <v>345</v>
      </c>
      <c r="D2064" s="14" t="s">
        <v>346</v>
      </c>
      <c r="E2064" s="14" t="s">
        <v>342</v>
      </c>
      <c r="F2064" s="14" t="s">
        <v>343</v>
      </c>
      <c r="G2064" s="14" t="s">
        <v>343</v>
      </c>
      <c r="H2064" s="14" t="s">
        <v>343</v>
      </c>
      <c r="U2064" s="14">
        <v>0.7</v>
      </c>
      <c r="V2064" s="14">
        <v>0.68</v>
      </c>
      <c r="W2064" s="14">
        <v>0.84</v>
      </c>
      <c r="X2064" s="14">
        <v>0.86</v>
      </c>
    </row>
    <row r="2065" spans="1:24" hidden="1" x14ac:dyDescent="0.3">
      <c r="A2065" s="14" t="s">
        <v>438</v>
      </c>
      <c r="B2065" s="14" t="s">
        <v>114</v>
      </c>
      <c r="C2065" s="14" t="s">
        <v>345</v>
      </c>
      <c r="D2065" s="14" t="s">
        <v>346</v>
      </c>
      <c r="E2065" s="14" t="s">
        <v>344</v>
      </c>
      <c r="F2065" s="14" t="s">
        <v>343</v>
      </c>
      <c r="G2065" s="14" t="s">
        <v>343</v>
      </c>
      <c r="H2065" s="14" t="s">
        <v>343</v>
      </c>
      <c r="U2065" s="14">
        <v>31</v>
      </c>
      <c r="V2065" s="14">
        <v>43</v>
      </c>
      <c r="W2065" s="14">
        <v>7</v>
      </c>
      <c r="X2065" s="14">
        <v>4</v>
      </c>
    </row>
    <row r="2066" spans="1:24" hidden="1" x14ac:dyDescent="0.3">
      <c r="A2066" s="14" t="s">
        <v>438</v>
      </c>
      <c r="B2066" s="14" t="s">
        <v>114</v>
      </c>
      <c r="C2066" s="14" t="s">
        <v>347</v>
      </c>
      <c r="D2066" s="14" t="s">
        <v>348</v>
      </c>
      <c r="E2066" s="14" t="s">
        <v>342</v>
      </c>
      <c r="F2066" s="14" t="s">
        <v>343</v>
      </c>
      <c r="G2066" s="14" t="s">
        <v>343</v>
      </c>
      <c r="H2066" s="14" t="s">
        <v>343</v>
      </c>
      <c r="U2066" s="14">
        <v>0.98</v>
      </c>
      <c r="V2066" s="14">
        <v>1</v>
      </c>
      <c r="W2066" s="14">
        <v>1</v>
      </c>
      <c r="X2066" s="14">
        <v>1</v>
      </c>
    </row>
    <row r="2067" spans="1:24" hidden="1" x14ac:dyDescent="0.3">
      <c r="A2067" s="14" t="s">
        <v>438</v>
      </c>
      <c r="B2067" s="14" t="s">
        <v>114</v>
      </c>
      <c r="C2067" s="14" t="s">
        <v>347</v>
      </c>
      <c r="D2067" s="14" t="s">
        <v>348</v>
      </c>
      <c r="E2067" s="14" t="s">
        <v>344</v>
      </c>
      <c r="F2067" s="14" t="s">
        <v>343</v>
      </c>
      <c r="G2067" s="14" t="s">
        <v>343</v>
      </c>
      <c r="H2067" s="14" t="s">
        <v>343</v>
      </c>
      <c r="U2067" s="14">
        <v>6</v>
      </c>
      <c r="V2067" s="14">
        <v>1</v>
      </c>
      <c r="W2067" s="14">
        <v>1</v>
      </c>
      <c r="X2067" s="14">
        <v>4</v>
      </c>
    </row>
    <row r="2068" spans="1:24" hidden="1" x14ac:dyDescent="0.3">
      <c r="A2068" s="14" t="s">
        <v>438</v>
      </c>
      <c r="B2068" s="14" t="s">
        <v>114</v>
      </c>
      <c r="C2068" s="14" t="s">
        <v>349</v>
      </c>
      <c r="D2068" s="14" t="s">
        <v>350</v>
      </c>
      <c r="E2068" s="14" t="s">
        <v>342</v>
      </c>
      <c r="F2068" s="14" t="s">
        <v>343</v>
      </c>
      <c r="G2068" s="14" t="s">
        <v>343</v>
      </c>
      <c r="H2068" s="14" t="s">
        <v>343</v>
      </c>
      <c r="X2068" s="14">
        <v>0.3</v>
      </c>
    </row>
    <row r="2069" spans="1:24" hidden="1" x14ac:dyDescent="0.3">
      <c r="A2069" s="14" t="s">
        <v>438</v>
      </c>
      <c r="B2069" s="14" t="s">
        <v>114</v>
      </c>
      <c r="C2069" s="14" t="s">
        <v>349</v>
      </c>
      <c r="D2069" s="14" t="s">
        <v>350</v>
      </c>
      <c r="E2069" s="14" t="s">
        <v>344</v>
      </c>
      <c r="F2069" s="14" t="s">
        <v>343</v>
      </c>
      <c r="G2069" s="14" t="s">
        <v>343</v>
      </c>
      <c r="H2069" s="14" t="s">
        <v>343</v>
      </c>
      <c r="X2069" s="14">
        <v>110</v>
      </c>
    </row>
    <row r="2070" spans="1:24" hidden="1" x14ac:dyDescent="0.3">
      <c r="A2070" s="14" t="s">
        <v>438</v>
      </c>
      <c r="B2070" s="14" t="s">
        <v>114</v>
      </c>
      <c r="C2070" s="14" t="s">
        <v>351</v>
      </c>
      <c r="D2070" s="14" t="s">
        <v>352</v>
      </c>
      <c r="E2070" s="14" t="s">
        <v>342</v>
      </c>
      <c r="F2070" s="14" t="s">
        <v>343</v>
      </c>
      <c r="G2070" s="14" t="s">
        <v>343</v>
      </c>
      <c r="H2070" s="14" t="s">
        <v>343</v>
      </c>
      <c r="X2070" s="14">
        <v>0.41</v>
      </c>
    </row>
    <row r="2071" spans="1:24" hidden="1" x14ac:dyDescent="0.3">
      <c r="A2071" s="14" t="s">
        <v>438</v>
      </c>
      <c r="B2071" s="14" t="s">
        <v>114</v>
      </c>
      <c r="C2071" s="14" t="s">
        <v>351</v>
      </c>
      <c r="D2071" s="14" t="s">
        <v>352</v>
      </c>
      <c r="E2071" s="14" t="s">
        <v>344</v>
      </c>
      <c r="F2071" s="14" t="s">
        <v>343</v>
      </c>
      <c r="G2071" s="14" t="s">
        <v>343</v>
      </c>
      <c r="H2071" s="14" t="s">
        <v>343</v>
      </c>
      <c r="X2071" s="14">
        <v>125</v>
      </c>
    </row>
    <row r="2072" spans="1:24" hidden="1" x14ac:dyDescent="0.3">
      <c r="A2072" s="14" t="s">
        <v>438</v>
      </c>
      <c r="B2072" s="14" t="s">
        <v>114</v>
      </c>
      <c r="C2072" s="14" t="s">
        <v>378</v>
      </c>
      <c r="D2072" s="14" t="s">
        <v>379</v>
      </c>
      <c r="E2072" s="14" t="s">
        <v>342</v>
      </c>
      <c r="F2072" s="14" t="s">
        <v>343</v>
      </c>
      <c r="G2072" s="14" t="s">
        <v>343</v>
      </c>
      <c r="H2072" s="14" t="s">
        <v>343</v>
      </c>
      <c r="U2072" s="14">
        <v>0.8</v>
      </c>
      <c r="V2072" s="14">
        <v>0.76</v>
      </c>
      <c r="W2072" s="14">
        <v>0.74</v>
      </c>
      <c r="X2072" s="14">
        <v>0.74</v>
      </c>
    </row>
    <row r="2073" spans="1:24" hidden="1" x14ac:dyDescent="0.3">
      <c r="A2073" s="14" t="s">
        <v>438</v>
      </c>
      <c r="B2073" s="14" t="s">
        <v>114</v>
      </c>
      <c r="C2073" s="14" t="s">
        <v>378</v>
      </c>
      <c r="D2073" s="14" t="s">
        <v>379</v>
      </c>
      <c r="E2073" s="14" t="s">
        <v>344</v>
      </c>
      <c r="F2073" s="14" t="s">
        <v>343</v>
      </c>
      <c r="G2073" s="14" t="s">
        <v>343</v>
      </c>
      <c r="H2073" s="14" t="s">
        <v>343</v>
      </c>
      <c r="U2073" s="14">
        <v>6</v>
      </c>
      <c r="V2073" s="14">
        <v>14</v>
      </c>
      <c r="W2073" s="14">
        <v>29</v>
      </c>
      <c r="X2073" s="14">
        <v>31</v>
      </c>
    </row>
    <row r="2074" spans="1:24" hidden="1" x14ac:dyDescent="0.3">
      <c r="A2074" s="14" t="s">
        <v>438</v>
      </c>
      <c r="B2074" s="14" t="s">
        <v>114</v>
      </c>
      <c r="C2074" s="14" t="s">
        <v>353</v>
      </c>
      <c r="D2074" s="14" t="s">
        <v>354</v>
      </c>
      <c r="E2074" s="14" t="s">
        <v>342</v>
      </c>
      <c r="F2074" s="14" t="s">
        <v>343</v>
      </c>
      <c r="G2074" s="14" t="s">
        <v>343</v>
      </c>
      <c r="H2074" s="14" t="s">
        <v>343</v>
      </c>
      <c r="U2074" s="14">
        <v>0.5</v>
      </c>
      <c r="V2074" s="14">
        <v>0.5</v>
      </c>
      <c r="W2074" s="14">
        <v>0.5</v>
      </c>
      <c r="X2074" s="14">
        <v>0.51</v>
      </c>
    </row>
    <row r="2075" spans="1:24" hidden="1" x14ac:dyDescent="0.3">
      <c r="A2075" s="14" t="s">
        <v>438</v>
      </c>
      <c r="B2075" s="14" t="s">
        <v>114</v>
      </c>
      <c r="C2075" s="14" t="s">
        <v>353</v>
      </c>
      <c r="D2075" s="14" t="s">
        <v>354</v>
      </c>
      <c r="E2075" s="14" t="s">
        <v>344</v>
      </c>
      <c r="F2075" s="14" t="s">
        <v>343</v>
      </c>
      <c r="G2075" s="14" t="s">
        <v>343</v>
      </c>
      <c r="H2075" s="14" t="s">
        <v>343</v>
      </c>
      <c r="U2075" s="14">
        <v>139</v>
      </c>
      <c r="V2075" s="14">
        <v>149</v>
      </c>
      <c r="W2075" s="14">
        <v>152</v>
      </c>
      <c r="X2075" s="14">
        <v>141</v>
      </c>
    </row>
    <row r="2076" spans="1:24" hidden="1" x14ac:dyDescent="0.3">
      <c r="A2076" s="14" t="s">
        <v>438</v>
      </c>
      <c r="B2076" s="14" t="s">
        <v>114</v>
      </c>
      <c r="C2076" s="14" t="s">
        <v>380</v>
      </c>
      <c r="D2076" s="14" t="s">
        <v>381</v>
      </c>
      <c r="E2076" s="14" t="s">
        <v>342</v>
      </c>
      <c r="F2076" s="14" t="s">
        <v>343</v>
      </c>
      <c r="G2076" s="14" t="s">
        <v>343</v>
      </c>
      <c r="H2076" s="14" t="s">
        <v>343</v>
      </c>
      <c r="U2076" s="14">
        <v>0.83</v>
      </c>
      <c r="V2076" s="14">
        <v>0.83</v>
      </c>
      <c r="W2076" s="14">
        <v>0.83</v>
      </c>
      <c r="X2076" s="14">
        <v>0.85</v>
      </c>
    </row>
    <row r="2077" spans="1:24" hidden="1" x14ac:dyDescent="0.3">
      <c r="A2077" s="14" t="s">
        <v>438</v>
      </c>
      <c r="B2077" s="14" t="s">
        <v>114</v>
      </c>
      <c r="C2077" s="14" t="s">
        <v>380</v>
      </c>
      <c r="D2077" s="14" t="s">
        <v>381</v>
      </c>
      <c r="E2077" s="14" t="s">
        <v>344</v>
      </c>
      <c r="F2077" s="14" t="s">
        <v>343</v>
      </c>
      <c r="G2077" s="14" t="s">
        <v>343</v>
      </c>
      <c r="H2077" s="14" t="s">
        <v>343</v>
      </c>
      <c r="U2077" s="14">
        <v>135</v>
      </c>
      <c r="V2077" s="14">
        <v>145</v>
      </c>
      <c r="W2077" s="14">
        <v>147</v>
      </c>
      <c r="X2077" s="14">
        <v>113</v>
      </c>
    </row>
    <row r="2078" spans="1:24" hidden="1" x14ac:dyDescent="0.3">
      <c r="A2078" s="14" t="s">
        <v>438</v>
      </c>
      <c r="B2078" s="14" t="s">
        <v>114</v>
      </c>
      <c r="C2078" s="14" t="s">
        <v>355</v>
      </c>
      <c r="D2078" s="14" t="s">
        <v>356</v>
      </c>
      <c r="E2078" s="14" t="s">
        <v>342</v>
      </c>
      <c r="F2078" s="14" t="s">
        <v>343</v>
      </c>
      <c r="G2078" s="14" t="s">
        <v>343</v>
      </c>
      <c r="H2078" s="14" t="s">
        <v>343</v>
      </c>
      <c r="U2078" s="14">
        <v>0.66</v>
      </c>
      <c r="V2078" s="14">
        <v>0.66</v>
      </c>
      <c r="W2078" s="14">
        <v>0.66</v>
      </c>
      <c r="X2078" s="14">
        <v>0.65</v>
      </c>
    </row>
    <row r="2079" spans="1:24" hidden="1" x14ac:dyDescent="0.3">
      <c r="A2079" s="14" t="s">
        <v>438</v>
      </c>
      <c r="B2079" s="14" t="s">
        <v>114</v>
      </c>
      <c r="C2079" s="14" t="s">
        <v>355</v>
      </c>
      <c r="D2079" s="14" t="s">
        <v>356</v>
      </c>
      <c r="E2079" s="14" t="s">
        <v>344</v>
      </c>
      <c r="F2079" s="14" t="s">
        <v>343</v>
      </c>
      <c r="G2079" s="14" t="s">
        <v>343</v>
      </c>
      <c r="H2079" s="14" t="s">
        <v>343</v>
      </c>
      <c r="U2079" s="14">
        <v>146</v>
      </c>
      <c r="V2079" s="14">
        <v>149</v>
      </c>
      <c r="W2079" s="14">
        <v>151</v>
      </c>
      <c r="X2079" s="14">
        <v>133</v>
      </c>
    </row>
    <row r="2080" spans="1:24" hidden="1" x14ac:dyDescent="0.3">
      <c r="A2080" s="14" t="s">
        <v>438</v>
      </c>
      <c r="B2080" s="14" t="s">
        <v>114</v>
      </c>
      <c r="C2080" s="14" t="s">
        <v>357</v>
      </c>
      <c r="D2080" s="14" t="s">
        <v>358</v>
      </c>
      <c r="E2080" s="14" t="s">
        <v>342</v>
      </c>
      <c r="F2080" s="14" t="s">
        <v>343</v>
      </c>
      <c r="G2080" s="14" t="s">
        <v>343</v>
      </c>
      <c r="H2080" s="14" t="s">
        <v>343</v>
      </c>
      <c r="U2080" s="14">
        <v>0.45</v>
      </c>
      <c r="V2080" s="14">
        <v>0.43</v>
      </c>
      <c r="W2080" s="14">
        <v>0.43</v>
      </c>
      <c r="X2080" s="14">
        <v>0.4</v>
      </c>
    </row>
    <row r="2081" spans="1:24" hidden="1" x14ac:dyDescent="0.3">
      <c r="A2081" s="14" t="s">
        <v>438</v>
      </c>
      <c r="B2081" s="14" t="s">
        <v>114</v>
      </c>
      <c r="C2081" s="14" t="s">
        <v>357</v>
      </c>
      <c r="D2081" s="14" t="s">
        <v>358</v>
      </c>
      <c r="E2081" s="14" t="s">
        <v>344</v>
      </c>
      <c r="F2081" s="14" t="s">
        <v>343</v>
      </c>
      <c r="G2081" s="14" t="s">
        <v>343</v>
      </c>
      <c r="H2081" s="14" t="s">
        <v>343</v>
      </c>
      <c r="U2081" s="14">
        <v>134</v>
      </c>
      <c r="V2081" s="14">
        <v>145</v>
      </c>
      <c r="W2081" s="14">
        <v>146</v>
      </c>
      <c r="X2081" s="14">
        <v>135</v>
      </c>
    </row>
    <row r="2082" spans="1:24" hidden="1" x14ac:dyDescent="0.3">
      <c r="A2082" s="14" t="s">
        <v>438</v>
      </c>
      <c r="B2082" s="14" t="s">
        <v>114</v>
      </c>
      <c r="C2082" s="14" t="s">
        <v>359</v>
      </c>
      <c r="D2082" s="14" t="s">
        <v>360</v>
      </c>
      <c r="E2082" s="14" t="s">
        <v>342</v>
      </c>
      <c r="F2082" s="14" t="s">
        <v>343</v>
      </c>
      <c r="G2082" s="14" t="s">
        <v>343</v>
      </c>
      <c r="H2082" s="14" t="s">
        <v>343</v>
      </c>
      <c r="Q2082" s="14">
        <v>0.66</v>
      </c>
      <c r="R2082" s="14">
        <v>0.67</v>
      </c>
      <c r="S2082" s="14">
        <v>0.74</v>
      </c>
      <c r="T2082" s="14">
        <v>0.81</v>
      </c>
      <c r="U2082" s="14">
        <v>0.82</v>
      </c>
      <c r="V2082" s="14">
        <v>0.8</v>
      </c>
      <c r="W2082" s="14">
        <v>0.84</v>
      </c>
      <c r="X2082" s="14">
        <v>0.71</v>
      </c>
    </row>
    <row r="2083" spans="1:24" hidden="1" x14ac:dyDescent="0.3">
      <c r="A2083" s="14" t="s">
        <v>438</v>
      </c>
      <c r="B2083" s="14" t="s">
        <v>114</v>
      </c>
      <c r="C2083" s="14" t="s">
        <v>359</v>
      </c>
      <c r="D2083" s="14" t="s">
        <v>360</v>
      </c>
      <c r="E2083" s="14" t="s">
        <v>344</v>
      </c>
      <c r="F2083" s="14" t="s">
        <v>343</v>
      </c>
      <c r="G2083" s="14" t="s">
        <v>343</v>
      </c>
      <c r="H2083" s="14" t="s">
        <v>343</v>
      </c>
      <c r="Q2083" s="14">
        <v>74</v>
      </c>
      <c r="R2083" s="14">
        <v>76</v>
      </c>
      <c r="S2083" s="14">
        <v>29</v>
      </c>
      <c r="T2083" s="14">
        <v>10</v>
      </c>
      <c r="U2083" s="14">
        <v>7</v>
      </c>
      <c r="V2083" s="14">
        <v>10</v>
      </c>
      <c r="W2083" s="14">
        <v>6</v>
      </c>
      <c r="X2083" s="14">
        <v>60</v>
      </c>
    </row>
    <row r="2084" spans="1:24" x14ac:dyDescent="0.3">
      <c r="A2084" s="14" t="s">
        <v>438</v>
      </c>
      <c r="B2084" s="14" t="s">
        <v>114</v>
      </c>
      <c r="C2084" s="14" t="s">
        <v>361</v>
      </c>
      <c r="D2084" s="14" t="s">
        <v>362</v>
      </c>
      <c r="E2084" s="14" t="s">
        <v>342</v>
      </c>
      <c r="F2084" s="14" t="s">
        <v>343</v>
      </c>
      <c r="G2084" s="14" t="s">
        <v>343</v>
      </c>
      <c r="H2084" s="14" t="s">
        <v>343</v>
      </c>
      <c r="Q2084" s="14">
        <v>0.97</v>
      </c>
      <c r="R2084" s="14">
        <v>0.97</v>
      </c>
      <c r="S2084" s="14">
        <v>0.97</v>
      </c>
      <c r="T2084" s="14">
        <v>0.96</v>
      </c>
      <c r="U2084" s="14">
        <v>0.96</v>
      </c>
      <c r="V2084" s="14">
        <v>0.96</v>
      </c>
      <c r="W2084" s="14">
        <v>0.97</v>
      </c>
      <c r="X2084" s="14">
        <v>0.97</v>
      </c>
    </row>
    <row r="2085" spans="1:24" hidden="1" x14ac:dyDescent="0.3">
      <c r="A2085" s="14" t="s">
        <v>438</v>
      </c>
      <c r="B2085" s="14" t="s">
        <v>114</v>
      </c>
      <c r="C2085" s="14" t="s">
        <v>361</v>
      </c>
      <c r="D2085" s="14" t="s">
        <v>362</v>
      </c>
      <c r="E2085" s="14" t="s">
        <v>344</v>
      </c>
      <c r="F2085" s="14" t="s">
        <v>343</v>
      </c>
      <c r="G2085" s="14" t="s">
        <v>343</v>
      </c>
      <c r="H2085" s="14" t="s">
        <v>343</v>
      </c>
      <c r="Q2085" s="14">
        <v>107</v>
      </c>
      <c r="R2085" s="14">
        <v>116</v>
      </c>
      <c r="S2085" s="14">
        <v>115</v>
      </c>
      <c r="T2085" s="14">
        <v>132</v>
      </c>
      <c r="U2085" s="14">
        <v>138</v>
      </c>
      <c r="V2085" s="14">
        <v>141</v>
      </c>
      <c r="W2085" s="14">
        <v>109</v>
      </c>
      <c r="X2085" s="14">
        <v>101</v>
      </c>
    </row>
    <row r="2086" spans="1:24" hidden="1" x14ac:dyDescent="0.3">
      <c r="A2086" s="14" t="s">
        <v>438</v>
      </c>
      <c r="B2086" s="14" t="s">
        <v>114</v>
      </c>
      <c r="C2086" s="14" t="s">
        <v>363</v>
      </c>
      <c r="D2086" s="14" t="s">
        <v>364</v>
      </c>
      <c r="E2086" s="14" t="s">
        <v>342</v>
      </c>
      <c r="F2086" s="14" t="s">
        <v>343</v>
      </c>
      <c r="G2086" s="14" t="s">
        <v>343</v>
      </c>
      <c r="H2086" s="14" t="s">
        <v>343</v>
      </c>
      <c r="U2086" s="14">
        <v>1</v>
      </c>
      <c r="V2086" s="14">
        <v>1</v>
      </c>
      <c r="W2086" s="14">
        <v>1.01</v>
      </c>
      <c r="X2086" s="14">
        <v>1.02</v>
      </c>
    </row>
    <row r="2087" spans="1:24" hidden="1" x14ac:dyDescent="0.3">
      <c r="A2087" s="14" t="s">
        <v>438</v>
      </c>
      <c r="B2087" s="14" t="s">
        <v>114</v>
      </c>
      <c r="C2087" s="14" t="s">
        <v>363</v>
      </c>
      <c r="D2087" s="14" t="s">
        <v>364</v>
      </c>
      <c r="E2087" s="14" t="s">
        <v>344</v>
      </c>
      <c r="F2087" s="14" t="s">
        <v>343</v>
      </c>
      <c r="G2087" s="14" t="s">
        <v>343</v>
      </c>
      <c r="H2087" s="14" t="s">
        <v>343</v>
      </c>
      <c r="U2087" s="14">
        <v>144</v>
      </c>
      <c r="V2087" s="14">
        <v>148</v>
      </c>
      <c r="W2087" s="14">
        <v>120</v>
      </c>
      <c r="X2087" s="14">
        <v>111</v>
      </c>
    </row>
    <row r="2088" spans="1:24" hidden="1" x14ac:dyDescent="0.3">
      <c r="A2088" s="14" t="s">
        <v>438</v>
      </c>
      <c r="B2088" s="14" t="s">
        <v>114</v>
      </c>
      <c r="C2088" s="14" t="s">
        <v>365</v>
      </c>
      <c r="D2088" s="14" t="s">
        <v>366</v>
      </c>
      <c r="E2088" s="14" t="s">
        <v>342</v>
      </c>
      <c r="F2088" s="14" t="s">
        <v>343</v>
      </c>
      <c r="G2088" s="14" t="s">
        <v>343</v>
      </c>
      <c r="H2088" s="14" t="s">
        <v>343</v>
      </c>
      <c r="U2088" s="14">
        <v>0.94</v>
      </c>
      <c r="V2088" s="14">
        <v>0.94</v>
      </c>
      <c r="W2088" s="14">
        <v>0.94</v>
      </c>
      <c r="X2088" s="14">
        <v>0.94</v>
      </c>
    </row>
    <row r="2089" spans="1:24" hidden="1" x14ac:dyDescent="0.3">
      <c r="A2089" s="14" t="s">
        <v>438</v>
      </c>
      <c r="B2089" s="14" t="s">
        <v>114</v>
      </c>
      <c r="C2089" s="14" t="s">
        <v>365</v>
      </c>
      <c r="D2089" s="14" t="s">
        <v>366</v>
      </c>
      <c r="E2089" s="14" t="s">
        <v>344</v>
      </c>
      <c r="F2089" s="14" t="s">
        <v>343</v>
      </c>
      <c r="G2089" s="14" t="s">
        <v>343</v>
      </c>
      <c r="H2089" s="14" t="s">
        <v>343</v>
      </c>
      <c r="U2089" s="14">
        <v>1</v>
      </c>
      <c r="V2089" s="14">
        <v>1</v>
      </c>
      <c r="W2089" s="14">
        <v>1</v>
      </c>
      <c r="X2089" s="14">
        <v>1</v>
      </c>
    </row>
    <row r="2090" spans="1:24" hidden="1" x14ac:dyDescent="0.3">
      <c r="A2090" s="14" t="s">
        <v>438</v>
      </c>
      <c r="B2090" s="14" t="s">
        <v>114</v>
      </c>
      <c r="C2090" s="14" t="s">
        <v>367</v>
      </c>
      <c r="D2090" s="14" t="s">
        <v>368</v>
      </c>
      <c r="E2090" s="14" t="s">
        <v>342</v>
      </c>
      <c r="F2090" s="14" t="s">
        <v>343</v>
      </c>
      <c r="G2090" s="14" t="s">
        <v>343</v>
      </c>
      <c r="H2090" s="14" t="s">
        <v>343</v>
      </c>
      <c r="Q2090" s="14">
        <v>0.6</v>
      </c>
      <c r="R2090" s="14">
        <v>0.62</v>
      </c>
      <c r="S2090" s="14">
        <v>0.64</v>
      </c>
      <c r="T2090" s="14">
        <v>0.66</v>
      </c>
      <c r="U2090" s="14">
        <v>0.66</v>
      </c>
      <c r="V2090" s="14">
        <v>0.64</v>
      </c>
      <c r="W2090" s="14">
        <v>0.66</v>
      </c>
      <c r="X2090" s="14">
        <v>0.65</v>
      </c>
    </row>
    <row r="2091" spans="1:24" hidden="1" x14ac:dyDescent="0.3">
      <c r="A2091" s="14" t="s">
        <v>438</v>
      </c>
      <c r="B2091" s="14" t="s">
        <v>114</v>
      </c>
      <c r="C2091" s="14" t="s">
        <v>367</v>
      </c>
      <c r="D2091" s="14" t="s">
        <v>368</v>
      </c>
      <c r="E2091" s="14" t="s">
        <v>344</v>
      </c>
      <c r="F2091" s="14" t="s">
        <v>343</v>
      </c>
      <c r="G2091" s="14" t="s">
        <v>343</v>
      </c>
      <c r="H2091" s="14" t="s">
        <v>343</v>
      </c>
      <c r="Q2091" s="14">
        <v>132</v>
      </c>
      <c r="R2091" s="14">
        <v>131</v>
      </c>
      <c r="S2091" s="14">
        <v>122</v>
      </c>
      <c r="T2091" s="14">
        <v>113</v>
      </c>
      <c r="U2091" s="14">
        <v>116</v>
      </c>
      <c r="V2091" s="14">
        <v>125</v>
      </c>
      <c r="W2091" s="14">
        <v>118</v>
      </c>
      <c r="X2091" s="14">
        <v>118</v>
      </c>
    </row>
    <row r="2092" spans="1:24" hidden="1" x14ac:dyDescent="0.3">
      <c r="A2092" s="14" t="s">
        <v>438</v>
      </c>
      <c r="B2092" s="14" t="s">
        <v>114</v>
      </c>
      <c r="C2092" s="14" t="s">
        <v>369</v>
      </c>
      <c r="D2092" s="14" t="s">
        <v>370</v>
      </c>
      <c r="E2092" s="14" t="s">
        <v>342</v>
      </c>
      <c r="F2092" s="14" t="s">
        <v>343</v>
      </c>
      <c r="G2092" s="14" t="s">
        <v>343</v>
      </c>
      <c r="H2092" s="14" t="s">
        <v>343</v>
      </c>
      <c r="Q2092" s="14">
        <v>0.13</v>
      </c>
      <c r="R2092" s="14">
        <v>0.13</v>
      </c>
      <c r="S2092" s="14">
        <v>0.13</v>
      </c>
      <c r="T2092" s="14">
        <v>0.16</v>
      </c>
      <c r="U2092" s="14">
        <v>0.16</v>
      </c>
      <c r="V2092" s="14">
        <v>0.12</v>
      </c>
      <c r="W2092" s="14">
        <v>0.16</v>
      </c>
      <c r="X2092" s="14">
        <v>0.22</v>
      </c>
    </row>
    <row r="2093" spans="1:24" hidden="1" x14ac:dyDescent="0.3">
      <c r="A2093" s="14" t="s">
        <v>438</v>
      </c>
      <c r="B2093" s="14" t="s">
        <v>114</v>
      </c>
      <c r="C2093" s="14" t="s">
        <v>369</v>
      </c>
      <c r="D2093" s="14" t="s">
        <v>370</v>
      </c>
      <c r="E2093" s="14" t="s">
        <v>344</v>
      </c>
      <c r="F2093" s="14" t="s">
        <v>343</v>
      </c>
      <c r="G2093" s="14" t="s">
        <v>343</v>
      </c>
      <c r="H2093" s="14" t="s">
        <v>343</v>
      </c>
      <c r="Q2093" s="14">
        <v>83</v>
      </c>
      <c r="R2093" s="14">
        <v>85</v>
      </c>
      <c r="S2093" s="14">
        <v>88</v>
      </c>
      <c r="T2093" s="14">
        <v>76</v>
      </c>
      <c r="U2093" s="14">
        <v>80</v>
      </c>
      <c r="V2093" s="14">
        <v>108</v>
      </c>
      <c r="W2093" s="14">
        <v>96</v>
      </c>
      <c r="X2093" s="14">
        <v>65</v>
      </c>
    </row>
    <row r="2094" spans="1:24" hidden="1" x14ac:dyDescent="0.3">
      <c r="A2094" s="14" t="s">
        <v>438</v>
      </c>
      <c r="B2094" s="14" t="s">
        <v>114</v>
      </c>
      <c r="C2094" s="14" t="s">
        <v>371</v>
      </c>
      <c r="D2094" s="14" t="s">
        <v>372</v>
      </c>
      <c r="E2094" s="14" t="s">
        <v>342</v>
      </c>
      <c r="F2094" s="14" t="s">
        <v>343</v>
      </c>
      <c r="G2094" s="14" t="s">
        <v>343</v>
      </c>
      <c r="H2094" s="14" t="s">
        <v>343</v>
      </c>
      <c r="U2094" s="14">
        <v>0</v>
      </c>
      <c r="V2094" s="14">
        <v>0</v>
      </c>
      <c r="W2094" s="14">
        <v>0</v>
      </c>
      <c r="X2094" s="14">
        <v>0</v>
      </c>
    </row>
    <row r="2095" spans="1:24" hidden="1" x14ac:dyDescent="0.3">
      <c r="A2095" s="14" t="s">
        <v>438</v>
      </c>
      <c r="B2095" s="14" t="s">
        <v>114</v>
      </c>
      <c r="C2095" s="14" t="s">
        <v>371</v>
      </c>
      <c r="D2095" s="14" t="s">
        <v>372</v>
      </c>
      <c r="E2095" s="14" t="s">
        <v>344</v>
      </c>
      <c r="F2095" s="14" t="s">
        <v>343</v>
      </c>
      <c r="G2095" s="14" t="s">
        <v>343</v>
      </c>
      <c r="H2095" s="14" t="s">
        <v>343</v>
      </c>
      <c r="U2095" s="14">
        <v>71</v>
      </c>
      <c r="V2095" s="14">
        <v>73</v>
      </c>
      <c r="W2095" s="14">
        <v>76</v>
      </c>
      <c r="X2095" s="14">
        <v>78</v>
      </c>
    </row>
    <row r="2096" spans="1:24" hidden="1" x14ac:dyDescent="0.3">
      <c r="A2096" s="14" t="s">
        <v>438</v>
      </c>
      <c r="B2096" s="14" t="s">
        <v>114</v>
      </c>
      <c r="C2096" s="14" t="s">
        <v>373</v>
      </c>
      <c r="D2096" s="14" t="s">
        <v>374</v>
      </c>
      <c r="E2096" s="14" t="s">
        <v>342</v>
      </c>
      <c r="F2096" s="14" t="s">
        <v>343</v>
      </c>
      <c r="G2096" s="14" t="s">
        <v>343</v>
      </c>
      <c r="H2096" s="14" t="s">
        <v>343</v>
      </c>
      <c r="U2096" s="14">
        <v>0.3</v>
      </c>
      <c r="V2096" s="14">
        <v>0.13</v>
      </c>
      <c r="W2096" s="14">
        <v>0.38</v>
      </c>
      <c r="X2096" s="14">
        <v>0.38</v>
      </c>
    </row>
    <row r="2097" spans="1:24" hidden="1" x14ac:dyDescent="0.3">
      <c r="A2097" s="14" t="s">
        <v>438</v>
      </c>
      <c r="B2097" s="14" t="s">
        <v>114</v>
      </c>
      <c r="C2097" s="14" t="s">
        <v>373</v>
      </c>
      <c r="D2097" s="14" t="s">
        <v>374</v>
      </c>
      <c r="E2097" s="14" t="s">
        <v>344</v>
      </c>
      <c r="F2097" s="14" t="s">
        <v>343</v>
      </c>
      <c r="G2097" s="14" t="s">
        <v>343</v>
      </c>
      <c r="H2097" s="14" t="s">
        <v>343</v>
      </c>
      <c r="U2097" s="14">
        <v>48</v>
      </c>
      <c r="V2097" s="14">
        <v>113</v>
      </c>
      <c r="W2097" s="14">
        <v>60</v>
      </c>
      <c r="X2097" s="14">
        <v>58</v>
      </c>
    </row>
    <row r="2098" spans="1:24" hidden="1" x14ac:dyDescent="0.3">
      <c r="A2098" s="14" t="s">
        <v>438</v>
      </c>
      <c r="B2098" s="14" t="s">
        <v>114</v>
      </c>
      <c r="C2098" s="14" t="s">
        <v>375</v>
      </c>
      <c r="D2098" s="14" t="s">
        <v>376</v>
      </c>
      <c r="E2098" s="14" t="s">
        <v>342</v>
      </c>
      <c r="F2098" s="14" t="s">
        <v>343</v>
      </c>
      <c r="G2098" s="14" t="s">
        <v>343</v>
      </c>
      <c r="H2098" s="14" t="s">
        <v>343</v>
      </c>
      <c r="U2098" s="14">
        <v>0.28000000000000003</v>
      </c>
      <c r="V2098" s="14">
        <v>0.3</v>
      </c>
      <c r="W2098" s="14">
        <v>0.2</v>
      </c>
      <c r="X2098" s="14">
        <v>0.42</v>
      </c>
    </row>
    <row r="2099" spans="1:24" hidden="1" x14ac:dyDescent="0.3">
      <c r="A2099" s="14" t="s">
        <v>438</v>
      </c>
      <c r="B2099" s="14" t="s">
        <v>114</v>
      </c>
      <c r="C2099" s="14" t="s">
        <v>375</v>
      </c>
      <c r="D2099" s="14" t="s">
        <v>376</v>
      </c>
      <c r="E2099" s="14" t="s">
        <v>344</v>
      </c>
      <c r="F2099" s="14" t="s">
        <v>343</v>
      </c>
      <c r="G2099" s="14" t="s">
        <v>343</v>
      </c>
      <c r="H2099" s="14" t="s">
        <v>343</v>
      </c>
      <c r="U2099" s="14">
        <v>72</v>
      </c>
      <c r="V2099" s="14">
        <v>72</v>
      </c>
      <c r="W2099" s="14">
        <v>117</v>
      </c>
      <c r="X2099" s="14">
        <v>53</v>
      </c>
    </row>
    <row r="2100" spans="1:24" hidden="1" x14ac:dyDescent="0.3">
      <c r="A2100" s="14" t="s">
        <v>439</v>
      </c>
      <c r="B2100" s="14" t="s">
        <v>440</v>
      </c>
      <c r="C2100" s="14" t="s">
        <v>340</v>
      </c>
      <c r="D2100" s="14" t="s">
        <v>341</v>
      </c>
      <c r="E2100" s="14" t="s">
        <v>342</v>
      </c>
      <c r="F2100" s="14" t="s">
        <v>343</v>
      </c>
      <c r="G2100" s="14" t="s">
        <v>343</v>
      </c>
      <c r="H2100" s="14" t="s">
        <v>343</v>
      </c>
      <c r="I2100" s="14">
        <v>0.81</v>
      </c>
      <c r="J2100" s="14">
        <v>0.81</v>
      </c>
      <c r="K2100" s="14">
        <v>0.84</v>
      </c>
      <c r="L2100" s="14">
        <v>0.85</v>
      </c>
      <c r="M2100" s="14">
        <v>0.83</v>
      </c>
      <c r="N2100" s="14">
        <v>0.83</v>
      </c>
      <c r="O2100" s="14">
        <v>0.76</v>
      </c>
      <c r="R2100" s="14">
        <v>0.93</v>
      </c>
      <c r="S2100" s="14">
        <v>0.91</v>
      </c>
      <c r="T2100" s="14">
        <v>0.9</v>
      </c>
      <c r="U2100" s="14">
        <v>0.9</v>
      </c>
      <c r="V2100" s="14">
        <v>0.89</v>
      </c>
      <c r="W2100" s="14">
        <v>0.89</v>
      </c>
      <c r="X2100" s="14">
        <v>0.87</v>
      </c>
    </row>
    <row r="2101" spans="1:24" hidden="1" x14ac:dyDescent="0.3">
      <c r="A2101" s="14" t="s">
        <v>439</v>
      </c>
      <c r="B2101" s="14" t="s">
        <v>440</v>
      </c>
      <c r="C2101" s="14" t="s">
        <v>340</v>
      </c>
      <c r="D2101" s="14" t="s">
        <v>341</v>
      </c>
      <c r="E2101" s="14" t="s">
        <v>344</v>
      </c>
      <c r="F2101" s="14" t="s">
        <v>343</v>
      </c>
      <c r="G2101" s="14" t="s">
        <v>343</v>
      </c>
      <c r="H2101" s="14" t="s">
        <v>343</v>
      </c>
      <c r="I2101" s="14">
        <v>106</v>
      </c>
      <c r="J2101" s="14">
        <v>117</v>
      </c>
      <c r="K2101" s="14">
        <v>118</v>
      </c>
      <c r="L2101" s="14">
        <v>119</v>
      </c>
      <c r="M2101" s="14">
        <v>121</v>
      </c>
      <c r="N2101" s="14">
        <v>122</v>
      </c>
      <c r="O2101" s="14">
        <v>127</v>
      </c>
      <c r="R2101" s="14">
        <v>118</v>
      </c>
      <c r="S2101" s="14">
        <v>127</v>
      </c>
      <c r="T2101" s="14">
        <v>127</v>
      </c>
      <c r="U2101" s="14">
        <v>129</v>
      </c>
      <c r="V2101" s="14">
        <v>134</v>
      </c>
      <c r="W2101" s="14">
        <v>135</v>
      </c>
      <c r="X2101" s="14">
        <v>132</v>
      </c>
    </row>
    <row r="2102" spans="1:24" hidden="1" x14ac:dyDescent="0.3">
      <c r="A2102" s="14" t="s">
        <v>439</v>
      </c>
      <c r="B2102" s="14" t="s">
        <v>440</v>
      </c>
      <c r="C2102" s="14" t="s">
        <v>345</v>
      </c>
      <c r="D2102" s="14" t="s">
        <v>346</v>
      </c>
      <c r="E2102" s="14" t="s">
        <v>342</v>
      </c>
      <c r="F2102" s="14" t="s">
        <v>343</v>
      </c>
      <c r="G2102" s="14" t="s">
        <v>343</v>
      </c>
      <c r="H2102" s="14" t="s">
        <v>343</v>
      </c>
      <c r="U2102" s="14">
        <v>0.42</v>
      </c>
      <c r="V2102" s="14">
        <v>0.36</v>
      </c>
      <c r="W2102" s="14">
        <v>0.71</v>
      </c>
      <c r="X2102" s="14">
        <v>0.69</v>
      </c>
    </row>
    <row r="2103" spans="1:24" hidden="1" x14ac:dyDescent="0.3">
      <c r="A2103" s="14" t="s">
        <v>439</v>
      </c>
      <c r="B2103" s="14" t="s">
        <v>440</v>
      </c>
      <c r="C2103" s="14" t="s">
        <v>345</v>
      </c>
      <c r="D2103" s="14" t="s">
        <v>346</v>
      </c>
      <c r="E2103" s="14" t="s">
        <v>344</v>
      </c>
      <c r="F2103" s="14" t="s">
        <v>343</v>
      </c>
      <c r="G2103" s="14" t="s">
        <v>343</v>
      </c>
      <c r="H2103" s="14" t="s">
        <v>343</v>
      </c>
      <c r="U2103" s="14">
        <v>126</v>
      </c>
      <c r="V2103" s="14">
        <v>133</v>
      </c>
      <c r="W2103" s="14">
        <v>40</v>
      </c>
      <c r="X2103" s="14">
        <v>49</v>
      </c>
    </row>
    <row r="2104" spans="1:24" hidden="1" x14ac:dyDescent="0.3">
      <c r="A2104" s="14" t="s">
        <v>439</v>
      </c>
      <c r="B2104" s="14" t="s">
        <v>440</v>
      </c>
      <c r="C2104" s="14" t="s">
        <v>347</v>
      </c>
      <c r="D2104" s="14" t="s">
        <v>348</v>
      </c>
      <c r="E2104" s="14" t="s">
        <v>342</v>
      </c>
      <c r="F2104" s="14" t="s">
        <v>343</v>
      </c>
      <c r="G2104" s="14" t="s">
        <v>343</v>
      </c>
      <c r="H2104" s="14" t="s">
        <v>343</v>
      </c>
      <c r="U2104" s="14">
        <v>0.76</v>
      </c>
      <c r="V2104" s="14">
        <v>0.77</v>
      </c>
      <c r="W2104" s="14">
        <v>0.76</v>
      </c>
      <c r="X2104" s="14">
        <v>0.74</v>
      </c>
    </row>
    <row r="2105" spans="1:24" hidden="1" x14ac:dyDescent="0.3">
      <c r="A2105" s="14" t="s">
        <v>439</v>
      </c>
      <c r="B2105" s="14" t="s">
        <v>440</v>
      </c>
      <c r="C2105" s="14" t="s">
        <v>347</v>
      </c>
      <c r="D2105" s="14" t="s">
        <v>348</v>
      </c>
      <c r="E2105" s="14" t="s">
        <v>344</v>
      </c>
      <c r="F2105" s="14" t="s">
        <v>343</v>
      </c>
      <c r="G2105" s="14" t="s">
        <v>343</v>
      </c>
      <c r="H2105" s="14" t="s">
        <v>343</v>
      </c>
      <c r="U2105" s="14">
        <v>85</v>
      </c>
      <c r="V2105" s="14">
        <v>88</v>
      </c>
      <c r="W2105" s="14">
        <v>96</v>
      </c>
      <c r="X2105" s="14">
        <v>89</v>
      </c>
    </row>
    <row r="2106" spans="1:24" hidden="1" x14ac:dyDescent="0.3">
      <c r="A2106" s="14" t="s">
        <v>439</v>
      </c>
      <c r="B2106" s="14" t="s">
        <v>440</v>
      </c>
      <c r="C2106" s="14" t="s">
        <v>349</v>
      </c>
      <c r="D2106" s="14" t="s">
        <v>350</v>
      </c>
      <c r="E2106" s="14" t="s">
        <v>342</v>
      </c>
      <c r="F2106" s="14" t="s">
        <v>343</v>
      </c>
      <c r="G2106" s="14" t="s">
        <v>343</v>
      </c>
      <c r="H2106" s="14" t="s">
        <v>343</v>
      </c>
      <c r="U2106" s="14">
        <v>0.51</v>
      </c>
      <c r="V2106" s="14">
        <v>0.51</v>
      </c>
      <c r="W2106" s="14">
        <v>0.21</v>
      </c>
      <c r="X2106" s="14">
        <v>0.24</v>
      </c>
    </row>
    <row r="2107" spans="1:24" hidden="1" x14ac:dyDescent="0.3">
      <c r="A2107" s="14" t="s">
        <v>439</v>
      </c>
      <c r="B2107" s="14" t="s">
        <v>440</v>
      </c>
      <c r="C2107" s="14" t="s">
        <v>349</v>
      </c>
      <c r="D2107" s="14" t="s">
        <v>350</v>
      </c>
      <c r="E2107" s="14" t="s">
        <v>344</v>
      </c>
      <c r="F2107" s="14" t="s">
        <v>343</v>
      </c>
      <c r="G2107" s="14" t="s">
        <v>343</v>
      </c>
      <c r="H2107" s="14" t="s">
        <v>343</v>
      </c>
      <c r="U2107" s="14">
        <v>60</v>
      </c>
      <c r="V2107" s="14">
        <v>67</v>
      </c>
      <c r="W2107" s="14">
        <v>131</v>
      </c>
      <c r="X2107" s="14">
        <v>117</v>
      </c>
    </row>
    <row r="2108" spans="1:24" hidden="1" x14ac:dyDescent="0.3">
      <c r="A2108" s="14" t="s">
        <v>439</v>
      </c>
      <c r="B2108" s="14" t="s">
        <v>440</v>
      </c>
      <c r="C2108" s="14" t="s">
        <v>351</v>
      </c>
      <c r="D2108" s="14" t="s">
        <v>352</v>
      </c>
      <c r="E2108" s="14" t="s">
        <v>342</v>
      </c>
      <c r="F2108" s="14" t="s">
        <v>343</v>
      </c>
      <c r="G2108" s="14" t="s">
        <v>343</v>
      </c>
      <c r="H2108" s="14" t="s">
        <v>343</v>
      </c>
      <c r="U2108" s="14">
        <v>0.37</v>
      </c>
      <c r="V2108" s="14">
        <v>0.37</v>
      </c>
      <c r="W2108" s="14">
        <v>0.28999999999999998</v>
      </c>
      <c r="X2108" s="14">
        <v>0.28999999999999998</v>
      </c>
    </row>
    <row r="2109" spans="1:24" hidden="1" x14ac:dyDescent="0.3">
      <c r="A2109" s="14" t="s">
        <v>439</v>
      </c>
      <c r="B2109" s="14" t="s">
        <v>440</v>
      </c>
      <c r="C2109" s="14" t="s">
        <v>351</v>
      </c>
      <c r="D2109" s="14" t="s">
        <v>352</v>
      </c>
      <c r="E2109" s="14" t="s">
        <v>344</v>
      </c>
      <c r="F2109" s="14" t="s">
        <v>343</v>
      </c>
      <c r="G2109" s="14" t="s">
        <v>343</v>
      </c>
      <c r="H2109" s="14" t="s">
        <v>343</v>
      </c>
      <c r="U2109" s="14">
        <v>131</v>
      </c>
      <c r="V2109" s="14">
        <v>135</v>
      </c>
      <c r="W2109" s="14">
        <v>145</v>
      </c>
      <c r="X2109" s="14">
        <v>132</v>
      </c>
    </row>
    <row r="2110" spans="1:24" hidden="1" x14ac:dyDescent="0.3">
      <c r="A2110" s="14" t="s">
        <v>439</v>
      </c>
      <c r="B2110" s="14" t="s">
        <v>440</v>
      </c>
      <c r="C2110" s="14" t="s">
        <v>378</v>
      </c>
      <c r="D2110" s="14" t="s">
        <v>379</v>
      </c>
      <c r="E2110" s="14" t="s">
        <v>342</v>
      </c>
      <c r="F2110" s="14" t="s">
        <v>343</v>
      </c>
      <c r="G2110" s="14" t="s">
        <v>343</v>
      </c>
      <c r="H2110" s="14" t="s">
        <v>343</v>
      </c>
      <c r="S2110" s="14">
        <v>0.77</v>
      </c>
      <c r="U2110" s="14">
        <v>0.75</v>
      </c>
      <c r="V2110" s="14">
        <v>0.75</v>
      </c>
      <c r="W2110" s="14">
        <v>0.75</v>
      </c>
      <c r="X2110" s="14">
        <v>0.75</v>
      </c>
    </row>
    <row r="2111" spans="1:24" hidden="1" x14ac:dyDescent="0.3">
      <c r="A2111" s="14" t="s">
        <v>439</v>
      </c>
      <c r="B2111" s="14" t="s">
        <v>440</v>
      </c>
      <c r="C2111" s="14" t="s">
        <v>378</v>
      </c>
      <c r="D2111" s="14" t="s">
        <v>379</v>
      </c>
      <c r="E2111" s="14" t="s">
        <v>344</v>
      </c>
      <c r="F2111" s="14" t="s">
        <v>343</v>
      </c>
      <c r="G2111" s="14" t="s">
        <v>343</v>
      </c>
      <c r="H2111" s="14" t="s">
        <v>343</v>
      </c>
      <c r="S2111" s="14">
        <v>15</v>
      </c>
      <c r="U2111" s="14">
        <v>18</v>
      </c>
      <c r="V2111" s="14">
        <v>16</v>
      </c>
      <c r="W2111" s="14">
        <v>23</v>
      </c>
      <c r="X2111" s="14">
        <v>19</v>
      </c>
    </row>
    <row r="2112" spans="1:24" hidden="1" x14ac:dyDescent="0.3">
      <c r="A2112" s="14" t="s">
        <v>439</v>
      </c>
      <c r="B2112" s="14" t="s">
        <v>440</v>
      </c>
      <c r="C2112" s="14" t="s">
        <v>353</v>
      </c>
      <c r="D2112" s="14" t="s">
        <v>354</v>
      </c>
      <c r="E2112" s="14" t="s">
        <v>342</v>
      </c>
      <c r="F2112" s="14" t="s">
        <v>343</v>
      </c>
      <c r="G2112" s="14" t="s">
        <v>343</v>
      </c>
      <c r="H2112" s="14" t="s">
        <v>343</v>
      </c>
      <c r="U2112" s="14">
        <v>0.65</v>
      </c>
      <c r="V2112" s="14">
        <v>0.67</v>
      </c>
      <c r="W2112" s="14">
        <v>0.67</v>
      </c>
      <c r="X2112" s="14">
        <v>0.67</v>
      </c>
    </row>
    <row r="2113" spans="1:24" hidden="1" x14ac:dyDescent="0.3">
      <c r="A2113" s="14" t="s">
        <v>439</v>
      </c>
      <c r="B2113" s="14" t="s">
        <v>440</v>
      </c>
      <c r="C2113" s="14" t="s">
        <v>353</v>
      </c>
      <c r="D2113" s="14" t="s">
        <v>354</v>
      </c>
      <c r="E2113" s="14" t="s">
        <v>344</v>
      </c>
      <c r="F2113" s="14" t="s">
        <v>343</v>
      </c>
      <c r="G2113" s="14" t="s">
        <v>343</v>
      </c>
      <c r="H2113" s="14" t="s">
        <v>343</v>
      </c>
      <c r="U2113" s="14">
        <v>131</v>
      </c>
      <c r="V2113" s="14">
        <v>140</v>
      </c>
      <c r="W2113" s="14">
        <v>141</v>
      </c>
      <c r="X2113" s="14">
        <v>132</v>
      </c>
    </row>
    <row r="2114" spans="1:24" hidden="1" x14ac:dyDescent="0.3">
      <c r="A2114" s="14" t="s">
        <v>439</v>
      </c>
      <c r="B2114" s="14" t="s">
        <v>440</v>
      </c>
      <c r="C2114" s="14" t="s">
        <v>380</v>
      </c>
      <c r="D2114" s="14" t="s">
        <v>381</v>
      </c>
      <c r="E2114" s="14" t="s">
        <v>342</v>
      </c>
      <c r="F2114" s="14" t="s">
        <v>343</v>
      </c>
      <c r="G2114" s="14" t="s">
        <v>343</v>
      </c>
      <c r="H2114" s="14" t="s">
        <v>343</v>
      </c>
      <c r="U2114" s="14">
        <v>1</v>
      </c>
      <c r="V2114" s="14">
        <v>1</v>
      </c>
      <c r="W2114" s="14">
        <v>1</v>
      </c>
      <c r="X2114" s="14">
        <v>1</v>
      </c>
    </row>
    <row r="2115" spans="1:24" hidden="1" x14ac:dyDescent="0.3">
      <c r="A2115" s="14" t="s">
        <v>439</v>
      </c>
      <c r="B2115" s="14" t="s">
        <v>440</v>
      </c>
      <c r="C2115" s="14" t="s">
        <v>380</v>
      </c>
      <c r="D2115" s="14" t="s">
        <v>381</v>
      </c>
      <c r="E2115" s="14" t="s">
        <v>344</v>
      </c>
      <c r="F2115" s="14" t="s">
        <v>343</v>
      </c>
      <c r="G2115" s="14" t="s">
        <v>343</v>
      </c>
      <c r="H2115" s="14" t="s">
        <v>343</v>
      </c>
      <c r="U2115" s="14">
        <v>1</v>
      </c>
      <c r="V2115" s="14">
        <v>1</v>
      </c>
      <c r="W2115" s="14">
        <v>1</v>
      </c>
      <c r="X2115" s="14">
        <v>1</v>
      </c>
    </row>
    <row r="2116" spans="1:24" hidden="1" x14ac:dyDescent="0.3">
      <c r="A2116" s="14" t="s">
        <v>439</v>
      </c>
      <c r="B2116" s="14" t="s">
        <v>440</v>
      </c>
      <c r="C2116" s="14" t="s">
        <v>355</v>
      </c>
      <c r="D2116" s="14" t="s">
        <v>356</v>
      </c>
      <c r="E2116" s="14" t="s">
        <v>342</v>
      </c>
      <c r="F2116" s="14" t="s">
        <v>343</v>
      </c>
      <c r="G2116" s="14" t="s">
        <v>343</v>
      </c>
      <c r="H2116" s="14" t="s">
        <v>343</v>
      </c>
      <c r="U2116" s="14">
        <v>1</v>
      </c>
      <c r="V2116" s="14">
        <v>0.95</v>
      </c>
      <c r="W2116" s="14">
        <v>0.95</v>
      </c>
    </row>
    <row r="2117" spans="1:24" hidden="1" x14ac:dyDescent="0.3">
      <c r="A2117" s="14" t="s">
        <v>439</v>
      </c>
      <c r="B2117" s="14" t="s">
        <v>440</v>
      </c>
      <c r="C2117" s="14" t="s">
        <v>355</v>
      </c>
      <c r="D2117" s="14" t="s">
        <v>356</v>
      </c>
      <c r="E2117" s="14" t="s">
        <v>344</v>
      </c>
      <c r="F2117" s="14" t="s">
        <v>343</v>
      </c>
      <c r="G2117" s="14" t="s">
        <v>343</v>
      </c>
      <c r="H2117" s="14" t="s">
        <v>343</v>
      </c>
      <c r="U2117" s="14">
        <v>1</v>
      </c>
      <c r="V2117" s="14">
        <v>129</v>
      </c>
      <c r="W2117" s="14">
        <v>130</v>
      </c>
    </row>
    <row r="2118" spans="1:24" hidden="1" x14ac:dyDescent="0.3">
      <c r="A2118" s="14" t="s">
        <v>439</v>
      </c>
      <c r="B2118" s="14" t="s">
        <v>440</v>
      </c>
      <c r="C2118" s="14" t="s">
        <v>357</v>
      </c>
      <c r="D2118" s="14" t="s">
        <v>358</v>
      </c>
      <c r="E2118" s="14" t="s">
        <v>342</v>
      </c>
      <c r="F2118" s="14" t="s">
        <v>343</v>
      </c>
      <c r="G2118" s="14" t="s">
        <v>343</v>
      </c>
      <c r="H2118" s="14" t="s">
        <v>343</v>
      </c>
      <c r="U2118" s="14">
        <v>0.68</v>
      </c>
      <c r="V2118" s="14">
        <v>0.7</v>
      </c>
      <c r="W2118" s="14">
        <v>0.7</v>
      </c>
      <c r="X2118" s="14">
        <v>0.7</v>
      </c>
    </row>
    <row r="2119" spans="1:24" hidden="1" x14ac:dyDescent="0.3">
      <c r="A2119" s="14" t="s">
        <v>439</v>
      </c>
      <c r="B2119" s="14" t="s">
        <v>440</v>
      </c>
      <c r="C2119" s="14" t="s">
        <v>357</v>
      </c>
      <c r="D2119" s="14" t="s">
        <v>358</v>
      </c>
      <c r="E2119" s="14" t="s">
        <v>344</v>
      </c>
      <c r="F2119" s="14" t="s">
        <v>343</v>
      </c>
      <c r="G2119" s="14" t="s">
        <v>343</v>
      </c>
      <c r="H2119" s="14" t="s">
        <v>343</v>
      </c>
      <c r="U2119" s="14">
        <v>124</v>
      </c>
      <c r="V2119" s="14">
        <v>128</v>
      </c>
      <c r="W2119" s="14">
        <v>129</v>
      </c>
      <c r="X2119" s="14">
        <v>125</v>
      </c>
    </row>
    <row r="2120" spans="1:24" hidden="1" x14ac:dyDescent="0.3">
      <c r="A2120" s="14" t="s">
        <v>439</v>
      </c>
      <c r="B2120" s="14" t="s">
        <v>440</v>
      </c>
      <c r="C2120" s="14" t="s">
        <v>359</v>
      </c>
      <c r="D2120" s="14" t="s">
        <v>360</v>
      </c>
      <c r="E2120" s="14" t="s">
        <v>342</v>
      </c>
      <c r="F2120" s="14" t="s">
        <v>343</v>
      </c>
      <c r="G2120" s="14" t="s">
        <v>343</v>
      </c>
      <c r="H2120" s="14" t="s">
        <v>343</v>
      </c>
      <c r="I2120" s="14">
        <v>0.69</v>
      </c>
      <c r="J2120" s="14">
        <v>0.69</v>
      </c>
      <c r="K2120" s="14">
        <v>0.71</v>
      </c>
      <c r="L2120" s="14">
        <v>0.74</v>
      </c>
      <c r="M2120" s="14">
        <v>0.76</v>
      </c>
      <c r="N2120" s="14">
        <v>0.76</v>
      </c>
      <c r="O2120" s="14">
        <v>0.77</v>
      </c>
      <c r="R2120" s="14">
        <v>0.7</v>
      </c>
      <c r="S2120" s="14">
        <v>0.68</v>
      </c>
      <c r="T2120" s="14">
        <v>0.63</v>
      </c>
      <c r="U2120" s="14">
        <v>0.6</v>
      </c>
      <c r="V2120" s="14">
        <v>0.57999999999999996</v>
      </c>
      <c r="W2120" s="14">
        <v>0.61</v>
      </c>
      <c r="X2120" s="14">
        <v>0.6</v>
      </c>
    </row>
    <row r="2121" spans="1:24" hidden="1" x14ac:dyDescent="0.3">
      <c r="A2121" s="14" t="s">
        <v>439</v>
      </c>
      <c r="B2121" s="14" t="s">
        <v>440</v>
      </c>
      <c r="C2121" s="14" t="s">
        <v>359</v>
      </c>
      <c r="D2121" s="14" t="s">
        <v>360</v>
      </c>
      <c r="E2121" s="14" t="s">
        <v>344</v>
      </c>
      <c r="F2121" s="14" t="s">
        <v>343</v>
      </c>
      <c r="G2121" s="14" t="s">
        <v>343</v>
      </c>
      <c r="H2121" s="14" t="s">
        <v>343</v>
      </c>
      <c r="I2121" s="14">
        <v>25</v>
      </c>
      <c r="J2121" s="14">
        <v>37</v>
      </c>
      <c r="K2121" s="14">
        <v>32</v>
      </c>
      <c r="L2121" s="14">
        <v>23</v>
      </c>
      <c r="M2121" s="14">
        <v>14</v>
      </c>
      <c r="N2121" s="14">
        <v>19</v>
      </c>
      <c r="O2121" s="14">
        <v>18</v>
      </c>
      <c r="R2121" s="14">
        <v>58</v>
      </c>
      <c r="S2121" s="14">
        <v>60</v>
      </c>
      <c r="T2121" s="14">
        <v>100</v>
      </c>
      <c r="U2121" s="14">
        <v>116</v>
      </c>
      <c r="V2121" s="14">
        <v>122</v>
      </c>
      <c r="W2121" s="14">
        <v>116</v>
      </c>
      <c r="X2121" s="14">
        <v>109</v>
      </c>
    </row>
    <row r="2122" spans="1:24" x14ac:dyDescent="0.3">
      <c r="A2122" s="14" t="s">
        <v>439</v>
      </c>
      <c r="B2122" s="14" t="s">
        <v>440</v>
      </c>
      <c r="C2122" s="14" t="s">
        <v>361</v>
      </c>
      <c r="D2122" s="14" t="s">
        <v>362</v>
      </c>
      <c r="E2122" s="14" t="s">
        <v>342</v>
      </c>
      <c r="F2122" s="14" t="s">
        <v>343</v>
      </c>
      <c r="G2122" s="14" t="s">
        <v>343</v>
      </c>
      <c r="H2122" s="14" t="s">
        <v>343</v>
      </c>
      <c r="I2122" s="14">
        <v>0.97</v>
      </c>
      <c r="J2122" s="14">
        <v>0.98</v>
      </c>
      <c r="K2122" s="14">
        <v>0.98</v>
      </c>
      <c r="L2122" s="14">
        <v>0.98</v>
      </c>
      <c r="M2122" s="14">
        <v>0.98</v>
      </c>
      <c r="N2122" s="14">
        <v>0.98</v>
      </c>
      <c r="O2122" s="14">
        <v>0.98</v>
      </c>
      <c r="R2122" s="14">
        <v>0.97</v>
      </c>
      <c r="S2122" s="14">
        <v>0.97</v>
      </c>
      <c r="T2122" s="14">
        <v>0.97</v>
      </c>
      <c r="U2122" s="14">
        <v>0.97</v>
      </c>
      <c r="V2122" s="14">
        <v>0.97</v>
      </c>
      <c r="W2122" s="14">
        <v>0.97</v>
      </c>
      <c r="X2122" s="14">
        <v>0.97</v>
      </c>
    </row>
    <row r="2123" spans="1:24" hidden="1" x14ac:dyDescent="0.3">
      <c r="A2123" s="14" t="s">
        <v>439</v>
      </c>
      <c r="B2123" s="14" t="s">
        <v>440</v>
      </c>
      <c r="C2123" s="14" t="s">
        <v>361</v>
      </c>
      <c r="D2123" s="14" t="s">
        <v>362</v>
      </c>
      <c r="E2123" s="14" t="s">
        <v>344</v>
      </c>
      <c r="F2123" s="14" t="s">
        <v>343</v>
      </c>
      <c r="G2123" s="14" t="s">
        <v>343</v>
      </c>
      <c r="H2123" s="14" t="s">
        <v>343</v>
      </c>
      <c r="I2123" s="14">
        <v>64</v>
      </c>
      <c r="J2123" s="14">
        <v>1</v>
      </c>
      <c r="K2123" s="14">
        <v>1</v>
      </c>
      <c r="L2123" s="14">
        <v>1</v>
      </c>
      <c r="M2123" s="14">
        <v>1</v>
      </c>
      <c r="N2123" s="14">
        <v>1</v>
      </c>
      <c r="O2123" s="14">
        <v>1</v>
      </c>
      <c r="R2123" s="14">
        <v>85</v>
      </c>
      <c r="S2123" s="14">
        <v>83</v>
      </c>
      <c r="T2123" s="14">
        <v>122</v>
      </c>
      <c r="U2123" s="14">
        <v>112</v>
      </c>
      <c r="V2123" s="14">
        <v>114</v>
      </c>
      <c r="W2123" s="14">
        <v>93</v>
      </c>
      <c r="X2123" s="14">
        <v>86</v>
      </c>
    </row>
    <row r="2124" spans="1:24" hidden="1" x14ac:dyDescent="0.3">
      <c r="A2124" s="14" t="s">
        <v>439</v>
      </c>
      <c r="B2124" s="14" t="s">
        <v>440</v>
      </c>
      <c r="C2124" s="14" t="s">
        <v>363</v>
      </c>
      <c r="D2124" s="14" t="s">
        <v>364</v>
      </c>
      <c r="E2124" s="14" t="s">
        <v>342</v>
      </c>
      <c r="F2124" s="14" t="s">
        <v>343</v>
      </c>
      <c r="G2124" s="14" t="s">
        <v>343</v>
      </c>
      <c r="H2124" s="14" t="s">
        <v>343</v>
      </c>
      <c r="U2124" s="14">
        <v>1.03</v>
      </c>
      <c r="V2124" s="14">
        <v>1.03</v>
      </c>
      <c r="W2124" s="14">
        <v>1.02</v>
      </c>
      <c r="X2124" s="14">
        <v>1.02</v>
      </c>
    </row>
    <row r="2125" spans="1:24" hidden="1" x14ac:dyDescent="0.3">
      <c r="A2125" s="14" t="s">
        <v>439</v>
      </c>
      <c r="B2125" s="14" t="s">
        <v>440</v>
      </c>
      <c r="C2125" s="14" t="s">
        <v>363</v>
      </c>
      <c r="D2125" s="14" t="s">
        <v>364</v>
      </c>
      <c r="E2125" s="14" t="s">
        <v>344</v>
      </c>
      <c r="F2125" s="14" t="s">
        <v>343</v>
      </c>
      <c r="G2125" s="14" t="s">
        <v>343</v>
      </c>
      <c r="H2125" s="14" t="s">
        <v>343</v>
      </c>
      <c r="U2125" s="14">
        <v>121</v>
      </c>
      <c r="V2125" s="14">
        <v>125</v>
      </c>
      <c r="W2125" s="14">
        <v>103</v>
      </c>
      <c r="X2125" s="14">
        <v>94</v>
      </c>
    </row>
    <row r="2126" spans="1:24" hidden="1" x14ac:dyDescent="0.3">
      <c r="A2126" s="14" t="s">
        <v>439</v>
      </c>
      <c r="B2126" s="14" t="s">
        <v>440</v>
      </c>
      <c r="C2126" s="14" t="s">
        <v>365</v>
      </c>
      <c r="D2126" s="14" t="s">
        <v>366</v>
      </c>
      <c r="E2126" s="14" t="s">
        <v>342</v>
      </c>
      <c r="F2126" s="14" t="s">
        <v>343</v>
      </c>
      <c r="G2126" s="14" t="s">
        <v>343</v>
      </c>
      <c r="H2126" s="14" t="s">
        <v>343</v>
      </c>
      <c r="U2126" s="14">
        <v>0.94</v>
      </c>
      <c r="V2126" s="14">
        <v>0.94</v>
      </c>
      <c r="W2126" s="14">
        <v>0.94</v>
      </c>
      <c r="X2126" s="14">
        <v>0.94</v>
      </c>
    </row>
    <row r="2127" spans="1:24" hidden="1" x14ac:dyDescent="0.3">
      <c r="A2127" s="14" t="s">
        <v>439</v>
      </c>
      <c r="B2127" s="14" t="s">
        <v>440</v>
      </c>
      <c r="C2127" s="14" t="s">
        <v>365</v>
      </c>
      <c r="D2127" s="14" t="s">
        <v>366</v>
      </c>
      <c r="E2127" s="14" t="s">
        <v>344</v>
      </c>
      <c r="F2127" s="14" t="s">
        <v>343</v>
      </c>
      <c r="G2127" s="14" t="s">
        <v>343</v>
      </c>
      <c r="H2127" s="14" t="s">
        <v>343</v>
      </c>
      <c r="U2127" s="14">
        <v>1</v>
      </c>
      <c r="V2127" s="14">
        <v>1</v>
      </c>
      <c r="W2127" s="14">
        <v>1</v>
      </c>
      <c r="X2127" s="14">
        <v>1</v>
      </c>
    </row>
    <row r="2128" spans="1:24" hidden="1" x14ac:dyDescent="0.3">
      <c r="A2128" s="14" t="s">
        <v>439</v>
      </c>
      <c r="B2128" s="14" t="s">
        <v>440</v>
      </c>
      <c r="C2128" s="14" t="s">
        <v>367</v>
      </c>
      <c r="D2128" s="14" t="s">
        <v>368</v>
      </c>
      <c r="E2128" s="14" t="s">
        <v>342</v>
      </c>
      <c r="F2128" s="14" t="s">
        <v>343</v>
      </c>
      <c r="G2128" s="14" t="s">
        <v>343</v>
      </c>
      <c r="H2128" s="14" t="s">
        <v>343</v>
      </c>
      <c r="I2128" s="14">
        <v>0.64</v>
      </c>
      <c r="J2128" s="14">
        <v>0.64</v>
      </c>
      <c r="K2128" s="14">
        <v>0.66</v>
      </c>
      <c r="L2128" s="14">
        <v>0.68</v>
      </c>
      <c r="M2128" s="14">
        <v>0.68</v>
      </c>
      <c r="N2128" s="14">
        <v>0.68</v>
      </c>
      <c r="O2128" s="14">
        <v>0.66</v>
      </c>
      <c r="R2128" s="14">
        <v>0.67</v>
      </c>
      <c r="S2128" s="14">
        <v>0.67</v>
      </c>
      <c r="T2128" s="14">
        <v>0.65</v>
      </c>
      <c r="U2128" s="14">
        <v>0.64</v>
      </c>
      <c r="V2128" s="14">
        <v>0.63</v>
      </c>
      <c r="W2128" s="14">
        <v>0.64</v>
      </c>
      <c r="X2128" s="14">
        <v>0.64</v>
      </c>
    </row>
    <row r="2129" spans="1:24" hidden="1" x14ac:dyDescent="0.3">
      <c r="A2129" s="14" t="s">
        <v>439</v>
      </c>
      <c r="B2129" s="14" t="s">
        <v>440</v>
      </c>
      <c r="C2129" s="14" t="s">
        <v>367</v>
      </c>
      <c r="D2129" s="14" t="s">
        <v>368</v>
      </c>
      <c r="E2129" s="14" t="s">
        <v>344</v>
      </c>
      <c r="F2129" s="14" t="s">
        <v>343</v>
      </c>
      <c r="G2129" s="14" t="s">
        <v>343</v>
      </c>
      <c r="H2129" s="14" t="s">
        <v>343</v>
      </c>
      <c r="I2129" s="14">
        <v>80</v>
      </c>
      <c r="J2129" s="14">
        <v>95</v>
      </c>
      <c r="K2129" s="14">
        <v>85</v>
      </c>
      <c r="L2129" s="14">
        <v>75</v>
      </c>
      <c r="M2129" s="14">
        <v>75</v>
      </c>
      <c r="N2129" s="14">
        <v>77</v>
      </c>
      <c r="O2129" s="14">
        <v>93</v>
      </c>
      <c r="R2129" s="14">
        <v>98</v>
      </c>
      <c r="S2129" s="14">
        <v>104</v>
      </c>
      <c r="T2129" s="14">
        <v>119</v>
      </c>
      <c r="U2129" s="14">
        <v>120</v>
      </c>
      <c r="V2129" s="14">
        <v>136</v>
      </c>
      <c r="W2129" s="14">
        <v>127</v>
      </c>
      <c r="X2129" s="14">
        <v>121</v>
      </c>
    </row>
    <row r="2130" spans="1:24" hidden="1" x14ac:dyDescent="0.3">
      <c r="A2130" s="14" t="s">
        <v>439</v>
      </c>
      <c r="B2130" s="14" t="s">
        <v>440</v>
      </c>
      <c r="C2130" s="14" t="s">
        <v>369</v>
      </c>
      <c r="D2130" s="14" t="s">
        <v>370</v>
      </c>
      <c r="E2130" s="14" t="s">
        <v>342</v>
      </c>
      <c r="F2130" s="14" t="s">
        <v>343</v>
      </c>
      <c r="G2130" s="14" t="s">
        <v>343</v>
      </c>
      <c r="H2130" s="14" t="s">
        <v>343</v>
      </c>
      <c r="I2130" s="14">
        <v>0.11</v>
      </c>
      <c r="J2130" s="14">
        <v>0.09</v>
      </c>
      <c r="K2130" s="14">
        <v>0.13</v>
      </c>
      <c r="L2130" s="14">
        <v>0.13</v>
      </c>
      <c r="M2130" s="14">
        <v>0.14000000000000001</v>
      </c>
      <c r="N2130" s="14">
        <v>0.14000000000000001</v>
      </c>
      <c r="O2130" s="14">
        <v>0.14000000000000001</v>
      </c>
      <c r="R2130" s="14">
        <v>0.1</v>
      </c>
      <c r="S2130" s="14">
        <v>0.1</v>
      </c>
      <c r="T2130" s="14">
        <v>0.11</v>
      </c>
      <c r="U2130" s="14">
        <v>0.11</v>
      </c>
      <c r="V2130" s="14">
        <v>7.0000000000000007E-2</v>
      </c>
      <c r="W2130" s="14">
        <v>0.11</v>
      </c>
      <c r="X2130" s="14">
        <v>0.12</v>
      </c>
    </row>
    <row r="2131" spans="1:24" hidden="1" x14ac:dyDescent="0.3">
      <c r="A2131" s="14" t="s">
        <v>439</v>
      </c>
      <c r="B2131" s="14" t="s">
        <v>440</v>
      </c>
      <c r="C2131" s="14" t="s">
        <v>369</v>
      </c>
      <c r="D2131" s="14" t="s">
        <v>370</v>
      </c>
      <c r="E2131" s="14" t="s">
        <v>344</v>
      </c>
      <c r="F2131" s="14" t="s">
        <v>343</v>
      </c>
      <c r="G2131" s="14" t="s">
        <v>343</v>
      </c>
      <c r="H2131" s="14" t="s">
        <v>343</v>
      </c>
      <c r="I2131" s="14">
        <v>55</v>
      </c>
      <c r="J2131" s="14">
        <v>73</v>
      </c>
      <c r="K2131" s="14">
        <v>63</v>
      </c>
      <c r="L2131" s="14">
        <v>68</v>
      </c>
      <c r="M2131" s="14">
        <v>62</v>
      </c>
      <c r="N2131" s="14">
        <v>66</v>
      </c>
      <c r="O2131" s="14">
        <v>70</v>
      </c>
      <c r="R2131" s="14">
        <v>108</v>
      </c>
      <c r="S2131" s="14">
        <v>106</v>
      </c>
      <c r="T2131" s="14">
        <v>104</v>
      </c>
      <c r="U2131" s="14">
        <v>106</v>
      </c>
      <c r="V2131" s="14">
        <v>137</v>
      </c>
      <c r="W2131" s="14">
        <v>125</v>
      </c>
      <c r="X2131" s="14">
        <v>115</v>
      </c>
    </row>
    <row r="2132" spans="1:24" hidden="1" x14ac:dyDescent="0.3">
      <c r="A2132" s="14" t="s">
        <v>439</v>
      </c>
      <c r="B2132" s="14" t="s">
        <v>440</v>
      </c>
      <c r="C2132" s="14" t="s">
        <v>371</v>
      </c>
      <c r="D2132" s="14" t="s">
        <v>372</v>
      </c>
      <c r="E2132" s="14" t="s">
        <v>342</v>
      </c>
      <c r="F2132" s="14" t="s">
        <v>343</v>
      </c>
      <c r="G2132" s="14" t="s">
        <v>343</v>
      </c>
      <c r="H2132" s="14" t="s">
        <v>343</v>
      </c>
      <c r="U2132" s="14">
        <v>0</v>
      </c>
      <c r="V2132" s="14">
        <v>0</v>
      </c>
      <c r="W2132" s="14">
        <v>0</v>
      </c>
      <c r="X2132" s="14">
        <v>0</v>
      </c>
    </row>
    <row r="2133" spans="1:24" hidden="1" x14ac:dyDescent="0.3">
      <c r="A2133" s="14" t="s">
        <v>439</v>
      </c>
      <c r="B2133" s="14" t="s">
        <v>440</v>
      </c>
      <c r="C2133" s="14" t="s">
        <v>371</v>
      </c>
      <c r="D2133" s="14" t="s">
        <v>372</v>
      </c>
      <c r="E2133" s="14" t="s">
        <v>344</v>
      </c>
      <c r="F2133" s="14" t="s">
        <v>343</v>
      </c>
      <c r="G2133" s="14" t="s">
        <v>343</v>
      </c>
      <c r="H2133" s="14" t="s">
        <v>343</v>
      </c>
      <c r="U2133" s="14">
        <v>71</v>
      </c>
      <c r="V2133" s="14">
        <v>73</v>
      </c>
      <c r="W2133" s="14">
        <v>76</v>
      </c>
      <c r="X2133" s="14">
        <v>78</v>
      </c>
    </row>
    <row r="2134" spans="1:24" hidden="1" x14ac:dyDescent="0.3">
      <c r="A2134" s="14" t="s">
        <v>439</v>
      </c>
      <c r="B2134" s="14" t="s">
        <v>440</v>
      </c>
      <c r="C2134" s="14" t="s">
        <v>373</v>
      </c>
      <c r="D2134" s="14" t="s">
        <v>374</v>
      </c>
      <c r="E2134" s="14" t="s">
        <v>342</v>
      </c>
      <c r="F2134" s="14" t="s">
        <v>343</v>
      </c>
      <c r="G2134" s="14" t="s">
        <v>343</v>
      </c>
      <c r="H2134" s="14" t="s">
        <v>343</v>
      </c>
      <c r="U2134" s="14">
        <v>0.28999999999999998</v>
      </c>
      <c r="V2134" s="14">
        <v>0.12</v>
      </c>
      <c r="W2134" s="14">
        <v>0.33</v>
      </c>
      <c r="X2134" s="14">
        <v>0.33</v>
      </c>
    </row>
    <row r="2135" spans="1:24" hidden="1" x14ac:dyDescent="0.3">
      <c r="A2135" s="14" t="s">
        <v>439</v>
      </c>
      <c r="B2135" s="14" t="s">
        <v>440</v>
      </c>
      <c r="C2135" s="14" t="s">
        <v>373</v>
      </c>
      <c r="D2135" s="14" t="s">
        <v>374</v>
      </c>
      <c r="E2135" s="14" t="s">
        <v>344</v>
      </c>
      <c r="F2135" s="14" t="s">
        <v>343</v>
      </c>
      <c r="G2135" s="14" t="s">
        <v>343</v>
      </c>
      <c r="H2135" s="14" t="s">
        <v>343</v>
      </c>
      <c r="U2135" s="14">
        <v>56</v>
      </c>
      <c r="V2135" s="14">
        <v>116</v>
      </c>
      <c r="W2135" s="14">
        <v>65</v>
      </c>
      <c r="X2135" s="14">
        <v>63</v>
      </c>
    </row>
    <row r="2136" spans="1:24" hidden="1" x14ac:dyDescent="0.3">
      <c r="A2136" s="14" t="s">
        <v>439</v>
      </c>
      <c r="B2136" s="14" t="s">
        <v>440</v>
      </c>
      <c r="C2136" s="14" t="s">
        <v>375</v>
      </c>
      <c r="D2136" s="14" t="s">
        <v>376</v>
      </c>
      <c r="E2136" s="14" t="s">
        <v>342</v>
      </c>
      <c r="F2136" s="14" t="s">
        <v>343</v>
      </c>
      <c r="G2136" s="14" t="s">
        <v>343</v>
      </c>
      <c r="H2136" s="14" t="s">
        <v>343</v>
      </c>
      <c r="U2136" s="14">
        <v>0.12</v>
      </c>
      <c r="V2136" s="14">
        <v>0.12</v>
      </c>
      <c r="W2136" s="14">
        <v>0.09</v>
      </c>
      <c r="X2136" s="14">
        <v>0.12</v>
      </c>
    </row>
    <row r="2137" spans="1:24" hidden="1" x14ac:dyDescent="0.3">
      <c r="A2137" s="14" t="s">
        <v>439</v>
      </c>
      <c r="B2137" s="14" t="s">
        <v>440</v>
      </c>
      <c r="C2137" s="14" t="s">
        <v>375</v>
      </c>
      <c r="D2137" s="14" t="s">
        <v>376</v>
      </c>
      <c r="E2137" s="14" t="s">
        <v>344</v>
      </c>
      <c r="F2137" s="14" t="s">
        <v>343</v>
      </c>
      <c r="G2137" s="14" t="s">
        <v>343</v>
      </c>
      <c r="H2137" s="14" t="s">
        <v>343</v>
      </c>
      <c r="U2137" s="14">
        <v>128</v>
      </c>
      <c r="V2137" s="14">
        <v>134</v>
      </c>
      <c r="W2137" s="14">
        <v>144</v>
      </c>
      <c r="X2137" s="14">
        <v>132</v>
      </c>
    </row>
    <row r="2138" spans="1:24" hidden="1" x14ac:dyDescent="0.3">
      <c r="A2138" s="14" t="s">
        <v>441</v>
      </c>
      <c r="B2138" s="14" t="s">
        <v>108</v>
      </c>
      <c r="C2138" s="14" t="s">
        <v>340</v>
      </c>
      <c r="D2138" s="14" t="s">
        <v>341</v>
      </c>
      <c r="E2138" s="14" t="s">
        <v>342</v>
      </c>
      <c r="F2138" s="14" t="s">
        <v>343</v>
      </c>
      <c r="G2138" s="14" t="s">
        <v>343</v>
      </c>
      <c r="H2138" s="14" t="s">
        <v>343</v>
      </c>
      <c r="I2138" s="14">
        <v>0.99</v>
      </c>
      <c r="J2138" s="14">
        <v>0.99</v>
      </c>
      <c r="K2138" s="14">
        <v>0.99</v>
      </c>
      <c r="L2138" s="14">
        <v>0.99</v>
      </c>
      <c r="M2138" s="14">
        <v>0.99</v>
      </c>
      <c r="N2138" s="14">
        <v>0.99</v>
      </c>
      <c r="O2138" s="14">
        <v>0.99</v>
      </c>
      <c r="P2138" s="14">
        <v>1</v>
      </c>
      <c r="Q2138" s="14">
        <v>1</v>
      </c>
      <c r="R2138" s="14">
        <v>1</v>
      </c>
      <c r="S2138" s="14">
        <v>0.99</v>
      </c>
      <c r="T2138" s="14">
        <v>0.99</v>
      </c>
      <c r="U2138" s="14">
        <v>0.99</v>
      </c>
      <c r="V2138" s="14">
        <v>0.99</v>
      </c>
      <c r="W2138" s="14">
        <v>0.99</v>
      </c>
      <c r="X2138" s="14">
        <v>0.99</v>
      </c>
    </row>
    <row r="2139" spans="1:24" hidden="1" x14ac:dyDescent="0.3">
      <c r="A2139" s="14" t="s">
        <v>441</v>
      </c>
      <c r="B2139" s="14" t="s">
        <v>108</v>
      </c>
      <c r="C2139" s="14" t="s">
        <v>340</v>
      </c>
      <c r="D2139" s="14" t="s">
        <v>341</v>
      </c>
      <c r="E2139" s="14" t="s">
        <v>344</v>
      </c>
      <c r="F2139" s="14" t="s">
        <v>343</v>
      </c>
      <c r="G2139" s="14" t="s">
        <v>343</v>
      </c>
      <c r="H2139" s="14" t="s">
        <v>343</v>
      </c>
      <c r="I2139" s="14">
        <v>45</v>
      </c>
      <c r="J2139" s="14">
        <v>57</v>
      </c>
      <c r="K2139" s="14">
        <v>55</v>
      </c>
      <c r="L2139" s="14">
        <v>60</v>
      </c>
      <c r="M2139" s="14">
        <v>54</v>
      </c>
      <c r="N2139" s="14">
        <v>53</v>
      </c>
      <c r="O2139" s="14">
        <v>55</v>
      </c>
      <c r="P2139" s="14">
        <v>46</v>
      </c>
      <c r="Q2139" s="14">
        <v>53</v>
      </c>
      <c r="R2139" s="14">
        <v>56</v>
      </c>
      <c r="S2139" s="14">
        <v>85</v>
      </c>
      <c r="T2139" s="14">
        <v>76</v>
      </c>
      <c r="U2139" s="14">
        <v>73</v>
      </c>
      <c r="V2139" s="14">
        <v>69</v>
      </c>
      <c r="W2139" s="14">
        <v>67</v>
      </c>
      <c r="X2139" s="14">
        <v>84</v>
      </c>
    </row>
    <row r="2140" spans="1:24" hidden="1" x14ac:dyDescent="0.3">
      <c r="A2140" s="14" t="s">
        <v>441</v>
      </c>
      <c r="B2140" s="14" t="s">
        <v>108</v>
      </c>
      <c r="C2140" s="14" t="s">
        <v>345</v>
      </c>
      <c r="D2140" s="14" t="s">
        <v>346</v>
      </c>
      <c r="E2140" s="14" t="s">
        <v>342</v>
      </c>
      <c r="F2140" s="14" t="s">
        <v>343</v>
      </c>
      <c r="G2140" s="14" t="s">
        <v>343</v>
      </c>
      <c r="H2140" s="14" t="s">
        <v>343</v>
      </c>
      <c r="U2140" s="14">
        <v>0.66</v>
      </c>
      <c r="V2140" s="14">
        <v>0.66</v>
      </c>
      <c r="W2140" s="14">
        <v>0.65</v>
      </c>
      <c r="X2140" s="14">
        <v>0.65</v>
      </c>
    </row>
    <row r="2141" spans="1:24" hidden="1" x14ac:dyDescent="0.3">
      <c r="A2141" s="14" t="s">
        <v>441</v>
      </c>
      <c r="B2141" s="14" t="s">
        <v>108</v>
      </c>
      <c r="C2141" s="14" t="s">
        <v>345</v>
      </c>
      <c r="D2141" s="14" t="s">
        <v>346</v>
      </c>
      <c r="E2141" s="14" t="s">
        <v>344</v>
      </c>
      <c r="F2141" s="14" t="s">
        <v>343</v>
      </c>
      <c r="G2141" s="14" t="s">
        <v>343</v>
      </c>
      <c r="H2141" s="14" t="s">
        <v>343</v>
      </c>
      <c r="U2141" s="14">
        <v>47</v>
      </c>
      <c r="V2141" s="14">
        <v>54</v>
      </c>
      <c r="W2141" s="14">
        <v>63</v>
      </c>
      <c r="X2141" s="14">
        <v>69</v>
      </c>
    </row>
    <row r="2142" spans="1:24" hidden="1" x14ac:dyDescent="0.3">
      <c r="A2142" s="14" t="s">
        <v>441</v>
      </c>
      <c r="B2142" s="14" t="s">
        <v>108</v>
      </c>
      <c r="C2142" s="14" t="s">
        <v>347</v>
      </c>
      <c r="D2142" s="14" t="s">
        <v>348</v>
      </c>
      <c r="E2142" s="14" t="s">
        <v>342</v>
      </c>
      <c r="F2142" s="14" t="s">
        <v>343</v>
      </c>
      <c r="G2142" s="14" t="s">
        <v>343</v>
      </c>
      <c r="H2142" s="14" t="s">
        <v>343</v>
      </c>
      <c r="U2142" s="14">
        <v>0.8</v>
      </c>
      <c r="V2142" s="14">
        <v>0.79</v>
      </c>
      <c r="W2142" s="14">
        <v>0.79</v>
      </c>
      <c r="X2142" s="14">
        <v>0.74</v>
      </c>
    </row>
    <row r="2143" spans="1:24" hidden="1" x14ac:dyDescent="0.3">
      <c r="A2143" s="14" t="s">
        <v>441</v>
      </c>
      <c r="B2143" s="14" t="s">
        <v>108</v>
      </c>
      <c r="C2143" s="14" t="s">
        <v>347</v>
      </c>
      <c r="D2143" s="14" t="s">
        <v>348</v>
      </c>
      <c r="E2143" s="14" t="s">
        <v>344</v>
      </c>
      <c r="F2143" s="14" t="s">
        <v>343</v>
      </c>
      <c r="G2143" s="14" t="s">
        <v>343</v>
      </c>
      <c r="H2143" s="14" t="s">
        <v>343</v>
      </c>
      <c r="U2143" s="14">
        <v>80</v>
      </c>
      <c r="V2143" s="14">
        <v>84</v>
      </c>
      <c r="W2143" s="14">
        <v>89</v>
      </c>
      <c r="X2143" s="14">
        <v>87</v>
      </c>
    </row>
    <row r="2144" spans="1:24" hidden="1" x14ac:dyDescent="0.3">
      <c r="A2144" s="14" t="s">
        <v>441</v>
      </c>
      <c r="B2144" s="14" t="s">
        <v>108</v>
      </c>
      <c r="C2144" s="14" t="s">
        <v>349</v>
      </c>
      <c r="D2144" s="14" t="s">
        <v>350</v>
      </c>
      <c r="E2144" s="14" t="s">
        <v>342</v>
      </c>
      <c r="F2144" s="14" t="s">
        <v>343</v>
      </c>
      <c r="G2144" s="14" t="s">
        <v>343</v>
      </c>
      <c r="H2144" s="14" t="s">
        <v>343</v>
      </c>
      <c r="U2144" s="14">
        <v>0.42</v>
      </c>
      <c r="V2144" s="14">
        <v>0.38</v>
      </c>
      <c r="W2144" s="14">
        <v>0.39</v>
      </c>
      <c r="X2144" s="14">
        <v>0.42</v>
      </c>
    </row>
    <row r="2145" spans="1:24" hidden="1" x14ac:dyDescent="0.3">
      <c r="A2145" s="14" t="s">
        <v>441</v>
      </c>
      <c r="B2145" s="14" t="s">
        <v>108</v>
      </c>
      <c r="C2145" s="14" t="s">
        <v>349</v>
      </c>
      <c r="D2145" s="14" t="s">
        <v>350</v>
      </c>
      <c r="E2145" s="14" t="s">
        <v>344</v>
      </c>
      <c r="F2145" s="14" t="s">
        <v>343</v>
      </c>
      <c r="G2145" s="14" t="s">
        <v>343</v>
      </c>
      <c r="H2145" s="14" t="s">
        <v>343</v>
      </c>
      <c r="U2145" s="14">
        <v>85</v>
      </c>
      <c r="V2145" s="14">
        <v>95</v>
      </c>
      <c r="W2145" s="14">
        <v>97</v>
      </c>
      <c r="X2145" s="14">
        <v>92</v>
      </c>
    </row>
    <row r="2146" spans="1:24" hidden="1" x14ac:dyDescent="0.3">
      <c r="A2146" s="14" t="s">
        <v>441</v>
      </c>
      <c r="B2146" s="14" t="s">
        <v>108</v>
      </c>
      <c r="C2146" s="14" t="s">
        <v>351</v>
      </c>
      <c r="D2146" s="14" t="s">
        <v>352</v>
      </c>
      <c r="E2146" s="14" t="s">
        <v>342</v>
      </c>
      <c r="F2146" s="14" t="s">
        <v>343</v>
      </c>
      <c r="G2146" s="14" t="s">
        <v>343</v>
      </c>
      <c r="H2146" s="14" t="s">
        <v>343</v>
      </c>
      <c r="U2146" s="14">
        <v>1</v>
      </c>
      <c r="V2146" s="14">
        <v>1</v>
      </c>
      <c r="W2146" s="14">
        <v>1</v>
      </c>
      <c r="X2146" s="14">
        <v>1</v>
      </c>
    </row>
    <row r="2147" spans="1:24" hidden="1" x14ac:dyDescent="0.3">
      <c r="A2147" s="14" t="s">
        <v>441</v>
      </c>
      <c r="B2147" s="14" t="s">
        <v>108</v>
      </c>
      <c r="C2147" s="14" t="s">
        <v>351</v>
      </c>
      <c r="D2147" s="14" t="s">
        <v>352</v>
      </c>
      <c r="E2147" s="14" t="s">
        <v>344</v>
      </c>
      <c r="F2147" s="14" t="s">
        <v>343</v>
      </c>
      <c r="G2147" s="14" t="s">
        <v>343</v>
      </c>
      <c r="H2147" s="14" t="s">
        <v>343</v>
      </c>
      <c r="U2147" s="14">
        <v>1</v>
      </c>
      <c r="V2147" s="14">
        <v>1</v>
      </c>
      <c r="W2147" s="14">
        <v>1</v>
      </c>
      <c r="X2147" s="14">
        <v>1</v>
      </c>
    </row>
    <row r="2148" spans="1:24" hidden="1" x14ac:dyDescent="0.3">
      <c r="A2148" s="14" t="s">
        <v>441</v>
      </c>
      <c r="B2148" s="14" t="s">
        <v>108</v>
      </c>
      <c r="C2148" s="14" t="s">
        <v>378</v>
      </c>
      <c r="D2148" s="14" t="s">
        <v>379</v>
      </c>
      <c r="E2148" s="14" t="s">
        <v>342</v>
      </c>
      <c r="F2148" s="14" t="s">
        <v>343</v>
      </c>
      <c r="G2148" s="14" t="s">
        <v>343</v>
      </c>
      <c r="H2148" s="14" t="s">
        <v>343</v>
      </c>
      <c r="S2148" s="14">
        <v>0.63</v>
      </c>
      <c r="U2148" s="14">
        <v>0.63</v>
      </c>
      <c r="V2148" s="14">
        <v>0.62</v>
      </c>
      <c r="W2148" s="14">
        <v>0.62</v>
      </c>
      <c r="X2148" s="14">
        <v>0.63</v>
      </c>
    </row>
    <row r="2149" spans="1:24" hidden="1" x14ac:dyDescent="0.3">
      <c r="A2149" s="14" t="s">
        <v>441</v>
      </c>
      <c r="B2149" s="14" t="s">
        <v>108</v>
      </c>
      <c r="C2149" s="14" t="s">
        <v>378</v>
      </c>
      <c r="D2149" s="14" t="s">
        <v>379</v>
      </c>
      <c r="E2149" s="14" t="s">
        <v>344</v>
      </c>
      <c r="F2149" s="14" t="s">
        <v>343</v>
      </c>
      <c r="G2149" s="14" t="s">
        <v>343</v>
      </c>
      <c r="H2149" s="14" t="s">
        <v>343</v>
      </c>
      <c r="S2149" s="14">
        <v>83</v>
      </c>
      <c r="U2149" s="14">
        <v>83</v>
      </c>
      <c r="V2149" s="14">
        <v>86</v>
      </c>
      <c r="W2149" s="14">
        <v>92</v>
      </c>
      <c r="X2149" s="14">
        <v>80</v>
      </c>
    </row>
    <row r="2150" spans="1:24" hidden="1" x14ac:dyDescent="0.3">
      <c r="A2150" s="14" t="s">
        <v>441</v>
      </c>
      <c r="B2150" s="14" t="s">
        <v>108</v>
      </c>
      <c r="C2150" s="14" t="s">
        <v>353</v>
      </c>
      <c r="D2150" s="14" t="s">
        <v>354</v>
      </c>
      <c r="E2150" s="14" t="s">
        <v>342</v>
      </c>
      <c r="F2150" s="14" t="s">
        <v>343</v>
      </c>
      <c r="G2150" s="14" t="s">
        <v>343</v>
      </c>
      <c r="H2150" s="14" t="s">
        <v>343</v>
      </c>
      <c r="U2150" s="14">
        <v>0.98</v>
      </c>
      <c r="V2150" s="14">
        <v>0.98</v>
      </c>
      <c r="W2150" s="14">
        <v>0.99</v>
      </c>
      <c r="X2150" s="14">
        <v>0.99</v>
      </c>
    </row>
    <row r="2151" spans="1:24" hidden="1" x14ac:dyDescent="0.3">
      <c r="A2151" s="14" t="s">
        <v>441</v>
      </c>
      <c r="B2151" s="14" t="s">
        <v>108</v>
      </c>
      <c r="C2151" s="14" t="s">
        <v>353</v>
      </c>
      <c r="D2151" s="14" t="s">
        <v>354</v>
      </c>
      <c r="E2151" s="14" t="s">
        <v>344</v>
      </c>
      <c r="F2151" s="14" t="s">
        <v>343</v>
      </c>
      <c r="G2151" s="14" t="s">
        <v>343</v>
      </c>
      <c r="H2151" s="14" t="s">
        <v>343</v>
      </c>
      <c r="U2151" s="14">
        <v>74</v>
      </c>
      <c r="V2151" s="14">
        <v>82</v>
      </c>
      <c r="W2151" s="14">
        <v>74</v>
      </c>
      <c r="X2151" s="14">
        <v>71</v>
      </c>
    </row>
    <row r="2152" spans="1:24" hidden="1" x14ac:dyDescent="0.3">
      <c r="A2152" s="14" t="s">
        <v>441</v>
      </c>
      <c r="B2152" s="14" t="s">
        <v>108</v>
      </c>
      <c r="C2152" s="14" t="s">
        <v>380</v>
      </c>
      <c r="D2152" s="14" t="s">
        <v>381</v>
      </c>
      <c r="E2152" s="14" t="s">
        <v>342</v>
      </c>
      <c r="F2152" s="14" t="s">
        <v>343</v>
      </c>
      <c r="G2152" s="14" t="s">
        <v>343</v>
      </c>
      <c r="H2152" s="14" t="s">
        <v>343</v>
      </c>
      <c r="U2152" s="14">
        <v>1</v>
      </c>
      <c r="V2152" s="14">
        <v>1</v>
      </c>
      <c r="W2152" s="14">
        <v>1</v>
      </c>
      <c r="X2152" s="14">
        <v>1</v>
      </c>
    </row>
    <row r="2153" spans="1:24" hidden="1" x14ac:dyDescent="0.3">
      <c r="A2153" s="14" t="s">
        <v>441</v>
      </c>
      <c r="B2153" s="14" t="s">
        <v>108</v>
      </c>
      <c r="C2153" s="14" t="s">
        <v>380</v>
      </c>
      <c r="D2153" s="14" t="s">
        <v>381</v>
      </c>
      <c r="E2153" s="14" t="s">
        <v>344</v>
      </c>
      <c r="F2153" s="14" t="s">
        <v>343</v>
      </c>
      <c r="G2153" s="14" t="s">
        <v>343</v>
      </c>
      <c r="H2153" s="14" t="s">
        <v>343</v>
      </c>
      <c r="U2153" s="14">
        <v>66</v>
      </c>
      <c r="V2153" s="14">
        <v>1</v>
      </c>
      <c r="W2153" s="14">
        <v>1</v>
      </c>
      <c r="X2153" s="14">
        <v>1</v>
      </c>
    </row>
    <row r="2154" spans="1:24" hidden="1" x14ac:dyDescent="0.3">
      <c r="A2154" s="14" t="s">
        <v>441</v>
      </c>
      <c r="B2154" s="14" t="s">
        <v>108</v>
      </c>
      <c r="C2154" s="14" t="s">
        <v>355</v>
      </c>
      <c r="D2154" s="14" t="s">
        <v>356</v>
      </c>
      <c r="E2154" s="14" t="s">
        <v>342</v>
      </c>
      <c r="F2154" s="14" t="s">
        <v>343</v>
      </c>
      <c r="G2154" s="14" t="s">
        <v>343</v>
      </c>
      <c r="H2154" s="14" t="s">
        <v>343</v>
      </c>
      <c r="U2154" s="14">
        <v>0.99</v>
      </c>
      <c r="V2154" s="14">
        <v>0.98</v>
      </c>
      <c r="W2154" s="14">
        <v>0.98</v>
      </c>
      <c r="X2154" s="14">
        <v>0.95</v>
      </c>
    </row>
    <row r="2155" spans="1:24" hidden="1" x14ac:dyDescent="0.3">
      <c r="A2155" s="14" t="s">
        <v>441</v>
      </c>
      <c r="B2155" s="14" t="s">
        <v>108</v>
      </c>
      <c r="C2155" s="14" t="s">
        <v>355</v>
      </c>
      <c r="D2155" s="14" t="s">
        <v>356</v>
      </c>
      <c r="E2155" s="14" t="s">
        <v>344</v>
      </c>
      <c r="F2155" s="14" t="s">
        <v>343</v>
      </c>
      <c r="G2155" s="14" t="s">
        <v>343</v>
      </c>
      <c r="H2155" s="14" t="s">
        <v>343</v>
      </c>
      <c r="U2155" s="14">
        <v>114</v>
      </c>
      <c r="V2155" s="14">
        <v>112</v>
      </c>
      <c r="W2155" s="14">
        <v>114</v>
      </c>
      <c r="X2155" s="14">
        <v>111</v>
      </c>
    </row>
    <row r="2156" spans="1:24" hidden="1" x14ac:dyDescent="0.3">
      <c r="A2156" s="14" t="s">
        <v>441</v>
      </c>
      <c r="B2156" s="14" t="s">
        <v>108</v>
      </c>
      <c r="C2156" s="14" t="s">
        <v>357</v>
      </c>
      <c r="D2156" s="14" t="s">
        <v>358</v>
      </c>
      <c r="E2156" s="14" t="s">
        <v>342</v>
      </c>
      <c r="F2156" s="14" t="s">
        <v>343</v>
      </c>
      <c r="G2156" s="14" t="s">
        <v>343</v>
      </c>
      <c r="H2156" s="14" t="s">
        <v>343</v>
      </c>
      <c r="U2156" s="14">
        <v>0.98</v>
      </c>
      <c r="V2156" s="14">
        <v>1</v>
      </c>
      <c r="W2156" s="14">
        <v>1</v>
      </c>
      <c r="X2156" s="14">
        <v>1</v>
      </c>
    </row>
    <row r="2157" spans="1:24" hidden="1" x14ac:dyDescent="0.3">
      <c r="A2157" s="14" t="s">
        <v>441</v>
      </c>
      <c r="B2157" s="14" t="s">
        <v>108</v>
      </c>
      <c r="C2157" s="14" t="s">
        <v>357</v>
      </c>
      <c r="D2157" s="14" t="s">
        <v>358</v>
      </c>
      <c r="E2157" s="14" t="s">
        <v>344</v>
      </c>
      <c r="F2157" s="14" t="s">
        <v>343</v>
      </c>
      <c r="G2157" s="14" t="s">
        <v>343</v>
      </c>
      <c r="H2157" s="14" t="s">
        <v>343</v>
      </c>
      <c r="U2157" s="14">
        <v>101</v>
      </c>
      <c r="V2157" s="14">
        <v>1</v>
      </c>
      <c r="W2157" s="14">
        <v>1</v>
      </c>
      <c r="X2157" s="14">
        <v>1</v>
      </c>
    </row>
    <row r="2158" spans="1:24" hidden="1" x14ac:dyDescent="0.3">
      <c r="A2158" s="14" t="s">
        <v>441</v>
      </c>
      <c r="B2158" s="14" t="s">
        <v>108</v>
      </c>
      <c r="C2158" s="14" t="s">
        <v>359</v>
      </c>
      <c r="D2158" s="14" t="s">
        <v>360</v>
      </c>
      <c r="E2158" s="14" t="s">
        <v>342</v>
      </c>
      <c r="F2158" s="14" t="s">
        <v>343</v>
      </c>
      <c r="G2158" s="14" t="s">
        <v>343</v>
      </c>
      <c r="H2158" s="14" t="s">
        <v>343</v>
      </c>
      <c r="I2158" s="14">
        <v>0.59</v>
      </c>
      <c r="J2158" s="14">
        <v>0.63</v>
      </c>
      <c r="K2158" s="14">
        <v>0.63</v>
      </c>
      <c r="L2158" s="14">
        <v>0.61</v>
      </c>
      <c r="M2158" s="14">
        <v>0.62</v>
      </c>
      <c r="N2158" s="14">
        <v>0.62</v>
      </c>
      <c r="O2158" s="14">
        <v>0.63</v>
      </c>
      <c r="P2158" s="14">
        <v>0.65</v>
      </c>
      <c r="Q2158" s="14">
        <v>0.64</v>
      </c>
      <c r="R2158" s="14">
        <v>0.64</v>
      </c>
      <c r="S2158" s="14">
        <v>0.65</v>
      </c>
      <c r="T2158" s="14">
        <v>0.67</v>
      </c>
      <c r="U2158" s="14">
        <v>0.68</v>
      </c>
      <c r="V2158" s="14">
        <v>0.68</v>
      </c>
      <c r="W2158" s="14">
        <v>0.67</v>
      </c>
      <c r="X2158" s="14">
        <v>0.67</v>
      </c>
    </row>
    <row r="2159" spans="1:24" hidden="1" x14ac:dyDescent="0.3">
      <c r="A2159" s="14" t="s">
        <v>441</v>
      </c>
      <c r="B2159" s="14" t="s">
        <v>108</v>
      </c>
      <c r="C2159" s="14" t="s">
        <v>359</v>
      </c>
      <c r="D2159" s="14" t="s">
        <v>360</v>
      </c>
      <c r="E2159" s="14" t="s">
        <v>344</v>
      </c>
      <c r="F2159" s="14" t="s">
        <v>343</v>
      </c>
      <c r="G2159" s="14" t="s">
        <v>343</v>
      </c>
      <c r="H2159" s="14" t="s">
        <v>343</v>
      </c>
      <c r="I2159" s="14">
        <v>70</v>
      </c>
      <c r="J2159" s="14">
        <v>70</v>
      </c>
      <c r="K2159" s="14">
        <v>72</v>
      </c>
      <c r="L2159" s="14">
        <v>86</v>
      </c>
      <c r="M2159" s="14">
        <v>79</v>
      </c>
      <c r="N2159" s="14">
        <v>78</v>
      </c>
      <c r="O2159" s="14">
        <v>80</v>
      </c>
      <c r="P2159" s="14">
        <v>79</v>
      </c>
      <c r="Q2159" s="14">
        <v>87</v>
      </c>
      <c r="R2159" s="14">
        <v>87</v>
      </c>
      <c r="S2159" s="14">
        <v>85</v>
      </c>
      <c r="T2159" s="14">
        <v>73</v>
      </c>
      <c r="U2159" s="14">
        <v>64</v>
      </c>
      <c r="V2159" s="14">
        <v>76</v>
      </c>
      <c r="W2159" s="14">
        <v>83</v>
      </c>
      <c r="X2159" s="14">
        <v>83</v>
      </c>
    </row>
    <row r="2160" spans="1:24" x14ac:dyDescent="0.3">
      <c r="A2160" s="14" t="s">
        <v>441</v>
      </c>
      <c r="B2160" s="14" t="s">
        <v>108</v>
      </c>
      <c r="C2160" s="14" t="s">
        <v>361</v>
      </c>
      <c r="D2160" s="14" t="s">
        <v>362</v>
      </c>
      <c r="E2160" s="14" t="s">
        <v>342</v>
      </c>
      <c r="F2160" s="14" t="s">
        <v>343</v>
      </c>
      <c r="G2160" s="14" t="s">
        <v>343</v>
      </c>
      <c r="H2160" s="14" t="s">
        <v>343</v>
      </c>
      <c r="I2160" s="14">
        <v>0.98</v>
      </c>
      <c r="J2160" s="14">
        <v>0.98</v>
      </c>
      <c r="K2160" s="14">
        <v>0.98</v>
      </c>
      <c r="L2160" s="14">
        <v>0.98</v>
      </c>
      <c r="M2160" s="14">
        <v>0.97</v>
      </c>
      <c r="N2160" s="14">
        <v>0.97</v>
      </c>
      <c r="O2160" s="14">
        <v>0.97</v>
      </c>
      <c r="P2160" s="14">
        <v>0.97</v>
      </c>
      <c r="Q2160" s="14">
        <v>0.98</v>
      </c>
      <c r="R2160" s="14">
        <v>0.98</v>
      </c>
      <c r="S2160" s="14">
        <v>0.98</v>
      </c>
      <c r="T2160" s="14">
        <v>0.97</v>
      </c>
      <c r="U2160" s="14">
        <v>0.97</v>
      </c>
      <c r="V2160" s="14">
        <v>0.97</v>
      </c>
      <c r="W2160" s="14">
        <v>0.97</v>
      </c>
      <c r="X2160" s="14">
        <v>0.97</v>
      </c>
    </row>
    <row r="2161" spans="1:24" hidden="1" x14ac:dyDescent="0.3">
      <c r="A2161" s="14" t="s">
        <v>441</v>
      </c>
      <c r="B2161" s="14" t="s">
        <v>108</v>
      </c>
      <c r="C2161" s="14" t="s">
        <v>361</v>
      </c>
      <c r="D2161" s="14" t="s">
        <v>362</v>
      </c>
      <c r="E2161" s="14" t="s">
        <v>344</v>
      </c>
      <c r="F2161" s="14" t="s">
        <v>343</v>
      </c>
      <c r="G2161" s="14" t="s">
        <v>343</v>
      </c>
      <c r="H2161" s="14" t="s">
        <v>343</v>
      </c>
      <c r="I2161" s="14">
        <v>53</v>
      </c>
      <c r="J2161" s="14">
        <v>53</v>
      </c>
      <c r="K2161" s="14">
        <v>54</v>
      </c>
      <c r="L2161" s="14">
        <v>57</v>
      </c>
      <c r="M2161" s="14">
        <v>84</v>
      </c>
      <c r="N2161" s="14">
        <v>86</v>
      </c>
      <c r="O2161" s="14">
        <v>69</v>
      </c>
      <c r="P2161" s="14">
        <v>65</v>
      </c>
      <c r="Q2161" s="14">
        <v>55</v>
      </c>
      <c r="R2161" s="14">
        <v>56</v>
      </c>
      <c r="S2161" s="14">
        <v>54</v>
      </c>
      <c r="T2161" s="14">
        <v>89</v>
      </c>
      <c r="U2161" s="14">
        <v>99</v>
      </c>
      <c r="V2161" s="14">
        <v>100</v>
      </c>
      <c r="W2161" s="14">
        <v>107</v>
      </c>
      <c r="X2161" s="14">
        <v>98</v>
      </c>
    </row>
    <row r="2162" spans="1:24" hidden="1" x14ac:dyDescent="0.3">
      <c r="A2162" s="14" t="s">
        <v>441</v>
      </c>
      <c r="B2162" s="14" t="s">
        <v>108</v>
      </c>
      <c r="C2162" s="14" t="s">
        <v>363</v>
      </c>
      <c r="D2162" s="14" t="s">
        <v>364</v>
      </c>
      <c r="E2162" s="14" t="s">
        <v>342</v>
      </c>
      <c r="F2162" s="14" t="s">
        <v>343</v>
      </c>
      <c r="G2162" s="14" t="s">
        <v>343</v>
      </c>
      <c r="H2162" s="14" t="s">
        <v>343</v>
      </c>
      <c r="U2162" s="14">
        <v>1.04</v>
      </c>
      <c r="V2162" s="14">
        <v>1.04</v>
      </c>
      <c r="W2162" s="14">
        <v>1.03</v>
      </c>
      <c r="X2162" s="14">
        <v>1.03</v>
      </c>
    </row>
    <row r="2163" spans="1:24" hidden="1" x14ac:dyDescent="0.3">
      <c r="A2163" s="14" t="s">
        <v>441</v>
      </c>
      <c r="B2163" s="14" t="s">
        <v>108</v>
      </c>
      <c r="C2163" s="14" t="s">
        <v>363</v>
      </c>
      <c r="D2163" s="14" t="s">
        <v>364</v>
      </c>
      <c r="E2163" s="14" t="s">
        <v>344</v>
      </c>
      <c r="F2163" s="14" t="s">
        <v>343</v>
      </c>
      <c r="G2163" s="14" t="s">
        <v>343</v>
      </c>
      <c r="H2163" s="14" t="s">
        <v>343</v>
      </c>
      <c r="U2163" s="14">
        <v>84</v>
      </c>
      <c r="V2163" s="14">
        <v>87</v>
      </c>
      <c r="W2163" s="14">
        <v>96</v>
      </c>
      <c r="X2163" s="14">
        <v>87</v>
      </c>
    </row>
    <row r="2164" spans="1:24" hidden="1" x14ac:dyDescent="0.3">
      <c r="A2164" s="14" t="s">
        <v>441</v>
      </c>
      <c r="B2164" s="14" t="s">
        <v>108</v>
      </c>
      <c r="C2164" s="14" t="s">
        <v>365</v>
      </c>
      <c r="D2164" s="14" t="s">
        <v>366</v>
      </c>
      <c r="E2164" s="14" t="s">
        <v>342</v>
      </c>
      <c r="F2164" s="14" t="s">
        <v>343</v>
      </c>
      <c r="G2164" s="14" t="s">
        <v>343</v>
      </c>
      <c r="H2164" s="14" t="s">
        <v>343</v>
      </c>
      <c r="U2164" s="14">
        <v>0.94</v>
      </c>
      <c r="V2164" s="14">
        <v>0.94</v>
      </c>
      <c r="W2164" s="14">
        <v>0.94</v>
      </c>
      <c r="X2164" s="14">
        <v>0.94</v>
      </c>
    </row>
    <row r="2165" spans="1:24" hidden="1" x14ac:dyDescent="0.3">
      <c r="A2165" s="14" t="s">
        <v>441</v>
      </c>
      <c r="B2165" s="14" t="s">
        <v>108</v>
      </c>
      <c r="C2165" s="14" t="s">
        <v>365</v>
      </c>
      <c r="D2165" s="14" t="s">
        <v>366</v>
      </c>
      <c r="E2165" s="14" t="s">
        <v>344</v>
      </c>
      <c r="F2165" s="14" t="s">
        <v>343</v>
      </c>
      <c r="G2165" s="14" t="s">
        <v>343</v>
      </c>
      <c r="H2165" s="14" t="s">
        <v>343</v>
      </c>
      <c r="U2165" s="14">
        <v>133</v>
      </c>
      <c r="V2165" s="14">
        <v>130</v>
      </c>
      <c r="W2165" s="14">
        <v>136</v>
      </c>
      <c r="X2165" s="14">
        <v>131</v>
      </c>
    </row>
    <row r="2166" spans="1:24" hidden="1" x14ac:dyDescent="0.3">
      <c r="A2166" s="14" t="s">
        <v>441</v>
      </c>
      <c r="B2166" s="14" t="s">
        <v>108</v>
      </c>
      <c r="C2166" s="14" t="s">
        <v>367</v>
      </c>
      <c r="D2166" s="14" t="s">
        <v>368</v>
      </c>
      <c r="E2166" s="14" t="s">
        <v>342</v>
      </c>
      <c r="F2166" s="14" t="s">
        <v>343</v>
      </c>
      <c r="G2166" s="14" t="s">
        <v>343</v>
      </c>
      <c r="H2166" s="14" t="s">
        <v>343</v>
      </c>
      <c r="I2166" s="14">
        <v>0.65</v>
      </c>
      <c r="J2166" s="14">
        <v>0.66</v>
      </c>
      <c r="K2166" s="14">
        <v>0.67</v>
      </c>
      <c r="L2166" s="14">
        <v>0.67</v>
      </c>
      <c r="M2166" s="14">
        <v>0.69</v>
      </c>
      <c r="N2166" s="14">
        <v>0.69</v>
      </c>
      <c r="O2166" s="14">
        <v>0.67</v>
      </c>
      <c r="P2166" s="14">
        <v>0.68</v>
      </c>
      <c r="Q2166" s="14">
        <v>0.68</v>
      </c>
      <c r="R2166" s="14">
        <v>0.68</v>
      </c>
      <c r="S2166" s="14">
        <v>0.68</v>
      </c>
      <c r="T2166" s="14">
        <v>0.69</v>
      </c>
      <c r="U2166" s="14">
        <v>0.7</v>
      </c>
      <c r="V2166" s="14">
        <v>0.7</v>
      </c>
      <c r="W2166" s="14">
        <v>0.69</v>
      </c>
      <c r="X2166" s="14">
        <v>0.69</v>
      </c>
    </row>
    <row r="2167" spans="1:24" hidden="1" x14ac:dyDescent="0.3">
      <c r="A2167" s="14" t="s">
        <v>441</v>
      </c>
      <c r="B2167" s="14" t="s">
        <v>108</v>
      </c>
      <c r="C2167" s="14" t="s">
        <v>367</v>
      </c>
      <c r="D2167" s="14" t="s">
        <v>368</v>
      </c>
      <c r="E2167" s="14" t="s">
        <v>344</v>
      </c>
      <c r="F2167" s="14" t="s">
        <v>343</v>
      </c>
      <c r="G2167" s="14" t="s">
        <v>343</v>
      </c>
      <c r="H2167" s="14" t="s">
        <v>343</v>
      </c>
      <c r="I2167" s="14">
        <v>69</v>
      </c>
      <c r="J2167" s="14">
        <v>72</v>
      </c>
      <c r="K2167" s="14">
        <v>75</v>
      </c>
      <c r="L2167" s="14">
        <v>85</v>
      </c>
      <c r="M2167" s="14">
        <v>58</v>
      </c>
      <c r="N2167" s="14">
        <v>56</v>
      </c>
      <c r="O2167" s="14">
        <v>82</v>
      </c>
      <c r="P2167" s="14">
        <v>81</v>
      </c>
      <c r="Q2167" s="14">
        <v>91</v>
      </c>
      <c r="R2167" s="14">
        <v>87</v>
      </c>
      <c r="S2167" s="14">
        <v>92</v>
      </c>
      <c r="T2167" s="14">
        <v>78</v>
      </c>
      <c r="U2167" s="14">
        <v>78</v>
      </c>
      <c r="V2167" s="14">
        <v>84</v>
      </c>
      <c r="W2167" s="14">
        <v>98</v>
      </c>
      <c r="X2167" s="14">
        <v>100</v>
      </c>
    </row>
    <row r="2168" spans="1:24" hidden="1" x14ac:dyDescent="0.3">
      <c r="A2168" s="14" t="s">
        <v>441</v>
      </c>
      <c r="B2168" s="14" t="s">
        <v>108</v>
      </c>
      <c r="C2168" s="14" t="s">
        <v>369</v>
      </c>
      <c r="D2168" s="14" t="s">
        <v>370</v>
      </c>
      <c r="E2168" s="14" t="s">
        <v>342</v>
      </c>
      <c r="F2168" s="14" t="s">
        <v>343</v>
      </c>
      <c r="G2168" s="14" t="s">
        <v>343</v>
      </c>
      <c r="H2168" s="14" t="s">
        <v>343</v>
      </c>
      <c r="I2168" s="14">
        <v>0.06</v>
      </c>
      <c r="J2168" s="14">
        <v>0.06</v>
      </c>
      <c r="K2168" s="14">
        <v>0.09</v>
      </c>
      <c r="L2168" s="14">
        <v>0.09</v>
      </c>
      <c r="M2168" s="14">
        <v>0.18</v>
      </c>
      <c r="N2168" s="14">
        <v>0.18</v>
      </c>
      <c r="O2168" s="14">
        <v>0.09</v>
      </c>
      <c r="P2168" s="14">
        <v>0.1</v>
      </c>
      <c r="Q2168" s="14">
        <v>0.1</v>
      </c>
      <c r="R2168" s="14">
        <v>0.12</v>
      </c>
      <c r="S2168" s="14">
        <v>0.1</v>
      </c>
      <c r="T2168" s="14">
        <v>0.14000000000000001</v>
      </c>
      <c r="U2168" s="14">
        <v>0.14000000000000001</v>
      </c>
      <c r="V2168" s="14">
        <v>0.16</v>
      </c>
      <c r="W2168" s="14">
        <v>0.12</v>
      </c>
      <c r="X2168" s="14">
        <v>0.13</v>
      </c>
    </row>
    <row r="2169" spans="1:24" hidden="1" x14ac:dyDescent="0.3">
      <c r="A2169" s="14" t="s">
        <v>441</v>
      </c>
      <c r="B2169" s="14" t="s">
        <v>108</v>
      </c>
      <c r="C2169" s="14" t="s">
        <v>369</v>
      </c>
      <c r="D2169" s="14" t="s">
        <v>370</v>
      </c>
      <c r="E2169" s="14" t="s">
        <v>344</v>
      </c>
      <c r="F2169" s="14" t="s">
        <v>343</v>
      </c>
      <c r="G2169" s="14" t="s">
        <v>343</v>
      </c>
      <c r="H2169" s="14" t="s">
        <v>343</v>
      </c>
      <c r="I2169" s="14">
        <v>87</v>
      </c>
      <c r="J2169" s="14">
        <v>98</v>
      </c>
      <c r="K2169" s="14">
        <v>93</v>
      </c>
      <c r="L2169" s="14">
        <v>94</v>
      </c>
      <c r="M2169" s="14">
        <v>42</v>
      </c>
      <c r="N2169" s="14">
        <v>42</v>
      </c>
      <c r="O2169" s="14">
        <v>99</v>
      </c>
      <c r="P2169" s="14">
        <v>92</v>
      </c>
      <c r="Q2169" s="14">
        <v>108</v>
      </c>
      <c r="R2169" s="14">
        <v>91</v>
      </c>
      <c r="S2169" s="14">
        <v>101</v>
      </c>
      <c r="T2169" s="14">
        <v>88</v>
      </c>
      <c r="U2169" s="14">
        <v>88</v>
      </c>
      <c r="V2169" s="14">
        <v>87</v>
      </c>
      <c r="W2169" s="14">
        <v>115</v>
      </c>
      <c r="X2169" s="14">
        <v>108</v>
      </c>
    </row>
    <row r="2170" spans="1:24" hidden="1" x14ac:dyDescent="0.3">
      <c r="A2170" s="14" t="s">
        <v>441</v>
      </c>
      <c r="B2170" s="14" t="s">
        <v>108</v>
      </c>
      <c r="C2170" s="14" t="s">
        <v>371</v>
      </c>
      <c r="D2170" s="14" t="s">
        <v>372</v>
      </c>
      <c r="E2170" s="14" t="s">
        <v>342</v>
      </c>
      <c r="F2170" s="14" t="s">
        <v>343</v>
      </c>
      <c r="G2170" s="14" t="s">
        <v>343</v>
      </c>
      <c r="H2170" s="14" t="s">
        <v>343</v>
      </c>
      <c r="U2170" s="14">
        <v>0</v>
      </c>
      <c r="V2170" s="14">
        <v>0</v>
      </c>
      <c r="W2170" s="14">
        <v>0.02</v>
      </c>
      <c r="X2170" s="14">
        <v>0.04</v>
      </c>
    </row>
    <row r="2171" spans="1:24" hidden="1" x14ac:dyDescent="0.3">
      <c r="A2171" s="14" t="s">
        <v>441</v>
      </c>
      <c r="B2171" s="14" t="s">
        <v>108</v>
      </c>
      <c r="C2171" s="14" t="s">
        <v>371</v>
      </c>
      <c r="D2171" s="14" t="s">
        <v>372</v>
      </c>
      <c r="E2171" s="14" t="s">
        <v>344</v>
      </c>
      <c r="F2171" s="14" t="s">
        <v>343</v>
      </c>
      <c r="G2171" s="14" t="s">
        <v>343</v>
      </c>
      <c r="H2171" s="14" t="s">
        <v>343</v>
      </c>
      <c r="U2171" s="14">
        <v>66</v>
      </c>
      <c r="V2171" s="14">
        <v>68</v>
      </c>
      <c r="W2171" s="14">
        <v>61</v>
      </c>
      <c r="X2171" s="14">
        <v>53</v>
      </c>
    </row>
    <row r="2172" spans="1:24" hidden="1" x14ac:dyDescent="0.3">
      <c r="A2172" s="14" t="s">
        <v>441</v>
      </c>
      <c r="B2172" s="14" t="s">
        <v>108</v>
      </c>
      <c r="C2172" s="14" t="s">
        <v>373</v>
      </c>
      <c r="D2172" s="14" t="s">
        <v>374</v>
      </c>
      <c r="E2172" s="14" t="s">
        <v>342</v>
      </c>
      <c r="F2172" s="14" t="s">
        <v>343</v>
      </c>
      <c r="G2172" s="14" t="s">
        <v>343</v>
      </c>
      <c r="H2172" s="14" t="s">
        <v>343</v>
      </c>
      <c r="U2172" s="14">
        <v>0.27</v>
      </c>
      <c r="V2172" s="14">
        <v>0.33</v>
      </c>
      <c r="W2172" s="14">
        <v>0.12</v>
      </c>
      <c r="X2172" s="14">
        <v>0.12</v>
      </c>
    </row>
    <row r="2173" spans="1:24" hidden="1" x14ac:dyDescent="0.3">
      <c r="A2173" s="14" t="s">
        <v>441</v>
      </c>
      <c r="B2173" s="14" t="s">
        <v>108</v>
      </c>
      <c r="C2173" s="14" t="s">
        <v>373</v>
      </c>
      <c r="D2173" s="14" t="s">
        <v>374</v>
      </c>
      <c r="E2173" s="14" t="s">
        <v>344</v>
      </c>
      <c r="F2173" s="14" t="s">
        <v>343</v>
      </c>
      <c r="G2173" s="14" t="s">
        <v>343</v>
      </c>
      <c r="H2173" s="14" t="s">
        <v>343</v>
      </c>
      <c r="U2173" s="14">
        <v>65</v>
      </c>
      <c r="V2173" s="14">
        <v>57</v>
      </c>
      <c r="W2173" s="14">
        <v>120</v>
      </c>
      <c r="X2173" s="14">
        <v>115</v>
      </c>
    </row>
    <row r="2174" spans="1:24" hidden="1" x14ac:dyDescent="0.3">
      <c r="A2174" s="14" t="s">
        <v>441</v>
      </c>
      <c r="B2174" s="14" t="s">
        <v>108</v>
      </c>
      <c r="C2174" s="14" t="s">
        <v>375</v>
      </c>
      <c r="D2174" s="14" t="s">
        <v>376</v>
      </c>
      <c r="E2174" s="14" t="s">
        <v>342</v>
      </c>
      <c r="F2174" s="14" t="s">
        <v>343</v>
      </c>
      <c r="G2174" s="14" t="s">
        <v>343</v>
      </c>
      <c r="H2174" s="14" t="s">
        <v>343</v>
      </c>
      <c r="U2174" s="14">
        <v>0.23</v>
      </c>
      <c r="V2174" s="14">
        <v>0.26</v>
      </c>
      <c r="W2174" s="14">
        <v>0.28000000000000003</v>
      </c>
      <c r="X2174" s="14">
        <v>0.27</v>
      </c>
    </row>
    <row r="2175" spans="1:24" hidden="1" x14ac:dyDescent="0.3">
      <c r="A2175" s="14" t="s">
        <v>441</v>
      </c>
      <c r="B2175" s="14" t="s">
        <v>108</v>
      </c>
      <c r="C2175" s="14" t="s">
        <v>375</v>
      </c>
      <c r="D2175" s="14" t="s">
        <v>376</v>
      </c>
      <c r="E2175" s="14" t="s">
        <v>344</v>
      </c>
      <c r="F2175" s="14" t="s">
        <v>343</v>
      </c>
      <c r="G2175" s="14" t="s">
        <v>343</v>
      </c>
      <c r="H2175" s="14" t="s">
        <v>343</v>
      </c>
      <c r="U2175" s="14">
        <v>92</v>
      </c>
      <c r="V2175" s="14">
        <v>84</v>
      </c>
      <c r="W2175" s="14">
        <v>90</v>
      </c>
      <c r="X2175" s="14">
        <v>91</v>
      </c>
    </row>
    <row r="2176" spans="1:24" hidden="1" x14ac:dyDescent="0.3">
      <c r="A2176" s="14" t="s">
        <v>442</v>
      </c>
      <c r="B2176" s="14" t="s">
        <v>112</v>
      </c>
      <c r="C2176" s="14" t="s">
        <v>340</v>
      </c>
      <c r="D2176" s="14" t="s">
        <v>341</v>
      </c>
      <c r="E2176" s="14" t="s">
        <v>342</v>
      </c>
      <c r="F2176" s="14" t="s">
        <v>343</v>
      </c>
      <c r="G2176" s="14" t="s">
        <v>343</v>
      </c>
      <c r="H2176" s="14" t="s">
        <v>343</v>
      </c>
      <c r="I2176" s="14">
        <v>0.89</v>
      </c>
      <c r="J2176" s="14">
        <v>0.9</v>
      </c>
      <c r="K2176" s="14">
        <v>0.91</v>
      </c>
      <c r="L2176" s="14">
        <v>0.94</v>
      </c>
      <c r="M2176" s="14">
        <v>0.95</v>
      </c>
      <c r="N2176" s="14">
        <v>0.95</v>
      </c>
      <c r="O2176" s="14">
        <v>0.95</v>
      </c>
      <c r="P2176" s="14">
        <v>0.95</v>
      </c>
      <c r="Q2176" s="14">
        <v>0.95</v>
      </c>
      <c r="R2176" s="14">
        <v>0.95</v>
      </c>
      <c r="S2176" s="14">
        <v>0.96</v>
      </c>
      <c r="T2176" s="14">
        <v>0.96</v>
      </c>
      <c r="U2176" s="14">
        <v>0.97</v>
      </c>
      <c r="V2176" s="14">
        <v>0.97</v>
      </c>
      <c r="W2176" s="14">
        <v>0.97</v>
      </c>
      <c r="X2176" s="14">
        <v>0.98</v>
      </c>
    </row>
    <row r="2177" spans="1:24" hidden="1" x14ac:dyDescent="0.3">
      <c r="A2177" s="14" t="s">
        <v>442</v>
      </c>
      <c r="B2177" s="14" t="s">
        <v>112</v>
      </c>
      <c r="C2177" s="14" t="s">
        <v>340</v>
      </c>
      <c r="D2177" s="14" t="s">
        <v>341</v>
      </c>
      <c r="E2177" s="14" t="s">
        <v>344</v>
      </c>
      <c r="F2177" s="14" t="s">
        <v>343</v>
      </c>
      <c r="G2177" s="14" t="s">
        <v>343</v>
      </c>
      <c r="H2177" s="14" t="s">
        <v>343</v>
      </c>
      <c r="I2177" s="14">
        <v>91</v>
      </c>
      <c r="J2177" s="14">
        <v>102</v>
      </c>
      <c r="K2177" s="14">
        <v>103</v>
      </c>
      <c r="L2177" s="14">
        <v>101</v>
      </c>
      <c r="M2177" s="14">
        <v>101</v>
      </c>
      <c r="N2177" s="14">
        <v>98</v>
      </c>
      <c r="O2177" s="14">
        <v>102</v>
      </c>
      <c r="P2177" s="14">
        <v>102</v>
      </c>
      <c r="Q2177" s="14">
        <v>108</v>
      </c>
      <c r="R2177" s="14">
        <v>108</v>
      </c>
      <c r="S2177" s="14">
        <v>107</v>
      </c>
      <c r="T2177" s="14">
        <v>103</v>
      </c>
      <c r="U2177" s="14">
        <v>104</v>
      </c>
      <c r="V2177" s="14">
        <v>107</v>
      </c>
      <c r="W2177" s="14">
        <v>109</v>
      </c>
      <c r="X2177" s="14">
        <v>98</v>
      </c>
    </row>
    <row r="2178" spans="1:24" hidden="1" x14ac:dyDescent="0.3">
      <c r="A2178" s="14" t="s">
        <v>442</v>
      </c>
      <c r="B2178" s="14" t="s">
        <v>112</v>
      </c>
      <c r="C2178" s="14" t="s">
        <v>345</v>
      </c>
      <c r="D2178" s="14" t="s">
        <v>346</v>
      </c>
      <c r="E2178" s="14" t="s">
        <v>342</v>
      </c>
      <c r="F2178" s="14" t="s">
        <v>343</v>
      </c>
      <c r="G2178" s="14" t="s">
        <v>343</v>
      </c>
      <c r="H2178" s="14" t="s">
        <v>343</v>
      </c>
      <c r="U2178" s="14">
        <v>0.51</v>
      </c>
      <c r="V2178" s="14">
        <v>0.49</v>
      </c>
      <c r="W2178" s="14">
        <v>0.47</v>
      </c>
      <c r="X2178" s="14">
        <v>0.49</v>
      </c>
    </row>
    <row r="2179" spans="1:24" hidden="1" x14ac:dyDescent="0.3">
      <c r="A2179" s="14" t="s">
        <v>442</v>
      </c>
      <c r="B2179" s="14" t="s">
        <v>112</v>
      </c>
      <c r="C2179" s="14" t="s">
        <v>345</v>
      </c>
      <c r="D2179" s="14" t="s">
        <v>346</v>
      </c>
      <c r="E2179" s="14" t="s">
        <v>344</v>
      </c>
      <c r="F2179" s="14" t="s">
        <v>343</v>
      </c>
      <c r="G2179" s="14" t="s">
        <v>343</v>
      </c>
      <c r="H2179" s="14" t="s">
        <v>343</v>
      </c>
      <c r="U2179" s="14">
        <v>107</v>
      </c>
      <c r="V2179" s="14">
        <v>119</v>
      </c>
      <c r="W2179" s="14">
        <v>123</v>
      </c>
      <c r="X2179" s="14">
        <v>123</v>
      </c>
    </row>
    <row r="2180" spans="1:24" hidden="1" x14ac:dyDescent="0.3">
      <c r="A2180" s="14" t="s">
        <v>442</v>
      </c>
      <c r="B2180" s="14" t="s">
        <v>112</v>
      </c>
      <c r="C2180" s="14" t="s">
        <v>347</v>
      </c>
      <c r="D2180" s="14" t="s">
        <v>348</v>
      </c>
      <c r="E2180" s="14" t="s">
        <v>342</v>
      </c>
      <c r="F2180" s="14" t="s">
        <v>343</v>
      </c>
      <c r="G2180" s="14" t="s">
        <v>343</v>
      </c>
      <c r="H2180" s="14" t="s">
        <v>343</v>
      </c>
      <c r="U2180" s="14">
        <v>0.49</v>
      </c>
      <c r="V2180" s="14">
        <v>0.5</v>
      </c>
      <c r="W2180" s="14">
        <v>0.48</v>
      </c>
      <c r="X2180" s="14">
        <v>0.46</v>
      </c>
    </row>
    <row r="2181" spans="1:24" hidden="1" x14ac:dyDescent="0.3">
      <c r="A2181" s="14" t="s">
        <v>442</v>
      </c>
      <c r="B2181" s="14" t="s">
        <v>112</v>
      </c>
      <c r="C2181" s="14" t="s">
        <v>347</v>
      </c>
      <c r="D2181" s="14" t="s">
        <v>348</v>
      </c>
      <c r="E2181" s="14" t="s">
        <v>344</v>
      </c>
      <c r="F2181" s="14" t="s">
        <v>343</v>
      </c>
      <c r="G2181" s="14" t="s">
        <v>343</v>
      </c>
      <c r="H2181" s="14" t="s">
        <v>343</v>
      </c>
      <c r="U2181" s="14">
        <v>129</v>
      </c>
      <c r="V2181" s="14">
        <v>134</v>
      </c>
      <c r="W2181" s="14">
        <v>138</v>
      </c>
      <c r="X2181" s="14">
        <v>131</v>
      </c>
    </row>
    <row r="2182" spans="1:24" hidden="1" x14ac:dyDescent="0.3">
      <c r="A2182" s="14" t="s">
        <v>442</v>
      </c>
      <c r="B2182" s="14" t="s">
        <v>112</v>
      </c>
      <c r="C2182" s="14" t="s">
        <v>349</v>
      </c>
      <c r="D2182" s="14" t="s">
        <v>350</v>
      </c>
      <c r="E2182" s="14" t="s">
        <v>342</v>
      </c>
      <c r="F2182" s="14" t="s">
        <v>343</v>
      </c>
      <c r="G2182" s="14" t="s">
        <v>343</v>
      </c>
      <c r="H2182" s="14" t="s">
        <v>343</v>
      </c>
      <c r="U2182" s="14">
        <v>0.81</v>
      </c>
      <c r="V2182" s="14">
        <v>0.81</v>
      </c>
      <c r="W2182" s="14">
        <v>0.42</v>
      </c>
      <c r="X2182" s="14">
        <v>0.57999999999999996</v>
      </c>
    </row>
    <row r="2183" spans="1:24" hidden="1" x14ac:dyDescent="0.3">
      <c r="A2183" s="14" t="s">
        <v>442</v>
      </c>
      <c r="B2183" s="14" t="s">
        <v>112</v>
      </c>
      <c r="C2183" s="14" t="s">
        <v>349</v>
      </c>
      <c r="D2183" s="14" t="s">
        <v>350</v>
      </c>
      <c r="E2183" s="14" t="s">
        <v>344</v>
      </c>
      <c r="F2183" s="14" t="s">
        <v>343</v>
      </c>
      <c r="G2183" s="14" t="s">
        <v>343</v>
      </c>
      <c r="H2183" s="14" t="s">
        <v>343</v>
      </c>
      <c r="U2183" s="14">
        <v>11</v>
      </c>
      <c r="V2183" s="14">
        <v>12</v>
      </c>
      <c r="W2183" s="14">
        <v>93</v>
      </c>
      <c r="X2183" s="14">
        <v>53</v>
      </c>
    </row>
    <row r="2184" spans="1:24" hidden="1" x14ac:dyDescent="0.3">
      <c r="A2184" s="14" t="s">
        <v>442</v>
      </c>
      <c r="B2184" s="14" t="s">
        <v>112</v>
      </c>
      <c r="C2184" s="14" t="s">
        <v>351</v>
      </c>
      <c r="D2184" s="14" t="s">
        <v>352</v>
      </c>
      <c r="E2184" s="14" t="s">
        <v>342</v>
      </c>
      <c r="F2184" s="14" t="s">
        <v>343</v>
      </c>
      <c r="G2184" s="14" t="s">
        <v>343</v>
      </c>
      <c r="H2184" s="14" t="s">
        <v>343</v>
      </c>
      <c r="U2184" s="14">
        <v>0.96</v>
      </c>
      <c r="V2184" s="14">
        <v>0.97</v>
      </c>
      <c r="W2184" s="14">
        <v>0.97</v>
      </c>
      <c r="X2184" s="14">
        <v>0.97</v>
      </c>
    </row>
    <row r="2185" spans="1:24" hidden="1" x14ac:dyDescent="0.3">
      <c r="A2185" s="14" t="s">
        <v>442</v>
      </c>
      <c r="B2185" s="14" t="s">
        <v>112</v>
      </c>
      <c r="C2185" s="14" t="s">
        <v>351</v>
      </c>
      <c r="D2185" s="14" t="s">
        <v>352</v>
      </c>
      <c r="E2185" s="14" t="s">
        <v>344</v>
      </c>
      <c r="F2185" s="14" t="s">
        <v>343</v>
      </c>
      <c r="G2185" s="14" t="s">
        <v>343</v>
      </c>
      <c r="H2185" s="14" t="s">
        <v>343</v>
      </c>
      <c r="U2185" s="14">
        <v>74</v>
      </c>
      <c r="V2185" s="14">
        <v>78</v>
      </c>
      <c r="W2185" s="14">
        <v>79</v>
      </c>
      <c r="X2185" s="14">
        <v>73</v>
      </c>
    </row>
    <row r="2186" spans="1:24" hidden="1" x14ac:dyDescent="0.3">
      <c r="A2186" s="14" t="s">
        <v>442</v>
      </c>
      <c r="B2186" s="14" t="s">
        <v>112</v>
      </c>
      <c r="C2186" s="14" t="s">
        <v>378</v>
      </c>
      <c r="D2186" s="14" t="s">
        <v>379</v>
      </c>
      <c r="E2186" s="14" t="s">
        <v>342</v>
      </c>
      <c r="F2186" s="14" t="s">
        <v>343</v>
      </c>
      <c r="G2186" s="14" t="s">
        <v>343</v>
      </c>
      <c r="H2186" s="14" t="s">
        <v>343</v>
      </c>
      <c r="S2186" s="14">
        <v>0.59</v>
      </c>
      <c r="U2186" s="14">
        <v>0.56999999999999995</v>
      </c>
      <c r="V2186" s="14">
        <v>0.57999999999999996</v>
      </c>
      <c r="W2186" s="14">
        <v>0.57999999999999996</v>
      </c>
      <c r="X2186" s="14">
        <v>0.6</v>
      </c>
    </row>
    <row r="2187" spans="1:24" hidden="1" x14ac:dyDescent="0.3">
      <c r="A2187" s="14" t="s">
        <v>442</v>
      </c>
      <c r="B2187" s="14" t="s">
        <v>112</v>
      </c>
      <c r="C2187" s="14" t="s">
        <v>378</v>
      </c>
      <c r="D2187" s="14" t="s">
        <v>379</v>
      </c>
      <c r="E2187" s="14" t="s">
        <v>344</v>
      </c>
      <c r="F2187" s="14" t="s">
        <v>343</v>
      </c>
      <c r="G2187" s="14" t="s">
        <v>343</v>
      </c>
      <c r="H2187" s="14" t="s">
        <v>343</v>
      </c>
      <c r="S2187" s="14">
        <v>99</v>
      </c>
      <c r="U2187" s="14">
        <v>109</v>
      </c>
      <c r="V2187" s="14">
        <v>107</v>
      </c>
      <c r="W2187" s="14">
        <v>111</v>
      </c>
      <c r="X2187" s="14">
        <v>99</v>
      </c>
    </row>
    <row r="2188" spans="1:24" hidden="1" x14ac:dyDescent="0.3">
      <c r="A2188" s="14" t="s">
        <v>442</v>
      </c>
      <c r="B2188" s="14" t="s">
        <v>112</v>
      </c>
      <c r="C2188" s="14" t="s">
        <v>353</v>
      </c>
      <c r="D2188" s="14" t="s">
        <v>354</v>
      </c>
      <c r="E2188" s="14" t="s">
        <v>342</v>
      </c>
      <c r="F2188" s="14" t="s">
        <v>343</v>
      </c>
      <c r="G2188" s="14" t="s">
        <v>343</v>
      </c>
      <c r="H2188" s="14" t="s">
        <v>343</v>
      </c>
      <c r="U2188" s="14">
        <v>0.88</v>
      </c>
      <c r="V2188" s="14">
        <v>0.88</v>
      </c>
      <c r="W2188" s="14">
        <v>0.88</v>
      </c>
      <c r="X2188" s="14">
        <v>0.9</v>
      </c>
    </row>
    <row r="2189" spans="1:24" hidden="1" x14ac:dyDescent="0.3">
      <c r="A2189" s="14" t="s">
        <v>442</v>
      </c>
      <c r="B2189" s="14" t="s">
        <v>112</v>
      </c>
      <c r="C2189" s="14" t="s">
        <v>353</v>
      </c>
      <c r="D2189" s="14" t="s">
        <v>354</v>
      </c>
      <c r="E2189" s="14" t="s">
        <v>344</v>
      </c>
      <c r="F2189" s="14" t="s">
        <v>343</v>
      </c>
      <c r="G2189" s="14" t="s">
        <v>343</v>
      </c>
      <c r="H2189" s="14" t="s">
        <v>343</v>
      </c>
      <c r="U2189" s="14">
        <v>107</v>
      </c>
      <c r="V2189" s="14">
        <v>117</v>
      </c>
      <c r="W2189" s="14">
        <v>118</v>
      </c>
      <c r="X2189" s="14">
        <v>105</v>
      </c>
    </row>
    <row r="2190" spans="1:24" hidden="1" x14ac:dyDescent="0.3">
      <c r="A2190" s="14" t="s">
        <v>442</v>
      </c>
      <c r="B2190" s="14" t="s">
        <v>112</v>
      </c>
      <c r="C2190" s="14" t="s">
        <v>380</v>
      </c>
      <c r="D2190" s="14" t="s">
        <v>381</v>
      </c>
      <c r="E2190" s="14" t="s">
        <v>342</v>
      </c>
      <c r="F2190" s="14" t="s">
        <v>343</v>
      </c>
      <c r="G2190" s="14" t="s">
        <v>343</v>
      </c>
      <c r="H2190" s="14" t="s">
        <v>343</v>
      </c>
      <c r="U2190" s="14">
        <v>1</v>
      </c>
      <c r="V2190" s="14">
        <v>1</v>
      </c>
      <c r="W2190" s="14">
        <v>1</v>
      </c>
      <c r="X2190" s="14">
        <v>1</v>
      </c>
    </row>
    <row r="2191" spans="1:24" hidden="1" x14ac:dyDescent="0.3">
      <c r="A2191" s="14" t="s">
        <v>442</v>
      </c>
      <c r="B2191" s="14" t="s">
        <v>112</v>
      </c>
      <c r="C2191" s="14" t="s">
        <v>380</v>
      </c>
      <c r="D2191" s="14" t="s">
        <v>381</v>
      </c>
      <c r="E2191" s="14" t="s">
        <v>344</v>
      </c>
      <c r="F2191" s="14" t="s">
        <v>343</v>
      </c>
      <c r="G2191" s="14" t="s">
        <v>343</v>
      </c>
      <c r="H2191" s="14" t="s">
        <v>343</v>
      </c>
      <c r="U2191" s="14">
        <v>68</v>
      </c>
      <c r="V2191" s="14">
        <v>1</v>
      </c>
      <c r="W2191" s="14">
        <v>1</v>
      </c>
      <c r="X2191" s="14">
        <v>1</v>
      </c>
    </row>
    <row r="2192" spans="1:24" hidden="1" x14ac:dyDescent="0.3">
      <c r="A2192" s="14" t="s">
        <v>442</v>
      </c>
      <c r="B2192" s="14" t="s">
        <v>112</v>
      </c>
      <c r="C2192" s="14" t="s">
        <v>355</v>
      </c>
      <c r="D2192" s="14" t="s">
        <v>356</v>
      </c>
      <c r="E2192" s="14" t="s">
        <v>342</v>
      </c>
      <c r="F2192" s="14" t="s">
        <v>343</v>
      </c>
      <c r="G2192" s="14" t="s">
        <v>343</v>
      </c>
      <c r="H2192" s="14" t="s">
        <v>343</v>
      </c>
      <c r="U2192" s="14">
        <v>0.96</v>
      </c>
      <c r="V2192" s="14">
        <v>0.96</v>
      </c>
      <c r="W2192" s="14">
        <v>0.96</v>
      </c>
      <c r="X2192" s="14">
        <v>0.98</v>
      </c>
    </row>
    <row r="2193" spans="1:24" hidden="1" x14ac:dyDescent="0.3">
      <c r="A2193" s="14" t="s">
        <v>442</v>
      </c>
      <c r="B2193" s="14" t="s">
        <v>112</v>
      </c>
      <c r="C2193" s="14" t="s">
        <v>355</v>
      </c>
      <c r="D2193" s="14" t="s">
        <v>356</v>
      </c>
      <c r="E2193" s="14" t="s">
        <v>344</v>
      </c>
      <c r="F2193" s="14" t="s">
        <v>343</v>
      </c>
      <c r="G2193" s="14" t="s">
        <v>343</v>
      </c>
      <c r="H2193" s="14" t="s">
        <v>343</v>
      </c>
      <c r="U2193" s="14">
        <v>125</v>
      </c>
      <c r="V2193" s="14">
        <v>123</v>
      </c>
      <c r="W2193" s="14">
        <v>123</v>
      </c>
      <c r="X2193" s="14">
        <v>94</v>
      </c>
    </row>
    <row r="2194" spans="1:24" hidden="1" x14ac:dyDescent="0.3">
      <c r="A2194" s="14" t="s">
        <v>442</v>
      </c>
      <c r="B2194" s="14" t="s">
        <v>112</v>
      </c>
      <c r="C2194" s="14" t="s">
        <v>357</v>
      </c>
      <c r="D2194" s="14" t="s">
        <v>358</v>
      </c>
      <c r="E2194" s="14" t="s">
        <v>342</v>
      </c>
      <c r="F2194" s="14" t="s">
        <v>343</v>
      </c>
      <c r="G2194" s="14" t="s">
        <v>343</v>
      </c>
      <c r="H2194" s="14" t="s">
        <v>343</v>
      </c>
      <c r="U2194" s="14">
        <v>1</v>
      </c>
      <c r="V2194" s="14">
        <v>1</v>
      </c>
      <c r="W2194" s="14">
        <v>1</v>
      </c>
      <c r="X2194" s="14">
        <v>1</v>
      </c>
    </row>
    <row r="2195" spans="1:24" hidden="1" x14ac:dyDescent="0.3">
      <c r="A2195" s="14" t="s">
        <v>442</v>
      </c>
      <c r="B2195" s="14" t="s">
        <v>112</v>
      </c>
      <c r="C2195" s="14" t="s">
        <v>357</v>
      </c>
      <c r="D2195" s="14" t="s">
        <v>358</v>
      </c>
      <c r="E2195" s="14" t="s">
        <v>344</v>
      </c>
      <c r="F2195" s="14" t="s">
        <v>343</v>
      </c>
      <c r="G2195" s="14" t="s">
        <v>343</v>
      </c>
      <c r="H2195" s="14" t="s">
        <v>343</v>
      </c>
      <c r="U2195" s="14">
        <v>1</v>
      </c>
      <c r="V2195" s="14">
        <v>1</v>
      </c>
      <c r="W2195" s="14">
        <v>1</v>
      </c>
      <c r="X2195" s="14">
        <v>1</v>
      </c>
    </row>
    <row r="2196" spans="1:24" hidden="1" x14ac:dyDescent="0.3">
      <c r="A2196" s="14" t="s">
        <v>442</v>
      </c>
      <c r="B2196" s="14" t="s">
        <v>112</v>
      </c>
      <c r="C2196" s="14" t="s">
        <v>359</v>
      </c>
      <c r="D2196" s="14" t="s">
        <v>360</v>
      </c>
      <c r="E2196" s="14" t="s">
        <v>342</v>
      </c>
      <c r="F2196" s="14" t="s">
        <v>343</v>
      </c>
      <c r="G2196" s="14" t="s">
        <v>343</v>
      </c>
      <c r="H2196" s="14" t="s">
        <v>343</v>
      </c>
      <c r="I2196" s="14">
        <v>0.44</v>
      </c>
      <c r="J2196" s="14">
        <v>0.47</v>
      </c>
      <c r="K2196" s="14">
        <v>0.47</v>
      </c>
      <c r="L2196" s="14">
        <v>0.51</v>
      </c>
      <c r="M2196" s="14">
        <v>0.53</v>
      </c>
      <c r="N2196" s="14">
        <v>0.52</v>
      </c>
      <c r="O2196" s="14">
        <v>0.53</v>
      </c>
      <c r="P2196" s="14">
        <v>0.54</v>
      </c>
      <c r="Q2196" s="14">
        <v>0.66</v>
      </c>
      <c r="R2196" s="14">
        <v>0.63</v>
      </c>
      <c r="S2196" s="14">
        <v>0.61</v>
      </c>
      <c r="T2196" s="14">
        <v>0.63</v>
      </c>
      <c r="U2196" s="14">
        <v>0.62</v>
      </c>
      <c r="V2196" s="14">
        <v>0.62</v>
      </c>
      <c r="W2196" s="14">
        <v>0.56000000000000005</v>
      </c>
      <c r="X2196" s="14">
        <v>0.59</v>
      </c>
    </row>
    <row r="2197" spans="1:24" hidden="1" x14ac:dyDescent="0.3">
      <c r="A2197" s="14" t="s">
        <v>442</v>
      </c>
      <c r="B2197" s="14" t="s">
        <v>112</v>
      </c>
      <c r="C2197" s="14" t="s">
        <v>359</v>
      </c>
      <c r="D2197" s="14" t="s">
        <v>360</v>
      </c>
      <c r="E2197" s="14" t="s">
        <v>344</v>
      </c>
      <c r="F2197" s="14" t="s">
        <v>343</v>
      </c>
      <c r="G2197" s="14" t="s">
        <v>343</v>
      </c>
      <c r="H2197" s="14" t="s">
        <v>343</v>
      </c>
      <c r="I2197" s="14">
        <v>104</v>
      </c>
      <c r="J2197" s="14">
        <v>112</v>
      </c>
      <c r="K2197" s="14">
        <v>114</v>
      </c>
      <c r="L2197" s="14">
        <v>115</v>
      </c>
      <c r="M2197" s="14">
        <v>109</v>
      </c>
      <c r="N2197" s="14">
        <v>113</v>
      </c>
      <c r="O2197" s="14">
        <v>114</v>
      </c>
      <c r="P2197" s="14">
        <v>113</v>
      </c>
      <c r="Q2197" s="14">
        <v>72</v>
      </c>
      <c r="R2197" s="14">
        <v>98</v>
      </c>
      <c r="S2197" s="14">
        <v>102</v>
      </c>
      <c r="T2197" s="14">
        <v>101</v>
      </c>
      <c r="U2197" s="14">
        <v>100</v>
      </c>
      <c r="V2197" s="14">
        <v>104</v>
      </c>
      <c r="W2197" s="14">
        <v>129</v>
      </c>
      <c r="X2197" s="14">
        <v>117</v>
      </c>
    </row>
    <row r="2198" spans="1:24" x14ac:dyDescent="0.3">
      <c r="A2198" s="14" t="s">
        <v>442</v>
      </c>
      <c r="B2198" s="14" t="s">
        <v>112</v>
      </c>
      <c r="C2198" s="14" t="s">
        <v>361</v>
      </c>
      <c r="D2198" s="14" t="s">
        <v>362</v>
      </c>
      <c r="E2198" s="14" t="s">
        <v>342</v>
      </c>
      <c r="F2198" s="14" t="s">
        <v>343</v>
      </c>
      <c r="G2198" s="14" t="s">
        <v>343</v>
      </c>
      <c r="H2198" s="14" t="s">
        <v>343</v>
      </c>
      <c r="I2198" s="14">
        <v>0.98</v>
      </c>
      <c r="J2198" s="14">
        <v>0.98</v>
      </c>
      <c r="K2198" s="14">
        <v>0.98</v>
      </c>
      <c r="L2198" s="14">
        <v>0.98</v>
      </c>
      <c r="M2198" s="14">
        <v>0.98</v>
      </c>
      <c r="N2198" s="14">
        <v>0.98</v>
      </c>
      <c r="O2198" s="14">
        <v>0.98</v>
      </c>
      <c r="P2198" s="14">
        <v>0.98</v>
      </c>
      <c r="Q2198" s="14">
        <v>0.98</v>
      </c>
      <c r="R2198" s="14">
        <v>0.98</v>
      </c>
      <c r="S2198" s="14">
        <v>0.98</v>
      </c>
      <c r="T2198" s="14">
        <v>0.98</v>
      </c>
      <c r="U2198" s="14">
        <v>0.98</v>
      </c>
      <c r="V2198" s="14">
        <v>0.98</v>
      </c>
      <c r="W2198" s="14">
        <v>0.98</v>
      </c>
      <c r="X2198" s="14">
        <v>0.98</v>
      </c>
    </row>
    <row r="2199" spans="1:24" hidden="1" x14ac:dyDescent="0.3">
      <c r="A2199" s="14" t="s">
        <v>442</v>
      </c>
      <c r="B2199" s="14" t="s">
        <v>112</v>
      </c>
      <c r="C2199" s="14" t="s">
        <v>361</v>
      </c>
      <c r="D2199" s="14" t="s">
        <v>362</v>
      </c>
      <c r="E2199" s="14" t="s">
        <v>344</v>
      </c>
      <c r="F2199" s="14" t="s">
        <v>343</v>
      </c>
      <c r="G2199" s="14" t="s">
        <v>343</v>
      </c>
      <c r="H2199" s="14" t="s">
        <v>343</v>
      </c>
      <c r="I2199" s="14">
        <v>1</v>
      </c>
      <c r="J2199" s="14">
        <v>1</v>
      </c>
      <c r="K2199" s="14">
        <v>1</v>
      </c>
      <c r="L2199" s="14">
        <v>1</v>
      </c>
      <c r="M2199" s="14">
        <v>1</v>
      </c>
      <c r="N2199" s="14">
        <v>1</v>
      </c>
      <c r="O2199" s="14">
        <v>1</v>
      </c>
      <c r="P2199" s="14">
        <v>1</v>
      </c>
      <c r="Q2199" s="14">
        <v>1</v>
      </c>
      <c r="R2199" s="14">
        <v>1</v>
      </c>
      <c r="S2199" s="14">
        <v>1</v>
      </c>
      <c r="T2199" s="14">
        <v>1</v>
      </c>
      <c r="U2199" s="14">
        <v>1</v>
      </c>
      <c r="V2199" s="14">
        <v>1</v>
      </c>
      <c r="W2199" s="14">
        <v>32</v>
      </c>
      <c r="X2199" s="14">
        <v>1</v>
      </c>
    </row>
    <row r="2200" spans="1:24" hidden="1" x14ac:dyDescent="0.3">
      <c r="A2200" s="14" t="s">
        <v>442</v>
      </c>
      <c r="B2200" s="14" t="s">
        <v>112</v>
      </c>
      <c r="C2200" s="14" t="s">
        <v>363</v>
      </c>
      <c r="D2200" s="14" t="s">
        <v>364</v>
      </c>
      <c r="E2200" s="14" t="s">
        <v>342</v>
      </c>
      <c r="F2200" s="14" t="s">
        <v>343</v>
      </c>
      <c r="G2200" s="14" t="s">
        <v>343</v>
      </c>
      <c r="H2200" s="14" t="s">
        <v>343</v>
      </c>
      <c r="U2200" s="14">
        <v>1.06</v>
      </c>
      <c r="V2200" s="14">
        <v>1.06</v>
      </c>
      <c r="W2200" s="14">
        <v>1.06</v>
      </c>
      <c r="X2200" s="14">
        <v>1.06</v>
      </c>
    </row>
    <row r="2201" spans="1:24" hidden="1" x14ac:dyDescent="0.3">
      <c r="A2201" s="14" t="s">
        <v>442</v>
      </c>
      <c r="B2201" s="14" t="s">
        <v>112</v>
      </c>
      <c r="C2201" s="14" t="s">
        <v>363</v>
      </c>
      <c r="D2201" s="14" t="s">
        <v>364</v>
      </c>
      <c r="E2201" s="14" t="s">
        <v>344</v>
      </c>
      <c r="F2201" s="14" t="s">
        <v>343</v>
      </c>
      <c r="G2201" s="14" t="s">
        <v>343</v>
      </c>
      <c r="H2201" s="14" t="s">
        <v>343</v>
      </c>
      <c r="U2201" s="14">
        <v>1</v>
      </c>
      <c r="V2201" s="14">
        <v>1</v>
      </c>
      <c r="W2201" s="14">
        <v>43</v>
      </c>
      <c r="X2201" s="14">
        <v>1</v>
      </c>
    </row>
    <row r="2202" spans="1:24" hidden="1" x14ac:dyDescent="0.3">
      <c r="A2202" s="14" t="s">
        <v>442</v>
      </c>
      <c r="B2202" s="14" t="s">
        <v>112</v>
      </c>
      <c r="C2202" s="14" t="s">
        <v>365</v>
      </c>
      <c r="D2202" s="14" t="s">
        <v>366</v>
      </c>
      <c r="E2202" s="14" t="s">
        <v>342</v>
      </c>
      <c r="F2202" s="14" t="s">
        <v>343</v>
      </c>
      <c r="G2202" s="14" t="s">
        <v>343</v>
      </c>
      <c r="H2202" s="14" t="s">
        <v>343</v>
      </c>
      <c r="U2202" s="14">
        <v>0.94</v>
      </c>
      <c r="V2202" s="14">
        <v>0.94</v>
      </c>
      <c r="W2202" s="14">
        <v>0.94</v>
      </c>
      <c r="X2202" s="14">
        <v>0.94</v>
      </c>
    </row>
    <row r="2203" spans="1:24" hidden="1" x14ac:dyDescent="0.3">
      <c r="A2203" s="14" t="s">
        <v>442</v>
      </c>
      <c r="B2203" s="14" t="s">
        <v>112</v>
      </c>
      <c r="C2203" s="14" t="s">
        <v>365</v>
      </c>
      <c r="D2203" s="14" t="s">
        <v>366</v>
      </c>
      <c r="E2203" s="14" t="s">
        <v>344</v>
      </c>
      <c r="F2203" s="14" t="s">
        <v>343</v>
      </c>
      <c r="G2203" s="14" t="s">
        <v>343</v>
      </c>
      <c r="H2203" s="14" t="s">
        <v>343</v>
      </c>
      <c r="U2203" s="14">
        <v>1</v>
      </c>
      <c r="V2203" s="14">
        <v>1</v>
      </c>
      <c r="W2203" s="14">
        <v>1</v>
      </c>
      <c r="X2203" s="14">
        <v>1</v>
      </c>
    </row>
    <row r="2204" spans="1:24" hidden="1" x14ac:dyDescent="0.3">
      <c r="A2204" s="14" t="s">
        <v>442</v>
      </c>
      <c r="B2204" s="14" t="s">
        <v>112</v>
      </c>
      <c r="C2204" s="14" t="s">
        <v>367</v>
      </c>
      <c r="D2204" s="14" t="s">
        <v>368</v>
      </c>
      <c r="E2204" s="14" t="s">
        <v>342</v>
      </c>
      <c r="F2204" s="14" t="s">
        <v>343</v>
      </c>
      <c r="G2204" s="14" t="s">
        <v>343</v>
      </c>
      <c r="H2204" s="14" t="s">
        <v>343</v>
      </c>
      <c r="I2204" s="14">
        <v>0.61</v>
      </c>
      <c r="J2204" s="14">
        <v>0.61</v>
      </c>
      <c r="K2204" s="14">
        <v>0.61</v>
      </c>
      <c r="L2204" s="14">
        <v>0.62</v>
      </c>
      <c r="M2204" s="14">
        <v>0.62</v>
      </c>
      <c r="N2204" s="14">
        <v>0.62</v>
      </c>
      <c r="O2204" s="14">
        <v>0.63</v>
      </c>
      <c r="P2204" s="14">
        <v>0.63</v>
      </c>
      <c r="Q2204" s="14">
        <v>0.68</v>
      </c>
      <c r="R2204" s="14">
        <v>0.67</v>
      </c>
      <c r="S2204" s="14">
        <v>0.67</v>
      </c>
      <c r="T2204" s="14">
        <v>0.67</v>
      </c>
      <c r="U2204" s="14">
        <v>0.67</v>
      </c>
      <c r="V2204" s="14">
        <v>0.67</v>
      </c>
      <c r="W2204" s="14">
        <v>0.66</v>
      </c>
      <c r="X2204" s="14">
        <v>0.66</v>
      </c>
    </row>
    <row r="2205" spans="1:24" hidden="1" x14ac:dyDescent="0.3">
      <c r="A2205" s="14" t="s">
        <v>442</v>
      </c>
      <c r="B2205" s="14" t="s">
        <v>112</v>
      </c>
      <c r="C2205" s="14" t="s">
        <v>367</v>
      </c>
      <c r="D2205" s="14" t="s">
        <v>368</v>
      </c>
      <c r="E2205" s="14" t="s">
        <v>344</v>
      </c>
      <c r="F2205" s="14" t="s">
        <v>343</v>
      </c>
      <c r="G2205" s="14" t="s">
        <v>343</v>
      </c>
      <c r="H2205" s="14" t="s">
        <v>343</v>
      </c>
      <c r="I2205" s="14">
        <v>95</v>
      </c>
      <c r="J2205" s="14">
        <v>106</v>
      </c>
      <c r="K2205" s="14">
        <v>112</v>
      </c>
      <c r="L2205" s="14">
        <v>111</v>
      </c>
      <c r="M2205" s="14">
        <v>109</v>
      </c>
      <c r="N2205" s="14">
        <v>112</v>
      </c>
      <c r="O2205" s="14">
        <v>116</v>
      </c>
      <c r="P2205" s="14">
        <v>114</v>
      </c>
      <c r="Q2205" s="14">
        <v>89</v>
      </c>
      <c r="R2205" s="14">
        <v>106</v>
      </c>
      <c r="S2205" s="14">
        <v>105</v>
      </c>
      <c r="T2205" s="14">
        <v>110</v>
      </c>
      <c r="U2205" s="14">
        <v>107</v>
      </c>
      <c r="V2205" s="14">
        <v>113</v>
      </c>
      <c r="W2205" s="14">
        <v>122</v>
      </c>
      <c r="X2205" s="14">
        <v>113</v>
      </c>
    </row>
    <row r="2206" spans="1:24" hidden="1" x14ac:dyDescent="0.3">
      <c r="A2206" s="14" t="s">
        <v>442</v>
      </c>
      <c r="B2206" s="14" t="s">
        <v>112</v>
      </c>
      <c r="C2206" s="14" t="s">
        <v>369</v>
      </c>
      <c r="D2206" s="14" t="s">
        <v>370</v>
      </c>
      <c r="E2206" s="14" t="s">
        <v>342</v>
      </c>
      <c r="F2206" s="14" t="s">
        <v>343</v>
      </c>
      <c r="G2206" s="14" t="s">
        <v>343</v>
      </c>
      <c r="H2206" s="14" t="s">
        <v>343</v>
      </c>
      <c r="I2206" s="14">
        <v>0.11</v>
      </c>
      <c r="J2206" s="14">
        <v>0.11</v>
      </c>
      <c r="K2206" s="14">
        <v>0.06</v>
      </c>
      <c r="L2206" s="14">
        <v>0.06</v>
      </c>
      <c r="M2206" s="14">
        <v>0.04</v>
      </c>
      <c r="N2206" s="14">
        <v>0.04</v>
      </c>
      <c r="O2206" s="14">
        <v>0.05</v>
      </c>
      <c r="P2206" s="14">
        <v>0.05</v>
      </c>
      <c r="Q2206" s="14">
        <v>0.14000000000000001</v>
      </c>
      <c r="R2206" s="14">
        <v>0.11</v>
      </c>
      <c r="S2206" s="14">
        <v>0.11</v>
      </c>
      <c r="T2206" s="14">
        <v>0.1</v>
      </c>
      <c r="U2206" s="14">
        <v>0.1</v>
      </c>
      <c r="V2206" s="14">
        <v>0.09</v>
      </c>
      <c r="W2206" s="14">
        <v>0.11</v>
      </c>
      <c r="X2206" s="14">
        <v>0.11</v>
      </c>
    </row>
    <row r="2207" spans="1:24" hidden="1" x14ac:dyDescent="0.3">
      <c r="A2207" s="14" t="s">
        <v>442</v>
      </c>
      <c r="B2207" s="14" t="s">
        <v>112</v>
      </c>
      <c r="C2207" s="14" t="s">
        <v>369</v>
      </c>
      <c r="D2207" s="14" t="s">
        <v>370</v>
      </c>
      <c r="E2207" s="14" t="s">
        <v>344</v>
      </c>
      <c r="F2207" s="14" t="s">
        <v>343</v>
      </c>
      <c r="G2207" s="14" t="s">
        <v>343</v>
      </c>
      <c r="H2207" s="14" t="s">
        <v>343</v>
      </c>
      <c r="I2207" s="14">
        <v>54</v>
      </c>
      <c r="J2207" s="14">
        <v>61</v>
      </c>
      <c r="K2207" s="14">
        <v>113</v>
      </c>
      <c r="L2207" s="14">
        <v>118</v>
      </c>
      <c r="M2207" s="14">
        <v>116</v>
      </c>
      <c r="N2207" s="14">
        <v>118</v>
      </c>
      <c r="O2207" s="14">
        <v>121</v>
      </c>
      <c r="P2207" s="14">
        <v>123</v>
      </c>
      <c r="Q2207" s="14">
        <v>78</v>
      </c>
      <c r="R2207" s="14">
        <v>99</v>
      </c>
      <c r="S2207" s="14">
        <v>96</v>
      </c>
      <c r="T2207" s="14">
        <v>109</v>
      </c>
      <c r="U2207" s="14">
        <v>111</v>
      </c>
      <c r="V2207" s="14">
        <v>125</v>
      </c>
      <c r="W2207" s="14">
        <v>122</v>
      </c>
      <c r="X2207" s="14">
        <v>119</v>
      </c>
    </row>
    <row r="2208" spans="1:24" hidden="1" x14ac:dyDescent="0.3">
      <c r="A2208" s="14" t="s">
        <v>442</v>
      </c>
      <c r="B2208" s="14" t="s">
        <v>112</v>
      </c>
      <c r="C2208" s="14" t="s">
        <v>371</v>
      </c>
      <c r="D2208" s="14" t="s">
        <v>372</v>
      </c>
      <c r="E2208" s="14" t="s">
        <v>342</v>
      </c>
      <c r="F2208" s="14" t="s">
        <v>343</v>
      </c>
      <c r="G2208" s="14" t="s">
        <v>343</v>
      </c>
      <c r="H2208" s="14" t="s">
        <v>343</v>
      </c>
      <c r="U2208" s="14">
        <v>0</v>
      </c>
      <c r="V2208" s="14">
        <v>0</v>
      </c>
      <c r="W2208" s="14">
        <v>0</v>
      </c>
      <c r="X2208" s="14">
        <v>0</v>
      </c>
    </row>
    <row r="2209" spans="1:24" hidden="1" x14ac:dyDescent="0.3">
      <c r="A2209" s="14" t="s">
        <v>442</v>
      </c>
      <c r="B2209" s="14" t="s">
        <v>112</v>
      </c>
      <c r="C2209" s="14" t="s">
        <v>371</v>
      </c>
      <c r="D2209" s="14" t="s">
        <v>372</v>
      </c>
      <c r="E2209" s="14" t="s">
        <v>344</v>
      </c>
      <c r="F2209" s="14" t="s">
        <v>343</v>
      </c>
      <c r="G2209" s="14" t="s">
        <v>343</v>
      </c>
      <c r="H2209" s="14" t="s">
        <v>343</v>
      </c>
      <c r="U2209" s="14">
        <v>71</v>
      </c>
      <c r="V2209" s="14">
        <v>73</v>
      </c>
      <c r="W2209" s="14">
        <v>76</v>
      </c>
      <c r="X2209" s="14">
        <v>78</v>
      </c>
    </row>
    <row r="2210" spans="1:24" hidden="1" x14ac:dyDescent="0.3">
      <c r="A2210" s="14" t="s">
        <v>442</v>
      </c>
      <c r="B2210" s="14" t="s">
        <v>112</v>
      </c>
      <c r="C2210" s="14" t="s">
        <v>373</v>
      </c>
      <c r="D2210" s="14" t="s">
        <v>374</v>
      </c>
      <c r="E2210" s="14" t="s">
        <v>342</v>
      </c>
      <c r="F2210" s="14" t="s">
        <v>343</v>
      </c>
      <c r="G2210" s="14" t="s">
        <v>343</v>
      </c>
      <c r="H2210" s="14" t="s">
        <v>343</v>
      </c>
      <c r="U2210" s="14">
        <v>0.23</v>
      </c>
      <c r="V2210" s="14">
        <v>7.0000000000000007E-2</v>
      </c>
      <c r="W2210" s="14">
        <v>0.15</v>
      </c>
      <c r="X2210" s="14">
        <v>0.15</v>
      </c>
    </row>
    <row r="2211" spans="1:24" hidden="1" x14ac:dyDescent="0.3">
      <c r="A2211" s="14" t="s">
        <v>442</v>
      </c>
      <c r="B2211" s="14" t="s">
        <v>112</v>
      </c>
      <c r="C2211" s="14" t="s">
        <v>373</v>
      </c>
      <c r="D2211" s="14" t="s">
        <v>374</v>
      </c>
      <c r="E2211" s="14" t="s">
        <v>344</v>
      </c>
      <c r="F2211" s="14" t="s">
        <v>343</v>
      </c>
      <c r="G2211" s="14" t="s">
        <v>343</v>
      </c>
      <c r="H2211" s="14" t="s">
        <v>343</v>
      </c>
      <c r="U2211" s="14">
        <v>75</v>
      </c>
      <c r="V2211" s="14">
        <v>129</v>
      </c>
      <c r="W2211" s="14">
        <v>112</v>
      </c>
      <c r="X2211" s="14">
        <v>107</v>
      </c>
    </row>
    <row r="2212" spans="1:24" hidden="1" x14ac:dyDescent="0.3">
      <c r="A2212" s="14" t="s">
        <v>442</v>
      </c>
      <c r="B2212" s="14" t="s">
        <v>112</v>
      </c>
      <c r="C2212" s="14" t="s">
        <v>375</v>
      </c>
      <c r="D2212" s="14" t="s">
        <v>376</v>
      </c>
      <c r="E2212" s="14" t="s">
        <v>342</v>
      </c>
      <c r="F2212" s="14" t="s">
        <v>343</v>
      </c>
      <c r="G2212" s="14" t="s">
        <v>343</v>
      </c>
      <c r="H2212" s="14" t="s">
        <v>343</v>
      </c>
      <c r="U2212" s="14">
        <v>0.14000000000000001</v>
      </c>
      <c r="V2212" s="14">
        <v>0.24</v>
      </c>
      <c r="W2212" s="14">
        <v>0.24</v>
      </c>
      <c r="X2212" s="14">
        <v>0.24</v>
      </c>
    </row>
    <row r="2213" spans="1:24" hidden="1" x14ac:dyDescent="0.3">
      <c r="A2213" s="14" t="s">
        <v>442</v>
      </c>
      <c r="B2213" s="14" t="s">
        <v>112</v>
      </c>
      <c r="C2213" s="14" t="s">
        <v>375</v>
      </c>
      <c r="D2213" s="14" t="s">
        <v>376</v>
      </c>
      <c r="E2213" s="14" t="s">
        <v>344</v>
      </c>
      <c r="F2213" s="14" t="s">
        <v>343</v>
      </c>
      <c r="G2213" s="14" t="s">
        <v>343</v>
      </c>
      <c r="H2213" s="14" t="s">
        <v>343</v>
      </c>
      <c r="U2213" s="14">
        <v>117</v>
      </c>
      <c r="V2213" s="14">
        <v>97</v>
      </c>
      <c r="W2213" s="14">
        <v>106</v>
      </c>
      <c r="X2213" s="14">
        <v>100</v>
      </c>
    </row>
    <row r="2214" spans="1:24" hidden="1" x14ac:dyDescent="0.3">
      <c r="A2214" s="14" t="s">
        <v>443</v>
      </c>
      <c r="B2214" s="14" t="s">
        <v>116</v>
      </c>
      <c r="C2214" s="14" t="s">
        <v>340</v>
      </c>
      <c r="D2214" s="14" t="s">
        <v>341</v>
      </c>
      <c r="E2214" s="14" t="s">
        <v>342</v>
      </c>
      <c r="F2214" s="14" t="s">
        <v>343</v>
      </c>
      <c r="G2214" s="14" t="s">
        <v>343</v>
      </c>
      <c r="H2214" s="14" t="s">
        <v>343</v>
      </c>
      <c r="L2214" s="14">
        <v>1</v>
      </c>
      <c r="M2214" s="14">
        <v>1</v>
      </c>
      <c r="N2214" s="14">
        <v>0.99</v>
      </c>
      <c r="O2214" s="14">
        <v>1</v>
      </c>
      <c r="P2214" s="14">
        <v>1</v>
      </c>
      <c r="Q2214" s="14">
        <v>1</v>
      </c>
      <c r="R2214" s="14">
        <v>1</v>
      </c>
      <c r="W2214" s="14">
        <v>0.98</v>
      </c>
      <c r="X2214" s="14">
        <v>1</v>
      </c>
    </row>
    <row r="2215" spans="1:24" hidden="1" x14ac:dyDescent="0.3">
      <c r="A2215" s="14" t="s">
        <v>443</v>
      </c>
      <c r="B2215" s="14" t="s">
        <v>116</v>
      </c>
      <c r="C2215" s="14" t="s">
        <v>340</v>
      </c>
      <c r="D2215" s="14" t="s">
        <v>341</v>
      </c>
      <c r="E2215" s="14" t="s">
        <v>344</v>
      </c>
      <c r="F2215" s="14" t="s">
        <v>343</v>
      </c>
      <c r="G2215" s="14" t="s">
        <v>343</v>
      </c>
      <c r="H2215" s="14" t="s">
        <v>343</v>
      </c>
      <c r="L2215" s="14">
        <v>41</v>
      </c>
      <c r="M2215" s="14">
        <v>33</v>
      </c>
      <c r="N2215" s="14">
        <v>75</v>
      </c>
      <c r="O2215" s="14">
        <v>28</v>
      </c>
      <c r="P2215" s="14">
        <v>1</v>
      </c>
      <c r="Q2215" s="14">
        <v>1</v>
      </c>
      <c r="R2215" s="14">
        <v>1</v>
      </c>
      <c r="W2215" s="14">
        <v>91</v>
      </c>
      <c r="X2215" s="14">
        <v>57</v>
      </c>
    </row>
    <row r="2216" spans="1:24" hidden="1" x14ac:dyDescent="0.3">
      <c r="A2216" s="14" t="s">
        <v>443</v>
      </c>
      <c r="B2216" s="14" t="s">
        <v>116</v>
      </c>
      <c r="C2216" s="14" t="s">
        <v>345</v>
      </c>
      <c r="D2216" s="14" t="s">
        <v>346</v>
      </c>
      <c r="E2216" s="14" t="s">
        <v>342</v>
      </c>
      <c r="F2216" s="14" t="s">
        <v>343</v>
      </c>
      <c r="G2216" s="14" t="s">
        <v>343</v>
      </c>
      <c r="H2216" s="14" t="s">
        <v>343</v>
      </c>
      <c r="W2216" s="14">
        <v>0.39</v>
      </c>
      <c r="X2216" s="14">
        <v>0.55000000000000004</v>
      </c>
    </row>
    <row r="2217" spans="1:24" hidden="1" x14ac:dyDescent="0.3">
      <c r="A2217" s="14" t="s">
        <v>443</v>
      </c>
      <c r="B2217" s="14" t="s">
        <v>116</v>
      </c>
      <c r="C2217" s="14" t="s">
        <v>345</v>
      </c>
      <c r="D2217" s="14" t="s">
        <v>346</v>
      </c>
      <c r="E2217" s="14" t="s">
        <v>344</v>
      </c>
      <c r="F2217" s="14" t="s">
        <v>343</v>
      </c>
      <c r="G2217" s="14" t="s">
        <v>343</v>
      </c>
      <c r="H2217" s="14" t="s">
        <v>343</v>
      </c>
      <c r="W2217" s="14">
        <v>132</v>
      </c>
      <c r="X2217" s="14">
        <v>106</v>
      </c>
    </row>
    <row r="2218" spans="1:24" hidden="1" x14ac:dyDescent="0.3">
      <c r="A2218" s="14" t="s">
        <v>443</v>
      </c>
      <c r="B2218" s="14" t="s">
        <v>116</v>
      </c>
      <c r="C2218" s="14" t="s">
        <v>347</v>
      </c>
      <c r="D2218" s="14" t="s">
        <v>348</v>
      </c>
      <c r="E2218" s="14" t="s">
        <v>342</v>
      </c>
      <c r="F2218" s="14" t="s">
        <v>343</v>
      </c>
      <c r="G2218" s="14" t="s">
        <v>343</v>
      </c>
      <c r="H2218" s="14" t="s">
        <v>343</v>
      </c>
      <c r="W2218" s="14">
        <v>0.66</v>
      </c>
      <c r="X2218" s="14">
        <v>0.63</v>
      </c>
    </row>
    <row r="2219" spans="1:24" hidden="1" x14ac:dyDescent="0.3">
      <c r="A2219" s="14" t="s">
        <v>443</v>
      </c>
      <c r="B2219" s="14" t="s">
        <v>116</v>
      </c>
      <c r="C2219" s="14" t="s">
        <v>347</v>
      </c>
      <c r="D2219" s="14" t="s">
        <v>348</v>
      </c>
      <c r="E2219" s="14" t="s">
        <v>344</v>
      </c>
      <c r="F2219" s="14" t="s">
        <v>343</v>
      </c>
      <c r="G2219" s="14" t="s">
        <v>343</v>
      </c>
      <c r="H2219" s="14" t="s">
        <v>343</v>
      </c>
      <c r="W2219" s="14">
        <v>117</v>
      </c>
      <c r="X2219" s="14">
        <v>112</v>
      </c>
    </row>
    <row r="2220" spans="1:24" hidden="1" x14ac:dyDescent="0.3">
      <c r="A2220" s="14" t="s">
        <v>443</v>
      </c>
      <c r="B2220" s="14" t="s">
        <v>116</v>
      </c>
      <c r="C2220" s="14" t="s">
        <v>349</v>
      </c>
      <c r="D2220" s="14" t="s">
        <v>350</v>
      </c>
      <c r="E2220" s="14" t="s">
        <v>342</v>
      </c>
      <c r="F2220" s="14" t="s">
        <v>343</v>
      </c>
      <c r="G2220" s="14" t="s">
        <v>343</v>
      </c>
      <c r="H2220" s="14" t="s">
        <v>343</v>
      </c>
      <c r="W2220" s="14">
        <v>0.68</v>
      </c>
      <c r="X2220" s="14">
        <v>0.88</v>
      </c>
    </row>
    <row r="2221" spans="1:24" hidden="1" x14ac:dyDescent="0.3">
      <c r="A2221" s="14" t="s">
        <v>443</v>
      </c>
      <c r="B2221" s="14" t="s">
        <v>116</v>
      </c>
      <c r="C2221" s="14" t="s">
        <v>349</v>
      </c>
      <c r="D2221" s="14" t="s">
        <v>350</v>
      </c>
      <c r="E2221" s="14" t="s">
        <v>344</v>
      </c>
      <c r="F2221" s="14" t="s">
        <v>343</v>
      </c>
      <c r="G2221" s="14" t="s">
        <v>343</v>
      </c>
      <c r="H2221" s="14" t="s">
        <v>343</v>
      </c>
      <c r="W2221" s="14">
        <v>32</v>
      </c>
      <c r="X2221" s="14">
        <v>17</v>
      </c>
    </row>
    <row r="2222" spans="1:24" hidden="1" x14ac:dyDescent="0.3">
      <c r="A2222" s="14" t="s">
        <v>443</v>
      </c>
      <c r="B2222" s="14" t="s">
        <v>116</v>
      </c>
      <c r="C2222" s="14" t="s">
        <v>351</v>
      </c>
      <c r="D2222" s="14" t="s">
        <v>352</v>
      </c>
      <c r="E2222" s="14" t="s">
        <v>342</v>
      </c>
      <c r="F2222" s="14" t="s">
        <v>343</v>
      </c>
      <c r="G2222" s="14" t="s">
        <v>343</v>
      </c>
      <c r="H2222" s="14" t="s">
        <v>343</v>
      </c>
      <c r="W2222" s="14">
        <v>1</v>
      </c>
      <c r="X2222" s="14">
        <v>1</v>
      </c>
    </row>
    <row r="2223" spans="1:24" hidden="1" x14ac:dyDescent="0.3">
      <c r="A2223" s="14" t="s">
        <v>443</v>
      </c>
      <c r="B2223" s="14" t="s">
        <v>116</v>
      </c>
      <c r="C2223" s="14" t="s">
        <v>351</v>
      </c>
      <c r="D2223" s="14" t="s">
        <v>352</v>
      </c>
      <c r="E2223" s="14" t="s">
        <v>344</v>
      </c>
      <c r="F2223" s="14" t="s">
        <v>343</v>
      </c>
      <c r="G2223" s="14" t="s">
        <v>343</v>
      </c>
      <c r="H2223" s="14" t="s">
        <v>343</v>
      </c>
      <c r="W2223" s="14">
        <v>1</v>
      </c>
      <c r="X2223" s="14">
        <v>1</v>
      </c>
    </row>
    <row r="2224" spans="1:24" hidden="1" x14ac:dyDescent="0.3">
      <c r="A2224" s="14" t="s">
        <v>443</v>
      </c>
      <c r="B2224" s="14" t="s">
        <v>116</v>
      </c>
      <c r="C2224" s="14" t="s">
        <v>353</v>
      </c>
      <c r="D2224" s="14" t="s">
        <v>354</v>
      </c>
      <c r="E2224" s="14" t="s">
        <v>342</v>
      </c>
      <c r="F2224" s="14" t="s">
        <v>343</v>
      </c>
      <c r="G2224" s="14" t="s">
        <v>343</v>
      </c>
      <c r="H2224" s="14" t="s">
        <v>343</v>
      </c>
      <c r="W2224" s="14">
        <v>0.98</v>
      </c>
      <c r="X2224" s="14">
        <v>0.98</v>
      </c>
    </row>
    <row r="2225" spans="1:24" hidden="1" x14ac:dyDescent="0.3">
      <c r="A2225" s="14" t="s">
        <v>443</v>
      </c>
      <c r="B2225" s="14" t="s">
        <v>116</v>
      </c>
      <c r="C2225" s="14" t="s">
        <v>353</v>
      </c>
      <c r="D2225" s="14" t="s">
        <v>354</v>
      </c>
      <c r="E2225" s="14" t="s">
        <v>344</v>
      </c>
      <c r="F2225" s="14" t="s">
        <v>343</v>
      </c>
      <c r="G2225" s="14" t="s">
        <v>343</v>
      </c>
      <c r="H2225" s="14" t="s">
        <v>343</v>
      </c>
      <c r="W2225" s="14">
        <v>80</v>
      </c>
      <c r="X2225" s="14">
        <v>73</v>
      </c>
    </row>
    <row r="2226" spans="1:24" hidden="1" x14ac:dyDescent="0.3">
      <c r="A2226" s="14" t="s">
        <v>443</v>
      </c>
      <c r="B2226" s="14" t="s">
        <v>116</v>
      </c>
      <c r="C2226" s="14" t="s">
        <v>380</v>
      </c>
      <c r="D2226" s="14" t="s">
        <v>381</v>
      </c>
      <c r="E2226" s="14" t="s">
        <v>342</v>
      </c>
      <c r="F2226" s="14" t="s">
        <v>343</v>
      </c>
      <c r="G2226" s="14" t="s">
        <v>343</v>
      </c>
      <c r="H2226" s="14" t="s">
        <v>343</v>
      </c>
      <c r="W2226" s="14">
        <v>0.97</v>
      </c>
    </row>
    <row r="2227" spans="1:24" hidden="1" x14ac:dyDescent="0.3">
      <c r="A2227" s="14" t="s">
        <v>443</v>
      </c>
      <c r="B2227" s="14" t="s">
        <v>116</v>
      </c>
      <c r="C2227" s="14" t="s">
        <v>380</v>
      </c>
      <c r="D2227" s="14" t="s">
        <v>381</v>
      </c>
      <c r="E2227" s="14" t="s">
        <v>344</v>
      </c>
      <c r="F2227" s="14" t="s">
        <v>343</v>
      </c>
      <c r="G2227" s="14" t="s">
        <v>343</v>
      </c>
      <c r="H2227" s="14" t="s">
        <v>343</v>
      </c>
      <c r="W2227" s="14">
        <v>130</v>
      </c>
    </row>
    <row r="2228" spans="1:24" hidden="1" x14ac:dyDescent="0.3">
      <c r="A2228" s="14" t="s">
        <v>443</v>
      </c>
      <c r="B2228" s="14" t="s">
        <v>116</v>
      </c>
      <c r="C2228" s="14" t="s">
        <v>355</v>
      </c>
      <c r="D2228" s="14" t="s">
        <v>356</v>
      </c>
      <c r="E2228" s="14" t="s">
        <v>342</v>
      </c>
      <c r="F2228" s="14" t="s">
        <v>343</v>
      </c>
      <c r="G2228" s="14" t="s">
        <v>343</v>
      </c>
      <c r="H2228" s="14" t="s">
        <v>343</v>
      </c>
      <c r="W2228" s="14">
        <v>1</v>
      </c>
      <c r="X2228" s="14">
        <v>1</v>
      </c>
    </row>
    <row r="2229" spans="1:24" hidden="1" x14ac:dyDescent="0.3">
      <c r="A2229" s="14" t="s">
        <v>443</v>
      </c>
      <c r="B2229" s="14" t="s">
        <v>116</v>
      </c>
      <c r="C2229" s="14" t="s">
        <v>355</v>
      </c>
      <c r="D2229" s="14" t="s">
        <v>356</v>
      </c>
      <c r="E2229" s="14" t="s">
        <v>344</v>
      </c>
      <c r="F2229" s="14" t="s">
        <v>343</v>
      </c>
      <c r="G2229" s="14" t="s">
        <v>343</v>
      </c>
      <c r="H2229" s="14" t="s">
        <v>343</v>
      </c>
      <c r="W2229" s="14">
        <v>1</v>
      </c>
      <c r="X2229" s="14">
        <v>1</v>
      </c>
    </row>
    <row r="2230" spans="1:24" hidden="1" x14ac:dyDescent="0.3">
      <c r="A2230" s="14" t="s">
        <v>443</v>
      </c>
      <c r="B2230" s="14" t="s">
        <v>116</v>
      </c>
      <c r="C2230" s="14" t="s">
        <v>357</v>
      </c>
      <c r="D2230" s="14" t="s">
        <v>358</v>
      </c>
      <c r="E2230" s="14" t="s">
        <v>342</v>
      </c>
      <c r="F2230" s="14" t="s">
        <v>343</v>
      </c>
      <c r="G2230" s="14" t="s">
        <v>343</v>
      </c>
      <c r="H2230" s="14" t="s">
        <v>343</v>
      </c>
      <c r="W2230" s="14">
        <v>1</v>
      </c>
      <c r="X2230" s="14">
        <v>1</v>
      </c>
    </row>
    <row r="2231" spans="1:24" hidden="1" x14ac:dyDescent="0.3">
      <c r="A2231" s="14" t="s">
        <v>443</v>
      </c>
      <c r="B2231" s="14" t="s">
        <v>116</v>
      </c>
      <c r="C2231" s="14" t="s">
        <v>357</v>
      </c>
      <c r="D2231" s="14" t="s">
        <v>358</v>
      </c>
      <c r="E2231" s="14" t="s">
        <v>344</v>
      </c>
      <c r="F2231" s="14" t="s">
        <v>343</v>
      </c>
      <c r="G2231" s="14" t="s">
        <v>343</v>
      </c>
      <c r="H2231" s="14" t="s">
        <v>343</v>
      </c>
      <c r="W2231" s="14">
        <v>1</v>
      </c>
      <c r="X2231" s="14">
        <v>1</v>
      </c>
    </row>
    <row r="2232" spans="1:24" hidden="1" x14ac:dyDescent="0.3">
      <c r="A2232" s="14" t="s">
        <v>443</v>
      </c>
      <c r="B2232" s="14" t="s">
        <v>116</v>
      </c>
      <c r="C2232" s="14" t="s">
        <v>359</v>
      </c>
      <c r="D2232" s="14" t="s">
        <v>360</v>
      </c>
      <c r="E2232" s="14" t="s">
        <v>342</v>
      </c>
      <c r="F2232" s="14" t="s">
        <v>343</v>
      </c>
      <c r="G2232" s="14" t="s">
        <v>343</v>
      </c>
      <c r="H2232" s="14" t="s">
        <v>343</v>
      </c>
      <c r="L2232" s="14">
        <v>0.61</v>
      </c>
      <c r="M2232" s="14">
        <v>0.59</v>
      </c>
      <c r="N2232" s="14">
        <v>0.6</v>
      </c>
      <c r="O2232" s="14">
        <v>0.6</v>
      </c>
      <c r="P2232" s="14">
        <v>0.59</v>
      </c>
      <c r="Q2232" s="14">
        <v>0.56999999999999995</v>
      </c>
      <c r="R2232" s="14">
        <v>0.56999999999999995</v>
      </c>
      <c r="W2232" s="14">
        <v>0.64</v>
      </c>
      <c r="X2232" s="14">
        <v>0.72</v>
      </c>
    </row>
    <row r="2233" spans="1:24" hidden="1" x14ac:dyDescent="0.3">
      <c r="A2233" s="14" t="s">
        <v>443</v>
      </c>
      <c r="B2233" s="14" t="s">
        <v>116</v>
      </c>
      <c r="C2233" s="14" t="s">
        <v>359</v>
      </c>
      <c r="D2233" s="14" t="s">
        <v>360</v>
      </c>
      <c r="E2233" s="14" t="s">
        <v>344</v>
      </c>
      <c r="F2233" s="14" t="s">
        <v>343</v>
      </c>
      <c r="G2233" s="14" t="s">
        <v>343</v>
      </c>
      <c r="H2233" s="14" t="s">
        <v>343</v>
      </c>
      <c r="L2233" s="14">
        <v>85</v>
      </c>
      <c r="M2233" s="14">
        <v>93</v>
      </c>
      <c r="N2233" s="14">
        <v>88</v>
      </c>
      <c r="O2233" s="14">
        <v>94</v>
      </c>
      <c r="P2233" s="14">
        <v>102</v>
      </c>
      <c r="Q2233" s="14">
        <v>117</v>
      </c>
      <c r="R2233" s="14">
        <v>124</v>
      </c>
      <c r="W2233" s="14">
        <v>105</v>
      </c>
      <c r="X2233" s="14">
        <v>53</v>
      </c>
    </row>
    <row r="2234" spans="1:24" x14ac:dyDescent="0.3">
      <c r="A2234" s="14" t="s">
        <v>443</v>
      </c>
      <c r="B2234" s="14" t="s">
        <v>116</v>
      </c>
      <c r="C2234" s="14" t="s">
        <v>361</v>
      </c>
      <c r="D2234" s="14" t="s">
        <v>362</v>
      </c>
      <c r="E2234" s="14" t="s">
        <v>342</v>
      </c>
      <c r="F2234" s="14" t="s">
        <v>343</v>
      </c>
      <c r="G2234" s="14" t="s">
        <v>343</v>
      </c>
      <c r="H2234" s="14" t="s">
        <v>343</v>
      </c>
      <c r="L2234" s="14">
        <v>0.98</v>
      </c>
      <c r="M2234" s="14">
        <v>0.98</v>
      </c>
      <c r="N2234" s="14">
        <v>0.98</v>
      </c>
      <c r="O2234" s="14">
        <v>0.98</v>
      </c>
      <c r="P2234" s="14">
        <v>0.98</v>
      </c>
      <c r="Q2234" s="14">
        <v>0.98</v>
      </c>
      <c r="R2234" s="14">
        <v>0.98</v>
      </c>
      <c r="W2234" s="14">
        <v>0.98</v>
      </c>
      <c r="X2234" s="14">
        <v>0.98</v>
      </c>
    </row>
    <row r="2235" spans="1:24" hidden="1" x14ac:dyDescent="0.3">
      <c r="A2235" s="14" t="s">
        <v>443</v>
      </c>
      <c r="B2235" s="14" t="s">
        <v>116</v>
      </c>
      <c r="C2235" s="14" t="s">
        <v>361</v>
      </c>
      <c r="D2235" s="14" t="s">
        <v>362</v>
      </c>
      <c r="E2235" s="14" t="s">
        <v>344</v>
      </c>
      <c r="F2235" s="14" t="s">
        <v>343</v>
      </c>
      <c r="G2235" s="14" t="s">
        <v>343</v>
      </c>
      <c r="H2235" s="14" t="s">
        <v>343</v>
      </c>
      <c r="L2235" s="14">
        <v>1</v>
      </c>
      <c r="M2235" s="14">
        <v>43</v>
      </c>
      <c r="N2235" s="14">
        <v>45</v>
      </c>
      <c r="O2235" s="14">
        <v>47</v>
      </c>
      <c r="P2235" s="14">
        <v>45</v>
      </c>
      <c r="Q2235" s="14">
        <v>1</v>
      </c>
      <c r="R2235" s="14">
        <v>1</v>
      </c>
      <c r="W2235" s="14">
        <v>1</v>
      </c>
      <c r="X2235" s="14">
        <v>1</v>
      </c>
    </row>
    <row r="2236" spans="1:24" hidden="1" x14ac:dyDescent="0.3">
      <c r="A2236" s="14" t="s">
        <v>443</v>
      </c>
      <c r="B2236" s="14" t="s">
        <v>116</v>
      </c>
      <c r="C2236" s="14" t="s">
        <v>363</v>
      </c>
      <c r="D2236" s="14" t="s">
        <v>364</v>
      </c>
      <c r="E2236" s="14" t="s">
        <v>342</v>
      </c>
      <c r="F2236" s="14" t="s">
        <v>343</v>
      </c>
      <c r="G2236" s="14" t="s">
        <v>343</v>
      </c>
      <c r="H2236" s="14" t="s">
        <v>343</v>
      </c>
      <c r="W2236" s="14">
        <v>1.06</v>
      </c>
      <c r="X2236" s="14">
        <v>1.06</v>
      </c>
    </row>
    <row r="2237" spans="1:24" hidden="1" x14ac:dyDescent="0.3">
      <c r="A2237" s="14" t="s">
        <v>443</v>
      </c>
      <c r="B2237" s="14" t="s">
        <v>116</v>
      </c>
      <c r="C2237" s="14" t="s">
        <v>363</v>
      </c>
      <c r="D2237" s="14" t="s">
        <v>364</v>
      </c>
      <c r="E2237" s="14" t="s">
        <v>344</v>
      </c>
      <c r="F2237" s="14" t="s">
        <v>343</v>
      </c>
      <c r="G2237" s="14" t="s">
        <v>343</v>
      </c>
      <c r="H2237" s="14" t="s">
        <v>343</v>
      </c>
      <c r="W2237" s="14">
        <v>1</v>
      </c>
      <c r="X2237" s="14">
        <v>1</v>
      </c>
    </row>
    <row r="2238" spans="1:24" hidden="1" x14ac:dyDescent="0.3">
      <c r="A2238" s="14" t="s">
        <v>443</v>
      </c>
      <c r="B2238" s="14" t="s">
        <v>116</v>
      </c>
      <c r="C2238" s="14" t="s">
        <v>365</v>
      </c>
      <c r="D2238" s="14" t="s">
        <v>366</v>
      </c>
      <c r="E2238" s="14" t="s">
        <v>342</v>
      </c>
      <c r="F2238" s="14" t="s">
        <v>343</v>
      </c>
      <c r="G2238" s="14" t="s">
        <v>343</v>
      </c>
      <c r="H2238" s="14" t="s">
        <v>343</v>
      </c>
      <c r="W2238" s="14">
        <v>0.94</v>
      </c>
      <c r="X2238" s="14">
        <v>0.94</v>
      </c>
    </row>
    <row r="2239" spans="1:24" hidden="1" x14ac:dyDescent="0.3">
      <c r="A2239" s="14" t="s">
        <v>443</v>
      </c>
      <c r="B2239" s="14" t="s">
        <v>116</v>
      </c>
      <c r="C2239" s="14" t="s">
        <v>365</v>
      </c>
      <c r="D2239" s="14" t="s">
        <v>366</v>
      </c>
      <c r="E2239" s="14" t="s">
        <v>344</v>
      </c>
      <c r="F2239" s="14" t="s">
        <v>343</v>
      </c>
      <c r="G2239" s="14" t="s">
        <v>343</v>
      </c>
      <c r="H2239" s="14" t="s">
        <v>343</v>
      </c>
      <c r="W2239" s="14">
        <v>1</v>
      </c>
      <c r="X2239" s="14">
        <v>1</v>
      </c>
    </row>
    <row r="2240" spans="1:24" hidden="1" x14ac:dyDescent="0.3">
      <c r="A2240" s="14" t="s">
        <v>443</v>
      </c>
      <c r="B2240" s="14" t="s">
        <v>116</v>
      </c>
      <c r="C2240" s="14" t="s">
        <v>367</v>
      </c>
      <c r="D2240" s="14" t="s">
        <v>368</v>
      </c>
      <c r="E2240" s="14" t="s">
        <v>342</v>
      </c>
      <c r="F2240" s="14" t="s">
        <v>343</v>
      </c>
      <c r="G2240" s="14" t="s">
        <v>343</v>
      </c>
      <c r="H2240" s="14" t="s">
        <v>343</v>
      </c>
      <c r="L2240" s="14">
        <v>0.71</v>
      </c>
      <c r="M2240" s="14">
        <v>0.71</v>
      </c>
      <c r="N2240" s="14">
        <v>0.71</v>
      </c>
      <c r="O2240" s="14">
        <v>0.71</v>
      </c>
      <c r="P2240" s="14">
        <v>0.71</v>
      </c>
      <c r="Q2240" s="14">
        <v>0.7</v>
      </c>
      <c r="R2240" s="14">
        <v>0.7</v>
      </c>
      <c r="W2240" s="14">
        <v>0.73</v>
      </c>
      <c r="X2240" s="14">
        <v>0.75</v>
      </c>
    </row>
    <row r="2241" spans="1:24" hidden="1" x14ac:dyDescent="0.3">
      <c r="A2241" s="14" t="s">
        <v>443</v>
      </c>
      <c r="B2241" s="14" t="s">
        <v>116</v>
      </c>
      <c r="C2241" s="14" t="s">
        <v>367</v>
      </c>
      <c r="D2241" s="14" t="s">
        <v>368</v>
      </c>
      <c r="E2241" s="14" t="s">
        <v>344</v>
      </c>
      <c r="F2241" s="14" t="s">
        <v>343</v>
      </c>
      <c r="G2241" s="14" t="s">
        <v>343</v>
      </c>
      <c r="H2241" s="14" t="s">
        <v>343</v>
      </c>
      <c r="L2241" s="14">
        <v>35</v>
      </c>
      <c r="M2241" s="14">
        <v>38</v>
      </c>
      <c r="N2241" s="14">
        <v>38</v>
      </c>
      <c r="O2241" s="14">
        <v>42</v>
      </c>
      <c r="P2241" s="14">
        <v>48</v>
      </c>
      <c r="Q2241" s="14">
        <v>64</v>
      </c>
      <c r="R2241" s="14">
        <v>66</v>
      </c>
      <c r="W2241" s="14">
        <v>53</v>
      </c>
      <c r="X2241" s="14">
        <v>35</v>
      </c>
    </row>
    <row r="2242" spans="1:24" hidden="1" x14ac:dyDescent="0.3">
      <c r="A2242" s="14" t="s">
        <v>443</v>
      </c>
      <c r="B2242" s="14" t="s">
        <v>116</v>
      </c>
      <c r="C2242" s="14" t="s">
        <v>369</v>
      </c>
      <c r="D2242" s="14" t="s">
        <v>370</v>
      </c>
      <c r="E2242" s="14" t="s">
        <v>342</v>
      </c>
      <c r="F2242" s="14" t="s">
        <v>343</v>
      </c>
      <c r="G2242" s="14" t="s">
        <v>343</v>
      </c>
      <c r="H2242" s="14" t="s">
        <v>343</v>
      </c>
      <c r="L2242" s="14">
        <v>0.25</v>
      </c>
      <c r="M2242" s="14">
        <v>0.27</v>
      </c>
      <c r="N2242" s="14">
        <v>0.27</v>
      </c>
      <c r="O2242" s="14">
        <v>0.27</v>
      </c>
      <c r="P2242" s="14">
        <v>0.27</v>
      </c>
      <c r="Q2242" s="14">
        <v>0.26</v>
      </c>
      <c r="R2242" s="14">
        <v>0.26</v>
      </c>
      <c r="W2242" s="14">
        <v>0.31</v>
      </c>
      <c r="X2242" s="14">
        <v>0.31</v>
      </c>
    </row>
    <row r="2243" spans="1:24" hidden="1" x14ac:dyDescent="0.3">
      <c r="A2243" s="14" t="s">
        <v>443</v>
      </c>
      <c r="B2243" s="14" t="s">
        <v>116</v>
      </c>
      <c r="C2243" s="14" t="s">
        <v>369</v>
      </c>
      <c r="D2243" s="14" t="s">
        <v>370</v>
      </c>
      <c r="E2243" s="14" t="s">
        <v>344</v>
      </c>
      <c r="F2243" s="14" t="s">
        <v>343</v>
      </c>
      <c r="G2243" s="14" t="s">
        <v>343</v>
      </c>
      <c r="H2243" s="14" t="s">
        <v>343</v>
      </c>
      <c r="L2243" s="14">
        <v>28</v>
      </c>
      <c r="M2243" s="14">
        <v>27</v>
      </c>
      <c r="N2243" s="14">
        <v>28</v>
      </c>
      <c r="O2243" s="14">
        <v>32</v>
      </c>
      <c r="P2243" s="14">
        <v>33</v>
      </c>
      <c r="Q2243" s="14">
        <v>34</v>
      </c>
      <c r="R2243" s="14">
        <v>37</v>
      </c>
      <c r="W2243" s="14">
        <v>44</v>
      </c>
      <c r="X2243" s="14">
        <v>42</v>
      </c>
    </row>
    <row r="2244" spans="1:24" hidden="1" x14ac:dyDescent="0.3">
      <c r="A2244" s="14" t="s">
        <v>443</v>
      </c>
      <c r="B2244" s="14" t="s">
        <v>116</v>
      </c>
      <c r="C2244" s="14" t="s">
        <v>371</v>
      </c>
      <c r="D2244" s="14" t="s">
        <v>372</v>
      </c>
      <c r="E2244" s="14" t="s">
        <v>342</v>
      </c>
      <c r="F2244" s="14" t="s">
        <v>343</v>
      </c>
      <c r="G2244" s="14" t="s">
        <v>343</v>
      </c>
      <c r="H2244" s="14" t="s">
        <v>343</v>
      </c>
      <c r="W2244" s="14">
        <v>0.05</v>
      </c>
      <c r="X2244" s="14">
        <v>0.05</v>
      </c>
    </row>
    <row r="2245" spans="1:24" hidden="1" x14ac:dyDescent="0.3">
      <c r="A2245" s="14" t="s">
        <v>443</v>
      </c>
      <c r="B2245" s="14" t="s">
        <v>116</v>
      </c>
      <c r="C2245" s="14" t="s">
        <v>371</v>
      </c>
      <c r="D2245" s="14" t="s">
        <v>372</v>
      </c>
      <c r="E2245" s="14" t="s">
        <v>344</v>
      </c>
      <c r="F2245" s="14" t="s">
        <v>343</v>
      </c>
      <c r="G2245" s="14" t="s">
        <v>343</v>
      </c>
      <c r="H2245" s="14" t="s">
        <v>343</v>
      </c>
      <c r="W2245" s="14">
        <v>48</v>
      </c>
      <c r="X2245" s="14">
        <v>50</v>
      </c>
    </row>
    <row r="2246" spans="1:24" hidden="1" x14ac:dyDescent="0.3">
      <c r="A2246" s="14" t="s">
        <v>443</v>
      </c>
      <c r="B2246" s="14" t="s">
        <v>116</v>
      </c>
      <c r="C2246" s="14" t="s">
        <v>373</v>
      </c>
      <c r="D2246" s="14" t="s">
        <v>374</v>
      </c>
      <c r="E2246" s="14" t="s">
        <v>342</v>
      </c>
      <c r="F2246" s="14" t="s">
        <v>343</v>
      </c>
      <c r="G2246" s="14" t="s">
        <v>343</v>
      </c>
      <c r="H2246" s="14" t="s">
        <v>343</v>
      </c>
      <c r="W2246" s="14">
        <v>0.47</v>
      </c>
      <c r="X2246" s="14">
        <v>0.47</v>
      </c>
    </row>
    <row r="2247" spans="1:24" hidden="1" x14ac:dyDescent="0.3">
      <c r="A2247" s="14" t="s">
        <v>443</v>
      </c>
      <c r="B2247" s="14" t="s">
        <v>116</v>
      </c>
      <c r="C2247" s="14" t="s">
        <v>373</v>
      </c>
      <c r="D2247" s="14" t="s">
        <v>374</v>
      </c>
      <c r="E2247" s="14" t="s">
        <v>344</v>
      </c>
      <c r="F2247" s="14" t="s">
        <v>343</v>
      </c>
      <c r="G2247" s="14" t="s">
        <v>343</v>
      </c>
      <c r="H2247" s="14" t="s">
        <v>343</v>
      </c>
      <c r="W2247" s="14">
        <v>41</v>
      </c>
      <c r="X2247" s="14">
        <v>40</v>
      </c>
    </row>
    <row r="2248" spans="1:24" hidden="1" x14ac:dyDescent="0.3">
      <c r="A2248" s="14" t="s">
        <v>443</v>
      </c>
      <c r="B2248" s="14" t="s">
        <v>116</v>
      </c>
      <c r="C2248" s="14" t="s">
        <v>375</v>
      </c>
      <c r="D2248" s="14" t="s">
        <v>376</v>
      </c>
      <c r="E2248" s="14" t="s">
        <v>342</v>
      </c>
      <c r="F2248" s="14" t="s">
        <v>343</v>
      </c>
      <c r="G2248" s="14" t="s">
        <v>343</v>
      </c>
      <c r="H2248" s="14" t="s">
        <v>343</v>
      </c>
      <c r="W2248" s="14">
        <v>0.56000000000000005</v>
      </c>
      <c r="X2248" s="14">
        <v>0.56000000000000005</v>
      </c>
    </row>
    <row r="2249" spans="1:24" hidden="1" x14ac:dyDescent="0.3">
      <c r="A2249" s="14" t="s">
        <v>443</v>
      </c>
      <c r="B2249" s="14" t="s">
        <v>116</v>
      </c>
      <c r="C2249" s="14" t="s">
        <v>375</v>
      </c>
      <c r="D2249" s="14" t="s">
        <v>376</v>
      </c>
      <c r="E2249" s="14" t="s">
        <v>344</v>
      </c>
      <c r="F2249" s="14" t="s">
        <v>343</v>
      </c>
      <c r="G2249" s="14" t="s">
        <v>343</v>
      </c>
      <c r="H2249" s="14" t="s">
        <v>343</v>
      </c>
      <c r="W2249" s="14">
        <v>33</v>
      </c>
      <c r="X2249" s="14">
        <v>37</v>
      </c>
    </row>
    <row r="2250" spans="1:24" hidden="1" x14ac:dyDescent="0.3">
      <c r="A2250" s="14" t="s">
        <v>444</v>
      </c>
      <c r="B2250" s="14" t="s">
        <v>118</v>
      </c>
      <c r="C2250" s="14" t="s">
        <v>340</v>
      </c>
      <c r="D2250" s="14" t="s">
        <v>341</v>
      </c>
      <c r="E2250" s="14" t="s">
        <v>342</v>
      </c>
      <c r="F2250" s="14" t="s">
        <v>343</v>
      </c>
      <c r="G2250" s="14" t="s">
        <v>343</v>
      </c>
      <c r="H2250" s="14" t="s">
        <v>343</v>
      </c>
      <c r="I2250" s="14">
        <v>1</v>
      </c>
      <c r="J2250" s="14">
        <v>1</v>
      </c>
      <c r="K2250" s="14">
        <v>1</v>
      </c>
      <c r="L2250" s="14">
        <v>1</v>
      </c>
      <c r="M2250" s="14">
        <v>1</v>
      </c>
      <c r="N2250" s="14">
        <v>1</v>
      </c>
      <c r="O2250" s="14">
        <v>1</v>
      </c>
      <c r="P2250" s="14">
        <v>1</v>
      </c>
      <c r="Q2250" s="14">
        <v>1</v>
      </c>
      <c r="R2250" s="14">
        <v>1</v>
      </c>
      <c r="S2250" s="14">
        <v>1</v>
      </c>
      <c r="T2250" s="14">
        <v>1</v>
      </c>
      <c r="U2250" s="14">
        <v>1</v>
      </c>
      <c r="V2250" s="14">
        <v>1</v>
      </c>
      <c r="W2250" s="14">
        <v>1</v>
      </c>
      <c r="X2250" s="14">
        <v>1</v>
      </c>
    </row>
    <row r="2251" spans="1:24" hidden="1" x14ac:dyDescent="0.3">
      <c r="A2251" s="14" t="s">
        <v>444</v>
      </c>
      <c r="B2251" s="14" t="s">
        <v>118</v>
      </c>
      <c r="C2251" s="14" t="s">
        <v>340</v>
      </c>
      <c r="D2251" s="14" t="s">
        <v>341</v>
      </c>
      <c r="E2251" s="14" t="s">
        <v>344</v>
      </c>
      <c r="F2251" s="14" t="s">
        <v>343</v>
      </c>
      <c r="G2251" s="14" t="s">
        <v>343</v>
      </c>
      <c r="H2251" s="14" t="s">
        <v>343</v>
      </c>
      <c r="I2251" s="14">
        <v>1</v>
      </c>
      <c r="J2251" s="14">
        <v>1</v>
      </c>
      <c r="K2251" s="14">
        <v>1</v>
      </c>
      <c r="L2251" s="14">
        <v>1</v>
      </c>
      <c r="M2251" s="14">
        <v>30</v>
      </c>
      <c r="N2251" s="14">
        <v>29</v>
      </c>
      <c r="O2251" s="14">
        <v>21</v>
      </c>
      <c r="P2251" s="14">
        <v>35</v>
      </c>
      <c r="Q2251" s="14">
        <v>38</v>
      </c>
      <c r="R2251" s="14">
        <v>1</v>
      </c>
      <c r="S2251" s="14">
        <v>1</v>
      </c>
      <c r="T2251" s="14">
        <v>29</v>
      </c>
      <c r="U2251" s="14">
        <v>31</v>
      </c>
      <c r="V2251" s="14">
        <v>1</v>
      </c>
      <c r="W2251" s="14">
        <v>1</v>
      </c>
      <c r="X2251" s="14">
        <v>1</v>
      </c>
    </row>
    <row r="2252" spans="1:24" hidden="1" x14ac:dyDescent="0.3">
      <c r="A2252" s="14" t="s">
        <v>444</v>
      </c>
      <c r="B2252" s="14" t="s">
        <v>118</v>
      </c>
      <c r="C2252" s="14" t="s">
        <v>345</v>
      </c>
      <c r="D2252" s="14" t="s">
        <v>346</v>
      </c>
      <c r="E2252" s="14" t="s">
        <v>342</v>
      </c>
      <c r="F2252" s="14" t="s">
        <v>343</v>
      </c>
      <c r="G2252" s="14" t="s">
        <v>343</v>
      </c>
      <c r="H2252" s="14" t="s">
        <v>343</v>
      </c>
      <c r="U2252" s="14">
        <v>0.53</v>
      </c>
      <c r="V2252" s="14">
        <v>0.67</v>
      </c>
      <c r="W2252" s="14">
        <v>0.69</v>
      </c>
      <c r="X2252" s="14">
        <v>0.66</v>
      </c>
    </row>
    <row r="2253" spans="1:24" hidden="1" x14ac:dyDescent="0.3">
      <c r="A2253" s="14" t="s">
        <v>444</v>
      </c>
      <c r="B2253" s="14" t="s">
        <v>118</v>
      </c>
      <c r="C2253" s="14" t="s">
        <v>345</v>
      </c>
      <c r="D2253" s="14" t="s">
        <v>346</v>
      </c>
      <c r="E2253" s="14" t="s">
        <v>344</v>
      </c>
      <c r="F2253" s="14" t="s">
        <v>343</v>
      </c>
      <c r="G2253" s="14" t="s">
        <v>343</v>
      </c>
      <c r="H2253" s="14" t="s">
        <v>343</v>
      </c>
      <c r="U2253" s="14">
        <v>104</v>
      </c>
      <c r="V2253" s="14">
        <v>50</v>
      </c>
      <c r="W2253" s="14">
        <v>49</v>
      </c>
      <c r="X2253" s="14">
        <v>65</v>
      </c>
    </row>
    <row r="2254" spans="1:24" hidden="1" x14ac:dyDescent="0.3">
      <c r="A2254" s="14" t="s">
        <v>444</v>
      </c>
      <c r="B2254" s="14" t="s">
        <v>118</v>
      </c>
      <c r="C2254" s="14" t="s">
        <v>347</v>
      </c>
      <c r="D2254" s="14" t="s">
        <v>348</v>
      </c>
      <c r="E2254" s="14" t="s">
        <v>342</v>
      </c>
      <c r="F2254" s="14" t="s">
        <v>343</v>
      </c>
      <c r="G2254" s="14" t="s">
        <v>343</v>
      </c>
      <c r="H2254" s="14" t="s">
        <v>343</v>
      </c>
      <c r="U2254" s="14">
        <v>0.61</v>
      </c>
      <c r="V2254" s="14">
        <v>0.56999999999999995</v>
      </c>
      <c r="W2254" s="14">
        <v>0.62</v>
      </c>
      <c r="X2254" s="14">
        <v>0.54</v>
      </c>
    </row>
    <row r="2255" spans="1:24" hidden="1" x14ac:dyDescent="0.3">
      <c r="A2255" s="14" t="s">
        <v>444</v>
      </c>
      <c r="B2255" s="14" t="s">
        <v>118</v>
      </c>
      <c r="C2255" s="14" t="s">
        <v>347</v>
      </c>
      <c r="D2255" s="14" t="s">
        <v>348</v>
      </c>
      <c r="E2255" s="14" t="s">
        <v>344</v>
      </c>
      <c r="F2255" s="14" t="s">
        <v>343</v>
      </c>
      <c r="G2255" s="14" t="s">
        <v>343</v>
      </c>
      <c r="H2255" s="14" t="s">
        <v>343</v>
      </c>
      <c r="U2255" s="14">
        <v>123</v>
      </c>
      <c r="V2255" s="14">
        <v>127</v>
      </c>
      <c r="W2255" s="14">
        <v>125</v>
      </c>
      <c r="X2255" s="14">
        <v>126</v>
      </c>
    </row>
    <row r="2256" spans="1:24" hidden="1" x14ac:dyDescent="0.3">
      <c r="A2256" s="14" t="s">
        <v>444</v>
      </c>
      <c r="B2256" s="14" t="s">
        <v>118</v>
      </c>
      <c r="C2256" s="14" t="s">
        <v>349</v>
      </c>
      <c r="D2256" s="14" t="s">
        <v>350</v>
      </c>
      <c r="E2256" s="14" t="s">
        <v>342</v>
      </c>
      <c r="F2256" s="14" t="s">
        <v>343</v>
      </c>
      <c r="G2256" s="14" t="s">
        <v>343</v>
      </c>
      <c r="H2256" s="14" t="s">
        <v>343</v>
      </c>
      <c r="U2256" s="14">
        <v>0.94</v>
      </c>
      <c r="V2256" s="14">
        <v>1</v>
      </c>
      <c r="W2256" s="14">
        <v>1</v>
      </c>
      <c r="X2256" s="14">
        <v>0.67</v>
      </c>
    </row>
    <row r="2257" spans="1:24" hidden="1" x14ac:dyDescent="0.3">
      <c r="A2257" s="14" t="s">
        <v>444</v>
      </c>
      <c r="B2257" s="14" t="s">
        <v>118</v>
      </c>
      <c r="C2257" s="14" t="s">
        <v>349</v>
      </c>
      <c r="D2257" s="14" t="s">
        <v>350</v>
      </c>
      <c r="E2257" s="14" t="s">
        <v>344</v>
      </c>
      <c r="F2257" s="14" t="s">
        <v>343</v>
      </c>
      <c r="G2257" s="14" t="s">
        <v>343</v>
      </c>
      <c r="H2257" s="14" t="s">
        <v>343</v>
      </c>
      <c r="U2257" s="14">
        <v>8</v>
      </c>
      <c r="V2257" s="14">
        <v>1</v>
      </c>
      <c r="W2257" s="14">
        <v>1</v>
      </c>
      <c r="X2257" s="14">
        <v>35</v>
      </c>
    </row>
    <row r="2258" spans="1:24" hidden="1" x14ac:dyDescent="0.3">
      <c r="A2258" s="14" t="s">
        <v>444</v>
      </c>
      <c r="B2258" s="14" t="s">
        <v>118</v>
      </c>
      <c r="C2258" s="14" t="s">
        <v>351</v>
      </c>
      <c r="D2258" s="14" t="s">
        <v>352</v>
      </c>
      <c r="E2258" s="14" t="s">
        <v>342</v>
      </c>
      <c r="F2258" s="14" t="s">
        <v>343</v>
      </c>
      <c r="G2258" s="14" t="s">
        <v>343</v>
      </c>
      <c r="H2258" s="14" t="s">
        <v>343</v>
      </c>
      <c r="U2258" s="14">
        <v>0.93</v>
      </c>
      <c r="V2258" s="14">
        <v>0.98</v>
      </c>
      <c r="W2258" s="14">
        <v>1</v>
      </c>
      <c r="X2258" s="14">
        <v>0.91</v>
      </c>
    </row>
    <row r="2259" spans="1:24" hidden="1" x14ac:dyDescent="0.3">
      <c r="A2259" s="14" t="s">
        <v>444</v>
      </c>
      <c r="B2259" s="14" t="s">
        <v>118</v>
      </c>
      <c r="C2259" s="14" t="s">
        <v>351</v>
      </c>
      <c r="D2259" s="14" t="s">
        <v>352</v>
      </c>
      <c r="E2259" s="14" t="s">
        <v>344</v>
      </c>
      <c r="F2259" s="14" t="s">
        <v>343</v>
      </c>
      <c r="G2259" s="14" t="s">
        <v>343</v>
      </c>
      <c r="H2259" s="14" t="s">
        <v>343</v>
      </c>
      <c r="U2259" s="14">
        <v>85</v>
      </c>
      <c r="V2259" s="14">
        <v>73</v>
      </c>
      <c r="W2259" s="14">
        <v>1</v>
      </c>
      <c r="X2259" s="14">
        <v>84</v>
      </c>
    </row>
    <row r="2260" spans="1:24" hidden="1" x14ac:dyDescent="0.3">
      <c r="A2260" s="14" t="s">
        <v>444</v>
      </c>
      <c r="B2260" s="14" t="s">
        <v>118</v>
      </c>
      <c r="C2260" s="14" t="s">
        <v>378</v>
      </c>
      <c r="D2260" s="14" t="s">
        <v>379</v>
      </c>
      <c r="E2260" s="14" t="s">
        <v>342</v>
      </c>
      <c r="F2260" s="14" t="s">
        <v>343</v>
      </c>
      <c r="G2260" s="14" t="s">
        <v>343</v>
      </c>
      <c r="H2260" s="14" t="s">
        <v>343</v>
      </c>
      <c r="S2260" s="14">
        <v>0.62</v>
      </c>
      <c r="U2260" s="14">
        <v>0.59</v>
      </c>
      <c r="V2260" s="14">
        <v>0.59</v>
      </c>
      <c r="W2260" s="14">
        <v>0.56999999999999995</v>
      </c>
      <c r="X2260" s="14">
        <v>0.57999999999999996</v>
      </c>
    </row>
    <row r="2261" spans="1:24" hidden="1" x14ac:dyDescent="0.3">
      <c r="A2261" s="14" t="s">
        <v>444</v>
      </c>
      <c r="B2261" s="14" t="s">
        <v>118</v>
      </c>
      <c r="C2261" s="14" t="s">
        <v>378</v>
      </c>
      <c r="D2261" s="14" t="s">
        <v>379</v>
      </c>
      <c r="E2261" s="14" t="s">
        <v>344</v>
      </c>
      <c r="F2261" s="14" t="s">
        <v>343</v>
      </c>
      <c r="G2261" s="14" t="s">
        <v>343</v>
      </c>
      <c r="H2261" s="14" t="s">
        <v>343</v>
      </c>
      <c r="S2261" s="14">
        <v>85</v>
      </c>
      <c r="U2261" s="14">
        <v>97</v>
      </c>
      <c r="V2261" s="14">
        <v>103</v>
      </c>
      <c r="X2261" s="14">
        <v>108</v>
      </c>
    </row>
    <row r="2262" spans="1:24" hidden="1" x14ac:dyDescent="0.3">
      <c r="A2262" s="14" t="s">
        <v>444</v>
      </c>
      <c r="B2262" s="14" t="s">
        <v>118</v>
      </c>
      <c r="C2262" s="14" t="s">
        <v>353</v>
      </c>
      <c r="D2262" s="14" t="s">
        <v>354</v>
      </c>
      <c r="E2262" s="14" t="s">
        <v>342</v>
      </c>
      <c r="F2262" s="14" t="s">
        <v>343</v>
      </c>
      <c r="G2262" s="14" t="s">
        <v>343</v>
      </c>
      <c r="H2262" s="14" t="s">
        <v>343</v>
      </c>
      <c r="U2262" s="14">
        <v>1</v>
      </c>
      <c r="V2262" s="14">
        <v>1</v>
      </c>
      <c r="W2262" s="14">
        <v>1</v>
      </c>
      <c r="X2262" s="14">
        <v>1</v>
      </c>
    </row>
    <row r="2263" spans="1:24" hidden="1" x14ac:dyDescent="0.3">
      <c r="A2263" s="14" t="s">
        <v>444</v>
      </c>
      <c r="B2263" s="14" t="s">
        <v>118</v>
      </c>
      <c r="C2263" s="14" t="s">
        <v>353</v>
      </c>
      <c r="D2263" s="14" t="s">
        <v>354</v>
      </c>
      <c r="E2263" s="14" t="s">
        <v>344</v>
      </c>
      <c r="F2263" s="14" t="s">
        <v>343</v>
      </c>
      <c r="G2263" s="14" t="s">
        <v>343</v>
      </c>
      <c r="H2263" s="14" t="s">
        <v>343</v>
      </c>
      <c r="U2263" s="14">
        <v>51</v>
      </c>
      <c r="V2263" s="14">
        <v>1</v>
      </c>
      <c r="W2263" s="14">
        <v>1</v>
      </c>
      <c r="X2263" s="14">
        <v>1</v>
      </c>
    </row>
    <row r="2264" spans="1:24" hidden="1" x14ac:dyDescent="0.3">
      <c r="A2264" s="14" t="s">
        <v>444</v>
      </c>
      <c r="B2264" s="14" t="s">
        <v>118</v>
      </c>
      <c r="C2264" s="14" t="s">
        <v>380</v>
      </c>
      <c r="D2264" s="14" t="s">
        <v>381</v>
      </c>
      <c r="E2264" s="14" t="s">
        <v>342</v>
      </c>
      <c r="F2264" s="14" t="s">
        <v>343</v>
      </c>
      <c r="G2264" s="14" t="s">
        <v>343</v>
      </c>
      <c r="H2264" s="14" t="s">
        <v>343</v>
      </c>
      <c r="U2264" s="14">
        <v>1</v>
      </c>
      <c r="V2264" s="14">
        <v>1</v>
      </c>
      <c r="W2264" s="14">
        <v>1</v>
      </c>
      <c r="X2264" s="14">
        <v>1</v>
      </c>
    </row>
    <row r="2265" spans="1:24" hidden="1" x14ac:dyDescent="0.3">
      <c r="A2265" s="14" t="s">
        <v>444</v>
      </c>
      <c r="B2265" s="14" t="s">
        <v>118</v>
      </c>
      <c r="C2265" s="14" t="s">
        <v>380</v>
      </c>
      <c r="D2265" s="14" t="s">
        <v>381</v>
      </c>
      <c r="E2265" s="14" t="s">
        <v>344</v>
      </c>
      <c r="F2265" s="14" t="s">
        <v>343</v>
      </c>
      <c r="G2265" s="14" t="s">
        <v>343</v>
      </c>
      <c r="H2265" s="14" t="s">
        <v>343</v>
      </c>
      <c r="U2265" s="14">
        <v>1</v>
      </c>
      <c r="V2265" s="14">
        <v>1</v>
      </c>
      <c r="W2265" s="14">
        <v>1</v>
      </c>
      <c r="X2265" s="14">
        <v>1</v>
      </c>
    </row>
    <row r="2266" spans="1:24" hidden="1" x14ac:dyDescent="0.3">
      <c r="A2266" s="14" t="s">
        <v>444</v>
      </c>
      <c r="B2266" s="14" t="s">
        <v>118</v>
      </c>
      <c r="C2266" s="14" t="s">
        <v>355</v>
      </c>
      <c r="D2266" s="14" t="s">
        <v>356</v>
      </c>
      <c r="E2266" s="14" t="s">
        <v>342</v>
      </c>
      <c r="F2266" s="14" t="s">
        <v>343</v>
      </c>
      <c r="G2266" s="14" t="s">
        <v>343</v>
      </c>
      <c r="H2266" s="14" t="s">
        <v>343</v>
      </c>
      <c r="U2266" s="14">
        <v>1</v>
      </c>
      <c r="V2266" s="14">
        <v>1</v>
      </c>
      <c r="W2266" s="14">
        <v>1</v>
      </c>
      <c r="X2266" s="14">
        <v>1</v>
      </c>
    </row>
    <row r="2267" spans="1:24" hidden="1" x14ac:dyDescent="0.3">
      <c r="A2267" s="14" t="s">
        <v>444</v>
      </c>
      <c r="B2267" s="14" t="s">
        <v>118</v>
      </c>
      <c r="C2267" s="14" t="s">
        <v>355</v>
      </c>
      <c r="D2267" s="14" t="s">
        <v>356</v>
      </c>
      <c r="E2267" s="14" t="s">
        <v>344</v>
      </c>
      <c r="F2267" s="14" t="s">
        <v>343</v>
      </c>
      <c r="G2267" s="14" t="s">
        <v>343</v>
      </c>
      <c r="H2267" s="14" t="s">
        <v>343</v>
      </c>
      <c r="U2267" s="14">
        <v>1</v>
      </c>
      <c r="V2267" s="14">
        <v>1</v>
      </c>
      <c r="W2267" s="14">
        <v>1</v>
      </c>
      <c r="X2267" s="14">
        <v>1</v>
      </c>
    </row>
    <row r="2268" spans="1:24" hidden="1" x14ac:dyDescent="0.3">
      <c r="A2268" s="14" t="s">
        <v>444</v>
      </c>
      <c r="B2268" s="14" t="s">
        <v>118</v>
      </c>
      <c r="C2268" s="14" t="s">
        <v>357</v>
      </c>
      <c r="D2268" s="14" t="s">
        <v>358</v>
      </c>
      <c r="E2268" s="14" t="s">
        <v>342</v>
      </c>
      <c r="F2268" s="14" t="s">
        <v>343</v>
      </c>
      <c r="G2268" s="14" t="s">
        <v>343</v>
      </c>
      <c r="H2268" s="14" t="s">
        <v>343</v>
      </c>
      <c r="U2268" s="14">
        <v>1</v>
      </c>
      <c r="V2268" s="14">
        <v>1</v>
      </c>
      <c r="W2268" s="14">
        <v>1</v>
      </c>
      <c r="X2268" s="14">
        <v>1</v>
      </c>
    </row>
    <row r="2269" spans="1:24" hidden="1" x14ac:dyDescent="0.3">
      <c r="A2269" s="14" t="s">
        <v>444</v>
      </c>
      <c r="B2269" s="14" t="s">
        <v>118</v>
      </c>
      <c r="C2269" s="14" t="s">
        <v>357</v>
      </c>
      <c r="D2269" s="14" t="s">
        <v>358</v>
      </c>
      <c r="E2269" s="14" t="s">
        <v>344</v>
      </c>
      <c r="F2269" s="14" t="s">
        <v>343</v>
      </c>
      <c r="G2269" s="14" t="s">
        <v>343</v>
      </c>
      <c r="H2269" s="14" t="s">
        <v>343</v>
      </c>
      <c r="U2269" s="14">
        <v>1</v>
      </c>
      <c r="V2269" s="14">
        <v>1</v>
      </c>
      <c r="W2269" s="14">
        <v>1</v>
      </c>
      <c r="X2269" s="14">
        <v>1</v>
      </c>
    </row>
    <row r="2270" spans="1:24" hidden="1" x14ac:dyDescent="0.3">
      <c r="A2270" s="14" t="s">
        <v>444</v>
      </c>
      <c r="B2270" s="14" t="s">
        <v>118</v>
      </c>
      <c r="C2270" s="14" t="s">
        <v>359</v>
      </c>
      <c r="D2270" s="14" t="s">
        <v>360</v>
      </c>
      <c r="E2270" s="14" t="s">
        <v>342</v>
      </c>
      <c r="F2270" s="14" t="s">
        <v>343</v>
      </c>
      <c r="G2270" s="14" t="s">
        <v>343</v>
      </c>
      <c r="H2270" s="14" t="s">
        <v>343</v>
      </c>
      <c r="I2270" s="14">
        <v>0.48</v>
      </c>
      <c r="J2270" s="14">
        <v>0.55000000000000004</v>
      </c>
      <c r="K2270" s="14">
        <v>0.63</v>
      </c>
      <c r="L2270" s="14">
        <v>0.6</v>
      </c>
      <c r="M2270" s="14">
        <v>0.59</v>
      </c>
      <c r="N2270" s="14">
        <v>0.6</v>
      </c>
      <c r="O2270" s="14">
        <v>0.6</v>
      </c>
      <c r="P2270" s="14">
        <v>0.61</v>
      </c>
      <c r="Q2270" s="14">
        <v>0.64</v>
      </c>
      <c r="R2270" s="14">
        <v>0.62</v>
      </c>
      <c r="S2270" s="14">
        <v>0.62</v>
      </c>
      <c r="T2270" s="14">
        <v>0.67</v>
      </c>
      <c r="U2270" s="14">
        <v>0.67</v>
      </c>
      <c r="V2270" s="14">
        <v>0.71</v>
      </c>
      <c r="W2270" s="14">
        <v>0.72</v>
      </c>
      <c r="X2270" s="14">
        <v>0.64</v>
      </c>
    </row>
    <row r="2271" spans="1:24" hidden="1" x14ac:dyDescent="0.3">
      <c r="A2271" s="14" t="s">
        <v>444</v>
      </c>
      <c r="B2271" s="14" t="s">
        <v>118</v>
      </c>
      <c r="C2271" s="14" t="s">
        <v>359</v>
      </c>
      <c r="D2271" s="14" t="s">
        <v>360</v>
      </c>
      <c r="E2271" s="14" t="s">
        <v>344</v>
      </c>
      <c r="F2271" s="14" t="s">
        <v>343</v>
      </c>
      <c r="G2271" s="14" t="s">
        <v>343</v>
      </c>
      <c r="H2271" s="14" t="s">
        <v>343</v>
      </c>
      <c r="I2271" s="14">
        <v>99</v>
      </c>
      <c r="J2271" s="14">
        <v>98</v>
      </c>
      <c r="K2271" s="14">
        <v>70</v>
      </c>
      <c r="L2271" s="14">
        <v>87</v>
      </c>
      <c r="M2271" s="14">
        <v>96</v>
      </c>
      <c r="N2271" s="14">
        <v>91</v>
      </c>
      <c r="O2271" s="14">
        <v>96</v>
      </c>
      <c r="P2271" s="14">
        <v>94</v>
      </c>
      <c r="Q2271" s="14">
        <v>91</v>
      </c>
      <c r="R2271" s="14">
        <v>101</v>
      </c>
      <c r="S2271" s="14">
        <v>96</v>
      </c>
      <c r="T2271" s="14">
        <v>74</v>
      </c>
      <c r="U2271" s="14">
        <v>75</v>
      </c>
      <c r="V2271" s="14">
        <v>55</v>
      </c>
      <c r="W2271" s="14">
        <v>52</v>
      </c>
      <c r="X2271" s="14">
        <v>96</v>
      </c>
    </row>
    <row r="2272" spans="1:24" x14ac:dyDescent="0.3">
      <c r="A2272" s="14" t="s">
        <v>444</v>
      </c>
      <c r="B2272" s="14" t="s">
        <v>118</v>
      </c>
      <c r="C2272" s="14" t="s">
        <v>361</v>
      </c>
      <c r="D2272" s="14" t="s">
        <v>362</v>
      </c>
      <c r="E2272" s="14" t="s">
        <v>342</v>
      </c>
      <c r="F2272" s="14" t="s">
        <v>343</v>
      </c>
      <c r="G2272" s="14" t="s">
        <v>343</v>
      </c>
      <c r="H2272" s="14" t="s">
        <v>343</v>
      </c>
      <c r="I2272" s="14">
        <v>0.98</v>
      </c>
      <c r="J2272" s="14">
        <v>0.98</v>
      </c>
      <c r="K2272" s="14">
        <v>0.98</v>
      </c>
      <c r="L2272" s="14">
        <v>0.98</v>
      </c>
      <c r="M2272" s="14">
        <v>0.98</v>
      </c>
      <c r="N2272" s="14">
        <v>0.98</v>
      </c>
      <c r="O2272" s="14">
        <v>0.98</v>
      </c>
      <c r="P2272" s="14">
        <v>0.98</v>
      </c>
      <c r="Q2272" s="14">
        <v>0.98</v>
      </c>
      <c r="R2272" s="14">
        <v>0.98</v>
      </c>
      <c r="S2272" s="14">
        <v>0.98</v>
      </c>
      <c r="T2272" s="14">
        <v>0.97</v>
      </c>
      <c r="U2272" s="14">
        <v>0.98</v>
      </c>
      <c r="V2272" s="14">
        <v>0.98</v>
      </c>
      <c r="W2272" s="14">
        <v>0.96</v>
      </c>
      <c r="X2272" s="14">
        <v>0.96</v>
      </c>
    </row>
    <row r="2273" spans="1:24" hidden="1" x14ac:dyDescent="0.3">
      <c r="A2273" s="14" t="s">
        <v>444</v>
      </c>
      <c r="B2273" s="14" t="s">
        <v>118</v>
      </c>
      <c r="C2273" s="14" t="s">
        <v>361</v>
      </c>
      <c r="D2273" s="14" t="s">
        <v>362</v>
      </c>
      <c r="E2273" s="14" t="s">
        <v>344</v>
      </c>
      <c r="F2273" s="14" t="s">
        <v>343</v>
      </c>
      <c r="G2273" s="14" t="s">
        <v>343</v>
      </c>
      <c r="H2273" s="14" t="s">
        <v>343</v>
      </c>
      <c r="I2273" s="14">
        <v>1</v>
      </c>
      <c r="J2273" s="14">
        <v>1</v>
      </c>
      <c r="K2273" s="14">
        <v>1</v>
      </c>
      <c r="L2273" s="14">
        <v>1</v>
      </c>
      <c r="M2273" s="14">
        <v>53</v>
      </c>
      <c r="N2273" s="14">
        <v>53</v>
      </c>
      <c r="O2273" s="14">
        <v>55</v>
      </c>
      <c r="P2273" s="14">
        <v>52</v>
      </c>
      <c r="Q2273" s="14">
        <v>59</v>
      </c>
      <c r="R2273" s="14">
        <v>61</v>
      </c>
      <c r="S2273" s="14">
        <v>59</v>
      </c>
      <c r="T2273" s="14">
        <v>78</v>
      </c>
      <c r="U2273" s="14">
        <v>62</v>
      </c>
      <c r="V2273" s="14">
        <v>59</v>
      </c>
      <c r="W2273" s="14">
        <v>122</v>
      </c>
      <c r="X2273" s="14">
        <v>112</v>
      </c>
    </row>
    <row r="2274" spans="1:24" hidden="1" x14ac:dyDescent="0.3">
      <c r="A2274" s="14" t="s">
        <v>444</v>
      </c>
      <c r="B2274" s="14" t="s">
        <v>118</v>
      </c>
      <c r="C2274" s="14" t="s">
        <v>363</v>
      </c>
      <c r="D2274" s="14" t="s">
        <v>364</v>
      </c>
      <c r="E2274" s="14" t="s">
        <v>342</v>
      </c>
      <c r="F2274" s="14" t="s">
        <v>343</v>
      </c>
      <c r="G2274" s="14" t="s">
        <v>343</v>
      </c>
      <c r="H2274" s="14" t="s">
        <v>343</v>
      </c>
      <c r="U2274" s="14">
        <v>1.05</v>
      </c>
      <c r="V2274" s="14">
        <v>1.05</v>
      </c>
      <c r="W2274" s="14">
        <v>1.01</v>
      </c>
      <c r="X2274" s="14">
        <v>1.01</v>
      </c>
    </row>
    <row r="2275" spans="1:24" hidden="1" x14ac:dyDescent="0.3">
      <c r="A2275" s="14" t="s">
        <v>444</v>
      </c>
      <c r="B2275" s="14" t="s">
        <v>118</v>
      </c>
      <c r="C2275" s="14" t="s">
        <v>363</v>
      </c>
      <c r="D2275" s="14" t="s">
        <v>364</v>
      </c>
      <c r="E2275" s="14" t="s">
        <v>344</v>
      </c>
      <c r="F2275" s="14" t="s">
        <v>343</v>
      </c>
      <c r="G2275" s="14" t="s">
        <v>343</v>
      </c>
      <c r="H2275" s="14" t="s">
        <v>343</v>
      </c>
      <c r="U2275" s="14">
        <v>70</v>
      </c>
      <c r="V2275" s="14">
        <v>72</v>
      </c>
      <c r="W2275" s="14">
        <v>130</v>
      </c>
      <c r="X2275" s="14">
        <v>119</v>
      </c>
    </row>
    <row r="2276" spans="1:24" hidden="1" x14ac:dyDescent="0.3">
      <c r="A2276" s="14" t="s">
        <v>444</v>
      </c>
      <c r="B2276" s="14" t="s">
        <v>118</v>
      </c>
      <c r="C2276" s="14" t="s">
        <v>365</v>
      </c>
      <c r="D2276" s="14" t="s">
        <v>366</v>
      </c>
      <c r="E2276" s="14" t="s">
        <v>342</v>
      </c>
      <c r="F2276" s="14" t="s">
        <v>343</v>
      </c>
      <c r="G2276" s="14" t="s">
        <v>343</v>
      </c>
      <c r="H2276" s="14" t="s">
        <v>343</v>
      </c>
      <c r="U2276" s="14">
        <v>0.94</v>
      </c>
      <c r="V2276" s="14">
        <v>0.94</v>
      </c>
      <c r="W2276" s="14">
        <v>0.94</v>
      </c>
      <c r="X2276" s="14">
        <v>0.94</v>
      </c>
    </row>
    <row r="2277" spans="1:24" hidden="1" x14ac:dyDescent="0.3">
      <c r="A2277" s="14" t="s">
        <v>444</v>
      </c>
      <c r="B2277" s="14" t="s">
        <v>118</v>
      </c>
      <c r="C2277" s="14" t="s">
        <v>365</v>
      </c>
      <c r="D2277" s="14" t="s">
        <v>366</v>
      </c>
      <c r="E2277" s="14" t="s">
        <v>344</v>
      </c>
      <c r="F2277" s="14" t="s">
        <v>343</v>
      </c>
      <c r="G2277" s="14" t="s">
        <v>343</v>
      </c>
      <c r="H2277" s="14" t="s">
        <v>343</v>
      </c>
      <c r="U2277" s="14">
        <v>1</v>
      </c>
      <c r="V2277" s="14">
        <v>1</v>
      </c>
      <c r="W2277" s="14">
        <v>1</v>
      </c>
      <c r="X2277" s="14">
        <v>1</v>
      </c>
    </row>
    <row r="2278" spans="1:24" hidden="1" x14ac:dyDescent="0.3">
      <c r="A2278" s="14" t="s">
        <v>444</v>
      </c>
      <c r="B2278" s="14" t="s">
        <v>118</v>
      </c>
      <c r="C2278" s="14" t="s">
        <v>367</v>
      </c>
      <c r="D2278" s="14" t="s">
        <v>368</v>
      </c>
      <c r="E2278" s="14" t="s">
        <v>342</v>
      </c>
      <c r="F2278" s="14" t="s">
        <v>343</v>
      </c>
      <c r="G2278" s="14" t="s">
        <v>343</v>
      </c>
      <c r="H2278" s="14" t="s">
        <v>343</v>
      </c>
      <c r="I2278" s="14">
        <v>0.65</v>
      </c>
      <c r="J2278" s="14">
        <v>0.67</v>
      </c>
      <c r="K2278" s="14">
        <v>0.7</v>
      </c>
      <c r="L2278" s="14">
        <v>0.69</v>
      </c>
      <c r="M2278" s="14">
        <v>0.69</v>
      </c>
      <c r="N2278" s="14">
        <v>0.69</v>
      </c>
      <c r="O2278" s="14">
        <v>0.68</v>
      </c>
      <c r="P2278" s="14">
        <v>0.68</v>
      </c>
      <c r="Q2278" s="14">
        <v>0.69</v>
      </c>
      <c r="R2278" s="14">
        <v>0.69</v>
      </c>
      <c r="S2278" s="14">
        <v>0.69</v>
      </c>
      <c r="T2278" s="14">
        <v>0.71</v>
      </c>
      <c r="U2278" s="14">
        <v>0.71</v>
      </c>
      <c r="V2278" s="14">
        <v>0.72</v>
      </c>
      <c r="W2278" s="14">
        <v>0.72</v>
      </c>
      <c r="X2278" s="14">
        <v>0.7</v>
      </c>
    </row>
    <row r="2279" spans="1:24" hidden="1" x14ac:dyDescent="0.3">
      <c r="A2279" s="14" t="s">
        <v>444</v>
      </c>
      <c r="B2279" s="14" t="s">
        <v>118</v>
      </c>
      <c r="C2279" s="14" t="s">
        <v>367</v>
      </c>
      <c r="D2279" s="14" t="s">
        <v>368</v>
      </c>
      <c r="E2279" s="14" t="s">
        <v>344</v>
      </c>
      <c r="F2279" s="14" t="s">
        <v>343</v>
      </c>
      <c r="G2279" s="14" t="s">
        <v>343</v>
      </c>
      <c r="H2279" s="14" t="s">
        <v>343</v>
      </c>
      <c r="I2279" s="14">
        <v>74</v>
      </c>
      <c r="J2279" s="14">
        <v>68</v>
      </c>
      <c r="K2279" s="14">
        <v>47</v>
      </c>
      <c r="L2279" s="14">
        <v>62</v>
      </c>
      <c r="M2279" s="14">
        <v>54</v>
      </c>
      <c r="N2279" s="14">
        <v>54</v>
      </c>
      <c r="O2279" s="14">
        <v>74</v>
      </c>
      <c r="P2279" s="14">
        <v>82</v>
      </c>
      <c r="Q2279" s="14">
        <v>73</v>
      </c>
      <c r="R2279" s="14">
        <v>80</v>
      </c>
      <c r="S2279" s="14">
        <v>78</v>
      </c>
      <c r="T2279" s="14">
        <v>55</v>
      </c>
      <c r="U2279" s="14">
        <v>68</v>
      </c>
      <c r="V2279" s="14">
        <v>58</v>
      </c>
      <c r="W2279" s="14">
        <v>67</v>
      </c>
      <c r="X2279" s="14">
        <v>82</v>
      </c>
    </row>
    <row r="2280" spans="1:24" hidden="1" x14ac:dyDescent="0.3">
      <c r="A2280" s="14" t="s">
        <v>444</v>
      </c>
      <c r="B2280" s="14" t="s">
        <v>118</v>
      </c>
      <c r="C2280" s="14" t="s">
        <v>369</v>
      </c>
      <c r="D2280" s="14" t="s">
        <v>370</v>
      </c>
      <c r="E2280" s="14" t="s">
        <v>342</v>
      </c>
      <c r="F2280" s="14" t="s">
        <v>343</v>
      </c>
      <c r="G2280" s="14" t="s">
        <v>343</v>
      </c>
      <c r="H2280" s="14" t="s">
        <v>343</v>
      </c>
      <c r="I2280" s="14">
        <v>0.14000000000000001</v>
      </c>
      <c r="J2280" s="14">
        <v>0.14000000000000001</v>
      </c>
      <c r="K2280" s="14">
        <v>0.17</v>
      </c>
      <c r="L2280" s="14">
        <v>0.17</v>
      </c>
      <c r="M2280" s="14">
        <v>0.21</v>
      </c>
      <c r="N2280" s="14">
        <v>0.21</v>
      </c>
      <c r="O2280" s="14">
        <v>0.13</v>
      </c>
      <c r="P2280" s="14">
        <v>0.13</v>
      </c>
      <c r="Q2280" s="14">
        <v>0.16</v>
      </c>
      <c r="R2280" s="14">
        <v>0.16</v>
      </c>
      <c r="S2280" s="14">
        <v>0.16</v>
      </c>
      <c r="T2280" s="14">
        <v>0.2</v>
      </c>
      <c r="U2280" s="14">
        <v>0.18</v>
      </c>
      <c r="V2280" s="14">
        <v>0.2</v>
      </c>
      <c r="W2280" s="14">
        <v>0.18</v>
      </c>
      <c r="X2280" s="14">
        <v>0.21</v>
      </c>
    </row>
    <row r="2281" spans="1:24" hidden="1" x14ac:dyDescent="0.3">
      <c r="A2281" s="14" t="s">
        <v>444</v>
      </c>
      <c r="B2281" s="14" t="s">
        <v>118</v>
      </c>
      <c r="C2281" s="14" t="s">
        <v>369</v>
      </c>
      <c r="D2281" s="14" t="s">
        <v>370</v>
      </c>
      <c r="E2281" s="14" t="s">
        <v>344</v>
      </c>
      <c r="F2281" s="14" t="s">
        <v>343</v>
      </c>
      <c r="G2281" s="14" t="s">
        <v>343</v>
      </c>
      <c r="H2281" s="14" t="s">
        <v>343</v>
      </c>
      <c r="I2281" s="14">
        <v>42</v>
      </c>
      <c r="J2281" s="14">
        <v>48</v>
      </c>
      <c r="K2281" s="14">
        <v>41</v>
      </c>
      <c r="L2281" s="14">
        <v>41</v>
      </c>
      <c r="M2281" s="14">
        <v>35</v>
      </c>
      <c r="N2281" s="14">
        <v>37</v>
      </c>
      <c r="O2281" s="14">
        <v>75</v>
      </c>
      <c r="P2281" s="14">
        <v>78</v>
      </c>
      <c r="Q2281" s="14">
        <v>69</v>
      </c>
      <c r="R2281" s="14">
        <v>74</v>
      </c>
      <c r="S2281" s="14">
        <v>75</v>
      </c>
      <c r="T2281" s="14">
        <v>61</v>
      </c>
      <c r="U2281" s="14">
        <v>73</v>
      </c>
      <c r="V2281" s="14">
        <v>68</v>
      </c>
      <c r="W2281" s="14">
        <v>85</v>
      </c>
      <c r="X2281" s="14">
        <v>71</v>
      </c>
    </row>
    <row r="2282" spans="1:24" hidden="1" x14ac:dyDescent="0.3">
      <c r="A2282" s="14" t="s">
        <v>444</v>
      </c>
      <c r="B2282" s="14" t="s">
        <v>118</v>
      </c>
      <c r="C2282" s="14" t="s">
        <v>371</v>
      </c>
      <c r="D2282" s="14" t="s">
        <v>372</v>
      </c>
      <c r="E2282" s="14" t="s">
        <v>342</v>
      </c>
      <c r="F2282" s="14" t="s">
        <v>343</v>
      </c>
      <c r="G2282" s="14" t="s">
        <v>343</v>
      </c>
      <c r="H2282" s="14" t="s">
        <v>343</v>
      </c>
      <c r="U2282" s="14">
        <v>0</v>
      </c>
      <c r="V2282" s="14">
        <v>0</v>
      </c>
      <c r="W2282" s="14">
        <v>0</v>
      </c>
      <c r="X2282" s="14">
        <v>0</v>
      </c>
    </row>
    <row r="2283" spans="1:24" hidden="1" x14ac:dyDescent="0.3">
      <c r="A2283" s="14" t="s">
        <v>444</v>
      </c>
      <c r="B2283" s="14" t="s">
        <v>118</v>
      </c>
      <c r="C2283" s="14" t="s">
        <v>371</v>
      </c>
      <c r="D2283" s="14" t="s">
        <v>372</v>
      </c>
      <c r="E2283" s="14" t="s">
        <v>344</v>
      </c>
      <c r="F2283" s="14" t="s">
        <v>343</v>
      </c>
      <c r="G2283" s="14" t="s">
        <v>343</v>
      </c>
      <c r="H2283" s="14" t="s">
        <v>343</v>
      </c>
      <c r="U2283" s="14">
        <v>71</v>
      </c>
      <c r="V2283" s="14">
        <v>73</v>
      </c>
      <c r="W2283" s="14">
        <v>76</v>
      </c>
      <c r="X2283" s="14">
        <v>73</v>
      </c>
    </row>
    <row r="2284" spans="1:24" hidden="1" x14ac:dyDescent="0.3">
      <c r="A2284" s="14" t="s">
        <v>444</v>
      </c>
      <c r="B2284" s="14" t="s">
        <v>118</v>
      </c>
      <c r="C2284" s="14" t="s">
        <v>373</v>
      </c>
      <c r="D2284" s="14" t="s">
        <v>374</v>
      </c>
      <c r="E2284" s="14" t="s">
        <v>342</v>
      </c>
      <c r="F2284" s="14" t="s">
        <v>343</v>
      </c>
      <c r="G2284" s="14" t="s">
        <v>343</v>
      </c>
      <c r="H2284" s="14" t="s">
        <v>343</v>
      </c>
      <c r="U2284" s="14">
        <v>0.38</v>
      </c>
      <c r="V2284" s="14">
        <v>0.47</v>
      </c>
      <c r="W2284" s="14">
        <v>0.39</v>
      </c>
      <c r="X2284" s="14">
        <v>0.39</v>
      </c>
    </row>
    <row r="2285" spans="1:24" hidden="1" x14ac:dyDescent="0.3">
      <c r="A2285" s="14" t="s">
        <v>444</v>
      </c>
      <c r="B2285" s="14" t="s">
        <v>118</v>
      </c>
      <c r="C2285" s="14" t="s">
        <v>373</v>
      </c>
      <c r="D2285" s="14" t="s">
        <v>374</v>
      </c>
      <c r="E2285" s="14" t="s">
        <v>344</v>
      </c>
      <c r="F2285" s="14" t="s">
        <v>343</v>
      </c>
      <c r="G2285" s="14" t="s">
        <v>343</v>
      </c>
      <c r="H2285" s="14" t="s">
        <v>343</v>
      </c>
      <c r="U2285" s="14">
        <v>31</v>
      </c>
      <c r="V2285" s="14">
        <v>31</v>
      </c>
      <c r="W2285" s="14">
        <v>59</v>
      </c>
      <c r="X2285" s="14">
        <v>57</v>
      </c>
    </row>
    <row r="2286" spans="1:24" hidden="1" x14ac:dyDescent="0.3">
      <c r="A2286" s="14" t="s">
        <v>444</v>
      </c>
      <c r="B2286" s="14" t="s">
        <v>118</v>
      </c>
      <c r="C2286" s="14" t="s">
        <v>375</v>
      </c>
      <c r="D2286" s="14" t="s">
        <v>376</v>
      </c>
      <c r="E2286" s="14" t="s">
        <v>342</v>
      </c>
      <c r="F2286" s="14" t="s">
        <v>343</v>
      </c>
      <c r="G2286" s="14" t="s">
        <v>343</v>
      </c>
      <c r="H2286" s="14" t="s">
        <v>343</v>
      </c>
      <c r="U2286" s="14">
        <v>0.27</v>
      </c>
      <c r="V2286" s="14">
        <v>0.27</v>
      </c>
      <c r="W2286" s="14">
        <v>0.27</v>
      </c>
      <c r="X2286" s="14">
        <v>0.38</v>
      </c>
    </row>
    <row r="2287" spans="1:24" hidden="1" x14ac:dyDescent="0.3">
      <c r="A2287" s="14" t="s">
        <v>444</v>
      </c>
      <c r="B2287" s="14" t="s">
        <v>118</v>
      </c>
      <c r="C2287" s="14" t="s">
        <v>375</v>
      </c>
      <c r="D2287" s="14" t="s">
        <v>376</v>
      </c>
      <c r="E2287" s="14" t="s">
        <v>344</v>
      </c>
      <c r="F2287" s="14" t="s">
        <v>343</v>
      </c>
      <c r="G2287" s="14" t="s">
        <v>343</v>
      </c>
      <c r="H2287" s="14" t="s">
        <v>343</v>
      </c>
      <c r="U2287" s="14">
        <v>76</v>
      </c>
      <c r="V2287" s="14">
        <v>83</v>
      </c>
      <c r="W2287" s="14">
        <v>95</v>
      </c>
      <c r="X2287" s="14">
        <v>67</v>
      </c>
    </row>
    <row r="2288" spans="1:24" hidden="1" x14ac:dyDescent="0.3">
      <c r="A2288" s="14" t="s">
        <v>445</v>
      </c>
      <c r="B2288" s="14" t="s">
        <v>77</v>
      </c>
      <c r="C2288" s="14" t="s">
        <v>340</v>
      </c>
      <c r="D2288" s="14" t="s">
        <v>341</v>
      </c>
      <c r="E2288" s="14" t="s">
        <v>342</v>
      </c>
      <c r="F2288" s="14" t="s">
        <v>343</v>
      </c>
      <c r="G2288" s="14" t="s">
        <v>343</v>
      </c>
      <c r="H2288" s="14" t="s">
        <v>343</v>
      </c>
      <c r="I2288" s="14">
        <v>0.99</v>
      </c>
      <c r="J2288" s="14">
        <v>0.99</v>
      </c>
      <c r="K2288" s="14">
        <v>0.99</v>
      </c>
      <c r="L2288" s="14">
        <v>0.99</v>
      </c>
      <c r="M2288" s="14">
        <v>0.99</v>
      </c>
      <c r="N2288" s="14">
        <v>1</v>
      </c>
      <c r="O2288" s="14">
        <v>1</v>
      </c>
      <c r="P2288" s="14">
        <v>1</v>
      </c>
      <c r="Q2288" s="14">
        <v>0.99</v>
      </c>
      <c r="R2288" s="14">
        <v>0.99</v>
      </c>
      <c r="S2288" s="14">
        <v>1</v>
      </c>
      <c r="T2288" s="14">
        <v>1</v>
      </c>
      <c r="U2288" s="14">
        <v>1</v>
      </c>
      <c r="V2288" s="14">
        <v>1</v>
      </c>
      <c r="W2288" s="14">
        <v>1</v>
      </c>
    </row>
    <row r="2289" spans="1:23" hidden="1" x14ac:dyDescent="0.3">
      <c r="A2289" s="14" t="s">
        <v>445</v>
      </c>
      <c r="B2289" s="14" t="s">
        <v>77</v>
      </c>
      <c r="C2289" s="14" t="s">
        <v>340</v>
      </c>
      <c r="D2289" s="14" t="s">
        <v>341</v>
      </c>
      <c r="E2289" s="14" t="s">
        <v>344</v>
      </c>
      <c r="F2289" s="14" t="s">
        <v>343</v>
      </c>
      <c r="G2289" s="14" t="s">
        <v>343</v>
      </c>
      <c r="H2289" s="14" t="s">
        <v>343</v>
      </c>
      <c r="I2289" s="14">
        <v>50</v>
      </c>
      <c r="J2289" s="14">
        <v>61</v>
      </c>
      <c r="K2289" s="14">
        <v>56</v>
      </c>
      <c r="L2289" s="14">
        <v>55</v>
      </c>
      <c r="M2289" s="14">
        <v>53</v>
      </c>
      <c r="N2289" s="14">
        <v>44</v>
      </c>
      <c r="O2289" s="14">
        <v>46</v>
      </c>
      <c r="P2289" s="14">
        <v>47</v>
      </c>
      <c r="Q2289" s="14">
        <v>65</v>
      </c>
      <c r="R2289" s="14">
        <v>65</v>
      </c>
      <c r="S2289" s="14">
        <v>57</v>
      </c>
      <c r="T2289" s="14">
        <v>58</v>
      </c>
      <c r="U2289" s="14">
        <v>44</v>
      </c>
      <c r="V2289" s="14">
        <v>62</v>
      </c>
      <c r="W2289" s="14">
        <v>64</v>
      </c>
    </row>
    <row r="2290" spans="1:23" hidden="1" x14ac:dyDescent="0.3">
      <c r="A2290" s="14" t="s">
        <v>445</v>
      </c>
      <c r="B2290" s="14" t="s">
        <v>77</v>
      </c>
      <c r="C2290" s="14" t="s">
        <v>345</v>
      </c>
      <c r="D2290" s="14" t="s">
        <v>346</v>
      </c>
      <c r="E2290" s="14" t="s">
        <v>342</v>
      </c>
      <c r="F2290" s="14" t="s">
        <v>343</v>
      </c>
      <c r="G2290" s="14" t="s">
        <v>343</v>
      </c>
      <c r="H2290" s="14" t="s">
        <v>343</v>
      </c>
      <c r="U2290" s="14">
        <v>0.73</v>
      </c>
      <c r="V2290" s="14">
        <v>0.69</v>
      </c>
      <c r="W2290" s="14">
        <v>0.73</v>
      </c>
    </row>
    <row r="2291" spans="1:23" hidden="1" x14ac:dyDescent="0.3">
      <c r="A2291" s="14" t="s">
        <v>445</v>
      </c>
      <c r="B2291" s="14" t="s">
        <v>77</v>
      </c>
      <c r="C2291" s="14" t="s">
        <v>345</v>
      </c>
      <c r="D2291" s="14" t="s">
        <v>346</v>
      </c>
      <c r="E2291" s="14" t="s">
        <v>344</v>
      </c>
      <c r="F2291" s="14" t="s">
        <v>343</v>
      </c>
      <c r="G2291" s="14" t="s">
        <v>343</v>
      </c>
      <c r="H2291" s="14" t="s">
        <v>343</v>
      </c>
      <c r="U2291" s="14">
        <v>21</v>
      </c>
      <c r="V2291" s="14">
        <v>42</v>
      </c>
      <c r="W2291" s="14">
        <v>28</v>
      </c>
    </row>
    <row r="2292" spans="1:23" hidden="1" x14ac:dyDescent="0.3">
      <c r="A2292" s="14" t="s">
        <v>445</v>
      </c>
      <c r="B2292" s="14" t="s">
        <v>77</v>
      </c>
      <c r="C2292" s="14" t="s">
        <v>347</v>
      </c>
      <c r="D2292" s="14" t="s">
        <v>348</v>
      </c>
      <c r="E2292" s="14" t="s">
        <v>342</v>
      </c>
      <c r="F2292" s="14" t="s">
        <v>343</v>
      </c>
      <c r="G2292" s="14" t="s">
        <v>343</v>
      </c>
      <c r="H2292" s="14" t="s">
        <v>343</v>
      </c>
      <c r="U2292" s="14">
        <v>0.87</v>
      </c>
      <c r="V2292" s="14">
        <v>0.86</v>
      </c>
      <c r="W2292" s="14">
        <v>0.86</v>
      </c>
    </row>
    <row r="2293" spans="1:23" hidden="1" x14ac:dyDescent="0.3">
      <c r="A2293" s="14" t="s">
        <v>445</v>
      </c>
      <c r="B2293" s="14" t="s">
        <v>77</v>
      </c>
      <c r="C2293" s="14" t="s">
        <v>347</v>
      </c>
      <c r="D2293" s="14" t="s">
        <v>348</v>
      </c>
      <c r="E2293" s="14" t="s">
        <v>344</v>
      </c>
      <c r="F2293" s="14" t="s">
        <v>343</v>
      </c>
      <c r="G2293" s="14" t="s">
        <v>343</v>
      </c>
      <c r="H2293" s="14" t="s">
        <v>343</v>
      </c>
      <c r="U2293" s="14">
        <v>55</v>
      </c>
      <c r="V2293" s="14">
        <v>58</v>
      </c>
      <c r="W2293" s="14">
        <v>62</v>
      </c>
    </row>
    <row r="2294" spans="1:23" hidden="1" x14ac:dyDescent="0.3">
      <c r="A2294" s="14" t="s">
        <v>445</v>
      </c>
      <c r="B2294" s="14" t="s">
        <v>77</v>
      </c>
      <c r="C2294" s="14" t="s">
        <v>349</v>
      </c>
      <c r="D2294" s="14" t="s">
        <v>350</v>
      </c>
      <c r="E2294" s="14" t="s">
        <v>342</v>
      </c>
      <c r="F2294" s="14" t="s">
        <v>343</v>
      </c>
      <c r="G2294" s="14" t="s">
        <v>343</v>
      </c>
      <c r="H2294" s="14" t="s">
        <v>343</v>
      </c>
      <c r="U2294" s="14">
        <v>0.41</v>
      </c>
      <c r="V2294" s="14">
        <v>0.43</v>
      </c>
      <c r="W2294" s="14">
        <v>0.36</v>
      </c>
    </row>
    <row r="2295" spans="1:23" hidden="1" x14ac:dyDescent="0.3">
      <c r="A2295" s="14" t="s">
        <v>445</v>
      </c>
      <c r="B2295" s="14" t="s">
        <v>77</v>
      </c>
      <c r="C2295" s="14" t="s">
        <v>349</v>
      </c>
      <c r="D2295" s="14" t="s">
        <v>350</v>
      </c>
      <c r="E2295" s="14" t="s">
        <v>344</v>
      </c>
      <c r="F2295" s="14" t="s">
        <v>343</v>
      </c>
      <c r="G2295" s="14" t="s">
        <v>343</v>
      </c>
      <c r="H2295" s="14" t="s">
        <v>343</v>
      </c>
      <c r="U2295" s="14">
        <v>89</v>
      </c>
      <c r="V2295" s="14">
        <v>86</v>
      </c>
      <c r="W2295" s="14">
        <v>103</v>
      </c>
    </row>
    <row r="2296" spans="1:23" hidden="1" x14ac:dyDescent="0.3">
      <c r="A2296" s="14" t="s">
        <v>445</v>
      </c>
      <c r="B2296" s="14" t="s">
        <v>77</v>
      </c>
      <c r="C2296" s="14" t="s">
        <v>351</v>
      </c>
      <c r="D2296" s="14" t="s">
        <v>352</v>
      </c>
      <c r="E2296" s="14" t="s">
        <v>342</v>
      </c>
      <c r="F2296" s="14" t="s">
        <v>343</v>
      </c>
      <c r="G2296" s="14" t="s">
        <v>343</v>
      </c>
      <c r="H2296" s="14" t="s">
        <v>343</v>
      </c>
      <c r="U2296" s="14">
        <v>1</v>
      </c>
      <c r="V2296" s="14">
        <v>1</v>
      </c>
      <c r="W2296" s="14">
        <v>1</v>
      </c>
    </row>
    <row r="2297" spans="1:23" hidden="1" x14ac:dyDescent="0.3">
      <c r="A2297" s="14" t="s">
        <v>445</v>
      </c>
      <c r="B2297" s="14" t="s">
        <v>77</v>
      </c>
      <c r="C2297" s="14" t="s">
        <v>351</v>
      </c>
      <c r="D2297" s="14" t="s">
        <v>352</v>
      </c>
      <c r="E2297" s="14" t="s">
        <v>344</v>
      </c>
      <c r="F2297" s="14" t="s">
        <v>343</v>
      </c>
      <c r="G2297" s="14" t="s">
        <v>343</v>
      </c>
      <c r="H2297" s="14" t="s">
        <v>343</v>
      </c>
      <c r="U2297" s="14">
        <v>1</v>
      </c>
      <c r="V2297" s="14">
        <v>1</v>
      </c>
      <c r="W2297" s="14">
        <v>1</v>
      </c>
    </row>
    <row r="2298" spans="1:23" hidden="1" x14ac:dyDescent="0.3">
      <c r="A2298" s="14" t="s">
        <v>445</v>
      </c>
      <c r="B2298" s="14" t="s">
        <v>77</v>
      </c>
      <c r="C2298" s="14" t="s">
        <v>378</v>
      </c>
      <c r="D2298" s="14" t="s">
        <v>379</v>
      </c>
      <c r="E2298" s="14" t="s">
        <v>342</v>
      </c>
      <c r="F2298" s="14" t="s">
        <v>343</v>
      </c>
      <c r="G2298" s="14" t="s">
        <v>343</v>
      </c>
      <c r="H2298" s="14" t="s">
        <v>343</v>
      </c>
      <c r="U2298" s="14">
        <v>0.53</v>
      </c>
      <c r="V2298" s="14">
        <v>0.53</v>
      </c>
      <c r="W2298" s="14">
        <v>0.51</v>
      </c>
    </row>
    <row r="2299" spans="1:23" hidden="1" x14ac:dyDescent="0.3">
      <c r="A2299" s="14" t="s">
        <v>445</v>
      </c>
      <c r="B2299" s="14" t="s">
        <v>77</v>
      </c>
      <c r="C2299" s="14" t="s">
        <v>378</v>
      </c>
      <c r="D2299" s="14" t="s">
        <v>379</v>
      </c>
      <c r="E2299" s="14" t="s">
        <v>344</v>
      </c>
      <c r="F2299" s="14" t="s">
        <v>343</v>
      </c>
      <c r="G2299" s="14" t="s">
        <v>343</v>
      </c>
      <c r="H2299" s="14" t="s">
        <v>343</v>
      </c>
      <c r="S2299" s="14">
        <v>113</v>
      </c>
      <c r="U2299" s="14">
        <v>120</v>
      </c>
      <c r="V2299" s="14">
        <v>123</v>
      </c>
      <c r="W2299" s="14">
        <v>130</v>
      </c>
    </row>
    <row r="2300" spans="1:23" hidden="1" x14ac:dyDescent="0.3">
      <c r="A2300" s="14" t="s">
        <v>445</v>
      </c>
      <c r="B2300" s="14" t="s">
        <v>77</v>
      </c>
      <c r="C2300" s="14" t="s">
        <v>353</v>
      </c>
      <c r="D2300" s="14" t="s">
        <v>354</v>
      </c>
      <c r="E2300" s="14" t="s">
        <v>342</v>
      </c>
      <c r="F2300" s="14" t="s">
        <v>343</v>
      </c>
      <c r="G2300" s="14" t="s">
        <v>343</v>
      </c>
      <c r="H2300" s="14" t="s">
        <v>343</v>
      </c>
      <c r="U2300" s="14">
        <v>0.99</v>
      </c>
      <c r="V2300" s="14">
        <v>0.99</v>
      </c>
      <c r="W2300" s="14">
        <v>0.99</v>
      </c>
    </row>
    <row r="2301" spans="1:23" hidden="1" x14ac:dyDescent="0.3">
      <c r="A2301" s="14" t="s">
        <v>445</v>
      </c>
      <c r="B2301" s="14" t="s">
        <v>77</v>
      </c>
      <c r="C2301" s="14" t="s">
        <v>353</v>
      </c>
      <c r="D2301" s="14" t="s">
        <v>354</v>
      </c>
      <c r="E2301" s="14" t="s">
        <v>344</v>
      </c>
      <c r="F2301" s="14" t="s">
        <v>343</v>
      </c>
      <c r="G2301" s="14" t="s">
        <v>343</v>
      </c>
      <c r="H2301" s="14" t="s">
        <v>343</v>
      </c>
      <c r="U2301" s="14">
        <v>64</v>
      </c>
      <c r="V2301" s="14">
        <v>70</v>
      </c>
      <c r="W2301" s="14">
        <v>70</v>
      </c>
    </row>
    <row r="2302" spans="1:23" hidden="1" x14ac:dyDescent="0.3">
      <c r="A2302" s="14" t="s">
        <v>445</v>
      </c>
      <c r="B2302" s="14" t="s">
        <v>77</v>
      </c>
      <c r="C2302" s="14" t="s">
        <v>380</v>
      </c>
      <c r="D2302" s="14" t="s">
        <v>381</v>
      </c>
      <c r="E2302" s="14" t="s">
        <v>342</v>
      </c>
      <c r="F2302" s="14" t="s">
        <v>343</v>
      </c>
      <c r="G2302" s="14" t="s">
        <v>343</v>
      </c>
      <c r="H2302" s="14" t="s">
        <v>343</v>
      </c>
      <c r="U2302" s="14">
        <v>1</v>
      </c>
      <c r="V2302" s="14">
        <v>0.99</v>
      </c>
      <c r="W2302" s="14">
        <v>0.99</v>
      </c>
    </row>
    <row r="2303" spans="1:23" hidden="1" x14ac:dyDescent="0.3">
      <c r="A2303" s="14" t="s">
        <v>445</v>
      </c>
      <c r="B2303" s="14" t="s">
        <v>77</v>
      </c>
      <c r="C2303" s="14" t="s">
        <v>380</v>
      </c>
      <c r="D2303" s="14" t="s">
        <v>381</v>
      </c>
      <c r="E2303" s="14" t="s">
        <v>344</v>
      </c>
      <c r="F2303" s="14" t="s">
        <v>343</v>
      </c>
      <c r="G2303" s="14" t="s">
        <v>343</v>
      </c>
      <c r="H2303" s="14" t="s">
        <v>343</v>
      </c>
      <c r="U2303" s="14">
        <v>64</v>
      </c>
      <c r="V2303" s="14">
        <v>104</v>
      </c>
      <c r="W2303" s="14">
        <v>106</v>
      </c>
    </row>
    <row r="2304" spans="1:23" hidden="1" x14ac:dyDescent="0.3">
      <c r="A2304" s="14" t="s">
        <v>445</v>
      </c>
      <c r="B2304" s="14" t="s">
        <v>77</v>
      </c>
      <c r="C2304" s="14" t="s">
        <v>355</v>
      </c>
      <c r="D2304" s="14" t="s">
        <v>356</v>
      </c>
      <c r="E2304" s="14" t="s">
        <v>342</v>
      </c>
      <c r="F2304" s="14" t="s">
        <v>343</v>
      </c>
      <c r="G2304" s="14" t="s">
        <v>343</v>
      </c>
      <c r="H2304" s="14" t="s">
        <v>343</v>
      </c>
      <c r="U2304" s="14">
        <v>1</v>
      </c>
      <c r="V2304" s="14">
        <v>1</v>
      </c>
      <c r="W2304" s="14">
        <v>1</v>
      </c>
    </row>
    <row r="2305" spans="1:23" hidden="1" x14ac:dyDescent="0.3">
      <c r="A2305" s="14" t="s">
        <v>445</v>
      </c>
      <c r="B2305" s="14" t="s">
        <v>77</v>
      </c>
      <c r="C2305" s="14" t="s">
        <v>355</v>
      </c>
      <c r="D2305" s="14" t="s">
        <v>356</v>
      </c>
      <c r="E2305" s="14" t="s">
        <v>344</v>
      </c>
      <c r="F2305" s="14" t="s">
        <v>343</v>
      </c>
      <c r="G2305" s="14" t="s">
        <v>343</v>
      </c>
      <c r="H2305" s="14" t="s">
        <v>343</v>
      </c>
      <c r="U2305" s="14">
        <v>1</v>
      </c>
      <c r="V2305" s="14">
        <v>1</v>
      </c>
      <c r="W2305" s="14">
        <v>1</v>
      </c>
    </row>
    <row r="2306" spans="1:23" hidden="1" x14ac:dyDescent="0.3">
      <c r="A2306" s="14" t="s">
        <v>445</v>
      </c>
      <c r="B2306" s="14" t="s">
        <v>77</v>
      </c>
      <c r="C2306" s="14" t="s">
        <v>357</v>
      </c>
      <c r="D2306" s="14" t="s">
        <v>358</v>
      </c>
      <c r="E2306" s="14" t="s">
        <v>342</v>
      </c>
      <c r="F2306" s="14" t="s">
        <v>343</v>
      </c>
      <c r="G2306" s="14" t="s">
        <v>343</v>
      </c>
      <c r="H2306" s="14" t="s">
        <v>343</v>
      </c>
      <c r="U2306" s="14">
        <v>1</v>
      </c>
      <c r="V2306" s="14">
        <v>1</v>
      </c>
      <c r="W2306" s="14">
        <v>1</v>
      </c>
    </row>
    <row r="2307" spans="1:23" hidden="1" x14ac:dyDescent="0.3">
      <c r="A2307" s="14" t="s">
        <v>445</v>
      </c>
      <c r="B2307" s="14" t="s">
        <v>77</v>
      </c>
      <c r="C2307" s="14" t="s">
        <v>357</v>
      </c>
      <c r="D2307" s="14" t="s">
        <v>358</v>
      </c>
      <c r="E2307" s="14" t="s">
        <v>344</v>
      </c>
      <c r="F2307" s="14" t="s">
        <v>343</v>
      </c>
      <c r="G2307" s="14" t="s">
        <v>343</v>
      </c>
      <c r="H2307" s="14" t="s">
        <v>343</v>
      </c>
      <c r="U2307" s="14">
        <v>1</v>
      </c>
      <c r="V2307" s="14">
        <v>1</v>
      </c>
      <c r="W2307" s="14">
        <v>1</v>
      </c>
    </row>
    <row r="2308" spans="1:23" hidden="1" x14ac:dyDescent="0.3">
      <c r="A2308" s="14" t="s">
        <v>445</v>
      </c>
      <c r="B2308" s="14" t="s">
        <v>77</v>
      </c>
      <c r="C2308" s="14" t="s">
        <v>359</v>
      </c>
      <c r="D2308" s="14" t="s">
        <v>360</v>
      </c>
      <c r="E2308" s="14" t="s">
        <v>342</v>
      </c>
      <c r="F2308" s="14" t="s">
        <v>343</v>
      </c>
      <c r="G2308" s="14" t="s">
        <v>343</v>
      </c>
      <c r="H2308" s="14" t="s">
        <v>343</v>
      </c>
      <c r="I2308" s="14">
        <v>0.65</v>
      </c>
      <c r="J2308" s="14">
        <v>0.68</v>
      </c>
      <c r="K2308" s="14">
        <v>0.66</v>
      </c>
      <c r="L2308" s="14">
        <v>0.65</v>
      </c>
      <c r="M2308" s="14">
        <v>0.66</v>
      </c>
      <c r="N2308" s="14">
        <v>0.67</v>
      </c>
      <c r="O2308" s="14">
        <v>0.67</v>
      </c>
      <c r="P2308" s="14">
        <v>0.68</v>
      </c>
      <c r="Q2308" s="14">
        <v>0.68</v>
      </c>
      <c r="R2308" s="14">
        <v>0.66</v>
      </c>
      <c r="S2308" s="14">
        <v>0.67</v>
      </c>
      <c r="T2308" s="14">
        <v>0.69</v>
      </c>
      <c r="U2308" s="14">
        <v>0.68</v>
      </c>
      <c r="V2308" s="14">
        <v>0.67</v>
      </c>
      <c r="W2308" s="14">
        <v>0.67</v>
      </c>
    </row>
    <row r="2309" spans="1:23" hidden="1" x14ac:dyDescent="0.3">
      <c r="A2309" s="14" t="s">
        <v>445</v>
      </c>
      <c r="B2309" s="14" t="s">
        <v>77</v>
      </c>
      <c r="C2309" s="14" t="s">
        <v>359</v>
      </c>
      <c r="D2309" s="14" t="s">
        <v>360</v>
      </c>
      <c r="E2309" s="14" t="s">
        <v>344</v>
      </c>
      <c r="F2309" s="14" t="s">
        <v>343</v>
      </c>
      <c r="G2309" s="14" t="s">
        <v>343</v>
      </c>
      <c r="H2309" s="14" t="s">
        <v>343</v>
      </c>
      <c r="I2309" s="14">
        <v>42</v>
      </c>
      <c r="J2309" s="14">
        <v>40</v>
      </c>
      <c r="K2309" s="14">
        <v>57</v>
      </c>
      <c r="L2309" s="14">
        <v>69</v>
      </c>
      <c r="M2309" s="14">
        <v>61</v>
      </c>
      <c r="N2309" s="14">
        <v>56</v>
      </c>
      <c r="O2309" s="14">
        <v>61</v>
      </c>
      <c r="P2309" s="14">
        <v>61</v>
      </c>
      <c r="Q2309" s="14">
        <v>65</v>
      </c>
      <c r="R2309" s="14">
        <v>78</v>
      </c>
      <c r="S2309" s="14">
        <v>68</v>
      </c>
      <c r="T2309" s="14">
        <v>63</v>
      </c>
      <c r="U2309" s="14">
        <v>67</v>
      </c>
      <c r="V2309" s="14">
        <v>77</v>
      </c>
      <c r="W2309" s="14">
        <v>87</v>
      </c>
    </row>
    <row r="2310" spans="1:23" x14ac:dyDescent="0.3">
      <c r="A2310" s="14" t="s">
        <v>445</v>
      </c>
      <c r="B2310" s="14" t="s">
        <v>77</v>
      </c>
      <c r="C2310" s="14" t="s">
        <v>361</v>
      </c>
      <c r="D2310" s="14" t="s">
        <v>362</v>
      </c>
      <c r="E2310" s="14" t="s">
        <v>342</v>
      </c>
      <c r="F2310" s="14" t="s">
        <v>343</v>
      </c>
      <c r="G2310" s="14" t="s">
        <v>343</v>
      </c>
      <c r="H2310" s="14" t="s">
        <v>343</v>
      </c>
      <c r="I2310" s="14">
        <v>0.98</v>
      </c>
      <c r="J2310" s="14">
        <v>0.98</v>
      </c>
      <c r="K2310" s="14">
        <v>0.98</v>
      </c>
      <c r="L2310" s="14">
        <v>0.98</v>
      </c>
      <c r="M2310" s="14">
        <v>0.98</v>
      </c>
      <c r="N2310" s="14">
        <v>0.98</v>
      </c>
      <c r="O2310" s="14">
        <v>0.98</v>
      </c>
      <c r="P2310" s="14">
        <v>0.98</v>
      </c>
      <c r="Q2310" s="14">
        <v>0.98</v>
      </c>
      <c r="R2310" s="14">
        <v>0.98</v>
      </c>
      <c r="S2310" s="14">
        <v>0.98</v>
      </c>
      <c r="T2310" s="14">
        <v>0.98</v>
      </c>
      <c r="U2310" s="14">
        <v>0.98</v>
      </c>
      <c r="V2310" s="14">
        <v>0.98</v>
      </c>
      <c r="W2310" s="14">
        <v>0.98</v>
      </c>
    </row>
    <row r="2311" spans="1:23" hidden="1" x14ac:dyDescent="0.3">
      <c r="A2311" s="14" t="s">
        <v>445</v>
      </c>
      <c r="B2311" s="14" t="s">
        <v>77</v>
      </c>
      <c r="C2311" s="14" t="s">
        <v>361</v>
      </c>
      <c r="D2311" s="14" t="s">
        <v>362</v>
      </c>
      <c r="E2311" s="14" t="s">
        <v>344</v>
      </c>
      <c r="F2311" s="14" t="s">
        <v>343</v>
      </c>
      <c r="G2311" s="14" t="s">
        <v>343</v>
      </c>
      <c r="H2311" s="14" t="s">
        <v>343</v>
      </c>
      <c r="I2311" s="14">
        <v>36</v>
      </c>
      <c r="J2311" s="14">
        <v>37</v>
      </c>
      <c r="K2311" s="14">
        <v>38</v>
      </c>
      <c r="L2311" s="14">
        <v>41</v>
      </c>
      <c r="M2311" s="14">
        <v>1</v>
      </c>
      <c r="N2311" s="14">
        <v>1</v>
      </c>
      <c r="O2311" s="14">
        <v>34</v>
      </c>
      <c r="P2311" s="14">
        <v>34</v>
      </c>
      <c r="Q2311" s="14">
        <v>37</v>
      </c>
      <c r="R2311" s="14">
        <v>42</v>
      </c>
      <c r="S2311" s="14">
        <v>40</v>
      </c>
      <c r="T2311" s="14">
        <v>1</v>
      </c>
      <c r="U2311" s="14">
        <v>1</v>
      </c>
      <c r="V2311" s="14">
        <v>48</v>
      </c>
      <c r="W2311" s="14">
        <v>45</v>
      </c>
    </row>
    <row r="2312" spans="1:23" hidden="1" x14ac:dyDescent="0.3">
      <c r="A2312" s="14" t="s">
        <v>445</v>
      </c>
      <c r="B2312" s="14" t="s">
        <v>77</v>
      </c>
      <c r="C2312" s="14" t="s">
        <v>363</v>
      </c>
      <c r="D2312" s="14" t="s">
        <v>364</v>
      </c>
      <c r="E2312" s="14" t="s">
        <v>342</v>
      </c>
      <c r="F2312" s="14" t="s">
        <v>343</v>
      </c>
      <c r="G2312" s="14" t="s">
        <v>343</v>
      </c>
      <c r="H2312" s="14" t="s">
        <v>343</v>
      </c>
      <c r="U2312" s="14">
        <v>1.06</v>
      </c>
      <c r="V2312" s="14">
        <v>1.06</v>
      </c>
      <c r="W2312" s="14">
        <v>1.06</v>
      </c>
    </row>
    <row r="2313" spans="1:23" hidden="1" x14ac:dyDescent="0.3">
      <c r="A2313" s="14" t="s">
        <v>445</v>
      </c>
      <c r="B2313" s="14" t="s">
        <v>77</v>
      </c>
      <c r="C2313" s="14" t="s">
        <v>363</v>
      </c>
      <c r="D2313" s="14" t="s">
        <v>364</v>
      </c>
      <c r="E2313" s="14" t="s">
        <v>344</v>
      </c>
      <c r="F2313" s="14" t="s">
        <v>343</v>
      </c>
      <c r="G2313" s="14" t="s">
        <v>343</v>
      </c>
      <c r="H2313" s="14" t="s">
        <v>343</v>
      </c>
      <c r="U2313" s="14">
        <v>1</v>
      </c>
      <c r="V2313" s="14">
        <v>1</v>
      </c>
      <c r="W2313" s="14">
        <v>47</v>
      </c>
    </row>
    <row r="2314" spans="1:23" hidden="1" x14ac:dyDescent="0.3">
      <c r="A2314" s="14" t="s">
        <v>445</v>
      </c>
      <c r="B2314" s="14" t="s">
        <v>77</v>
      </c>
      <c r="C2314" s="14" t="s">
        <v>365</v>
      </c>
      <c r="D2314" s="14" t="s">
        <v>366</v>
      </c>
      <c r="E2314" s="14" t="s">
        <v>342</v>
      </c>
      <c r="F2314" s="14" t="s">
        <v>343</v>
      </c>
      <c r="G2314" s="14" t="s">
        <v>343</v>
      </c>
      <c r="H2314" s="14" t="s">
        <v>343</v>
      </c>
      <c r="U2314" s="14">
        <v>0.94</v>
      </c>
      <c r="V2314" s="14">
        <v>0.94</v>
      </c>
      <c r="W2314" s="14">
        <v>0.94</v>
      </c>
    </row>
    <row r="2315" spans="1:23" hidden="1" x14ac:dyDescent="0.3">
      <c r="A2315" s="14" t="s">
        <v>445</v>
      </c>
      <c r="B2315" s="14" t="s">
        <v>77</v>
      </c>
      <c r="C2315" s="14" t="s">
        <v>365</v>
      </c>
      <c r="D2315" s="14" t="s">
        <v>366</v>
      </c>
      <c r="E2315" s="14" t="s">
        <v>344</v>
      </c>
      <c r="F2315" s="14" t="s">
        <v>343</v>
      </c>
      <c r="G2315" s="14" t="s">
        <v>343</v>
      </c>
      <c r="H2315" s="14" t="s">
        <v>343</v>
      </c>
      <c r="U2315" s="14">
        <v>1</v>
      </c>
      <c r="V2315" s="14">
        <v>123</v>
      </c>
      <c r="W2315" s="14">
        <v>126</v>
      </c>
    </row>
    <row r="2316" spans="1:23" hidden="1" x14ac:dyDescent="0.3">
      <c r="A2316" s="14" t="s">
        <v>445</v>
      </c>
      <c r="B2316" s="14" t="s">
        <v>77</v>
      </c>
      <c r="C2316" s="14" t="s">
        <v>367</v>
      </c>
      <c r="D2316" s="14" t="s">
        <v>368</v>
      </c>
      <c r="E2316" s="14" t="s">
        <v>342</v>
      </c>
      <c r="F2316" s="14" t="s">
        <v>343</v>
      </c>
      <c r="G2316" s="14" t="s">
        <v>343</v>
      </c>
      <c r="H2316" s="14" t="s">
        <v>343</v>
      </c>
      <c r="I2316" s="14">
        <v>0.71</v>
      </c>
      <c r="J2316" s="14">
        <v>0.72</v>
      </c>
      <c r="K2316" s="14">
        <v>0.7</v>
      </c>
      <c r="L2316" s="14">
        <v>0.69</v>
      </c>
      <c r="M2316" s="14">
        <v>0.69</v>
      </c>
      <c r="N2316" s="14">
        <v>0.7</v>
      </c>
      <c r="O2316" s="14">
        <v>0.71</v>
      </c>
      <c r="P2316" s="14">
        <v>0.71</v>
      </c>
      <c r="R2316" s="14">
        <v>0.71</v>
      </c>
      <c r="S2316" s="14">
        <v>0.7</v>
      </c>
      <c r="T2316" s="14">
        <v>0.71</v>
      </c>
      <c r="U2316" s="14">
        <v>0.71</v>
      </c>
      <c r="V2316" s="14">
        <v>0.72</v>
      </c>
      <c r="W2316" s="14">
        <v>0.73</v>
      </c>
    </row>
    <row r="2317" spans="1:23" hidden="1" x14ac:dyDescent="0.3">
      <c r="A2317" s="14" t="s">
        <v>445</v>
      </c>
      <c r="B2317" s="14" t="s">
        <v>77</v>
      </c>
      <c r="C2317" s="14" t="s">
        <v>367</v>
      </c>
      <c r="D2317" s="14" t="s">
        <v>368</v>
      </c>
      <c r="E2317" s="14" t="s">
        <v>344</v>
      </c>
      <c r="F2317" s="14" t="s">
        <v>343</v>
      </c>
      <c r="G2317" s="14" t="s">
        <v>343</v>
      </c>
      <c r="H2317" s="14" t="s">
        <v>343</v>
      </c>
      <c r="I2317" s="14">
        <v>16</v>
      </c>
      <c r="J2317" s="14">
        <v>16</v>
      </c>
      <c r="K2317" s="14">
        <v>46</v>
      </c>
      <c r="L2317" s="14">
        <v>54</v>
      </c>
      <c r="M2317" s="14">
        <v>53</v>
      </c>
      <c r="N2317" s="14">
        <v>50</v>
      </c>
      <c r="O2317" s="14">
        <v>49</v>
      </c>
      <c r="P2317" s="14">
        <v>49</v>
      </c>
      <c r="Q2317" s="14">
        <v>55</v>
      </c>
      <c r="R2317" s="14">
        <v>59</v>
      </c>
      <c r="S2317" s="14">
        <v>68</v>
      </c>
      <c r="T2317" s="14">
        <v>54</v>
      </c>
      <c r="U2317" s="14">
        <v>59</v>
      </c>
      <c r="V2317" s="14">
        <v>60</v>
      </c>
      <c r="W2317" s="14">
        <v>45</v>
      </c>
    </row>
    <row r="2318" spans="1:23" hidden="1" x14ac:dyDescent="0.3">
      <c r="A2318" s="14" t="s">
        <v>445</v>
      </c>
      <c r="B2318" s="14" t="s">
        <v>77</v>
      </c>
      <c r="C2318" s="14" t="s">
        <v>369</v>
      </c>
      <c r="D2318" s="14" t="s">
        <v>370</v>
      </c>
      <c r="E2318" s="14" t="s">
        <v>342</v>
      </c>
      <c r="F2318" s="14" t="s">
        <v>343</v>
      </c>
      <c r="G2318" s="14" t="s">
        <v>343</v>
      </c>
      <c r="H2318" s="14" t="s">
        <v>343</v>
      </c>
      <c r="I2318" s="14">
        <v>0.24</v>
      </c>
      <c r="J2318" s="14">
        <v>0.24</v>
      </c>
      <c r="K2318" s="14">
        <v>0.16</v>
      </c>
      <c r="L2318" s="14">
        <v>0.16</v>
      </c>
      <c r="M2318" s="14">
        <v>0.14000000000000001</v>
      </c>
      <c r="N2318" s="14">
        <v>0.16</v>
      </c>
      <c r="O2318" s="14">
        <v>0.18</v>
      </c>
      <c r="P2318" s="14">
        <v>0.18</v>
      </c>
      <c r="Q2318" s="14">
        <v>0.18</v>
      </c>
      <c r="R2318" s="14">
        <v>0.19</v>
      </c>
      <c r="S2318" s="14">
        <v>0.15</v>
      </c>
      <c r="T2318" s="14">
        <v>0.18</v>
      </c>
      <c r="U2318" s="14">
        <v>0.19</v>
      </c>
      <c r="V2318" s="14">
        <v>0.23</v>
      </c>
      <c r="W2318" s="14">
        <v>0.28999999999999998</v>
      </c>
    </row>
    <row r="2319" spans="1:23" hidden="1" x14ac:dyDescent="0.3">
      <c r="A2319" s="14" t="s">
        <v>445</v>
      </c>
      <c r="B2319" s="14" t="s">
        <v>77</v>
      </c>
      <c r="C2319" s="14" t="s">
        <v>369</v>
      </c>
      <c r="D2319" s="14" t="s">
        <v>370</v>
      </c>
      <c r="E2319" s="14" t="s">
        <v>344</v>
      </c>
      <c r="F2319" s="14" t="s">
        <v>343</v>
      </c>
      <c r="G2319" s="14" t="s">
        <v>343</v>
      </c>
      <c r="H2319" s="14" t="s">
        <v>343</v>
      </c>
      <c r="I2319" s="14">
        <v>18</v>
      </c>
      <c r="J2319" s="14">
        <v>18</v>
      </c>
      <c r="K2319" s="14">
        <v>47</v>
      </c>
      <c r="L2319" s="14">
        <v>49</v>
      </c>
      <c r="M2319" s="14">
        <v>57</v>
      </c>
      <c r="N2319" s="14">
        <v>53</v>
      </c>
      <c r="O2319" s="14">
        <v>47</v>
      </c>
      <c r="P2319" s="14">
        <v>50</v>
      </c>
      <c r="Q2319" s="14">
        <v>56</v>
      </c>
      <c r="R2319" s="14">
        <v>60</v>
      </c>
      <c r="S2319" s="14">
        <v>76</v>
      </c>
      <c r="T2319" s="14">
        <v>68</v>
      </c>
      <c r="U2319" s="14">
        <v>62</v>
      </c>
      <c r="V2319" s="14">
        <v>55</v>
      </c>
      <c r="W2319" s="14">
        <v>47</v>
      </c>
    </row>
    <row r="2320" spans="1:23" hidden="1" x14ac:dyDescent="0.3">
      <c r="A2320" s="14" t="s">
        <v>445</v>
      </c>
      <c r="B2320" s="14" t="s">
        <v>77</v>
      </c>
      <c r="C2320" s="14" t="s">
        <v>371</v>
      </c>
      <c r="D2320" s="14" t="s">
        <v>372</v>
      </c>
      <c r="E2320" s="14" t="s">
        <v>342</v>
      </c>
      <c r="F2320" s="14" t="s">
        <v>343</v>
      </c>
      <c r="G2320" s="14" t="s">
        <v>343</v>
      </c>
      <c r="H2320" s="14" t="s">
        <v>343</v>
      </c>
      <c r="U2320" s="14">
        <v>0.13</v>
      </c>
      <c r="V2320" s="14">
        <v>0.16</v>
      </c>
      <c r="W2320" s="14">
        <v>0.18</v>
      </c>
    </row>
    <row r="2321" spans="1:24" hidden="1" x14ac:dyDescent="0.3">
      <c r="A2321" s="14" t="s">
        <v>445</v>
      </c>
      <c r="B2321" s="14" t="s">
        <v>77</v>
      </c>
      <c r="C2321" s="14" t="s">
        <v>371</v>
      </c>
      <c r="D2321" s="14" t="s">
        <v>372</v>
      </c>
      <c r="E2321" s="14" t="s">
        <v>344</v>
      </c>
      <c r="F2321" s="14" t="s">
        <v>343</v>
      </c>
      <c r="G2321" s="14" t="s">
        <v>343</v>
      </c>
      <c r="H2321" s="14" t="s">
        <v>343</v>
      </c>
      <c r="U2321" s="14">
        <v>22</v>
      </c>
      <c r="V2321" s="14">
        <v>20</v>
      </c>
      <c r="W2321" s="14">
        <v>22</v>
      </c>
    </row>
    <row r="2322" spans="1:24" hidden="1" x14ac:dyDescent="0.3">
      <c r="A2322" s="14" t="s">
        <v>445</v>
      </c>
      <c r="B2322" s="14" t="s">
        <v>77</v>
      </c>
      <c r="C2322" s="14" t="s">
        <v>373</v>
      </c>
      <c r="D2322" s="14" t="s">
        <v>374</v>
      </c>
      <c r="E2322" s="14" t="s">
        <v>342</v>
      </c>
      <c r="F2322" s="14" t="s">
        <v>343</v>
      </c>
      <c r="G2322" s="14" t="s">
        <v>343</v>
      </c>
      <c r="H2322" s="14" t="s">
        <v>343</v>
      </c>
      <c r="U2322" s="14">
        <v>0.25</v>
      </c>
      <c r="V2322" s="14">
        <v>0.33</v>
      </c>
      <c r="W2322" s="14">
        <v>0.31</v>
      </c>
    </row>
    <row r="2323" spans="1:24" hidden="1" x14ac:dyDescent="0.3">
      <c r="A2323" s="14" t="s">
        <v>445</v>
      </c>
      <c r="B2323" s="14" t="s">
        <v>77</v>
      </c>
      <c r="C2323" s="14" t="s">
        <v>373</v>
      </c>
      <c r="D2323" s="14" t="s">
        <v>374</v>
      </c>
      <c r="E2323" s="14" t="s">
        <v>344</v>
      </c>
      <c r="F2323" s="14" t="s">
        <v>343</v>
      </c>
      <c r="G2323" s="14" t="s">
        <v>343</v>
      </c>
      <c r="H2323" s="14" t="s">
        <v>343</v>
      </c>
      <c r="U2323" s="14">
        <v>68</v>
      </c>
      <c r="V2323" s="14">
        <v>57</v>
      </c>
      <c r="W2323" s="14">
        <v>70</v>
      </c>
    </row>
    <row r="2324" spans="1:24" hidden="1" x14ac:dyDescent="0.3">
      <c r="A2324" s="14" t="s">
        <v>445</v>
      </c>
      <c r="B2324" s="14" t="s">
        <v>77</v>
      </c>
      <c r="C2324" s="14" t="s">
        <v>375</v>
      </c>
      <c r="D2324" s="14" t="s">
        <v>376</v>
      </c>
      <c r="E2324" s="14" t="s">
        <v>342</v>
      </c>
      <c r="F2324" s="14" t="s">
        <v>343</v>
      </c>
      <c r="G2324" s="14" t="s">
        <v>343</v>
      </c>
      <c r="H2324" s="14" t="s">
        <v>343</v>
      </c>
      <c r="U2324" s="14">
        <v>0.23</v>
      </c>
      <c r="V2324" s="14">
        <v>0.26</v>
      </c>
      <c r="W2324" s="14">
        <v>0.45</v>
      </c>
    </row>
    <row r="2325" spans="1:24" hidden="1" x14ac:dyDescent="0.3">
      <c r="A2325" s="14" t="s">
        <v>445</v>
      </c>
      <c r="B2325" s="14" t="s">
        <v>77</v>
      </c>
      <c r="C2325" s="14" t="s">
        <v>375</v>
      </c>
      <c r="D2325" s="14" t="s">
        <v>376</v>
      </c>
      <c r="E2325" s="14" t="s">
        <v>344</v>
      </c>
      <c r="F2325" s="14" t="s">
        <v>343</v>
      </c>
      <c r="G2325" s="14" t="s">
        <v>343</v>
      </c>
      <c r="H2325" s="14" t="s">
        <v>343</v>
      </c>
      <c r="U2325" s="14">
        <v>93</v>
      </c>
      <c r="V2325" s="14">
        <v>87</v>
      </c>
      <c r="W2325" s="14">
        <v>44</v>
      </c>
    </row>
    <row r="2326" spans="1:24" hidden="1" x14ac:dyDescent="0.3">
      <c r="A2326" s="14" t="s">
        <v>446</v>
      </c>
      <c r="B2326" s="14" t="s">
        <v>119</v>
      </c>
      <c r="C2326" s="14" t="s">
        <v>340</v>
      </c>
      <c r="D2326" s="14" t="s">
        <v>341</v>
      </c>
      <c r="E2326" s="14" t="s">
        <v>342</v>
      </c>
      <c r="F2326" s="14" t="s">
        <v>343</v>
      </c>
      <c r="G2326" s="14" t="s">
        <v>343</v>
      </c>
      <c r="H2326" s="14" t="s">
        <v>343</v>
      </c>
      <c r="I2326" s="14">
        <v>0.99</v>
      </c>
      <c r="J2326" s="14">
        <v>0.99</v>
      </c>
      <c r="K2326" s="14">
        <v>0.99</v>
      </c>
      <c r="L2326" s="14">
        <v>0.99</v>
      </c>
      <c r="M2326" s="14">
        <v>0.99</v>
      </c>
      <c r="N2326" s="14">
        <v>0.99</v>
      </c>
      <c r="O2326" s="14">
        <v>0.99</v>
      </c>
      <c r="P2326" s="14">
        <v>0.99</v>
      </c>
      <c r="Q2326" s="14">
        <v>0.99</v>
      </c>
      <c r="R2326" s="14">
        <v>0.99</v>
      </c>
      <c r="S2326" s="14">
        <v>0.99</v>
      </c>
      <c r="T2326" s="14">
        <v>0.99</v>
      </c>
      <c r="U2326" s="14">
        <v>0.99</v>
      </c>
      <c r="V2326" s="14">
        <v>0.99</v>
      </c>
      <c r="W2326" s="14">
        <v>0.99</v>
      </c>
      <c r="X2326" s="14">
        <v>1</v>
      </c>
    </row>
    <row r="2327" spans="1:24" hidden="1" x14ac:dyDescent="0.3">
      <c r="A2327" s="14" t="s">
        <v>446</v>
      </c>
      <c r="B2327" s="14" t="s">
        <v>119</v>
      </c>
      <c r="C2327" s="14" t="s">
        <v>340</v>
      </c>
      <c r="D2327" s="14" t="s">
        <v>341</v>
      </c>
      <c r="E2327" s="14" t="s">
        <v>344</v>
      </c>
      <c r="F2327" s="14" t="s">
        <v>343</v>
      </c>
      <c r="G2327" s="14" t="s">
        <v>343</v>
      </c>
      <c r="H2327" s="14" t="s">
        <v>343</v>
      </c>
      <c r="I2327" s="14">
        <v>48</v>
      </c>
      <c r="J2327" s="14">
        <v>50</v>
      </c>
      <c r="K2327" s="14">
        <v>64</v>
      </c>
      <c r="L2327" s="14">
        <v>64</v>
      </c>
      <c r="M2327" s="14">
        <v>64</v>
      </c>
      <c r="N2327" s="14">
        <v>56</v>
      </c>
      <c r="O2327" s="14">
        <v>68</v>
      </c>
      <c r="P2327" s="14">
        <v>62</v>
      </c>
      <c r="Q2327" s="14">
        <v>71</v>
      </c>
      <c r="R2327" s="14">
        <v>76</v>
      </c>
      <c r="S2327" s="14">
        <v>67</v>
      </c>
      <c r="T2327" s="14">
        <v>68</v>
      </c>
      <c r="U2327" s="14">
        <v>66</v>
      </c>
      <c r="V2327" s="14">
        <v>70</v>
      </c>
      <c r="W2327" s="14">
        <v>72</v>
      </c>
      <c r="X2327" s="14">
        <v>42</v>
      </c>
    </row>
    <row r="2328" spans="1:24" hidden="1" x14ac:dyDescent="0.3">
      <c r="A2328" s="14" t="s">
        <v>446</v>
      </c>
      <c r="B2328" s="14" t="s">
        <v>119</v>
      </c>
      <c r="C2328" s="14" t="s">
        <v>345</v>
      </c>
      <c r="D2328" s="14" t="s">
        <v>346</v>
      </c>
      <c r="E2328" s="14" t="s">
        <v>342</v>
      </c>
      <c r="F2328" s="14" t="s">
        <v>343</v>
      </c>
      <c r="G2328" s="14" t="s">
        <v>343</v>
      </c>
      <c r="H2328" s="14" t="s">
        <v>343</v>
      </c>
      <c r="U2328" s="14">
        <v>0.62</v>
      </c>
      <c r="V2328" s="14">
        <v>0.62</v>
      </c>
      <c r="W2328" s="14">
        <v>0.56999999999999995</v>
      </c>
      <c r="X2328" s="14">
        <v>0.67</v>
      </c>
    </row>
    <row r="2329" spans="1:24" hidden="1" x14ac:dyDescent="0.3">
      <c r="A2329" s="14" t="s">
        <v>446</v>
      </c>
      <c r="B2329" s="14" t="s">
        <v>119</v>
      </c>
      <c r="C2329" s="14" t="s">
        <v>345</v>
      </c>
      <c r="D2329" s="14" t="s">
        <v>346</v>
      </c>
      <c r="E2329" s="14" t="s">
        <v>344</v>
      </c>
      <c r="F2329" s="14" t="s">
        <v>343</v>
      </c>
      <c r="G2329" s="14" t="s">
        <v>343</v>
      </c>
      <c r="H2329" s="14" t="s">
        <v>343</v>
      </c>
      <c r="U2329" s="14">
        <v>74</v>
      </c>
      <c r="V2329" s="14">
        <v>73</v>
      </c>
      <c r="W2329" s="14">
        <v>95</v>
      </c>
      <c r="X2329" s="14">
        <v>60</v>
      </c>
    </row>
    <row r="2330" spans="1:24" hidden="1" x14ac:dyDescent="0.3">
      <c r="A2330" s="14" t="s">
        <v>446</v>
      </c>
      <c r="B2330" s="14" t="s">
        <v>119</v>
      </c>
      <c r="C2330" s="14" t="s">
        <v>347</v>
      </c>
      <c r="D2330" s="14" t="s">
        <v>348</v>
      </c>
      <c r="E2330" s="14" t="s">
        <v>342</v>
      </c>
      <c r="F2330" s="14" t="s">
        <v>343</v>
      </c>
      <c r="G2330" s="14" t="s">
        <v>343</v>
      </c>
      <c r="H2330" s="14" t="s">
        <v>343</v>
      </c>
      <c r="U2330" s="14">
        <v>0.83</v>
      </c>
      <c r="V2330" s="14">
        <v>0.82</v>
      </c>
      <c r="W2330" s="14">
        <v>0.82</v>
      </c>
      <c r="X2330" s="14">
        <v>0.78</v>
      </c>
    </row>
    <row r="2331" spans="1:24" hidden="1" x14ac:dyDescent="0.3">
      <c r="A2331" s="14" t="s">
        <v>446</v>
      </c>
      <c r="B2331" s="14" t="s">
        <v>119</v>
      </c>
      <c r="C2331" s="14" t="s">
        <v>347</v>
      </c>
      <c r="D2331" s="14" t="s">
        <v>348</v>
      </c>
      <c r="E2331" s="14" t="s">
        <v>344</v>
      </c>
      <c r="F2331" s="14" t="s">
        <v>343</v>
      </c>
      <c r="G2331" s="14" t="s">
        <v>343</v>
      </c>
      <c r="H2331" s="14" t="s">
        <v>343</v>
      </c>
      <c r="U2331" s="14">
        <v>66</v>
      </c>
      <c r="V2331" s="14">
        <v>73</v>
      </c>
      <c r="W2331" s="14">
        <v>78</v>
      </c>
      <c r="X2331" s="14">
        <v>70</v>
      </c>
    </row>
    <row r="2332" spans="1:24" hidden="1" x14ac:dyDescent="0.3">
      <c r="A2332" s="14" t="s">
        <v>446</v>
      </c>
      <c r="B2332" s="14" t="s">
        <v>119</v>
      </c>
      <c r="C2332" s="14" t="s">
        <v>349</v>
      </c>
      <c r="D2332" s="14" t="s">
        <v>350</v>
      </c>
      <c r="E2332" s="14" t="s">
        <v>342</v>
      </c>
      <c r="F2332" s="14" t="s">
        <v>343</v>
      </c>
      <c r="G2332" s="14" t="s">
        <v>343</v>
      </c>
      <c r="H2332" s="14" t="s">
        <v>343</v>
      </c>
      <c r="U2332" s="14">
        <v>0.65</v>
      </c>
      <c r="V2332" s="14">
        <v>0.63</v>
      </c>
      <c r="W2332" s="14">
        <v>0.64</v>
      </c>
      <c r="X2332" s="14">
        <v>0.64</v>
      </c>
    </row>
    <row r="2333" spans="1:24" hidden="1" x14ac:dyDescent="0.3">
      <c r="A2333" s="14" t="s">
        <v>446</v>
      </c>
      <c r="B2333" s="14" t="s">
        <v>119</v>
      </c>
      <c r="C2333" s="14" t="s">
        <v>349</v>
      </c>
      <c r="D2333" s="14" t="s">
        <v>350</v>
      </c>
      <c r="E2333" s="14" t="s">
        <v>344</v>
      </c>
      <c r="F2333" s="14" t="s">
        <v>343</v>
      </c>
      <c r="G2333" s="14" t="s">
        <v>343</v>
      </c>
      <c r="H2333" s="14" t="s">
        <v>343</v>
      </c>
      <c r="U2333" s="14">
        <v>28</v>
      </c>
      <c r="V2333" s="14">
        <v>34</v>
      </c>
      <c r="W2333" s="14">
        <v>41</v>
      </c>
      <c r="X2333" s="14">
        <v>39</v>
      </c>
    </row>
    <row r="2334" spans="1:24" hidden="1" x14ac:dyDescent="0.3">
      <c r="A2334" s="14" t="s">
        <v>446</v>
      </c>
      <c r="B2334" s="14" t="s">
        <v>119</v>
      </c>
      <c r="C2334" s="14" t="s">
        <v>351</v>
      </c>
      <c r="D2334" s="14" t="s">
        <v>352</v>
      </c>
      <c r="E2334" s="14" t="s">
        <v>342</v>
      </c>
      <c r="F2334" s="14" t="s">
        <v>343</v>
      </c>
      <c r="G2334" s="14" t="s">
        <v>343</v>
      </c>
      <c r="H2334" s="14" t="s">
        <v>343</v>
      </c>
      <c r="U2334" s="14">
        <v>1</v>
      </c>
      <c r="V2334" s="14">
        <v>1</v>
      </c>
      <c r="W2334" s="14">
        <v>1</v>
      </c>
      <c r="X2334" s="14">
        <v>1</v>
      </c>
    </row>
    <row r="2335" spans="1:24" hidden="1" x14ac:dyDescent="0.3">
      <c r="A2335" s="14" t="s">
        <v>446</v>
      </c>
      <c r="B2335" s="14" t="s">
        <v>119</v>
      </c>
      <c r="C2335" s="14" t="s">
        <v>351</v>
      </c>
      <c r="D2335" s="14" t="s">
        <v>352</v>
      </c>
      <c r="E2335" s="14" t="s">
        <v>344</v>
      </c>
      <c r="F2335" s="14" t="s">
        <v>343</v>
      </c>
      <c r="G2335" s="14" t="s">
        <v>343</v>
      </c>
      <c r="H2335" s="14" t="s">
        <v>343</v>
      </c>
      <c r="U2335" s="14">
        <v>1</v>
      </c>
      <c r="V2335" s="14">
        <v>1</v>
      </c>
      <c r="W2335" s="14">
        <v>1</v>
      </c>
      <c r="X2335" s="14">
        <v>1</v>
      </c>
    </row>
    <row r="2336" spans="1:24" hidden="1" x14ac:dyDescent="0.3">
      <c r="A2336" s="14" t="s">
        <v>446</v>
      </c>
      <c r="B2336" s="14" t="s">
        <v>119</v>
      </c>
      <c r="C2336" s="14" t="s">
        <v>378</v>
      </c>
      <c r="D2336" s="14" t="s">
        <v>379</v>
      </c>
      <c r="E2336" s="14" t="s">
        <v>342</v>
      </c>
      <c r="F2336" s="14" t="s">
        <v>343</v>
      </c>
      <c r="G2336" s="14" t="s">
        <v>343</v>
      </c>
      <c r="H2336" s="14" t="s">
        <v>343</v>
      </c>
      <c r="S2336" s="14">
        <v>0.49</v>
      </c>
      <c r="U2336" s="14">
        <v>0.52</v>
      </c>
      <c r="V2336" s="14">
        <v>0.5</v>
      </c>
      <c r="W2336" s="14">
        <v>0.53</v>
      </c>
      <c r="X2336" s="14">
        <v>0.59</v>
      </c>
    </row>
    <row r="2337" spans="1:24" hidden="1" x14ac:dyDescent="0.3">
      <c r="A2337" s="14" t="s">
        <v>446</v>
      </c>
      <c r="B2337" s="14" t="s">
        <v>119</v>
      </c>
      <c r="C2337" s="14" t="s">
        <v>378</v>
      </c>
      <c r="D2337" s="14" t="s">
        <v>379</v>
      </c>
      <c r="E2337" s="14" t="s">
        <v>344</v>
      </c>
      <c r="F2337" s="14" t="s">
        <v>343</v>
      </c>
      <c r="G2337" s="14" t="s">
        <v>343</v>
      </c>
      <c r="H2337" s="14" t="s">
        <v>343</v>
      </c>
      <c r="S2337" s="14">
        <v>130</v>
      </c>
      <c r="U2337" s="14">
        <v>125</v>
      </c>
      <c r="V2337" s="14">
        <v>131</v>
      </c>
      <c r="W2337" s="14">
        <v>128</v>
      </c>
      <c r="X2337" s="14">
        <v>101</v>
      </c>
    </row>
    <row r="2338" spans="1:24" hidden="1" x14ac:dyDescent="0.3">
      <c r="A2338" s="14" t="s">
        <v>446</v>
      </c>
      <c r="B2338" s="14" t="s">
        <v>119</v>
      </c>
      <c r="C2338" s="14" t="s">
        <v>353</v>
      </c>
      <c r="D2338" s="14" t="s">
        <v>354</v>
      </c>
      <c r="E2338" s="14" t="s">
        <v>342</v>
      </c>
      <c r="F2338" s="14" t="s">
        <v>343</v>
      </c>
      <c r="G2338" s="14" t="s">
        <v>343</v>
      </c>
      <c r="H2338" s="14" t="s">
        <v>343</v>
      </c>
      <c r="U2338" s="14">
        <v>1</v>
      </c>
      <c r="V2338" s="14">
        <v>1</v>
      </c>
      <c r="W2338" s="14">
        <v>1</v>
      </c>
      <c r="X2338" s="14">
        <v>1</v>
      </c>
    </row>
    <row r="2339" spans="1:24" hidden="1" x14ac:dyDescent="0.3">
      <c r="A2339" s="14" t="s">
        <v>446</v>
      </c>
      <c r="B2339" s="14" t="s">
        <v>119</v>
      </c>
      <c r="C2339" s="14" t="s">
        <v>353</v>
      </c>
      <c r="D2339" s="14" t="s">
        <v>354</v>
      </c>
      <c r="E2339" s="14" t="s">
        <v>344</v>
      </c>
      <c r="F2339" s="14" t="s">
        <v>343</v>
      </c>
      <c r="G2339" s="14" t="s">
        <v>343</v>
      </c>
      <c r="H2339" s="14" t="s">
        <v>343</v>
      </c>
      <c r="U2339" s="14">
        <v>45</v>
      </c>
      <c r="V2339" s="14">
        <v>51</v>
      </c>
      <c r="W2339" s="14">
        <v>51</v>
      </c>
      <c r="X2339" s="14">
        <v>50</v>
      </c>
    </row>
    <row r="2340" spans="1:24" hidden="1" x14ac:dyDescent="0.3">
      <c r="A2340" s="14" t="s">
        <v>446</v>
      </c>
      <c r="B2340" s="14" t="s">
        <v>119</v>
      </c>
      <c r="C2340" s="14" t="s">
        <v>380</v>
      </c>
      <c r="D2340" s="14" t="s">
        <v>381</v>
      </c>
      <c r="E2340" s="14" t="s">
        <v>342</v>
      </c>
      <c r="F2340" s="14" t="s">
        <v>343</v>
      </c>
      <c r="G2340" s="14" t="s">
        <v>343</v>
      </c>
      <c r="H2340" s="14" t="s">
        <v>343</v>
      </c>
      <c r="U2340" s="14">
        <v>0.99</v>
      </c>
      <c r="V2340" s="14">
        <v>0.98</v>
      </c>
      <c r="W2340" s="14">
        <v>0.98</v>
      </c>
      <c r="X2340" s="14">
        <v>1</v>
      </c>
    </row>
    <row r="2341" spans="1:24" hidden="1" x14ac:dyDescent="0.3">
      <c r="A2341" s="14" t="s">
        <v>446</v>
      </c>
      <c r="B2341" s="14" t="s">
        <v>119</v>
      </c>
      <c r="C2341" s="14" t="s">
        <v>380</v>
      </c>
      <c r="D2341" s="14" t="s">
        <v>381</v>
      </c>
      <c r="E2341" s="14" t="s">
        <v>344</v>
      </c>
      <c r="F2341" s="14" t="s">
        <v>343</v>
      </c>
      <c r="G2341" s="14" t="s">
        <v>343</v>
      </c>
      <c r="H2341" s="14" t="s">
        <v>343</v>
      </c>
      <c r="U2341" s="14">
        <v>107</v>
      </c>
      <c r="V2341" s="14">
        <v>117</v>
      </c>
      <c r="W2341" s="14">
        <v>117</v>
      </c>
      <c r="X2341" s="14">
        <v>82</v>
      </c>
    </row>
    <row r="2342" spans="1:24" hidden="1" x14ac:dyDescent="0.3">
      <c r="A2342" s="14" t="s">
        <v>446</v>
      </c>
      <c r="B2342" s="14" t="s">
        <v>119</v>
      </c>
      <c r="C2342" s="14" t="s">
        <v>355</v>
      </c>
      <c r="D2342" s="14" t="s">
        <v>356</v>
      </c>
      <c r="E2342" s="14" t="s">
        <v>342</v>
      </c>
      <c r="F2342" s="14" t="s">
        <v>343</v>
      </c>
      <c r="G2342" s="14" t="s">
        <v>343</v>
      </c>
      <c r="H2342" s="14" t="s">
        <v>343</v>
      </c>
      <c r="U2342" s="14">
        <v>1</v>
      </c>
      <c r="V2342" s="14">
        <v>1</v>
      </c>
      <c r="W2342" s="14">
        <v>1</v>
      </c>
      <c r="X2342" s="14">
        <v>1</v>
      </c>
    </row>
    <row r="2343" spans="1:24" hidden="1" x14ac:dyDescent="0.3">
      <c r="A2343" s="14" t="s">
        <v>446</v>
      </c>
      <c r="B2343" s="14" t="s">
        <v>119</v>
      </c>
      <c r="C2343" s="14" t="s">
        <v>355</v>
      </c>
      <c r="D2343" s="14" t="s">
        <v>356</v>
      </c>
      <c r="E2343" s="14" t="s">
        <v>344</v>
      </c>
      <c r="F2343" s="14" t="s">
        <v>343</v>
      </c>
      <c r="G2343" s="14" t="s">
        <v>343</v>
      </c>
      <c r="H2343" s="14" t="s">
        <v>343</v>
      </c>
      <c r="U2343" s="14">
        <v>1</v>
      </c>
      <c r="V2343" s="14">
        <v>1</v>
      </c>
      <c r="W2343" s="14">
        <v>1</v>
      </c>
      <c r="X2343" s="14">
        <v>1</v>
      </c>
    </row>
    <row r="2344" spans="1:24" hidden="1" x14ac:dyDescent="0.3">
      <c r="A2344" s="14" t="s">
        <v>446</v>
      </c>
      <c r="B2344" s="14" t="s">
        <v>119</v>
      </c>
      <c r="C2344" s="14" t="s">
        <v>357</v>
      </c>
      <c r="D2344" s="14" t="s">
        <v>358</v>
      </c>
      <c r="E2344" s="14" t="s">
        <v>342</v>
      </c>
      <c r="F2344" s="14" t="s">
        <v>343</v>
      </c>
      <c r="G2344" s="14" t="s">
        <v>343</v>
      </c>
      <c r="H2344" s="14" t="s">
        <v>343</v>
      </c>
      <c r="U2344" s="14">
        <v>1</v>
      </c>
      <c r="V2344" s="14">
        <v>1</v>
      </c>
      <c r="W2344" s="14">
        <v>1</v>
      </c>
      <c r="X2344" s="14">
        <v>1</v>
      </c>
    </row>
    <row r="2345" spans="1:24" hidden="1" x14ac:dyDescent="0.3">
      <c r="A2345" s="14" t="s">
        <v>446</v>
      </c>
      <c r="B2345" s="14" t="s">
        <v>119</v>
      </c>
      <c r="C2345" s="14" t="s">
        <v>357</v>
      </c>
      <c r="D2345" s="14" t="s">
        <v>358</v>
      </c>
      <c r="E2345" s="14" t="s">
        <v>344</v>
      </c>
      <c r="F2345" s="14" t="s">
        <v>343</v>
      </c>
      <c r="G2345" s="14" t="s">
        <v>343</v>
      </c>
      <c r="H2345" s="14" t="s">
        <v>343</v>
      </c>
      <c r="U2345" s="14">
        <v>1</v>
      </c>
      <c r="V2345" s="14">
        <v>1</v>
      </c>
      <c r="W2345" s="14">
        <v>1</v>
      </c>
      <c r="X2345" s="14">
        <v>1</v>
      </c>
    </row>
    <row r="2346" spans="1:24" hidden="1" x14ac:dyDescent="0.3">
      <c r="A2346" s="14" t="s">
        <v>446</v>
      </c>
      <c r="B2346" s="14" t="s">
        <v>119</v>
      </c>
      <c r="C2346" s="14" t="s">
        <v>359</v>
      </c>
      <c r="D2346" s="14" t="s">
        <v>360</v>
      </c>
      <c r="E2346" s="14" t="s">
        <v>342</v>
      </c>
      <c r="F2346" s="14" t="s">
        <v>343</v>
      </c>
      <c r="G2346" s="14" t="s">
        <v>343</v>
      </c>
      <c r="H2346" s="14" t="s">
        <v>343</v>
      </c>
      <c r="I2346" s="14">
        <v>0.64</v>
      </c>
      <c r="J2346" s="14">
        <v>0.65</v>
      </c>
      <c r="K2346" s="14">
        <v>0.67</v>
      </c>
      <c r="L2346" s="14">
        <v>0.67</v>
      </c>
      <c r="M2346" s="14">
        <v>0.69</v>
      </c>
      <c r="N2346" s="14">
        <v>0.65</v>
      </c>
      <c r="O2346" s="14">
        <v>0.66</v>
      </c>
      <c r="P2346" s="14">
        <v>0.67</v>
      </c>
      <c r="Q2346" s="14">
        <v>0.67</v>
      </c>
      <c r="R2346" s="14">
        <v>0.68</v>
      </c>
      <c r="S2346" s="14">
        <v>0.67</v>
      </c>
      <c r="T2346" s="14">
        <v>0.68</v>
      </c>
      <c r="U2346" s="14">
        <v>0.68</v>
      </c>
      <c r="V2346" s="14">
        <v>0.67</v>
      </c>
      <c r="W2346" s="14">
        <v>0.67</v>
      </c>
      <c r="X2346" s="14">
        <v>0.7</v>
      </c>
    </row>
    <row r="2347" spans="1:24" hidden="1" x14ac:dyDescent="0.3">
      <c r="A2347" s="14" t="s">
        <v>446</v>
      </c>
      <c r="B2347" s="14" t="s">
        <v>119</v>
      </c>
      <c r="C2347" s="14" t="s">
        <v>359</v>
      </c>
      <c r="D2347" s="14" t="s">
        <v>360</v>
      </c>
      <c r="E2347" s="14" t="s">
        <v>344</v>
      </c>
      <c r="F2347" s="14" t="s">
        <v>343</v>
      </c>
      <c r="G2347" s="14" t="s">
        <v>343</v>
      </c>
      <c r="H2347" s="14" t="s">
        <v>343</v>
      </c>
      <c r="I2347" s="14">
        <v>48</v>
      </c>
      <c r="J2347" s="14">
        <v>56</v>
      </c>
      <c r="K2347" s="14">
        <v>50</v>
      </c>
      <c r="L2347" s="14">
        <v>55</v>
      </c>
      <c r="M2347" s="14">
        <v>48</v>
      </c>
      <c r="N2347" s="14">
        <v>64</v>
      </c>
      <c r="O2347" s="14">
        <v>68</v>
      </c>
      <c r="P2347" s="14">
        <v>68</v>
      </c>
      <c r="Q2347" s="14">
        <v>69</v>
      </c>
      <c r="R2347" s="14">
        <v>62</v>
      </c>
      <c r="S2347" s="14">
        <v>67</v>
      </c>
      <c r="T2347" s="14">
        <v>68</v>
      </c>
      <c r="U2347" s="14">
        <v>68</v>
      </c>
      <c r="V2347" s="14">
        <v>80</v>
      </c>
      <c r="W2347" s="14">
        <v>86</v>
      </c>
      <c r="X2347" s="14">
        <v>67</v>
      </c>
    </row>
    <row r="2348" spans="1:24" x14ac:dyDescent="0.3">
      <c r="A2348" s="14" t="s">
        <v>446</v>
      </c>
      <c r="B2348" s="14" t="s">
        <v>119</v>
      </c>
      <c r="C2348" s="14" t="s">
        <v>361</v>
      </c>
      <c r="D2348" s="14" t="s">
        <v>362</v>
      </c>
      <c r="E2348" s="14" t="s">
        <v>342</v>
      </c>
      <c r="F2348" s="14" t="s">
        <v>343</v>
      </c>
      <c r="G2348" s="14" t="s">
        <v>343</v>
      </c>
      <c r="H2348" s="14" t="s">
        <v>343</v>
      </c>
      <c r="I2348" s="14">
        <v>0.98</v>
      </c>
      <c r="J2348" s="14">
        <v>0.98</v>
      </c>
      <c r="K2348" s="14">
        <v>0.98</v>
      </c>
      <c r="L2348" s="14">
        <v>0.98</v>
      </c>
      <c r="M2348" s="14">
        <v>0.98</v>
      </c>
      <c r="N2348" s="14">
        <v>0.98</v>
      </c>
      <c r="O2348" s="14">
        <v>0.98</v>
      </c>
      <c r="P2348" s="14">
        <v>0.98</v>
      </c>
      <c r="Q2348" s="14">
        <v>0.98</v>
      </c>
      <c r="R2348" s="14">
        <v>0.98</v>
      </c>
      <c r="S2348" s="14">
        <v>0.98</v>
      </c>
      <c r="T2348" s="14">
        <v>0.98</v>
      </c>
      <c r="U2348" s="14">
        <v>0.98</v>
      </c>
      <c r="V2348" s="14">
        <v>0.98</v>
      </c>
      <c r="W2348" s="14">
        <v>0.98</v>
      </c>
      <c r="X2348" s="14">
        <v>0.98</v>
      </c>
    </row>
    <row r="2349" spans="1:24" hidden="1" x14ac:dyDescent="0.3">
      <c r="A2349" s="14" t="s">
        <v>446</v>
      </c>
      <c r="B2349" s="14" t="s">
        <v>119</v>
      </c>
      <c r="C2349" s="14" t="s">
        <v>361</v>
      </c>
      <c r="D2349" s="14" t="s">
        <v>362</v>
      </c>
      <c r="E2349" s="14" t="s">
        <v>344</v>
      </c>
      <c r="F2349" s="14" t="s">
        <v>343</v>
      </c>
      <c r="G2349" s="14" t="s">
        <v>343</v>
      </c>
      <c r="H2349" s="14" t="s">
        <v>343</v>
      </c>
      <c r="I2349" s="14">
        <v>36</v>
      </c>
      <c r="J2349" s="14">
        <v>37</v>
      </c>
      <c r="K2349" s="14">
        <v>38</v>
      </c>
      <c r="L2349" s="14">
        <v>41</v>
      </c>
      <c r="M2349" s="14">
        <v>49</v>
      </c>
      <c r="N2349" s="14">
        <v>1</v>
      </c>
      <c r="O2349" s="14">
        <v>34</v>
      </c>
      <c r="P2349" s="14">
        <v>34</v>
      </c>
      <c r="Q2349" s="14">
        <v>37</v>
      </c>
      <c r="R2349" s="14">
        <v>42</v>
      </c>
      <c r="S2349" s="14">
        <v>40</v>
      </c>
      <c r="T2349" s="14">
        <v>36</v>
      </c>
      <c r="U2349" s="14">
        <v>42</v>
      </c>
      <c r="V2349" s="14">
        <v>1</v>
      </c>
      <c r="W2349" s="14">
        <v>1</v>
      </c>
      <c r="X2349" s="14">
        <v>1</v>
      </c>
    </row>
    <row r="2350" spans="1:24" hidden="1" x14ac:dyDescent="0.3">
      <c r="A2350" s="14" t="s">
        <v>446</v>
      </c>
      <c r="B2350" s="14" t="s">
        <v>119</v>
      </c>
      <c r="C2350" s="14" t="s">
        <v>363</v>
      </c>
      <c r="D2350" s="14" t="s">
        <v>364</v>
      </c>
      <c r="E2350" s="14" t="s">
        <v>342</v>
      </c>
      <c r="F2350" s="14" t="s">
        <v>343</v>
      </c>
      <c r="G2350" s="14" t="s">
        <v>343</v>
      </c>
      <c r="H2350" s="14" t="s">
        <v>343</v>
      </c>
      <c r="U2350" s="14">
        <v>1.06</v>
      </c>
      <c r="V2350" s="14">
        <v>1.06</v>
      </c>
      <c r="W2350" s="14">
        <v>1.06</v>
      </c>
      <c r="X2350" s="14">
        <v>1.06</v>
      </c>
    </row>
    <row r="2351" spans="1:24" hidden="1" x14ac:dyDescent="0.3">
      <c r="A2351" s="14" t="s">
        <v>446</v>
      </c>
      <c r="B2351" s="14" t="s">
        <v>119</v>
      </c>
      <c r="C2351" s="14" t="s">
        <v>363</v>
      </c>
      <c r="D2351" s="14" t="s">
        <v>364</v>
      </c>
      <c r="E2351" s="14" t="s">
        <v>344</v>
      </c>
      <c r="F2351" s="14" t="s">
        <v>343</v>
      </c>
      <c r="G2351" s="14" t="s">
        <v>343</v>
      </c>
      <c r="H2351" s="14" t="s">
        <v>343</v>
      </c>
      <c r="U2351" s="14">
        <v>1</v>
      </c>
      <c r="V2351" s="14">
        <v>1</v>
      </c>
      <c r="W2351" s="14">
        <v>1</v>
      </c>
      <c r="X2351" s="14">
        <v>1</v>
      </c>
    </row>
    <row r="2352" spans="1:24" hidden="1" x14ac:dyDescent="0.3">
      <c r="A2352" s="14" t="s">
        <v>446</v>
      </c>
      <c r="B2352" s="14" t="s">
        <v>119</v>
      </c>
      <c r="C2352" s="14" t="s">
        <v>365</v>
      </c>
      <c r="D2352" s="14" t="s">
        <v>366</v>
      </c>
      <c r="E2352" s="14" t="s">
        <v>342</v>
      </c>
      <c r="F2352" s="14" t="s">
        <v>343</v>
      </c>
      <c r="G2352" s="14" t="s">
        <v>343</v>
      </c>
      <c r="H2352" s="14" t="s">
        <v>343</v>
      </c>
      <c r="U2352" s="14">
        <v>0.94</v>
      </c>
      <c r="V2352" s="14">
        <v>0.94</v>
      </c>
      <c r="W2352" s="14">
        <v>0.94</v>
      </c>
      <c r="X2352" s="14">
        <v>0.94</v>
      </c>
    </row>
    <row r="2353" spans="1:24" hidden="1" x14ac:dyDescent="0.3">
      <c r="A2353" s="14" t="s">
        <v>446</v>
      </c>
      <c r="B2353" s="14" t="s">
        <v>119</v>
      </c>
      <c r="C2353" s="14" t="s">
        <v>365</v>
      </c>
      <c r="D2353" s="14" t="s">
        <v>366</v>
      </c>
      <c r="E2353" s="14" t="s">
        <v>344</v>
      </c>
      <c r="F2353" s="14" t="s">
        <v>343</v>
      </c>
      <c r="G2353" s="14" t="s">
        <v>343</v>
      </c>
      <c r="H2353" s="14" t="s">
        <v>343</v>
      </c>
      <c r="U2353" s="14">
        <v>114</v>
      </c>
      <c r="V2353" s="14">
        <v>1</v>
      </c>
      <c r="W2353" s="14">
        <v>1</v>
      </c>
      <c r="X2353" s="14">
        <v>1</v>
      </c>
    </row>
    <row r="2354" spans="1:24" hidden="1" x14ac:dyDescent="0.3">
      <c r="A2354" s="14" t="s">
        <v>446</v>
      </c>
      <c r="B2354" s="14" t="s">
        <v>119</v>
      </c>
      <c r="C2354" s="14" t="s">
        <v>367</v>
      </c>
      <c r="D2354" s="14" t="s">
        <v>368</v>
      </c>
      <c r="E2354" s="14" t="s">
        <v>342</v>
      </c>
      <c r="F2354" s="14" t="s">
        <v>343</v>
      </c>
      <c r="G2354" s="14" t="s">
        <v>343</v>
      </c>
      <c r="H2354" s="14" t="s">
        <v>343</v>
      </c>
      <c r="I2354" s="14">
        <v>0.67</v>
      </c>
      <c r="J2354" s="14">
        <v>0.67</v>
      </c>
      <c r="K2354" s="14">
        <v>0.69</v>
      </c>
      <c r="L2354" s="14">
        <v>0.69</v>
      </c>
      <c r="M2354" s="14">
        <v>0.67</v>
      </c>
      <c r="N2354" s="14">
        <v>0.66</v>
      </c>
      <c r="O2354" s="14">
        <v>0.67</v>
      </c>
      <c r="P2354" s="14">
        <v>0.67</v>
      </c>
      <c r="Q2354" s="14">
        <v>0.68</v>
      </c>
      <c r="R2354" s="14">
        <v>0.67</v>
      </c>
      <c r="S2354" s="14">
        <v>0.67</v>
      </c>
      <c r="T2354" s="14">
        <v>0.67</v>
      </c>
      <c r="U2354" s="14">
        <v>0.67</v>
      </c>
      <c r="V2354" s="14">
        <v>0.68</v>
      </c>
      <c r="W2354" s="14">
        <v>0.69</v>
      </c>
      <c r="X2354" s="14">
        <v>0.7</v>
      </c>
    </row>
    <row r="2355" spans="1:24" hidden="1" x14ac:dyDescent="0.3">
      <c r="A2355" s="14" t="s">
        <v>446</v>
      </c>
      <c r="B2355" s="14" t="s">
        <v>119</v>
      </c>
      <c r="C2355" s="14" t="s">
        <v>367</v>
      </c>
      <c r="D2355" s="14" t="s">
        <v>368</v>
      </c>
      <c r="E2355" s="14" t="s">
        <v>344</v>
      </c>
      <c r="F2355" s="14" t="s">
        <v>343</v>
      </c>
      <c r="G2355" s="14" t="s">
        <v>343</v>
      </c>
      <c r="H2355" s="14" t="s">
        <v>343</v>
      </c>
      <c r="I2355" s="14">
        <v>55</v>
      </c>
      <c r="J2355" s="14">
        <v>61</v>
      </c>
      <c r="K2355" s="14">
        <v>60</v>
      </c>
      <c r="L2355" s="14">
        <v>65</v>
      </c>
      <c r="M2355" s="14">
        <v>79</v>
      </c>
      <c r="N2355" s="14">
        <v>85</v>
      </c>
      <c r="O2355" s="14">
        <v>81</v>
      </c>
      <c r="P2355" s="14">
        <v>87</v>
      </c>
      <c r="Q2355" s="14">
        <v>93</v>
      </c>
      <c r="R2355" s="14">
        <v>99</v>
      </c>
      <c r="S2355" s="14">
        <v>101</v>
      </c>
      <c r="T2355" s="14">
        <v>103</v>
      </c>
      <c r="U2355" s="14">
        <v>102</v>
      </c>
      <c r="V2355" s="14">
        <v>105</v>
      </c>
      <c r="W2355" s="14">
        <v>99</v>
      </c>
      <c r="X2355" s="14">
        <v>88</v>
      </c>
    </row>
    <row r="2356" spans="1:24" hidden="1" x14ac:dyDescent="0.3">
      <c r="A2356" s="14" t="s">
        <v>446</v>
      </c>
      <c r="B2356" s="14" t="s">
        <v>119</v>
      </c>
      <c r="C2356" s="14" t="s">
        <v>369</v>
      </c>
      <c r="D2356" s="14" t="s">
        <v>370</v>
      </c>
      <c r="E2356" s="14" t="s">
        <v>342</v>
      </c>
      <c r="F2356" s="14" t="s">
        <v>343</v>
      </c>
      <c r="G2356" s="14" t="s">
        <v>343</v>
      </c>
      <c r="H2356" s="14" t="s">
        <v>343</v>
      </c>
      <c r="I2356" s="14">
        <v>7.0000000000000007E-2</v>
      </c>
      <c r="J2356" s="14">
        <v>7.0000000000000007E-2</v>
      </c>
      <c r="K2356" s="14">
        <v>0.11</v>
      </c>
      <c r="L2356" s="14">
        <v>0.11</v>
      </c>
      <c r="M2356" s="14">
        <v>0.03</v>
      </c>
      <c r="N2356" s="14">
        <v>0.03</v>
      </c>
      <c r="O2356" s="14">
        <v>0.06</v>
      </c>
      <c r="P2356" s="14">
        <v>0.06</v>
      </c>
      <c r="Q2356" s="14">
        <v>0.06</v>
      </c>
      <c r="R2356" s="14">
        <v>0.04</v>
      </c>
      <c r="S2356" s="14">
        <v>0.04</v>
      </c>
      <c r="T2356" s="14">
        <v>0.04</v>
      </c>
      <c r="U2356" s="14">
        <v>0.04</v>
      </c>
      <c r="V2356" s="14">
        <v>0.06</v>
      </c>
      <c r="W2356" s="14">
        <v>0.11</v>
      </c>
      <c r="X2356" s="14">
        <v>0.11</v>
      </c>
    </row>
    <row r="2357" spans="1:24" hidden="1" x14ac:dyDescent="0.3">
      <c r="A2357" s="14" t="s">
        <v>446</v>
      </c>
      <c r="B2357" s="14" t="s">
        <v>119</v>
      </c>
      <c r="C2357" s="14" t="s">
        <v>369</v>
      </c>
      <c r="D2357" s="14" t="s">
        <v>370</v>
      </c>
      <c r="E2357" s="14" t="s">
        <v>344</v>
      </c>
      <c r="F2357" s="14" t="s">
        <v>343</v>
      </c>
      <c r="G2357" s="14" t="s">
        <v>343</v>
      </c>
      <c r="H2357" s="14" t="s">
        <v>343</v>
      </c>
      <c r="I2357" s="14">
        <v>82</v>
      </c>
      <c r="J2357" s="14">
        <v>93</v>
      </c>
      <c r="K2357" s="14">
        <v>77</v>
      </c>
      <c r="L2357" s="14">
        <v>81</v>
      </c>
      <c r="M2357" s="14">
        <v>126</v>
      </c>
      <c r="N2357" s="14">
        <v>127</v>
      </c>
      <c r="O2357" s="14">
        <v>117</v>
      </c>
      <c r="P2357" s="14">
        <v>120</v>
      </c>
      <c r="Q2357" s="14">
        <v>128</v>
      </c>
      <c r="R2357" s="14">
        <v>139</v>
      </c>
      <c r="S2357" s="14">
        <v>138</v>
      </c>
      <c r="T2357" s="14">
        <v>138</v>
      </c>
      <c r="U2357" s="14">
        <v>142</v>
      </c>
      <c r="V2357" s="14">
        <v>139</v>
      </c>
      <c r="W2357" s="14">
        <v>124</v>
      </c>
      <c r="X2357" s="14">
        <v>117</v>
      </c>
    </row>
    <row r="2358" spans="1:24" hidden="1" x14ac:dyDescent="0.3">
      <c r="A2358" s="14" t="s">
        <v>446</v>
      </c>
      <c r="B2358" s="14" t="s">
        <v>119</v>
      </c>
      <c r="C2358" s="14" t="s">
        <v>371</v>
      </c>
      <c r="D2358" s="14" t="s">
        <v>372</v>
      </c>
      <c r="E2358" s="14" t="s">
        <v>342</v>
      </c>
      <c r="F2358" s="14" t="s">
        <v>343</v>
      </c>
      <c r="G2358" s="14" t="s">
        <v>343</v>
      </c>
      <c r="H2358" s="14" t="s">
        <v>343</v>
      </c>
      <c r="U2358" s="14">
        <v>0</v>
      </c>
      <c r="V2358" s="14">
        <v>0</v>
      </c>
      <c r="W2358" s="14">
        <v>0</v>
      </c>
      <c r="X2358" s="14">
        <v>0</v>
      </c>
    </row>
    <row r="2359" spans="1:24" hidden="1" x14ac:dyDescent="0.3">
      <c r="A2359" s="14" t="s">
        <v>446</v>
      </c>
      <c r="B2359" s="14" t="s">
        <v>119</v>
      </c>
      <c r="C2359" s="14" t="s">
        <v>371</v>
      </c>
      <c r="D2359" s="14" t="s">
        <v>372</v>
      </c>
      <c r="E2359" s="14" t="s">
        <v>344</v>
      </c>
      <c r="F2359" s="14" t="s">
        <v>343</v>
      </c>
      <c r="G2359" s="14" t="s">
        <v>343</v>
      </c>
      <c r="H2359" s="14" t="s">
        <v>343</v>
      </c>
      <c r="U2359" s="14">
        <v>71</v>
      </c>
      <c r="V2359" s="14">
        <v>73</v>
      </c>
      <c r="W2359" s="14">
        <v>76</v>
      </c>
      <c r="X2359" s="14">
        <v>78</v>
      </c>
    </row>
    <row r="2360" spans="1:24" hidden="1" x14ac:dyDescent="0.3">
      <c r="A2360" s="14" t="s">
        <v>446</v>
      </c>
      <c r="B2360" s="14" t="s">
        <v>119</v>
      </c>
      <c r="C2360" s="14" t="s">
        <v>373</v>
      </c>
      <c r="D2360" s="14" t="s">
        <v>374</v>
      </c>
      <c r="E2360" s="14" t="s">
        <v>342</v>
      </c>
      <c r="F2360" s="14" t="s">
        <v>343</v>
      </c>
      <c r="G2360" s="14" t="s">
        <v>343</v>
      </c>
      <c r="H2360" s="14" t="s">
        <v>343</v>
      </c>
      <c r="U2360" s="14">
        <v>0</v>
      </c>
      <c r="V2360" s="14">
        <v>0.08</v>
      </c>
      <c r="W2360" s="14">
        <v>0.27</v>
      </c>
      <c r="X2360" s="14">
        <v>0.27</v>
      </c>
    </row>
    <row r="2361" spans="1:24" hidden="1" x14ac:dyDescent="0.3">
      <c r="A2361" s="14" t="s">
        <v>446</v>
      </c>
      <c r="B2361" s="14" t="s">
        <v>119</v>
      </c>
      <c r="C2361" s="14" t="s">
        <v>373</v>
      </c>
      <c r="D2361" s="14" t="s">
        <v>374</v>
      </c>
      <c r="E2361" s="14" t="s">
        <v>344</v>
      </c>
      <c r="F2361" s="14" t="s">
        <v>343</v>
      </c>
      <c r="G2361" s="14" t="s">
        <v>343</v>
      </c>
      <c r="H2361" s="14" t="s">
        <v>343</v>
      </c>
      <c r="U2361" s="14">
        <v>144</v>
      </c>
      <c r="V2361" s="14">
        <v>126</v>
      </c>
      <c r="W2361" s="14">
        <v>79</v>
      </c>
      <c r="X2361" s="14">
        <v>74</v>
      </c>
    </row>
    <row r="2362" spans="1:24" hidden="1" x14ac:dyDescent="0.3">
      <c r="A2362" s="14" t="s">
        <v>446</v>
      </c>
      <c r="B2362" s="14" t="s">
        <v>119</v>
      </c>
      <c r="C2362" s="14" t="s">
        <v>375</v>
      </c>
      <c r="D2362" s="14" t="s">
        <v>376</v>
      </c>
      <c r="E2362" s="14" t="s">
        <v>342</v>
      </c>
      <c r="F2362" s="14" t="s">
        <v>343</v>
      </c>
      <c r="G2362" s="14" t="s">
        <v>343</v>
      </c>
      <c r="H2362" s="14" t="s">
        <v>343</v>
      </c>
      <c r="U2362" s="14">
        <v>0.14000000000000001</v>
      </c>
      <c r="V2362" s="14">
        <v>0.14000000000000001</v>
      </c>
      <c r="W2362" s="14">
        <v>0.14000000000000001</v>
      </c>
      <c r="X2362" s="14">
        <v>0.15</v>
      </c>
    </row>
    <row r="2363" spans="1:24" hidden="1" x14ac:dyDescent="0.3">
      <c r="A2363" s="14" t="s">
        <v>446</v>
      </c>
      <c r="B2363" s="14" t="s">
        <v>119</v>
      </c>
      <c r="C2363" s="14" t="s">
        <v>375</v>
      </c>
      <c r="D2363" s="14" t="s">
        <v>376</v>
      </c>
      <c r="E2363" s="14" t="s">
        <v>344</v>
      </c>
      <c r="F2363" s="14" t="s">
        <v>343</v>
      </c>
      <c r="G2363" s="14" t="s">
        <v>343</v>
      </c>
      <c r="H2363" s="14" t="s">
        <v>343</v>
      </c>
      <c r="U2363" s="14">
        <v>118</v>
      </c>
      <c r="V2363" s="14">
        <v>127</v>
      </c>
      <c r="W2363" s="14">
        <v>132</v>
      </c>
      <c r="X2363" s="14">
        <v>124</v>
      </c>
    </row>
    <row r="2364" spans="1:24" hidden="1" x14ac:dyDescent="0.3">
      <c r="A2364" s="14" t="s">
        <v>447</v>
      </c>
      <c r="B2364" s="14" t="s">
        <v>122</v>
      </c>
      <c r="C2364" s="14" t="s">
        <v>340</v>
      </c>
      <c r="D2364" s="14" t="s">
        <v>341</v>
      </c>
      <c r="E2364" s="14" t="s">
        <v>342</v>
      </c>
      <c r="F2364" s="14" t="s">
        <v>343</v>
      </c>
      <c r="G2364" s="14" t="s">
        <v>343</v>
      </c>
      <c r="H2364" s="14" t="s">
        <v>343</v>
      </c>
      <c r="I2364" s="14">
        <v>0.95</v>
      </c>
      <c r="J2364" s="14">
        <v>0.95</v>
      </c>
      <c r="K2364" s="14">
        <v>0.94</v>
      </c>
      <c r="L2364" s="14">
        <v>0.97</v>
      </c>
      <c r="M2364" s="14">
        <v>0.96</v>
      </c>
      <c r="N2364" s="14">
        <v>0.97</v>
      </c>
      <c r="O2364" s="14">
        <v>0.97</v>
      </c>
      <c r="P2364" s="14">
        <v>0.96</v>
      </c>
      <c r="Q2364" s="14">
        <v>0.99</v>
      </c>
      <c r="R2364" s="14">
        <v>0.99</v>
      </c>
      <c r="S2364" s="14">
        <v>0.99</v>
      </c>
      <c r="T2364" s="14">
        <v>0.99</v>
      </c>
      <c r="U2364" s="14">
        <v>0.97</v>
      </c>
      <c r="V2364" s="14">
        <v>0.97</v>
      </c>
      <c r="W2364" s="14">
        <v>0.97</v>
      </c>
      <c r="X2364" s="14">
        <v>0.97</v>
      </c>
    </row>
    <row r="2365" spans="1:24" hidden="1" x14ac:dyDescent="0.3">
      <c r="A2365" s="14" t="s">
        <v>447</v>
      </c>
      <c r="B2365" s="14" t="s">
        <v>122</v>
      </c>
      <c r="C2365" s="14" t="s">
        <v>340</v>
      </c>
      <c r="D2365" s="14" t="s">
        <v>341</v>
      </c>
      <c r="E2365" s="14" t="s">
        <v>344</v>
      </c>
      <c r="F2365" s="14" t="s">
        <v>343</v>
      </c>
      <c r="G2365" s="14" t="s">
        <v>343</v>
      </c>
      <c r="H2365" s="14" t="s">
        <v>343</v>
      </c>
      <c r="I2365" s="14">
        <v>80</v>
      </c>
      <c r="J2365" s="14">
        <v>93</v>
      </c>
      <c r="K2365" s="14">
        <v>97</v>
      </c>
      <c r="L2365" s="14">
        <v>95</v>
      </c>
      <c r="M2365" s="14">
        <v>95</v>
      </c>
      <c r="N2365" s="14">
        <v>93</v>
      </c>
      <c r="O2365" s="14">
        <v>92</v>
      </c>
      <c r="P2365" s="14">
        <v>101</v>
      </c>
      <c r="Q2365" s="14">
        <v>78</v>
      </c>
      <c r="R2365" s="14">
        <v>89</v>
      </c>
      <c r="S2365" s="14">
        <v>87</v>
      </c>
      <c r="T2365" s="14">
        <v>88</v>
      </c>
      <c r="U2365" s="14">
        <v>107</v>
      </c>
      <c r="V2365" s="14">
        <v>105</v>
      </c>
      <c r="W2365" s="14">
        <v>107</v>
      </c>
      <c r="X2365" s="14">
        <v>102</v>
      </c>
    </row>
    <row r="2366" spans="1:24" hidden="1" x14ac:dyDescent="0.3">
      <c r="A2366" s="14" t="s">
        <v>447</v>
      </c>
      <c r="B2366" s="14" t="s">
        <v>122</v>
      </c>
      <c r="C2366" s="14" t="s">
        <v>345</v>
      </c>
      <c r="D2366" s="14" t="s">
        <v>346</v>
      </c>
      <c r="E2366" s="14" t="s">
        <v>342</v>
      </c>
      <c r="F2366" s="14" t="s">
        <v>343</v>
      </c>
      <c r="G2366" s="14" t="s">
        <v>343</v>
      </c>
      <c r="H2366" s="14" t="s">
        <v>343</v>
      </c>
      <c r="U2366" s="14">
        <v>0.49</v>
      </c>
      <c r="V2366" s="14">
        <v>0.5</v>
      </c>
      <c r="W2366" s="14">
        <v>0.52</v>
      </c>
      <c r="X2366" s="14">
        <v>0.54</v>
      </c>
    </row>
    <row r="2367" spans="1:24" hidden="1" x14ac:dyDescent="0.3">
      <c r="A2367" s="14" t="s">
        <v>447</v>
      </c>
      <c r="B2367" s="14" t="s">
        <v>122</v>
      </c>
      <c r="C2367" s="14" t="s">
        <v>345</v>
      </c>
      <c r="D2367" s="14" t="s">
        <v>346</v>
      </c>
      <c r="E2367" s="14" t="s">
        <v>344</v>
      </c>
      <c r="F2367" s="14" t="s">
        <v>343</v>
      </c>
      <c r="G2367" s="14" t="s">
        <v>343</v>
      </c>
      <c r="H2367" s="14" t="s">
        <v>343</v>
      </c>
      <c r="U2367" s="14">
        <v>115</v>
      </c>
      <c r="V2367" s="14">
        <v>116</v>
      </c>
      <c r="W2367" s="14">
        <v>114</v>
      </c>
      <c r="X2367" s="14">
        <v>109</v>
      </c>
    </row>
    <row r="2368" spans="1:24" hidden="1" x14ac:dyDescent="0.3">
      <c r="A2368" s="14" t="s">
        <v>447</v>
      </c>
      <c r="B2368" s="14" t="s">
        <v>122</v>
      </c>
      <c r="C2368" s="14" t="s">
        <v>347</v>
      </c>
      <c r="D2368" s="14" t="s">
        <v>348</v>
      </c>
      <c r="E2368" s="14" t="s">
        <v>342</v>
      </c>
      <c r="F2368" s="14" t="s">
        <v>343</v>
      </c>
      <c r="G2368" s="14" t="s">
        <v>343</v>
      </c>
      <c r="H2368" s="14" t="s">
        <v>343</v>
      </c>
      <c r="U2368" s="14">
        <v>0.63</v>
      </c>
      <c r="V2368" s="14">
        <v>0.65</v>
      </c>
      <c r="W2368" s="14">
        <v>0.66</v>
      </c>
      <c r="X2368" s="14">
        <v>0.66</v>
      </c>
    </row>
    <row r="2369" spans="1:24" hidden="1" x14ac:dyDescent="0.3">
      <c r="A2369" s="14" t="s">
        <v>447</v>
      </c>
      <c r="B2369" s="14" t="s">
        <v>122</v>
      </c>
      <c r="C2369" s="14" t="s">
        <v>347</v>
      </c>
      <c r="D2369" s="14" t="s">
        <v>348</v>
      </c>
      <c r="E2369" s="14" t="s">
        <v>344</v>
      </c>
      <c r="F2369" s="14" t="s">
        <v>343</v>
      </c>
      <c r="G2369" s="14" t="s">
        <v>343</v>
      </c>
      <c r="H2369" s="14" t="s">
        <v>343</v>
      </c>
      <c r="U2369" s="14">
        <v>118</v>
      </c>
      <c r="V2369" s="14">
        <v>115</v>
      </c>
      <c r="W2369" s="14">
        <v>115</v>
      </c>
      <c r="X2369" s="14">
        <v>110</v>
      </c>
    </row>
    <row r="2370" spans="1:24" hidden="1" x14ac:dyDescent="0.3">
      <c r="A2370" s="14" t="s">
        <v>447</v>
      </c>
      <c r="B2370" s="14" t="s">
        <v>122</v>
      </c>
      <c r="C2370" s="14" t="s">
        <v>349</v>
      </c>
      <c r="D2370" s="14" t="s">
        <v>350</v>
      </c>
      <c r="E2370" s="14" t="s">
        <v>342</v>
      </c>
      <c r="F2370" s="14" t="s">
        <v>343</v>
      </c>
      <c r="G2370" s="14" t="s">
        <v>343</v>
      </c>
      <c r="H2370" s="14" t="s">
        <v>343</v>
      </c>
      <c r="U2370" s="14">
        <v>0.38</v>
      </c>
      <c r="V2370" s="14">
        <v>1</v>
      </c>
      <c r="W2370" s="14">
        <v>0.42</v>
      </c>
      <c r="X2370" s="14">
        <v>0.48</v>
      </c>
    </row>
    <row r="2371" spans="1:24" hidden="1" x14ac:dyDescent="0.3">
      <c r="A2371" s="14" t="s">
        <v>447</v>
      </c>
      <c r="B2371" s="14" t="s">
        <v>122</v>
      </c>
      <c r="C2371" s="14" t="s">
        <v>349</v>
      </c>
      <c r="D2371" s="14" t="s">
        <v>350</v>
      </c>
      <c r="E2371" s="14" t="s">
        <v>344</v>
      </c>
      <c r="F2371" s="14" t="s">
        <v>343</v>
      </c>
      <c r="G2371" s="14" t="s">
        <v>343</v>
      </c>
      <c r="H2371" s="14" t="s">
        <v>343</v>
      </c>
      <c r="U2371" s="14">
        <v>93</v>
      </c>
      <c r="V2371" s="14">
        <v>1</v>
      </c>
      <c r="W2371" s="14">
        <v>92</v>
      </c>
      <c r="X2371" s="14">
        <v>80</v>
      </c>
    </row>
    <row r="2372" spans="1:24" hidden="1" x14ac:dyDescent="0.3">
      <c r="A2372" s="14" t="s">
        <v>447</v>
      </c>
      <c r="B2372" s="14" t="s">
        <v>122</v>
      </c>
      <c r="C2372" s="14" t="s">
        <v>351</v>
      </c>
      <c r="D2372" s="14" t="s">
        <v>352</v>
      </c>
      <c r="E2372" s="14" t="s">
        <v>342</v>
      </c>
      <c r="F2372" s="14" t="s">
        <v>343</v>
      </c>
      <c r="G2372" s="14" t="s">
        <v>343</v>
      </c>
      <c r="H2372" s="14" t="s">
        <v>343</v>
      </c>
      <c r="U2372" s="14">
        <v>0.96</v>
      </c>
      <c r="V2372" s="14">
        <v>0.67</v>
      </c>
      <c r="W2372" s="14">
        <v>1</v>
      </c>
      <c r="X2372" s="14">
        <v>1</v>
      </c>
    </row>
    <row r="2373" spans="1:24" hidden="1" x14ac:dyDescent="0.3">
      <c r="A2373" s="14" t="s">
        <v>447</v>
      </c>
      <c r="B2373" s="14" t="s">
        <v>122</v>
      </c>
      <c r="C2373" s="14" t="s">
        <v>351</v>
      </c>
      <c r="D2373" s="14" t="s">
        <v>352</v>
      </c>
      <c r="E2373" s="14" t="s">
        <v>344</v>
      </c>
      <c r="F2373" s="14" t="s">
        <v>343</v>
      </c>
      <c r="G2373" s="14" t="s">
        <v>343</v>
      </c>
      <c r="H2373" s="14" t="s">
        <v>343</v>
      </c>
      <c r="U2373" s="14">
        <v>73</v>
      </c>
      <c r="V2373" s="14">
        <v>112</v>
      </c>
      <c r="W2373" s="14">
        <v>75</v>
      </c>
      <c r="X2373" s="14">
        <v>1</v>
      </c>
    </row>
    <row r="2374" spans="1:24" hidden="1" x14ac:dyDescent="0.3">
      <c r="A2374" s="14" t="s">
        <v>447</v>
      </c>
      <c r="B2374" s="14" t="s">
        <v>122</v>
      </c>
      <c r="C2374" s="14" t="s">
        <v>378</v>
      </c>
      <c r="D2374" s="14" t="s">
        <v>379</v>
      </c>
      <c r="E2374" s="14" t="s">
        <v>342</v>
      </c>
      <c r="F2374" s="14" t="s">
        <v>343</v>
      </c>
      <c r="G2374" s="14" t="s">
        <v>343</v>
      </c>
      <c r="H2374" s="14" t="s">
        <v>343</v>
      </c>
      <c r="S2374" s="14">
        <v>0.68</v>
      </c>
      <c r="U2374" s="14">
        <v>0.72</v>
      </c>
      <c r="V2374" s="14">
        <v>0.69</v>
      </c>
      <c r="W2374" s="14">
        <v>0.7</v>
      </c>
      <c r="X2374" s="14">
        <v>0.75</v>
      </c>
    </row>
    <row r="2375" spans="1:24" hidden="1" x14ac:dyDescent="0.3">
      <c r="A2375" s="14" t="s">
        <v>447</v>
      </c>
      <c r="B2375" s="14" t="s">
        <v>122</v>
      </c>
      <c r="C2375" s="14" t="s">
        <v>378</v>
      </c>
      <c r="D2375" s="14" t="s">
        <v>379</v>
      </c>
      <c r="E2375" s="14" t="s">
        <v>344</v>
      </c>
      <c r="F2375" s="14" t="s">
        <v>343</v>
      </c>
      <c r="G2375" s="14" t="s">
        <v>343</v>
      </c>
      <c r="H2375" s="14" t="s">
        <v>343</v>
      </c>
      <c r="S2375" s="14">
        <v>51</v>
      </c>
      <c r="U2375" s="14">
        <v>32</v>
      </c>
      <c r="V2375" s="14">
        <v>51</v>
      </c>
      <c r="W2375" s="14">
        <v>59</v>
      </c>
      <c r="X2375" s="14">
        <v>23</v>
      </c>
    </row>
    <row r="2376" spans="1:24" hidden="1" x14ac:dyDescent="0.3">
      <c r="A2376" s="14" t="s">
        <v>447</v>
      </c>
      <c r="B2376" s="14" t="s">
        <v>122</v>
      </c>
      <c r="C2376" s="14" t="s">
        <v>353</v>
      </c>
      <c r="D2376" s="14" t="s">
        <v>354</v>
      </c>
      <c r="E2376" s="14" t="s">
        <v>342</v>
      </c>
      <c r="F2376" s="14" t="s">
        <v>343</v>
      </c>
      <c r="G2376" s="14" t="s">
        <v>343</v>
      </c>
      <c r="H2376" s="14" t="s">
        <v>343</v>
      </c>
      <c r="U2376" s="14">
        <v>0.96</v>
      </c>
      <c r="V2376" s="14">
        <v>0.97</v>
      </c>
      <c r="W2376" s="14">
        <v>0.97</v>
      </c>
      <c r="X2376" s="14">
        <v>0.97</v>
      </c>
    </row>
    <row r="2377" spans="1:24" hidden="1" x14ac:dyDescent="0.3">
      <c r="A2377" s="14" t="s">
        <v>447</v>
      </c>
      <c r="B2377" s="14" t="s">
        <v>122</v>
      </c>
      <c r="C2377" s="14" t="s">
        <v>353</v>
      </c>
      <c r="D2377" s="14" t="s">
        <v>354</v>
      </c>
      <c r="E2377" s="14" t="s">
        <v>344</v>
      </c>
      <c r="F2377" s="14" t="s">
        <v>343</v>
      </c>
      <c r="G2377" s="14" t="s">
        <v>343</v>
      </c>
      <c r="H2377" s="14" t="s">
        <v>343</v>
      </c>
      <c r="U2377" s="14">
        <v>86</v>
      </c>
      <c r="V2377" s="14">
        <v>91</v>
      </c>
      <c r="W2377" s="14">
        <v>94</v>
      </c>
      <c r="X2377" s="14">
        <v>88</v>
      </c>
    </row>
    <row r="2378" spans="1:24" hidden="1" x14ac:dyDescent="0.3">
      <c r="A2378" s="14" t="s">
        <v>447</v>
      </c>
      <c r="B2378" s="14" t="s">
        <v>122</v>
      </c>
      <c r="C2378" s="14" t="s">
        <v>380</v>
      </c>
      <c r="D2378" s="14" t="s">
        <v>381</v>
      </c>
      <c r="E2378" s="14" t="s">
        <v>342</v>
      </c>
      <c r="F2378" s="14" t="s">
        <v>343</v>
      </c>
      <c r="G2378" s="14" t="s">
        <v>343</v>
      </c>
      <c r="H2378" s="14" t="s">
        <v>343</v>
      </c>
      <c r="U2378" s="14">
        <v>0.94</v>
      </c>
      <c r="V2378" s="14">
        <v>0.95</v>
      </c>
      <c r="W2378" s="14">
        <v>0.95</v>
      </c>
      <c r="X2378" s="14">
        <v>0.95</v>
      </c>
    </row>
    <row r="2379" spans="1:24" hidden="1" x14ac:dyDescent="0.3">
      <c r="A2379" s="14" t="s">
        <v>447</v>
      </c>
      <c r="B2379" s="14" t="s">
        <v>122</v>
      </c>
      <c r="C2379" s="14" t="s">
        <v>380</v>
      </c>
      <c r="D2379" s="14" t="s">
        <v>381</v>
      </c>
      <c r="E2379" s="14" t="s">
        <v>344</v>
      </c>
      <c r="F2379" s="14" t="s">
        <v>343</v>
      </c>
      <c r="G2379" s="14" t="s">
        <v>343</v>
      </c>
      <c r="H2379" s="14" t="s">
        <v>343</v>
      </c>
      <c r="U2379" s="14">
        <v>122</v>
      </c>
      <c r="V2379" s="14">
        <v>131</v>
      </c>
      <c r="W2379" s="14">
        <v>132</v>
      </c>
      <c r="X2379" s="14">
        <v>106</v>
      </c>
    </row>
    <row r="2380" spans="1:24" hidden="1" x14ac:dyDescent="0.3">
      <c r="A2380" s="14" t="s">
        <v>447</v>
      </c>
      <c r="B2380" s="14" t="s">
        <v>122</v>
      </c>
      <c r="C2380" s="14" t="s">
        <v>355</v>
      </c>
      <c r="D2380" s="14" t="s">
        <v>356</v>
      </c>
      <c r="E2380" s="14" t="s">
        <v>342</v>
      </c>
      <c r="F2380" s="14" t="s">
        <v>343</v>
      </c>
      <c r="G2380" s="14" t="s">
        <v>343</v>
      </c>
      <c r="H2380" s="14" t="s">
        <v>343</v>
      </c>
      <c r="U2380" s="14">
        <v>1</v>
      </c>
      <c r="V2380" s="14">
        <v>1</v>
      </c>
      <c r="W2380" s="14">
        <v>1</v>
      </c>
      <c r="X2380" s="14">
        <v>1</v>
      </c>
    </row>
    <row r="2381" spans="1:24" hidden="1" x14ac:dyDescent="0.3">
      <c r="A2381" s="14" t="s">
        <v>447</v>
      </c>
      <c r="B2381" s="14" t="s">
        <v>122</v>
      </c>
      <c r="C2381" s="14" t="s">
        <v>355</v>
      </c>
      <c r="D2381" s="14" t="s">
        <v>356</v>
      </c>
      <c r="E2381" s="14" t="s">
        <v>344</v>
      </c>
      <c r="F2381" s="14" t="s">
        <v>343</v>
      </c>
      <c r="G2381" s="14" t="s">
        <v>343</v>
      </c>
      <c r="H2381" s="14" t="s">
        <v>343</v>
      </c>
      <c r="U2381" s="14">
        <v>1</v>
      </c>
      <c r="V2381" s="14">
        <v>1</v>
      </c>
      <c r="W2381" s="14">
        <v>1</v>
      </c>
      <c r="X2381" s="14">
        <v>1</v>
      </c>
    </row>
    <row r="2382" spans="1:24" hidden="1" x14ac:dyDescent="0.3">
      <c r="A2382" s="14" t="s">
        <v>447</v>
      </c>
      <c r="B2382" s="14" t="s">
        <v>122</v>
      </c>
      <c r="C2382" s="14" t="s">
        <v>357</v>
      </c>
      <c r="D2382" s="14" t="s">
        <v>358</v>
      </c>
      <c r="E2382" s="14" t="s">
        <v>342</v>
      </c>
      <c r="F2382" s="14" t="s">
        <v>343</v>
      </c>
      <c r="G2382" s="14" t="s">
        <v>343</v>
      </c>
      <c r="H2382" s="14" t="s">
        <v>343</v>
      </c>
      <c r="U2382" s="14">
        <v>1</v>
      </c>
      <c r="V2382" s="14">
        <v>1</v>
      </c>
      <c r="W2382" s="14">
        <v>1</v>
      </c>
      <c r="X2382" s="14">
        <v>1</v>
      </c>
    </row>
    <row r="2383" spans="1:24" hidden="1" x14ac:dyDescent="0.3">
      <c r="A2383" s="14" t="s">
        <v>447</v>
      </c>
      <c r="B2383" s="14" t="s">
        <v>122</v>
      </c>
      <c r="C2383" s="14" t="s">
        <v>357</v>
      </c>
      <c r="D2383" s="14" t="s">
        <v>358</v>
      </c>
      <c r="E2383" s="14" t="s">
        <v>344</v>
      </c>
      <c r="F2383" s="14" t="s">
        <v>343</v>
      </c>
      <c r="G2383" s="14" t="s">
        <v>343</v>
      </c>
      <c r="H2383" s="14" t="s">
        <v>343</v>
      </c>
      <c r="U2383" s="14">
        <v>1</v>
      </c>
      <c r="V2383" s="14">
        <v>1</v>
      </c>
      <c r="W2383" s="14">
        <v>1</v>
      </c>
      <c r="X2383" s="14">
        <v>1</v>
      </c>
    </row>
    <row r="2384" spans="1:24" hidden="1" x14ac:dyDescent="0.3">
      <c r="A2384" s="14" t="s">
        <v>447</v>
      </c>
      <c r="B2384" s="14" t="s">
        <v>122</v>
      </c>
      <c r="C2384" s="14" t="s">
        <v>359</v>
      </c>
      <c r="D2384" s="14" t="s">
        <v>360</v>
      </c>
      <c r="E2384" s="14" t="s">
        <v>342</v>
      </c>
      <c r="F2384" s="14" t="s">
        <v>343</v>
      </c>
      <c r="G2384" s="14" t="s">
        <v>343</v>
      </c>
      <c r="H2384" s="14" t="s">
        <v>343</v>
      </c>
      <c r="I2384" s="14">
        <v>0.6</v>
      </c>
      <c r="J2384" s="14">
        <v>0.6</v>
      </c>
      <c r="K2384" s="14">
        <v>0.56999999999999995</v>
      </c>
      <c r="L2384" s="14">
        <v>0.56999999999999995</v>
      </c>
      <c r="M2384" s="14">
        <v>0.56999999999999995</v>
      </c>
      <c r="N2384" s="14">
        <v>0.56000000000000005</v>
      </c>
      <c r="O2384" s="14">
        <v>0.56000000000000005</v>
      </c>
      <c r="P2384" s="14">
        <v>0.59</v>
      </c>
      <c r="Q2384" s="14">
        <v>0.6</v>
      </c>
      <c r="R2384" s="14">
        <v>0.59</v>
      </c>
      <c r="S2384" s="14">
        <v>0.6</v>
      </c>
      <c r="T2384" s="14">
        <v>0.61</v>
      </c>
      <c r="U2384" s="14">
        <v>0.63</v>
      </c>
      <c r="V2384" s="14">
        <v>0.68</v>
      </c>
      <c r="W2384" s="14">
        <v>0.65</v>
      </c>
      <c r="X2384" s="14">
        <v>0.67</v>
      </c>
    </row>
    <row r="2385" spans="1:24" hidden="1" x14ac:dyDescent="0.3">
      <c r="A2385" s="14" t="s">
        <v>447</v>
      </c>
      <c r="B2385" s="14" t="s">
        <v>122</v>
      </c>
      <c r="C2385" s="14" t="s">
        <v>359</v>
      </c>
      <c r="D2385" s="14" t="s">
        <v>360</v>
      </c>
      <c r="E2385" s="14" t="s">
        <v>344</v>
      </c>
      <c r="F2385" s="14" t="s">
        <v>343</v>
      </c>
      <c r="G2385" s="14" t="s">
        <v>343</v>
      </c>
      <c r="H2385" s="14" t="s">
        <v>343</v>
      </c>
      <c r="I2385" s="14">
        <v>67</v>
      </c>
      <c r="J2385" s="14">
        <v>82</v>
      </c>
      <c r="K2385" s="14">
        <v>90</v>
      </c>
      <c r="L2385" s="14">
        <v>100</v>
      </c>
      <c r="M2385" s="14">
        <v>100</v>
      </c>
      <c r="N2385" s="14">
        <v>101</v>
      </c>
      <c r="O2385" s="14">
        <v>104</v>
      </c>
      <c r="P2385" s="14">
        <v>103</v>
      </c>
      <c r="Q2385" s="14">
        <v>108</v>
      </c>
      <c r="R2385" s="14">
        <v>114</v>
      </c>
      <c r="S2385" s="14">
        <v>107</v>
      </c>
      <c r="T2385" s="14">
        <v>108</v>
      </c>
      <c r="U2385" s="14">
        <v>96</v>
      </c>
      <c r="V2385" s="14">
        <v>68</v>
      </c>
      <c r="W2385" s="14">
        <v>99</v>
      </c>
      <c r="X2385" s="14">
        <v>80</v>
      </c>
    </row>
    <row r="2386" spans="1:24" x14ac:dyDescent="0.3">
      <c r="A2386" s="14" t="s">
        <v>447</v>
      </c>
      <c r="B2386" s="14" t="s">
        <v>122</v>
      </c>
      <c r="C2386" s="14" t="s">
        <v>361</v>
      </c>
      <c r="D2386" s="14" t="s">
        <v>362</v>
      </c>
      <c r="E2386" s="14" t="s">
        <v>342</v>
      </c>
      <c r="F2386" s="14" t="s">
        <v>343</v>
      </c>
      <c r="G2386" s="14" t="s">
        <v>343</v>
      </c>
      <c r="H2386" s="14" t="s">
        <v>343</v>
      </c>
      <c r="I2386" s="14">
        <v>0.97</v>
      </c>
      <c r="J2386" s="14">
        <v>0.97</v>
      </c>
      <c r="K2386" s="14">
        <v>0.97</v>
      </c>
      <c r="L2386" s="14">
        <v>0.97</v>
      </c>
      <c r="M2386" s="14">
        <v>0.97</v>
      </c>
      <c r="N2386" s="14">
        <v>0.97</v>
      </c>
      <c r="O2386" s="14">
        <v>0.97</v>
      </c>
      <c r="P2386" s="14">
        <v>0.97</v>
      </c>
      <c r="Q2386" s="14">
        <v>0.98</v>
      </c>
      <c r="R2386" s="14">
        <v>0.98</v>
      </c>
      <c r="S2386" s="14">
        <v>0.98</v>
      </c>
      <c r="T2386" s="14">
        <v>0.98</v>
      </c>
      <c r="U2386" s="14">
        <v>0.97</v>
      </c>
      <c r="V2386" s="14">
        <v>0.97</v>
      </c>
      <c r="W2386" s="14">
        <v>0.97</v>
      </c>
      <c r="X2386" s="14">
        <v>0.97</v>
      </c>
    </row>
    <row r="2387" spans="1:24" hidden="1" x14ac:dyDescent="0.3">
      <c r="A2387" s="14" t="s">
        <v>447</v>
      </c>
      <c r="B2387" s="14" t="s">
        <v>122</v>
      </c>
      <c r="C2387" s="14" t="s">
        <v>361</v>
      </c>
      <c r="D2387" s="14" t="s">
        <v>362</v>
      </c>
      <c r="E2387" s="14" t="s">
        <v>344</v>
      </c>
      <c r="F2387" s="14" t="s">
        <v>343</v>
      </c>
      <c r="G2387" s="14" t="s">
        <v>343</v>
      </c>
      <c r="H2387" s="14" t="s">
        <v>343</v>
      </c>
      <c r="I2387" s="14">
        <v>88</v>
      </c>
      <c r="J2387" s="14">
        <v>81</v>
      </c>
      <c r="K2387" s="14">
        <v>82</v>
      </c>
      <c r="L2387" s="14">
        <v>87</v>
      </c>
      <c r="M2387" s="14">
        <v>105</v>
      </c>
      <c r="N2387" s="14">
        <v>106</v>
      </c>
      <c r="O2387" s="14">
        <v>107</v>
      </c>
      <c r="P2387" s="14">
        <v>107</v>
      </c>
      <c r="Q2387" s="14">
        <v>58</v>
      </c>
      <c r="R2387" s="14">
        <v>60</v>
      </c>
      <c r="S2387" s="14">
        <v>58</v>
      </c>
      <c r="T2387" s="14">
        <v>60</v>
      </c>
      <c r="U2387" s="14">
        <v>79</v>
      </c>
      <c r="V2387" s="14">
        <v>79</v>
      </c>
      <c r="W2387" s="14">
        <v>76</v>
      </c>
      <c r="X2387" s="14">
        <v>77</v>
      </c>
    </row>
    <row r="2388" spans="1:24" hidden="1" x14ac:dyDescent="0.3">
      <c r="A2388" s="14" t="s">
        <v>447</v>
      </c>
      <c r="B2388" s="14" t="s">
        <v>122</v>
      </c>
      <c r="C2388" s="14" t="s">
        <v>363</v>
      </c>
      <c r="D2388" s="14" t="s">
        <v>364</v>
      </c>
      <c r="E2388" s="14" t="s">
        <v>342</v>
      </c>
      <c r="F2388" s="14" t="s">
        <v>343</v>
      </c>
      <c r="G2388" s="14" t="s">
        <v>343</v>
      </c>
      <c r="H2388" s="14" t="s">
        <v>343</v>
      </c>
      <c r="U2388" s="14">
        <v>1.04</v>
      </c>
      <c r="V2388" s="14">
        <v>1.04</v>
      </c>
      <c r="W2388" s="14">
        <v>1.03</v>
      </c>
      <c r="X2388" s="14">
        <v>1.03</v>
      </c>
    </row>
    <row r="2389" spans="1:24" hidden="1" x14ac:dyDescent="0.3">
      <c r="A2389" s="14" t="s">
        <v>447</v>
      </c>
      <c r="B2389" s="14" t="s">
        <v>122</v>
      </c>
      <c r="C2389" s="14" t="s">
        <v>363</v>
      </c>
      <c r="D2389" s="14" t="s">
        <v>364</v>
      </c>
      <c r="E2389" s="14" t="s">
        <v>344</v>
      </c>
      <c r="F2389" s="14" t="s">
        <v>343</v>
      </c>
      <c r="G2389" s="14" t="s">
        <v>343</v>
      </c>
      <c r="H2389" s="14" t="s">
        <v>343</v>
      </c>
      <c r="U2389" s="14">
        <v>88</v>
      </c>
      <c r="V2389" s="14">
        <v>91</v>
      </c>
      <c r="W2389" s="14">
        <v>89</v>
      </c>
      <c r="X2389" s="14">
        <v>84</v>
      </c>
    </row>
    <row r="2390" spans="1:24" hidden="1" x14ac:dyDescent="0.3">
      <c r="A2390" s="14" t="s">
        <v>447</v>
      </c>
      <c r="B2390" s="14" t="s">
        <v>122</v>
      </c>
      <c r="C2390" s="14" t="s">
        <v>365</v>
      </c>
      <c r="D2390" s="14" t="s">
        <v>366</v>
      </c>
      <c r="E2390" s="14" t="s">
        <v>342</v>
      </c>
      <c r="F2390" s="14" t="s">
        <v>343</v>
      </c>
      <c r="G2390" s="14" t="s">
        <v>343</v>
      </c>
      <c r="H2390" s="14" t="s">
        <v>343</v>
      </c>
      <c r="U2390" s="14">
        <v>0.94</v>
      </c>
      <c r="V2390" s="14">
        <v>0.94</v>
      </c>
      <c r="W2390" s="14">
        <v>0.94</v>
      </c>
      <c r="X2390" s="14">
        <v>0.94</v>
      </c>
    </row>
    <row r="2391" spans="1:24" hidden="1" x14ac:dyDescent="0.3">
      <c r="A2391" s="14" t="s">
        <v>447</v>
      </c>
      <c r="B2391" s="14" t="s">
        <v>122</v>
      </c>
      <c r="C2391" s="14" t="s">
        <v>365</v>
      </c>
      <c r="D2391" s="14" t="s">
        <v>366</v>
      </c>
      <c r="E2391" s="14" t="s">
        <v>344</v>
      </c>
      <c r="F2391" s="14" t="s">
        <v>343</v>
      </c>
      <c r="G2391" s="14" t="s">
        <v>343</v>
      </c>
      <c r="H2391" s="14" t="s">
        <v>343</v>
      </c>
      <c r="U2391" s="14">
        <v>1</v>
      </c>
      <c r="V2391" s="14">
        <v>1</v>
      </c>
      <c r="W2391" s="14">
        <v>1</v>
      </c>
      <c r="X2391" s="14">
        <v>1</v>
      </c>
    </row>
    <row r="2392" spans="1:24" hidden="1" x14ac:dyDescent="0.3">
      <c r="A2392" s="14" t="s">
        <v>447</v>
      </c>
      <c r="B2392" s="14" t="s">
        <v>122</v>
      </c>
      <c r="C2392" s="14" t="s">
        <v>367</v>
      </c>
      <c r="D2392" s="14" t="s">
        <v>368</v>
      </c>
      <c r="E2392" s="14" t="s">
        <v>342</v>
      </c>
      <c r="F2392" s="14" t="s">
        <v>343</v>
      </c>
      <c r="G2392" s="14" t="s">
        <v>343</v>
      </c>
      <c r="H2392" s="14" t="s">
        <v>343</v>
      </c>
      <c r="I2392" s="14">
        <v>0.65</v>
      </c>
      <c r="J2392" s="14">
        <v>0.66</v>
      </c>
      <c r="K2392" s="14">
        <v>0.65</v>
      </c>
      <c r="L2392" s="14">
        <v>0.66</v>
      </c>
      <c r="M2392" s="14">
        <v>0.66</v>
      </c>
      <c r="N2392" s="14">
        <v>0.66</v>
      </c>
      <c r="O2392" s="14">
        <v>0.66</v>
      </c>
      <c r="P2392" s="14">
        <v>0.66</v>
      </c>
      <c r="Q2392" s="14">
        <v>0.67</v>
      </c>
      <c r="R2392" s="14">
        <v>0.68</v>
      </c>
      <c r="S2392" s="14">
        <v>0.68</v>
      </c>
      <c r="T2392" s="14">
        <v>0.69</v>
      </c>
      <c r="U2392" s="14">
        <v>0.69</v>
      </c>
      <c r="V2392" s="14">
        <v>0.7</v>
      </c>
      <c r="W2392" s="14">
        <v>0.69</v>
      </c>
      <c r="X2392" s="14">
        <v>0.7</v>
      </c>
    </row>
    <row r="2393" spans="1:24" hidden="1" x14ac:dyDescent="0.3">
      <c r="A2393" s="14" t="s">
        <v>447</v>
      </c>
      <c r="B2393" s="14" t="s">
        <v>122</v>
      </c>
      <c r="C2393" s="14" t="s">
        <v>367</v>
      </c>
      <c r="D2393" s="14" t="s">
        <v>368</v>
      </c>
      <c r="E2393" s="14" t="s">
        <v>344</v>
      </c>
      <c r="F2393" s="14" t="s">
        <v>343</v>
      </c>
      <c r="G2393" s="14" t="s">
        <v>343</v>
      </c>
      <c r="H2393" s="14" t="s">
        <v>343</v>
      </c>
      <c r="I2393" s="14">
        <v>68</v>
      </c>
      <c r="J2393" s="14">
        <v>81</v>
      </c>
      <c r="K2393" s="14">
        <v>93</v>
      </c>
      <c r="L2393" s="14">
        <v>92</v>
      </c>
      <c r="M2393" s="14">
        <v>87</v>
      </c>
      <c r="N2393" s="14">
        <v>90</v>
      </c>
      <c r="O2393" s="14">
        <v>97</v>
      </c>
      <c r="P2393" s="14">
        <v>95</v>
      </c>
      <c r="Q2393" s="14">
        <v>97</v>
      </c>
      <c r="R2393" s="14">
        <v>92</v>
      </c>
      <c r="S2393" s="14">
        <v>88</v>
      </c>
      <c r="T2393" s="14">
        <v>84</v>
      </c>
      <c r="U2393" s="14">
        <v>85</v>
      </c>
      <c r="V2393" s="14">
        <v>85</v>
      </c>
      <c r="W2393" s="14">
        <v>101</v>
      </c>
      <c r="X2393" s="14">
        <v>92</v>
      </c>
    </row>
    <row r="2394" spans="1:24" hidden="1" x14ac:dyDescent="0.3">
      <c r="A2394" s="14" t="s">
        <v>447</v>
      </c>
      <c r="B2394" s="14" t="s">
        <v>122</v>
      </c>
      <c r="C2394" s="14" t="s">
        <v>369</v>
      </c>
      <c r="D2394" s="14" t="s">
        <v>370</v>
      </c>
      <c r="E2394" s="14" t="s">
        <v>342</v>
      </c>
      <c r="F2394" s="14" t="s">
        <v>343</v>
      </c>
      <c r="G2394" s="14" t="s">
        <v>343</v>
      </c>
      <c r="H2394" s="14" t="s">
        <v>343</v>
      </c>
      <c r="I2394" s="14">
        <v>0.1</v>
      </c>
      <c r="J2394" s="14">
        <v>0.1</v>
      </c>
      <c r="K2394" s="14">
        <v>0.1</v>
      </c>
      <c r="L2394" s="14">
        <v>0.12</v>
      </c>
      <c r="M2394" s="14">
        <v>0.14000000000000001</v>
      </c>
      <c r="N2394" s="14">
        <v>0.14000000000000001</v>
      </c>
      <c r="O2394" s="14">
        <v>0.13</v>
      </c>
      <c r="P2394" s="14">
        <v>0.13</v>
      </c>
      <c r="Q2394" s="14">
        <v>0.13</v>
      </c>
      <c r="R2394" s="14">
        <v>0.17</v>
      </c>
      <c r="S2394" s="14">
        <v>0.17</v>
      </c>
      <c r="T2394" s="14">
        <v>0.19</v>
      </c>
      <c r="U2394" s="14">
        <v>0.19</v>
      </c>
      <c r="V2394" s="14">
        <v>0.17</v>
      </c>
      <c r="W2394" s="14">
        <v>0.16</v>
      </c>
      <c r="X2394" s="14">
        <v>0.17</v>
      </c>
    </row>
    <row r="2395" spans="1:24" hidden="1" x14ac:dyDescent="0.3">
      <c r="A2395" s="14" t="s">
        <v>447</v>
      </c>
      <c r="B2395" s="14" t="s">
        <v>122</v>
      </c>
      <c r="C2395" s="14" t="s">
        <v>369</v>
      </c>
      <c r="D2395" s="14" t="s">
        <v>370</v>
      </c>
      <c r="E2395" s="14" t="s">
        <v>344</v>
      </c>
      <c r="F2395" s="14" t="s">
        <v>343</v>
      </c>
      <c r="G2395" s="14" t="s">
        <v>343</v>
      </c>
      <c r="H2395" s="14" t="s">
        <v>343</v>
      </c>
      <c r="I2395" s="14">
        <v>63</v>
      </c>
      <c r="J2395" s="14">
        <v>70</v>
      </c>
      <c r="K2395" s="14">
        <v>80</v>
      </c>
      <c r="L2395" s="14">
        <v>70</v>
      </c>
      <c r="M2395" s="14">
        <v>58</v>
      </c>
      <c r="N2395" s="14">
        <v>61</v>
      </c>
      <c r="O2395" s="14">
        <v>73</v>
      </c>
      <c r="P2395" s="14">
        <v>75</v>
      </c>
      <c r="Q2395" s="14">
        <v>86</v>
      </c>
      <c r="R2395" s="14">
        <v>71</v>
      </c>
      <c r="S2395" s="14">
        <v>72</v>
      </c>
      <c r="T2395" s="14">
        <v>63</v>
      </c>
      <c r="U2395" s="14">
        <v>60</v>
      </c>
      <c r="V2395" s="14">
        <v>82</v>
      </c>
      <c r="W2395" s="14">
        <v>92</v>
      </c>
      <c r="X2395" s="14">
        <v>90</v>
      </c>
    </row>
    <row r="2396" spans="1:24" hidden="1" x14ac:dyDescent="0.3">
      <c r="A2396" s="14" t="s">
        <v>447</v>
      </c>
      <c r="B2396" s="14" t="s">
        <v>122</v>
      </c>
      <c r="C2396" s="14" t="s">
        <v>371</v>
      </c>
      <c r="D2396" s="14" t="s">
        <v>372</v>
      </c>
      <c r="E2396" s="14" t="s">
        <v>342</v>
      </c>
      <c r="F2396" s="14" t="s">
        <v>343</v>
      </c>
      <c r="G2396" s="14" t="s">
        <v>343</v>
      </c>
      <c r="H2396" s="14" t="s">
        <v>343</v>
      </c>
      <c r="U2396" s="14">
        <v>7.0000000000000007E-2</v>
      </c>
      <c r="V2396" s="14">
        <v>7.0000000000000007E-2</v>
      </c>
      <c r="W2396" s="14">
        <v>7.0000000000000007E-2</v>
      </c>
      <c r="X2396" s="14">
        <v>7.0000000000000007E-2</v>
      </c>
    </row>
    <row r="2397" spans="1:24" hidden="1" x14ac:dyDescent="0.3">
      <c r="A2397" s="14" t="s">
        <v>447</v>
      </c>
      <c r="B2397" s="14" t="s">
        <v>122</v>
      </c>
      <c r="C2397" s="14" t="s">
        <v>371</v>
      </c>
      <c r="D2397" s="14" t="s">
        <v>372</v>
      </c>
      <c r="E2397" s="14" t="s">
        <v>344</v>
      </c>
      <c r="F2397" s="14" t="s">
        <v>343</v>
      </c>
      <c r="G2397" s="14" t="s">
        <v>343</v>
      </c>
      <c r="H2397" s="14" t="s">
        <v>343</v>
      </c>
      <c r="U2397" s="14">
        <v>35</v>
      </c>
      <c r="V2397" s="14">
        <v>38</v>
      </c>
      <c r="W2397" s="14">
        <v>41</v>
      </c>
      <c r="X2397" s="14">
        <v>41</v>
      </c>
    </row>
    <row r="2398" spans="1:24" hidden="1" x14ac:dyDescent="0.3">
      <c r="A2398" s="14" t="s">
        <v>447</v>
      </c>
      <c r="B2398" s="14" t="s">
        <v>122</v>
      </c>
      <c r="C2398" s="14" t="s">
        <v>373</v>
      </c>
      <c r="D2398" s="14" t="s">
        <v>374</v>
      </c>
      <c r="E2398" s="14" t="s">
        <v>342</v>
      </c>
      <c r="F2398" s="14" t="s">
        <v>343</v>
      </c>
      <c r="G2398" s="14" t="s">
        <v>343</v>
      </c>
      <c r="H2398" s="14" t="s">
        <v>343</v>
      </c>
      <c r="U2398" s="14">
        <v>0.35</v>
      </c>
      <c r="V2398" s="14">
        <v>0.31</v>
      </c>
      <c r="W2398" s="14">
        <v>0.21</v>
      </c>
      <c r="X2398" s="14">
        <v>0.21</v>
      </c>
    </row>
    <row r="2399" spans="1:24" hidden="1" x14ac:dyDescent="0.3">
      <c r="A2399" s="14" t="s">
        <v>447</v>
      </c>
      <c r="B2399" s="14" t="s">
        <v>122</v>
      </c>
      <c r="C2399" s="14" t="s">
        <v>373</v>
      </c>
      <c r="D2399" s="14" t="s">
        <v>374</v>
      </c>
      <c r="E2399" s="14" t="s">
        <v>344</v>
      </c>
      <c r="F2399" s="14" t="s">
        <v>343</v>
      </c>
      <c r="G2399" s="14" t="s">
        <v>343</v>
      </c>
      <c r="H2399" s="14" t="s">
        <v>343</v>
      </c>
      <c r="U2399" s="14">
        <v>38</v>
      </c>
      <c r="V2399" s="14">
        <v>67</v>
      </c>
      <c r="W2399" s="14">
        <v>93</v>
      </c>
      <c r="X2399" s="14">
        <v>88</v>
      </c>
    </row>
    <row r="2400" spans="1:24" hidden="1" x14ac:dyDescent="0.3">
      <c r="A2400" s="14" t="s">
        <v>447</v>
      </c>
      <c r="B2400" s="14" t="s">
        <v>122</v>
      </c>
      <c r="C2400" s="14" t="s">
        <v>375</v>
      </c>
      <c r="D2400" s="14" t="s">
        <v>376</v>
      </c>
      <c r="E2400" s="14" t="s">
        <v>342</v>
      </c>
      <c r="F2400" s="14" t="s">
        <v>343</v>
      </c>
      <c r="G2400" s="14" t="s">
        <v>343</v>
      </c>
      <c r="H2400" s="14" t="s">
        <v>343</v>
      </c>
      <c r="U2400" s="14">
        <v>0.25</v>
      </c>
      <c r="V2400" s="14">
        <v>0.21</v>
      </c>
      <c r="W2400" s="14">
        <v>0.27</v>
      </c>
      <c r="X2400" s="14">
        <v>0.28000000000000003</v>
      </c>
    </row>
    <row r="2401" spans="1:24" hidden="1" x14ac:dyDescent="0.3">
      <c r="A2401" s="14" t="s">
        <v>447</v>
      </c>
      <c r="B2401" s="14" t="s">
        <v>122</v>
      </c>
      <c r="C2401" s="14" t="s">
        <v>375</v>
      </c>
      <c r="D2401" s="14" t="s">
        <v>376</v>
      </c>
      <c r="E2401" s="14" t="s">
        <v>344</v>
      </c>
      <c r="F2401" s="14" t="s">
        <v>343</v>
      </c>
      <c r="G2401" s="14" t="s">
        <v>343</v>
      </c>
      <c r="H2401" s="14" t="s">
        <v>343</v>
      </c>
      <c r="U2401" s="14">
        <v>87</v>
      </c>
      <c r="V2401" s="14">
        <v>105</v>
      </c>
      <c r="W2401" s="14">
        <v>96</v>
      </c>
      <c r="X2401" s="14">
        <v>88</v>
      </c>
    </row>
    <row r="2402" spans="1:24" hidden="1" x14ac:dyDescent="0.3">
      <c r="A2402" s="14" t="s">
        <v>448</v>
      </c>
      <c r="B2402" s="14" t="s">
        <v>121</v>
      </c>
      <c r="C2402" s="14" t="s">
        <v>340</v>
      </c>
      <c r="D2402" s="14" t="s">
        <v>341</v>
      </c>
      <c r="E2402" s="14" t="s">
        <v>342</v>
      </c>
      <c r="F2402" s="14" t="s">
        <v>343</v>
      </c>
      <c r="G2402" s="14" t="s">
        <v>343</v>
      </c>
      <c r="H2402" s="14" t="s">
        <v>343</v>
      </c>
      <c r="I2402" s="14">
        <v>0.82</v>
      </c>
      <c r="J2402" s="14">
        <v>0.82</v>
      </c>
      <c r="K2402" s="14">
        <v>0.85</v>
      </c>
      <c r="L2402" s="14">
        <v>0.84</v>
      </c>
      <c r="M2402" s="14">
        <v>0.84</v>
      </c>
      <c r="N2402" s="14">
        <v>0.84</v>
      </c>
      <c r="O2402" s="14">
        <v>0.85</v>
      </c>
      <c r="P2402" s="14">
        <v>0.86</v>
      </c>
      <c r="Q2402" s="14">
        <v>0.85</v>
      </c>
      <c r="R2402" s="14">
        <v>0.9</v>
      </c>
      <c r="S2402" s="14">
        <v>0.95</v>
      </c>
      <c r="T2402" s="14">
        <v>0.95</v>
      </c>
      <c r="U2402" s="14">
        <v>0.95</v>
      </c>
      <c r="V2402" s="14">
        <v>0.96</v>
      </c>
      <c r="W2402" s="14">
        <v>0.96</v>
      </c>
      <c r="X2402" s="14">
        <v>0.96</v>
      </c>
    </row>
    <row r="2403" spans="1:24" hidden="1" x14ac:dyDescent="0.3">
      <c r="A2403" s="14" t="s">
        <v>448</v>
      </c>
      <c r="B2403" s="14" t="s">
        <v>121</v>
      </c>
      <c r="C2403" s="14" t="s">
        <v>340</v>
      </c>
      <c r="D2403" s="14" t="s">
        <v>341</v>
      </c>
      <c r="E2403" s="14" t="s">
        <v>344</v>
      </c>
      <c r="F2403" s="14" t="s">
        <v>343</v>
      </c>
      <c r="G2403" s="14" t="s">
        <v>343</v>
      </c>
      <c r="H2403" s="14" t="s">
        <v>343</v>
      </c>
      <c r="I2403" s="14">
        <v>102</v>
      </c>
      <c r="J2403" s="14">
        <v>116</v>
      </c>
      <c r="K2403" s="14">
        <v>116</v>
      </c>
      <c r="L2403" s="14">
        <v>121</v>
      </c>
      <c r="M2403" s="14">
        <v>120</v>
      </c>
      <c r="N2403" s="14">
        <v>121</v>
      </c>
      <c r="O2403" s="14">
        <v>121</v>
      </c>
      <c r="P2403" s="14">
        <v>120</v>
      </c>
      <c r="Q2403" s="14">
        <v>126</v>
      </c>
      <c r="R2403" s="14">
        <v>125</v>
      </c>
      <c r="S2403" s="14">
        <v>113</v>
      </c>
      <c r="T2403" s="14">
        <v>112</v>
      </c>
      <c r="U2403" s="14">
        <v>114</v>
      </c>
      <c r="V2403" s="14">
        <v>112</v>
      </c>
      <c r="W2403" s="14">
        <v>114</v>
      </c>
      <c r="X2403" s="14">
        <v>107</v>
      </c>
    </row>
    <row r="2404" spans="1:24" hidden="1" x14ac:dyDescent="0.3">
      <c r="A2404" s="14" t="s">
        <v>448</v>
      </c>
      <c r="B2404" s="14" t="s">
        <v>121</v>
      </c>
      <c r="C2404" s="14" t="s">
        <v>345</v>
      </c>
      <c r="D2404" s="14" t="s">
        <v>346</v>
      </c>
      <c r="E2404" s="14" t="s">
        <v>342</v>
      </c>
      <c r="F2404" s="14" t="s">
        <v>343</v>
      </c>
      <c r="G2404" s="14" t="s">
        <v>343</v>
      </c>
      <c r="H2404" s="14" t="s">
        <v>343</v>
      </c>
      <c r="U2404" s="14">
        <v>0.23</v>
      </c>
      <c r="V2404" s="14">
        <v>0.21</v>
      </c>
      <c r="W2404" s="14">
        <v>0.21</v>
      </c>
      <c r="X2404" s="14">
        <v>0.22</v>
      </c>
    </row>
    <row r="2405" spans="1:24" hidden="1" x14ac:dyDescent="0.3">
      <c r="A2405" s="14" t="s">
        <v>448</v>
      </c>
      <c r="B2405" s="14" t="s">
        <v>121</v>
      </c>
      <c r="C2405" s="14" t="s">
        <v>345</v>
      </c>
      <c r="D2405" s="14" t="s">
        <v>346</v>
      </c>
      <c r="E2405" s="14" t="s">
        <v>344</v>
      </c>
      <c r="F2405" s="14" t="s">
        <v>343</v>
      </c>
      <c r="G2405" s="14" t="s">
        <v>343</v>
      </c>
      <c r="H2405" s="14" t="s">
        <v>343</v>
      </c>
      <c r="U2405" s="14">
        <v>138</v>
      </c>
      <c r="V2405" s="14">
        <v>144</v>
      </c>
      <c r="W2405" s="14">
        <v>148</v>
      </c>
      <c r="X2405" s="14">
        <v>140</v>
      </c>
    </row>
    <row r="2406" spans="1:24" hidden="1" x14ac:dyDescent="0.3">
      <c r="A2406" s="14" t="s">
        <v>448</v>
      </c>
      <c r="B2406" s="14" t="s">
        <v>121</v>
      </c>
      <c r="C2406" s="14" t="s">
        <v>347</v>
      </c>
      <c r="D2406" s="14" t="s">
        <v>348</v>
      </c>
      <c r="E2406" s="14" t="s">
        <v>342</v>
      </c>
      <c r="F2406" s="14" t="s">
        <v>343</v>
      </c>
      <c r="G2406" s="14" t="s">
        <v>343</v>
      </c>
      <c r="H2406" s="14" t="s">
        <v>343</v>
      </c>
      <c r="U2406" s="14">
        <v>0.35</v>
      </c>
      <c r="V2406" s="14">
        <v>0.3</v>
      </c>
      <c r="W2406" s="14">
        <v>0.28000000000000003</v>
      </c>
      <c r="X2406" s="14">
        <v>0.27</v>
      </c>
    </row>
    <row r="2407" spans="1:24" hidden="1" x14ac:dyDescent="0.3">
      <c r="A2407" s="14" t="s">
        <v>448</v>
      </c>
      <c r="B2407" s="14" t="s">
        <v>121</v>
      </c>
      <c r="C2407" s="14" t="s">
        <v>347</v>
      </c>
      <c r="D2407" s="14" t="s">
        <v>348</v>
      </c>
      <c r="E2407" s="14" t="s">
        <v>344</v>
      </c>
      <c r="F2407" s="14" t="s">
        <v>343</v>
      </c>
      <c r="G2407" s="14" t="s">
        <v>343</v>
      </c>
      <c r="H2407" s="14" t="s">
        <v>343</v>
      </c>
      <c r="U2407" s="14">
        <v>138</v>
      </c>
      <c r="V2407" s="14">
        <v>145</v>
      </c>
      <c r="W2407" s="14">
        <v>148</v>
      </c>
      <c r="X2407" s="14">
        <v>140</v>
      </c>
    </row>
    <row r="2408" spans="1:24" hidden="1" x14ac:dyDescent="0.3">
      <c r="A2408" s="14" t="s">
        <v>448</v>
      </c>
      <c r="B2408" s="14" t="s">
        <v>121</v>
      </c>
      <c r="C2408" s="14" t="s">
        <v>349</v>
      </c>
      <c r="D2408" s="14" t="s">
        <v>350</v>
      </c>
      <c r="E2408" s="14" t="s">
        <v>342</v>
      </c>
      <c r="F2408" s="14" t="s">
        <v>343</v>
      </c>
      <c r="G2408" s="14" t="s">
        <v>343</v>
      </c>
      <c r="H2408" s="14" t="s">
        <v>343</v>
      </c>
      <c r="U2408" s="14">
        <v>0.15</v>
      </c>
      <c r="V2408" s="14">
        <v>0.16</v>
      </c>
      <c r="W2408" s="14">
        <v>0.17</v>
      </c>
      <c r="X2408" s="14">
        <v>0.21</v>
      </c>
    </row>
    <row r="2409" spans="1:24" hidden="1" x14ac:dyDescent="0.3">
      <c r="A2409" s="14" t="s">
        <v>448</v>
      </c>
      <c r="B2409" s="14" t="s">
        <v>121</v>
      </c>
      <c r="C2409" s="14" t="s">
        <v>349</v>
      </c>
      <c r="D2409" s="14" t="s">
        <v>350</v>
      </c>
      <c r="E2409" s="14" t="s">
        <v>344</v>
      </c>
      <c r="F2409" s="14" t="s">
        <v>343</v>
      </c>
      <c r="G2409" s="14" t="s">
        <v>343</v>
      </c>
      <c r="H2409" s="14" t="s">
        <v>343</v>
      </c>
      <c r="U2409" s="14">
        <v>130</v>
      </c>
      <c r="V2409" s="14">
        <v>136</v>
      </c>
      <c r="W2409" s="14">
        <v>140</v>
      </c>
      <c r="X2409" s="14">
        <v>123</v>
      </c>
    </row>
    <row r="2410" spans="1:24" hidden="1" x14ac:dyDescent="0.3">
      <c r="A2410" s="14" t="s">
        <v>448</v>
      </c>
      <c r="B2410" s="14" t="s">
        <v>121</v>
      </c>
      <c r="C2410" s="14" t="s">
        <v>351</v>
      </c>
      <c r="D2410" s="14" t="s">
        <v>352</v>
      </c>
      <c r="E2410" s="14" t="s">
        <v>342</v>
      </c>
      <c r="F2410" s="14" t="s">
        <v>343</v>
      </c>
      <c r="G2410" s="14" t="s">
        <v>343</v>
      </c>
      <c r="H2410" s="14" t="s">
        <v>343</v>
      </c>
      <c r="U2410" s="14">
        <v>0.34</v>
      </c>
      <c r="V2410" s="14">
        <v>0.43</v>
      </c>
      <c r="W2410" s="14">
        <v>0.41</v>
      </c>
      <c r="X2410" s="14">
        <v>0.49</v>
      </c>
    </row>
    <row r="2411" spans="1:24" hidden="1" x14ac:dyDescent="0.3">
      <c r="A2411" s="14" t="s">
        <v>448</v>
      </c>
      <c r="B2411" s="14" t="s">
        <v>121</v>
      </c>
      <c r="C2411" s="14" t="s">
        <v>351</v>
      </c>
      <c r="D2411" s="14" t="s">
        <v>352</v>
      </c>
      <c r="E2411" s="14" t="s">
        <v>344</v>
      </c>
      <c r="F2411" s="14" t="s">
        <v>343</v>
      </c>
      <c r="G2411" s="14" t="s">
        <v>343</v>
      </c>
      <c r="H2411" s="14" t="s">
        <v>343</v>
      </c>
      <c r="U2411" s="14">
        <v>133</v>
      </c>
      <c r="V2411" s="14">
        <v>132</v>
      </c>
      <c r="W2411" s="14">
        <v>136</v>
      </c>
      <c r="X2411" s="14">
        <v>118</v>
      </c>
    </row>
    <row r="2412" spans="1:24" hidden="1" x14ac:dyDescent="0.3">
      <c r="A2412" s="14" t="s">
        <v>448</v>
      </c>
      <c r="B2412" s="14" t="s">
        <v>121</v>
      </c>
      <c r="C2412" s="14" t="s">
        <v>378</v>
      </c>
      <c r="D2412" s="14" t="s">
        <v>379</v>
      </c>
      <c r="E2412" s="14" t="s">
        <v>342</v>
      </c>
      <c r="F2412" s="14" t="s">
        <v>343</v>
      </c>
      <c r="G2412" s="14" t="s">
        <v>343</v>
      </c>
      <c r="H2412" s="14" t="s">
        <v>343</v>
      </c>
      <c r="S2412" s="14">
        <v>0.56999999999999995</v>
      </c>
      <c r="U2412" s="14">
        <v>0.65</v>
      </c>
      <c r="V2412" s="14">
        <v>0.56000000000000005</v>
      </c>
      <c r="W2412" s="14">
        <v>0.48</v>
      </c>
      <c r="X2412" s="14">
        <v>0.51</v>
      </c>
    </row>
    <row r="2413" spans="1:24" hidden="1" x14ac:dyDescent="0.3">
      <c r="A2413" s="14" t="s">
        <v>448</v>
      </c>
      <c r="B2413" s="14" t="s">
        <v>121</v>
      </c>
      <c r="C2413" s="14" t="s">
        <v>378</v>
      </c>
      <c r="D2413" s="14" t="s">
        <v>379</v>
      </c>
      <c r="E2413" s="14" t="s">
        <v>344</v>
      </c>
      <c r="F2413" s="14" t="s">
        <v>343</v>
      </c>
      <c r="G2413" s="14" t="s">
        <v>343</v>
      </c>
      <c r="H2413" s="14" t="s">
        <v>343</v>
      </c>
      <c r="S2413" s="14">
        <v>103</v>
      </c>
      <c r="U2413" s="14">
        <v>72</v>
      </c>
      <c r="V2413" s="14">
        <v>117</v>
      </c>
      <c r="W2413" s="14">
        <v>135</v>
      </c>
      <c r="X2413" s="14">
        <v>122</v>
      </c>
    </row>
    <row r="2414" spans="1:24" hidden="1" x14ac:dyDescent="0.3">
      <c r="A2414" s="14" t="s">
        <v>448</v>
      </c>
      <c r="B2414" s="14" t="s">
        <v>121</v>
      </c>
      <c r="C2414" s="14" t="s">
        <v>353</v>
      </c>
      <c r="D2414" s="14" t="s">
        <v>354</v>
      </c>
      <c r="E2414" s="14" t="s">
        <v>342</v>
      </c>
      <c r="F2414" s="14" t="s">
        <v>343</v>
      </c>
      <c r="G2414" s="14" t="s">
        <v>343</v>
      </c>
      <c r="H2414" s="14" t="s">
        <v>343</v>
      </c>
      <c r="U2414" s="14">
        <v>0.75</v>
      </c>
      <c r="V2414" s="14">
        <v>0.8</v>
      </c>
      <c r="W2414" s="14">
        <v>0.8</v>
      </c>
      <c r="X2414" s="14">
        <v>0.8</v>
      </c>
    </row>
    <row r="2415" spans="1:24" hidden="1" x14ac:dyDescent="0.3">
      <c r="A2415" s="14" t="s">
        <v>448</v>
      </c>
      <c r="B2415" s="14" t="s">
        <v>121</v>
      </c>
      <c r="C2415" s="14" t="s">
        <v>353</v>
      </c>
      <c r="D2415" s="14" t="s">
        <v>354</v>
      </c>
      <c r="E2415" s="14" t="s">
        <v>344</v>
      </c>
      <c r="F2415" s="14" t="s">
        <v>343</v>
      </c>
      <c r="G2415" s="14" t="s">
        <v>343</v>
      </c>
      <c r="H2415" s="14" t="s">
        <v>343</v>
      </c>
      <c r="U2415" s="14">
        <v>121</v>
      </c>
      <c r="V2415" s="14">
        <v>127</v>
      </c>
      <c r="W2415" s="14">
        <v>129</v>
      </c>
      <c r="X2415" s="14">
        <v>121</v>
      </c>
    </row>
    <row r="2416" spans="1:24" hidden="1" x14ac:dyDescent="0.3">
      <c r="A2416" s="14" t="s">
        <v>448</v>
      </c>
      <c r="B2416" s="14" t="s">
        <v>121</v>
      </c>
      <c r="C2416" s="14" t="s">
        <v>380</v>
      </c>
      <c r="D2416" s="14" t="s">
        <v>381</v>
      </c>
      <c r="E2416" s="14" t="s">
        <v>342</v>
      </c>
      <c r="F2416" s="14" t="s">
        <v>343</v>
      </c>
      <c r="G2416" s="14" t="s">
        <v>343</v>
      </c>
      <c r="H2416" s="14" t="s">
        <v>343</v>
      </c>
      <c r="U2416" s="14">
        <v>1</v>
      </c>
      <c r="V2416" s="14">
        <v>1</v>
      </c>
      <c r="W2416" s="14">
        <v>1</v>
      </c>
      <c r="X2416" s="14">
        <v>1</v>
      </c>
    </row>
    <row r="2417" spans="1:24" hidden="1" x14ac:dyDescent="0.3">
      <c r="A2417" s="14" t="s">
        <v>448</v>
      </c>
      <c r="B2417" s="14" t="s">
        <v>121</v>
      </c>
      <c r="C2417" s="14" t="s">
        <v>380</v>
      </c>
      <c r="D2417" s="14" t="s">
        <v>381</v>
      </c>
      <c r="E2417" s="14" t="s">
        <v>344</v>
      </c>
      <c r="F2417" s="14" t="s">
        <v>343</v>
      </c>
      <c r="G2417" s="14" t="s">
        <v>343</v>
      </c>
      <c r="H2417" s="14" t="s">
        <v>343</v>
      </c>
      <c r="U2417" s="14">
        <v>1</v>
      </c>
      <c r="V2417" s="14">
        <v>1</v>
      </c>
      <c r="W2417" s="14">
        <v>1</v>
      </c>
      <c r="X2417" s="14">
        <v>1</v>
      </c>
    </row>
    <row r="2418" spans="1:24" hidden="1" x14ac:dyDescent="0.3">
      <c r="A2418" s="14" t="s">
        <v>448</v>
      </c>
      <c r="B2418" s="14" t="s">
        <v>121</v>
      </c>
      <c r="C2418" s="14" t="s">
        <v>355</v>
      </c>
      <c r="D2418" s="14" t="s">
        <v>356</v>
      </c>
      <c r="E2418" s="14" t="s">
        <v>342</v>
      </c>
      <c r="F2418" s="14" t="s">
        <v>343</v>
      </c>
      <c r="G2418" s="14" t="s">
        <v>343</v>
      </c>
      <c r="H2418" s="14" t="s">
        <v>343</v>
      </c>
      <c r="U2418" s="14">
        <v>1</v>
      </c>
      <c r="V2418" s="14">
        <v>1</v>
      </c>
      <c r="W2418" s="14">
        <v>1</v>
      </c>
      <c r="X2418" s="14">
        <v>1</v>
      </c>
    </row>
    <row r="2419" spans="1:24" hidden="1" x14ac:dyDescent="0.3">
      <c r="A2419" s="14" t="s">
        <v>448</v>
      </c>
      <c r="B2419" s="14" t="s">
        <v>121</v>
      </c>
      <c r="C2419" s="14" t="s">
        <v>355</v>
      </c>
      <c r="D2419" s="14" t="s">
        <v>356</v>
      </c>
      <c r="E2419" s="14" t="s">
        <v>344</v>
      </c>
      <c r="F2419" s="14" t="s">
        <v>343</v>
      </c>
      <c r="G2419" s="14" t="s">
        <v>343</v>
      </c>
      <c r="H2419" s="14" t="s">
        <v>343</v>
      </c>
      <c r="U2419" s="14">
        <v>1</v>
      </c>
      <c r="V2419" s="14">
        <v>1</v>
      </c>
      <c r="W2419" s="14">
        <v>1</v>
      </c>
      <c r="X2419" s="14">
        <v>79</v>
      </c>
    </row>
    <row r="2420" spans="1:24" hidden="1" x14ac:dyDescent="0.3">
      <c r="A2420" s="14" t="s">
        <v>448</v>
      </c>
      <c r="B2420" s="14" t="s">
        <v>121</v>
      </c>
      <c r="C2420" s="14" t="s">
        <v>357</v>
      </c>
      <c r="D2420" s="14" t="s">
        <v>358</v>
      </c>
      <c r="E2420" s="14" t="s">
        <v>342</v>
      </c>
      <c r="F2420" s="14" t="s">
        <v>343</v>
      </c>
      <c r="G2420" s="14" t="s">
        <v>343</v>
      </c>
      <c r="H2420" s="14" t="s">
        <v>343</v>
      </c>
      <c r="U2420" s="14">
        <v>1</v>
      </c>
      <c r="V2420" s="14">
        <v>1</v>
      </c>
      <c r="W2420" s="14">
        <v>1</v>
      </c>
      <c r="X2420" s="14">
        <v>1</v>
      </c>
    </row>
    <row r="2421" spans="1:24" hidden="1" x14ac:dyDescent="0.3">
      <c r="A2421" s="14" t="s">
        <v>448</v>
      </c>
      <c r="B2421" s="14" t="s">
        <v>121</v>
      </c>
      <c r="C2421" s="14" t="s">
        <v>357</v>
      </c>
      <c r="D2421" s="14" t="s">
        <v>358</v>
      </c>
      <c r="E2421" s="14" t="s">
        <v>344</v>
      </c>
      <c r="F2421" s="14" t="s">
        <v>343</v>
      </c>
      <c r="G2421" s="14" t="s">
        <v>343</v>
      </c>
      <c r="H2421" s="14" t="s">
        <v>343</v>
      </c>
      <c r="U2421" s="14">
        <v>1</v>
      </c>
      <c r="V2421" s="14">
        <v>1</v>
      </c>
      <c r="W2421" s="14">
        <v>1</v>
      </c>
      <c r="X2421" s="14">
        <v>1</v>
      </c>
    </row>
    <row r="2422" spans="1:24" hidden="1" x14ac:dyDescent="0.3">
      <c r="A2422" s="14" t="s">
        <v>448</v>
      </c>
      <c r="B2422" s="14" t="s">
        <v>121</v>
      </c>
      <c r="C2422" s="14" t="s">
        <v>359</v>
      </c>
      <c r="D2422" s="14" t="s">
        <v>360</v>
      </c>
      <c r="E2422" s="14" t="s">
        <v>342</v>
      </c>
      <c r="F2422" s="14" t="s">
        <v>343</v>
      </c>
      <c r="G2422" s="14" t="s">
        <v>343</v>
      </c>
      <c r="H2422" s="14" t="s">
        <v>343</v>
      </c>
      <c r="I2422" s="14">
        <v>0.4</v>
      </c>
      <c r="J2422" s="14">
        <v>0.4</v>
      </c>
      <c r="K2422" s="14">
        <v>0.4</v>
      </c>
      <c r="L2422" s="14">
        <v>0.41</v>
      </c>
      <c r="M2422" s="14">
        <v>0.4</v>
      </c>
      <c r="N2422" s="14">
        <v>0.4</v>
      </c>
      <c r="O2422" s="14">
        <v>0.46</v>
      </c>
      <c r="P2422" s="14">
        <v>0.45</v>
      </c>
      <c r="Q2422" s="14">
        <v>0.41</v>
      </c>
      <c r="R2422" s="14">
        <v>0.38</v>
      </c>
      <c r="S2422" s="14">
        <v>0.41</v>
      </c>
      <c r="T2422" s="14">
        <v>0.38</v>
      </c>
      <c r="U2422" s="14">
        <v>0.38</v>
      </c>
      <c r="V2422" s="14">
        <v>0.35</v>
      </c>
      <c r="W2422" s="14">
        <v>0.33</v>
      </c>
      <c r="X2422" s="14">
        <v>0.35</v>
      </c>
    </row>
    <row r="2423" spans="1:24" hidden="1" x14ac:dyDescent="0.3">
      <c r="A2423" s="14" t="s">
        <v>448</v>
      </c>
      <c r="B2423" s="14" t="s">
        <v>121</v>
      </c>
      <c r="C2423" s="14" t="s">
        <v>359</v>
      </c>
      <c r="D2423" s="14" t="s">
        <v>360</v>
      </c>
      <c r="E2423" s="14" t="s">
        <v>344</v>
      </c>
      <c r="F2423" s="14" t="s">
        <v>343</v>
      </c>
      <c r="G2423" s="14" t="s">
        <v>343</v>
      </c>
      <c r="H2423" s="14" t="s">
        <v>343</v>
      </c>
      <c r="I2423" s="14">
        <v>110</v>
      </c>
      <c r="J2423" s="14">
        <v>122</v>
      </c>
      <c r="K2423" s="14">
        <v>125</v>
      </c>
      <c r="L2423" s="14">
        <v>127</v>
      </c>
      <c r="M2423" s="14">
        <v>128</v>
      </c>
      <c r="N2423" s="14">
        <v>131</v>
      </c>
      <c r="O2423" s="14">
        <v>123</v>
      </c>
      <c r="P2423" s="14">
        <v>124</v>
      </c>
      <c r="Q2423" s="14">
        <v>134</v>
      </c>
      <c r="R2423" s="14">
        <v>139</v>
      </c>
      <c r="S2423" s="14">
        <v>136</v>
      </c>
      <c r="T2423" s="14">
        <v>139</v>
      </c>
      <c r="U2423" s="14">
        <v>142</v>
      </c>
      <c r="V2423" s="14">
        <v>149</v>
      </c>
      <c r="W2423" s="14">
        <v>151</v>
      </c>
      <c r="X2423" s="14">
        <v>143</v>
      </c>
    </row>
    <row r="2424" spans="1:24" x14ac:dyDescent="0.3">
      <c r="A2424" s="14" t="s">
        <v>448</v>
      </c>
      <c r="B2424" s="14" t="s">
        <v>121</v>
      </c>
      <c r="C2424" s="14" t="s">
        <v>361</v>
      </c>
      <c r="D2424" s="14" t="s">
        <v>362</v>
      </c>
      <c r="E2424" s="14" t="s">
        <v>342</v>
      </c>
      <c r="F2424" s="14" t="s">
        <v>343</v>
      </c>
      <c r="G2424" s="14" t="s">
        <v>343</v>
      </c>
      <c r="H2424" s="14" t="s">
        <v>343</v>
      </c>
      <c r="I2424" s="14">
        <v>0.96</v>
      </c>
      <c r="J2424" s="14">
        <v>0.93</v>
      </c>
      <c r="K2424" s="14">
        <v>0.93</v>
      </c>
      <c r="L2424" s="14">
        <v>0.93</v>
      </c>
      <c r="M2424" s="14">
        <v>0.93</v>
      </c>
      <c r="N2424" s="14">
        <v>0.93</v>
      </c>
      <c r="O2424" s="14">
        <v>0.93</v>
      </c>
      <c r="P2424" s="14">
        <v>0.93</v>
      </c>
      <c r="Q2424" s="14">
        <v>0.94</v>
      </c>
      <c r="R2424" s="14">
        <v>0.94</v>
      </c>
      <c r="S2424" s="14">
        <v>0.94</v>
      </c>
      <c r="T2424" s="14">
        <v>0.94</v>
      </c>
      <c r="U2424" s="14">
        <v>0.94</v>
      </c>
      <c r="V2424" s="14">
        <v>0.94</v>
      </c>
      <c r="W2424" s="14">
        <v>0.94</v>
      </c>
      <c r="X2424" s="14">
        <v>0.94</v>
      </c>
    </row>
    <row r="2425" spans="1:24" hidden="1" x14ac:dyDescent="0.3">
      <c r="A2425" s="14" t="s">
        <v>448</v>
      </c>
      <c r="B2425" s="14" t="s">
        <v>121</v>
      </c>
      <c r="C2425" s="14" t="s">
        <v>361</v>
      </c>
      <c r="D2425" s="14" t="s">
        <v>362</v>
      </c>
      <c r="E2425" s="14" t="s">
        <v>344</v>
      </c>
      <c r="F2425" s="14" t="s">
        <v>343</v>
      </c>
      <c r="G2425" s="14" t="s">
        <v>343</v>
      </c>
      <c r="H2425" s="14" t="s">
        <v>343</v>
      </c>
      <c r="I2425" s="14">
        <v>103</v>
      </c>
      <c r="J2425" s="14">
        <v>126</v>
      </c>
      <c r="K2425" s="14">
        <v>128</v>
      </c>
      <c r="L2425" s="14">
        <v>134</v>
      </c>
      <c r="M2425" s="14">
        <v>132</v>
      </c>
      <c r="N2425" s="14">
        <v>134</v>
      </c>
      <c r="O2425" s="14">
        <v>134</v>
      </c>
      <c r="P2425" s="14">
        <v>135</v>
      </c>
      <c r="Q2425" s="14">
        <v>141</v>
      </c>
      <c r="R2425" s="14">
        <v>143</v>
      </c>
      <c r="S2425" s="14">
        <v>142</v>
      </c>
      <c r="T2425" s="14">
        <v>141</v>
      </c>
      <c r="U2425" s="14">
        <v>147</v>
      </c>
      <c r="V2425" s="14">
        <v>150</v>
      </c>
      <c r="W2425" s="14">
        <v>155</v>
      </c>
      <c r="X2425" s="14">
        <v>146</v>
      </c>
    </row>
    <row r="2426" spans="1:24" hidden="1" x14ac:dyDescent="0.3">
      <c r="A2426" s="14" t="s">
        <v>448</v>
      </c>
      <c r="B2426" s="14" t="s">
        <v>121</v>
      </c>
      <c r="C2426" s="14" t="s">
        <v>363</v>
      </c>
      <c r="D2426" s="14" t="s">
        <v>364</v>
      </c>
      <c r="E2426" s="14" t="s">
        <v>342</v>
      </c>
      <c r="F2426" s="14" t="s">
        <v>343</v>
      </c>
      <c r="G2426" s="14" t="s">
        <v>343</v>
      </c>
      <c r="H2426" s="14" t="s">
        <v>343</v>
      </c>
      <c r="U2426" s="14">
        <v>1.02</v>
      </c>
      <c r="V2426" s="14">
        <v>1.02</v>
      </c>
      <c r="W2426" s="14">
        <v>1</v>
      </c>
      <c r="X2426" s="14">
        <v>1</v>
      </c>
    </row>
    <row r="2427" spans="1:24" hidden="1" x14ac:dyDescent="0.3">
      <c r="A2427" s="14" t="s">
        <v>448</v>
      </c>
      <c r="B2427" s="14" t="s">
        <v>121</v>
      </c>
      <c r="C2427" s="14" t="s">
        <v>363</v>
      </c>
      <c r="D2427" s="14" t="s">
        <v>364</v>
      </c>
      <c r="E2427" s="14" t="s">
        <v>344</v>
      </c>
      <c r="F2427" s="14" t="s">
        <v>343</v>
      </c>
      <c r="G2427" s="14" t="s">
        <v>343</v>
      </c>
      <c r="H2427" s="14" t="s">
        <v>343</v>
      </c>
      <c r="U2427" s="14">
        <v>130</v>
      </c>
      <c r="V2427" s="14">
        <v>134</v>
      </c>
      <c r="W2427" s="14">
        <v>145</v>
      </c>
      <c r="X2427" s="14">
        <v>137</v>
      </c>
    </row>
    <row r="2428" spans="1:24" hidden="1" x14ac:dyDescent="0.3">
      <c r="A2428" s="14" t="s">
        <v>448</v>
      </c>
      <c r="B2428" s="14" t="s">
        <v>121</v>
      </c>
      <c r="C2428" s="14" t="s">
        <v>365</v>
      </c>
      <c r="D2428" s="14" t="s">
        <v>366</v>
      </c>
      <c r="E2428" s="14" t="s">
        <v>342</v>
      </c>
      <c r="F2428" s="14" t="s">
        <v>343</v>
      </c>
      <c r="G2428" s="14" t="s">
        <v>343</v>
      </c>
      <c r="H2428" s="14" t="s">
        <v>343</v>
      </c>
      <c r="U2428" s="14">
        <v>0.9</v>
      </c>
      <c r="V2428" s="14">
        <v>0.91</v>
      </c>
      <c r="W2428" s="14">
        <v>0.91</v>
      </c>
      <c r="X2428" s="14">
        <v>0.91</v>
      </c>
    </row>
    <row r="2429" spans="1:24" hidden="1" x14ac:dyDescent="0.3">
      <c r="A2429" s="14" t="s">
        <v>448</v>
      </c>
      <c r="B2429" s="14" t="s">
        <v>121</v>
      </c>
      <c r="C2429" s="14" t="s">
        <v>365</v>
      </c>
      <c r="D2429" s="14" t="s">
        <v>366</v>
      </c>
      <c r="E2429" s="14" t="s">
        <v>344</v>
      </c>
      <c r="F2429" s="14" t="s">
        <v>343</v>
      </c>
      <c r="G2429" s="14" t="s">
        <v>343</v>
      </c>
      <c r="H2429" s="14" t="s">
        <v>343</v>
      </c>
      <c r="U2429" s="14">
        <v>146</v>
      </c>
      <c r="V2429" s="14">
        <v>149</v>
      </c>
      <c r="W2429" s="14">
        <v>152</v>
      </c>
      <c r="X2429" s="14">
        <v>142</v>
      </c>
    </row>
    <row r="2430" spans="1:24" hidden="1" x14ac:dyDescent="0.3">
      <c r="A2430" s="14" t="s">
        <v>448</v>
      </c>
      <c r="B2430" s="14" t="s">
        <v>121</v>
      </c>
      <c r="C2430" s="14" t="s">
        <v>367</v>
      </c>
      <c r="D2430" s="14" t="s">
        <v>368</v>
      </c>
      <c r="E2430" s="14" t="s">
        <v>342</v>
      </c>
      <c r="F2430" s="14" t="s">
        <v>343</v>
      </c>
      <c r="G2430" s="14" t="s">
        <v>343</v>
      </c>
      <c r="H2430" s="14" t="s">
        <v>343</v>
      </c>
      <c r="I2430" s="14">
        <v>0.6</v>
      </c>
      <c r="J2430" s="14">
        <v>0.59</v>
      </c>
      <c r="K2430" s="14">
        <v>0.61</v>
      </c>
      <c r="L2430" s="14">
        <v>0.62</v>
      </c>
      <c r="M2430" s="14">
        <v>0.62</v>
      </c>
      <c r="N2430" s="14">
        <v>0.62</v>
      </c>
      <c r="O2430" s="14">
        <v>0.64</v>
      </c>
      <c r="P2430" s="14">
        <v>0.66</v>
      </c>
      <c r="Q2430" s="14">
        <v>0.65</v>
      </c>
      <c r="R2430" s="14">
        <v>0.66</v>
      </c>
      <c r="S2430" s="14">
        <v>0.68</v>
      </c>
      <c r="T2430" s="14">
        <v>0.67</v>
      </c>
      <c r="U2430" s="14">
        <v>0.66</v>
      </c>
      <c r="V2430" s="14">
        <v>0.67</v>
      </c>
      <c r="W2430" s="14">
        <v>0.62</v>
      </c>
      <c r="X2430" s="14">
        <v>0.63</v>
      </c>
    </row>
    <row r="2431" spans="1:24" hidden="1" x14ac:dyDescent="0.3">
      <c r="A2431" s="14" t="s">
        <v>448</v>
      </c>
      <c r="B2431" s="14" t="s">
        <v>121</v>
      </c>
      <c r="C2431" s="14" t="s">
        <v>367</v>
      </c>
      <c r="D2431" s="14" t="s">
        <v>368</v>
      </c>
      <c r="E2431" s="14" t="s">
        <v>344</v>
      </c>
      <c r="F2431" s="14" t="s">
        <v>343</v>
      </c>
      <c r="G2431" s="14" t="s">
        <v>343</v>
      </c>
      <c r="H2431" s="14" t="s">
        <v>343</v>
      </c>
      <c r="I2431" s="14">
        <v>98</v>
      </c>
      <c r="J2431" s="14">
        <v>114</v>
      </c>
      <c r="K2431" s="14">
        <v>113</v>
      </c>
      <c r="L2431" s="14">
        <v>114</v>
      </c>
      <c r="M2431" s="14">
        <v>112</v>
      </c>
      <c r="N2431" s="14">
        <v>113</v>
      </c>
      <c r="O2431" s="14">
        <v>105</v>
      </c>
      <c r="P2431" s="14">
        <v>101</v>
      </c>
      <c r="Q2431" s="14">
        <v>114</v>
      </c>
      <c r="R2431" s="14">
        <v>108</v>
      </c>
      <c r="S2431" s="14">
        <v>87</v>
      </c>
      <c r="T2431" s="14">
        <v>108</v>
      </c>
      <c r="U2431" s="14">
        <v>108</v>
      </c>
      <c r="V2431" s="14">
        <v>112</v>
      </c>
      <c r="W2431" s="14">
        <v>140</v>
      </c>
      <c r="X2431" s="14">
        <v>135</v>
      </c>
    </row>
    <row r="2432" spans="1:24" hidden="1" x14ac:dyDescent="0.3">
      <c r="A2432" s="14" t="s">
        <v>448</v>
      </c>
      <c r="B2432" s="14" t="s">
        <v>121</v>
      </c>
      <c r="C2432" s="14" t="s">
        <v>369</v>
      </c>
      <c r="D2432" s="14" t="s">
        <v>370</v>
      </c>
      <c r="E2432" s="14" t="s">
        <v>342</v>
      </c>
      <c r="F2432" s="14" t="s">
        <v>343</v>
      </c>
      <c r="G2432" s="14" t="s">
        <v>343</v>
      </c>
      <c r="H2432" s="14" t="s">
        <v>343</v>
      </c>
      <c r="I2432" s="14">
        <v>0.23</v>
      </c>
      <c r="J2432" s="14">
        <v>0.23</v>
      </c>
      <c r="K2432" s="14">
        <v>0.25</v>
      </c>
      <c r="L2432" s="14">
        <v>0.27</v>
      </c>
      <c r="M2432" s="14">
        <v>0.28999999999999998</v>
      </c>
      <c r="N2432" s="14">
        <v>0.31</v>
      </c>
      <c r="O2432" s="14">
        <v>0.33</v>
      </c>
      <c r="P2432" s="14">
        <v>0.39</v>
      </c>
      <c r="Q2432" s="14">
        <v>0.39</v>
      </c>
      <c r="R2432" s="14">
        <v>0.43</v>
      </c>
      <c r="S2432" s="14">
        <v>0.43</v>
      </c>
      <c r="T2432" s="14">
        <v>0.41</v>
      </c>
      <c r="U2432" s="14">
        <v>0.38</v>
      </c>
      <c r="V2432" s="14">
        <v>0.41</v>
      </c>
      <c r="W2432" s="14">
        <v>0.28000000000000003</v>
      </c>
      <c r="X2432" s="14">
        <v>0.27</v>
      </c>
    </row>
    <row r="2433" spans="1:24" hidden="1" x14ac:dyDescent="0.3">
      <c r="A2433" s="14" t="s">
        <v>448</v>
      </c>
      <c r="B2433" s="14" t="s">
        <v>121</v>
      </c>
      <c r="C2433" s="14" t="s">
        <v>369</v>
      </c>
      <c r="D2433" s="14" t="s">
        <v>370</v>
      </c>
      <c r="E2433" s="14" t="s">
        <v>344</v>
      </c>
      <c r="F2433" s="14" t="s">
        <v>343</v>
      </c>
      <c r="G2433" s="14" t="s">
        <v>343</v>
      </c>
      <c r="H2433" s="14" t="s">
        <v>343</v>
      </c>
      <c r="I2433" s="14">
        <v>20</v>
      </c>
      <c r="J2433" s="14">
        <v>21</v>
      </c>
      <c r="K2433" s="14">
        <v>25</v>
      </c>
      <c r="L2433" s="14">
        <v>24</v>
      </c>
      <c r="M2433" s="14">
        <v>23</v>
      </c>
      <c r="N2433" s="14">
        <v>19</v>
      </c>
      <c r="O2433" s="14">
        <v>17</v>
      </c>
      <c r="P2433" s="14">
        <v>9</v>
      </c>
      <c r="Q2433" s="14">
        <v>15</v>
      </c>
      <c r="R2433" s="14">
        <v>9</v>
      </c>
      <c r="S2433" s="14">
        <v>9</v>
      </c>
      <c r="T2433" s="14">
        <v>15</v>
      </c>
      <c r="U2433" s="14">
        <v>19</v>
      </c>
      <c r="V2433" s="14">
        <v>18</v>
      </c>
      <c r="W2433" s="14">
        <v>51</v>
      </c>
      <c r="X2433" s="14">
        <v>48</v>
      </c>
    </row>
    <row r="2434" spans="1:24" hidden="1" x14ac:dyDescent="0.3">
      <c r="A2434" s="14" t="s">
        <v>448</v>
      </c>
      <c r="B2434" s="14" t="s">
        <v>121</v>
      </c>
      <c r="C2434" s="14" t="s">
        <v>371</v>
      </c>
      <c r="D2434" s="14" t="s">
        <v>372</v>
      </c>
      <c r="E2434" s="14" t="s">
        <v>342</v>
      </c>
      <c r="F2434" s="14" t="s">
        <v>343</v>
      </c>
      <c r="G2434" s="14" t="s">
        <v>343</v>
      </c>
      <c r="H2434" s="14" t="s">
        <v>343</v>
      </c>
      <c r="U2434" s="14">
        <v>0.64</v>
      </c>
      <c r="V2434" s="14">
        <v>0.64</v>
      </c>
      <c r="W2434" s="14">
        <v>0.45</v>
      </c>
      <c r="X2434" s="14">
        <v>0.42</v>
      </c>
    </row>
    <row r="2435" spans="1:24" hidden="1" x14ac:dyDescent="0.3">
      <c r="A2435" s="14" t="s">
        <v>448</v>
      </c>
      <c r="B2435" s="14" t="s">
        <v>121</v>
      </c>
      <c r="C2435" s="14" t="s">
        <v>371</v>
      </c>
      <c r="D2435" s="14" t="s">
        <v>372</v>
      </c>
      <c r="E2435" s="14" t="s">
        <v>344</v>
      </c>
      <c r="F2435" s="14" t="s">
        <v>343</v>
      </c>
      <c r="G2435" s="14" t="s">
        <v>343</v>
      </c>
      <c r="H2435" s="14" t="s">
        <v>343</v>
      </c>
      <c r="U2435" s="14">
        <v>4</v>
      </c>
      <c r="V2435" s="14">
        <v>4</v>
      </c>
      <c r="W2435" s="14">
        <v>7</v>
      </c>
      <c r="X2435" s="14">
        <v>8</v>
      </c>
    </row>
    <row r="2436" spans="1:24" hidden="1" x14ac:dyDescent="0.3">
      <c r="A2436" s="14" t="s">
        <v>448</v>
      </c>
      <c r="B2436" s="14" t="s">
        <v>121</v>
      </c>
      <c r="C2436" s="14" t="s">
        <v>373</v>
      </c>
      <c r="D2436" s="14" t="s">
        <v>374</v>
      </c>
      <c r="E2436" s="14" t="s">
        <v>342</v>
      </c>
      <c r="F2436" s="14" t="s">
        <v>343</v>
      </c>
      <c r="G2436" s="14" t="s">
        <v>343</v>
      </c>
      <c r="H2436" s="14" t="s">
        <v>343</v>
      </c>
      <c r="U2436" s="14">
        <v>0.23</v>
      </c>
      <c r="V2436" s="14">
        <v>0.3</v>
      </c>
      <c r="W2436" s="14">
        <v>0.1</v>
      </c>
      <c r="X2436" s="14">
        <v>0.1</v>
      </c>
    </row>
    <row r="2437" spans="1:24" hidden="1" x14ac:dyDescent="0.3">
      <c r="A2437" s="14" t="s">
        <v>448</v>
      </c>
      <c r="B2437" s="14" t="s">
        <v>121</v>
      </c>
      <c r="C2437" s="14" t="s">
        <v>373</v>
      </c>
      <c r="D2437" s="14" t="s">
        <v>374</v>
      </c>
      <c r="E2437" s="14" t="s">
        <v>344</v>
      </c>
      <c r="F2437" s="14" t="s">
        <v>343</v>
      </c>
      <c r="G2437" s="14" t="s">
        <v>343</v>
      </c>
      <c r="H2437" s="14" t="s">
        <v>343</v>
      </c>
      <c r="U2437" s="14">
        <v>77</v>
      </c>
      <c r="V2437" s="14">
        <v>69</v>
      </c>
      <c r="W2437" s="14">
        <v>132</v>
      </c>
      <c r="X2437" s="14">
        <v>126</v>
      </c>
    </row>
    <row r="2438" spans="1:24" hidden="1" x14ac:dyDescent="0.3">
      <c r="A2438" s="14" t="s">
        <v>448</v>
      </c>
      <c r="B2438" s="14" t="s">
        <v>121</v>
      </c>
      <c r="C2438" s="14" t="s">
        <v>375</v>
      </c>
      <c r="D2438" s="14" t="s">
        <v>376</v>
      </c>
      <c r="E2438" s="14" t="s">
        <v>342</v>
      </c>
      <c r="F2438" s="14" t="s">
        <v>343</v>
      </c>
      <c r="G2438" s="14" t="s">
        <v>343</v>
      </c>
      <c r="H2438" s="14" t="s">
        <v>343</v>
      </c>
      <c r="U2438" s="14">
        <v>0.13</v>
      </c>
      <c r="V2438" s="14">
        <v>0.17</v>
      </c>
      <c r="W2438" s="14">
        <v>0.17</v>
      </c>
      <c r="X2438" s="14">
        <v>0.18</v>
      </c>
    </row>
    <row r="2439" spans="1:24" hidden="1" x14ac:dyDescent="0.3">
      <c r="A2439" s="14" t="s">
        <v>448</v>
      </c>
      <c r="B2439" s="14" t="s">
        <v>121</v>
      </c>
      <c r="C2439" s="14" t="s">
        <v>375</v>
      </c>
      <c r="D2439" s="14" t="s">
        <v>376</v>
      </c>
      <c r="E2439" s="14" t="s">
        <v>344</v>
      </c>
      <c r="F2439" s="14" t="s">
        <v>343</v>
      </c>
      <c r="G2439" s="14" t="s">
        <v>343</v>
      </c>
      <c r="H2439" s="14" t="s">
        <v>343</v>
      </c>
      <c r="U2439" s="14">
        <v>123</v>
      </c>
      <c r="V2439" s="14">
        <v>122</v>
      </c>
      <c r="W2439" s="14">
        <v>128</v>
      </c>
      <c r="X2439" s="14">
        <v>118</v>
      </c>
    </row>
    <row r="2440" spans="1:24" hidden="1" x14ac:dyDescent="0.3">
      <c r="A2440" s="14" t="s">
        <v>449</v>
      </c>
      <c r="B2440" s="14" t="s">
        <v>125</v>
      </c>
      <c r="C2440" s="14" t="s">
        <v>340</v>
      </c>
      <c r="D2440" s="14" t="s">
        <v>341</v>
      </c>
      <c r="E2440" s="14" t="s">
        <v>342</v>
      </c>
      <c r="F2440" s="14" t="s">
        <v>343</v>
      </c>
      <c r="G2440" s="14" t="s">
        <v>343</v>
      </c>
      <c r="H2440" s="14" t="s">
        <v>343</v>
      </c>
      <c r="I2440" s="14">
        <v>1</v>
      </c>
      <c r="J2440" s="14">
        <v>1</v>
      </c>
      <c r="K2440" s="14">
        <v>1</v>
      </c>
      <c r="L2440" s="14">
        <v>1</v>
      </c>
      <c r="M2440" s="14">
        <v>1</v>
      </c>
      <c r="N2440" s="14">
        <v>1</v>
      </c>
      <c r="O2440" s="14">
        <v>1</v>
      </c>
      <c r="P2440" s="14">
        <v>1</v>
      </c>
      <c r="Q2440" s="14">
        <v>1</v>
      </c>
      <c r="R2440" s="14">
        <v>1</v>
      </c>
      <c r="S2440" s="14">
        <v>1</v>
      </c>
      <c r="T2440" s="14">
        <v>1</v>
      </c>
      <c r="U2440" s="14">
        <v>1</v>
      </c>
      <c r="V2440" s="14">
        <v>1</v>
      </c>
      <c r="W2440" s="14">
        <v>1</v>
      </c>
      <c r="X2440" s="14">
        <v>1</v>
      </c>
    </row>
    <row r="2441" spans="1:24" hidden="1" x14ac:dyDescent="0.3">
      <c r="A2441" s="14" t="s">
        <v>449</v>
      </c>
      <c r="B2441" s="14" t="s">
        <v>125</v>
      </c>
      <c r="C2441" s="14" t="s">
        <v>340</v>
      </c>
      <c r="D2441" s="14" t="s">
        <v>341</v>
      </c>
      <c r="E2441" s="14" t="s">
        <v>344</v>
      </c>
      <c r="F2441" s="14" t="s">
        <v>343</v>
      </c>
      <c r="G2441" s="14" t="s">
        <v>343</v>
      </c>
      <c r="H2441" s="14" t="s">
        <v>343</v>
      </c>
      <c r="I2441" s="14">
        <v>1</v>
      </c>
      <c r="J2441" s="14">
        <v>1</v>
      </c>
      <c r="K2441" s="14">
        <v>1</v>
      </c>
      <c r="L2441" s="14">
        <v>1</v>
      </c>
      <c r="M2441" s="14">
        <v>1</v>
      </c>
      <c r="N2441" s="14">
        <v>1</v>
      </c>
      <c r="O2441" s="14">
        <v>30</v>
      </c>
      <c r="P2441" s="14">
        <v>34</v>
      </c>
      <c r="Q2441" s="14">
        <v>40</v>
      </c>
      <c r="R2441" s="14">
        <v>44</v>
      </c>
      <c r="S2441" s="14">
        <v>1</v>
      </c>
      <c r="T2441" s="14">
        <v>1</v>
      </c>
      <c r="U2441" s="14">
        <v>57</v>
      </c>
      <c r="V2441" s="14">
        <v>47</v>
      </c>
      <c r="W2441" s="14">
        <v>48</v>
      </c>
      <c r="X2441" s="14">
        <v>1</v>
      </c>
    </row>
    <row r="2442" spans="1:24" hidden="1" x14ac:dyDescent="0.3">
      <c r="A2442" s="14" t="s">
        <v>449</v>
      </c>
      <c r="B2442" s="14" t="s">
        <v>125</v>
      </c>
      <c r="C2442" s="14" t="s">
        <v>345</v>
      </c>
      <c r="D2442" s="14" t="s">
        <v>346</v>
      </c>
      <c r="E2442" s="14" t="s">
        <v>342</v>
      </c>
      <c r="F2442" s="14" t="s">
        <v>343</v>
      </c>
      <c r="G2442" s="14" t="s">
        <v>343</v>
      </c>
      <c r="H2442" s="14" t="s">
        <v>343</v>
      </c>
      <c r="U2442" s="14">
        <v>0.64</v>
      </c>
      <c r="V2442" s="14">
        <v>0.66</v>
      </c>
      <c r="W2442" s="14">
        <v>0.67</v>
      </c>
      <c r="X2442" s="14">
        <v>0.72</v>
      </c>
    </row>
    <row r="2443" spans="1:24" hidden="1" x14ac:dyDescent="0.3">
      <c r="A2443" s="14" t="s">
        <v>449</v>
      </c>
      <c r="B2443" s="14" t="s">
        <v>125</v>
      </c>
      <c r="C2443" s="14" t="s">
        <v>345</v>
      </c>
      <c r="D2443" s="14" t="s">
        <v>346</v>
      </c>
      <c r="E2443" s="14" t="s">
        <v>344</v>
      </c>
      <c r="F2443" s="14" t="s">
        <v>343</v>
      </c>
      <c r="G2443" s="14" t="s">
        <v>343</v>
      </c>
      <c r="H2443" s="14" t="s">
        <v>343</v>
      </c>
      <c r="U2443" s="14">
        <v>63</v>
      </c>
      <c r="V2443" s="14">
        <v>56</v>
      </c>
      <c r="W2443" s="14">
        <v>55</v>
      </c>
      <c r="X2443" s="14">
        <v>40</v>
      </c>
    </row>
    <row r="2444" spans="1:24" hidden="1" x14ac:dyDescent="0.3">
      <c r="A2444" s="14" t="s">
        <v>449</v>
      </c>
      <c r="B2444" s="14" t="s">
        <v>125</v>
      </c>
      <c r="C2444" s="14" t="s">
        <v>347</v>
      </c>
      <c r="D2444" s="14" t="s">
        <v>348</v>
      </c>
      <c r="E2444" s="14" t="s">
        <v>342</v>
      </c>
      <c r="F2444" s="14" t="s">
        <v>343</v>
      </c>
      <c r="G2444" s="14" t="s">
        <v>343</v>
      </c>
      <c r="H2444" s="14" t="s">
        <v>343</v>
      </c>
      <c r="U2444" s="14">
        <v>0.82</v>
      </c>
      <c r="V2444" s="14">
        <v>0.84</v>
      </c>
      <c r="W2444" s="14">
        <v>0.85</v>
      </c>
      <c r="X2444" s="14">
        <v>0.82</v>
      </c>
    </row>
    <row r="2445" spans="1:24" hidden="1" x14ac:dyDescent="0.3">
      <c r="A2445" s="14" t="s">
        <v>449</v>
      </c>
      <c r="B2445" s="14" t="s">
        <v>125</v>
      </c>
      <c r="C2445" s="14" t="s">
        <v>347</v>
      </c>
      <c r="D2445" s="14" t="s">
        <v>348</v>
      </c>
      <c r="E2445" s="14" t="s">
        <v>344</v>
      </c>
      <c r="F2445" s="14" t="s">
        <v>343</v>
      </c>
      <c r="G2445" s="14" t="s">
        <v>343</v>
      </c>
      <c r="H2445" s="14" t="s">
        <v>343</v>
      </c>
      <c r="U2445" s="14">
        <v>68</v>
      </c>
      <c r="V2445" s="14">
        <v>65</v>
      </c>
      <c r="W2445" s="14">
        <v>65</v>
      </c>
      <c r="X2445" s="14">
        <v>55</v>
      </c>
    </row>
    <row r="2446" spans="1:24" hidden="1" x14ac:dyDescent="0.3">
      <c r="A2446" s="14" t="s">
        <v>449</v>
      </c>
      <c r="B2446" s="14" t="s">
        <v>125</v>
      </c>
      <c r="C2446" s="14" t="s">
        <v>349</v>
      </c>
      <c r="D2446" s="14" t="s">
        <v>350</v>
      </c>
      <c r="E2446" s="14" t="s">
        <v>342</v>
      </c>
      <c r="F2446" s="14" t="s">
        <v>343</v>
      </c>
      <c r="G2446" s="14" t="s">
        <v>343</v>
      </c>
      <c r="H2446" s="14" t="s">
        <v>343</v>
      </c>
      <c r="U2446" s="14">
        <v>0.56000000000000005</v>
      </c>
      <c r="V2446" s="14">
        <v>0.56000000000000005</v>
      </c>
      <c r="W2446" s="14">
        <v>0.55000000000000004</v>
      </c>
      <c r="X2446" s="14">
        <v>0.56999999999999995</v>
      </c>
    </row>
    <row r="2447" spans="1:24" hidden="1" x14ac:dyDescent="0.3">
      <c r="A2447" s="14" t="s">
        <v>449</v>
      </c>
      <c r="B2447" s="14" t="s">
        <v>125</v>
      </c>
      <c r="C2447" s="14" t="s">
        <v>349</v>
      </c>
      <c r="D2447" s="14" t="s">
        <v>350</v>
      </c>
      <c r="E2447" s="14" t="s">
        <v>344</v>
      </c>
      <c r="F2447" s="14" t="s">
        <v>343</v>
      </c>
      <c r="G2447" s="14" t="s">
        <v>343</v>
      </c>
      <c r="H2447" s="14" t="s">
        <v>343</v>
      </c>
      <c r="U2447" s="14">
        <v>48</v>
      </c>
      <c r="V2447" s="14">
        <v>51</v>
      </c>
      <c r="W2447" s="14">
        <v>62</v>
      </c>
      <c r="X2447" s="14">
        <v>55</v>
      </c>
    </row>
    <row r="2448" spans="1:24" hidden="1" x14ac:dyDescent="0.3">
      <c r="A2448" s="14" t="s">
        <v>449</v>
      </c>
      <c r="B2448" s="14" t="s">
        <v>125</v>
      </c>
      <c r="C2448" s="14" t="s">
        <v>351</v>
      </c>
      <c r="D2448" s="14" t="s">
        <v>352</v>
      </c>
      <c r="E2448" s="14" t="s">
        <v>342</v>
      </c>
      <c r="F2448" s="14" t="s">
        <v>343</v>
      </c>
      <c r="G2448" s="14" t="s">
        <v>343</v>
      </c>
      <c r="H2448" s="14" t="s">
        <v>343</v>
      </c>
      <c r="U2448" s="14">
        <v>1</v>
      </c>
      <c r="V2448" s="14">
        <v>1</v>
      </c>
      <c r="W2448" s="14">
        <v>1</v>
      </c>
      <c r="X2448" s="14">
        <v>1</v>
      </c>
    </row>
    <row r="2449" spans="1:24" hidden="1" x14ac:dyDescent="0.3">
      <c r="A2449" s="14" t="s">
        <v>449</v>
      </c>
      <c r="B2449" s="14" t="s">
        <v>125</v>
      </c>
      <c r="C2449" s="14" t="s">
        <v>351</v>
      </c>
      <c r="D2449" s="14" t="s">
        <v>352</v>
      </c>
      <c r="E2449" s="14" t="s">
        <v>344</v>
      </c>
      <c r="F2449" s="14" t="s">
        <v>343</v>
      </c>
      <c r="G2449" s="14" t="s">
        <v>343</v>
      </c>
      <c r="H2449" s="14" t="s">
        <v>343</v>
      </c>
      <c r="U2449" s="14">
        <v>1</v>
      </c>
      <c r="V2449" s="14">
        <v>1</v>
      </c>
      <c r="W2449" s="14">
        <v>1</v>
      </c>
      <c r="X2449" s="14">
        <v>1</v>
      </c>
    </row>
    <row r="2450" spans="1:24" hidden="1" x14ac:dyDescent="0.3">
      <c r="A2450" s="14" t="s">
        <v>449</v>
      </c>
      <c r="B2450" s="14" t="s">
        <v>125</v>
      </c>
      <c r="C2450" s="14" t="s">
        <v>378</v>
      </c>
      <c r="D2450" s="14" t="s">
        <v>379</v>
      </c>
      <c r="E2450" s="14" t="s">
        <v>342</v>
      </c>
      <c r="F2450" s="14" t="s">
        <v>343</v>
      </c>
      <c r="G2450" s="14" t="s">
        <v>343</v>
      </c>
      <c r="H2450" s="14" t="s">
        <v>343</v>
      </c>
      <c r="S2450" s="14">
        <v>0.71</v>
      </c>
      <c r="U2450" s="14">
        <v>0.7</v>
      </c>
      <c r="V2450" s="14">
        <v>0.69</v>
      </c>
      <c r="W2450" s="14">
        <v>0.69</v>
      </c>
      <c r="X2450" s="14">
        <v>0.7</v>
      </c>
    </row>
    <row r="2451" spans="1:24" hidden="1" x14ac:dyDescent="0.3">
      <c r="A2451" s="14" t="s">
        <v>449</v>
      </c>
      <c r="B2451" s="14" t="s">
        <v>125</v>
      </c>
      <c r="C2451" s="14" t="s">
        <v>378</v>
      </c>
      <c r="D2451" s="14" t="s">
        <v>379</v>
      </c>
      <c r="E2451" s="14" t="s">
        <v>344</v>
      </c>
      <c r="F2451" s="14" t="s">
        <v>343</v>
      </c>
      <c r="G2451" s="14" t="s">
        <v>343</v>
      </c>
      <c r="H2451" s="14" t="s">
        <v>343</v>
      </c>
      <c r="S2451" s="14">
        <v>41</v>
      </c>
      <c r="U2451" s="14">
        <v>46</v>
      </c>
      <c r="V2451" s="14">
        <v>56</v>
      </c>
      <c r="W2451" s="14">
        <v>60</v>
      </c>
      <c r="X2451" s="14">
        <v>49</v>
      </c>
    </row>
    <row r="2452" spans="1:24" hidden="1" x14ac:dyDescent="0.3">
      <c r="A2452" s="14" t="s">
        <v>449</v>
      </c>
      <c r="B2452" s="14" t="s">
        <v>125</v>
      </c>
      <c r="C2452" s="14" t="s">
        <v>353</v>
      </c>
      <c r="D2452" s="14" t="s">
        <v>354</v>
      </c>
      <c r="E2452" s="14" t="s">
        <v>342</v>
      </c>
      <c r="F2452" s="14" t="s">
        <v>343</v>
      </c>
      <c r="G2452" s="14" t="s">
        <v>343</v>
      </c>
      <c r="H2452" s="14" t="s">
        <v>343</v>
      </c>
      <c r="U2452" s="14">
        <v>1</v>
      </c>
      <c r="V2452" s="14">
        <v>1</v>
      </c>
      <c r="W2452" s="14">
        <v>1</v>
      </c>
      <c r="X2452" s="14">
        <v>1</v>
      </c>
    </row>
    <row r="2453" spans="1:24" hidden="1" x14ac:dyDescent="0.3">
      <c r="A2453" s="14" t="s">
        <v>449</v>
      </c>
      <c r="B2453" s="14" t="s">
        <v>125</v>
      </c>
      <c r="C2453" s="14" t="s">
        <v>353</v>
      </c>
      <c r="D2453" s="14" t="s">
        <v>354</v>
      </c>
      <c r="E2453" s="14" t="s">
        <v>344</v>
      </c>
      <c r="F2453" s="14" t="s">
        <v>343</v>
      </c>
      <c r="G2453" s="14" t="s">
        <v>343</v>
      </c>
      <c r="H2453" s="14" t="s">
        <v>343</v>
      </c>
      <c r="U2453" s="14">
        <v>1</v>
      </c>
      <c r="V2453" s="14">
        <v>1</v>
      </c>
      <c r="W2453" s="14">
        <v>1</v>
      </c>
      <c r="X2453" s="14">
        <v>1</v>
      </c>
    </row>
    <row r="2454" spans="1:24" hidden="1" x14ac:dyDescent="0.3">
      <c r="A2454" s="14" t="s">
        <v>449</v>
      </c>
      <c r="B2454" s="14" t="s">
        <v>125</v>
      </c>
      <c r="C2454" s="14" t="s">
        <v>380</v>
      </c>
      <c r="D2454" s="14" t="s">
        <v>381</v>
      </c>
      <c r="E2454" s="14" t="s">
        <v>342</v>
      </c>
      <c r="F2454" s="14" t="s">
        <v>343</v>
      </c>
      <c r="G2454" s="14" t="s">
        <v>343</v>
      </c>
      <c r="H2454" s="14" t="s">
        <v>343</v>
      </c>
      <c r="U2454" s="14">
        <v>0.99</v>
      </c>
      <c r="V2454" s="14">
        <v>1</v>
      </c>
      <c r="W2454" s="14">
        <v>1</v>
      </c>
    </row>
    <row r="2455" spans="1:24" hidden="1" x14ac:dyDescent="0.3">
      <c r="A2455" s="14" t="s">
        <v>449</v>
      </c>
      <c r="B2455" s="14" t="s">
        <v>125</v>
      </c>
      <c r="C2455" s="14" t="s">
        <v>380</v>
      </c>
      <c r="D2455" s="14" t="s">
        <v>381</v>
      </c>
      <c r="E2455" s="14" t="s">
        <v>344</v>
      </c>
      <c r="F2455" s="14" t="s">
        <v>343</v>
      </c>
      <c r="G2455" s="14" t="s">
        <v>343</v>
      </c>
      <c r="H2455" s="14" t="s">
        <v>343</v>
      </c>
      <c r="U2455" s="14">
        <v>95</v>
      </c>
      <c r="V2455" s="14">
        <v>98</v>
      </c>
      <c r="W2455" s="14">
        <v>100</v>
      </c>
    </row>
    <row r="2456" spans="1:24" hidden="1" x14ac:dyDescent="0.3">
      <c r="A2456" s="14" t="s">
        <v>449</v>
      </c>
      <c r="B2456" s="14" t="s">
        <v>125</v>
      </c>
      <c r="C2456" s="14" t="s">
        <v>355</v>
      </c>
      <c r="D2456" s="14" t="s">
        <v>356</v>
      </c>
      <c r="E2456" s="14" t="s">
        <v>342</v>
      </c>
      <c r="F2456" s="14" t="s">
        <v>343</v>
      </c>
      <c r="G2456" s="14" t="s">
        <v>343</v>
      </c>
      <c r="H2456" s="14" t="s">
        <v>343</v>
      </c>
      <c r="U2456" s="14">
        <v>1</v>
      </c>
      <c r="V2456" s="14">
        <v>1</v>
      </c>
      <c r="W2456" s="14">
        <v>1</v>
      </c>
      <c r="X2456" s="14">
        <v>1</v>
      </c>
    </row>
    <row r="2457" spans="1:24" hidden="1" x14ac:dyDescent="0.3">
      <c r="A2457" s="14" t="s">
        <v>449</v>
      </c>
      <c r="B2457" s="14" t="s">
        <v>125</v>
      </c>
      <c r="C2457" s="14" t="s">
        <v>355</v>
      </c>
      <c r="D2457" s="14" t="s">
        <v>356</v>
      </c>
      <c r="E2457" s="14" t="s">
        <v>344</v>
      </c>
      <c r="F2457" s="14" t="s">
        <v>343</v>
      </c>
      <c r="G2457" s="14" t="s">
        <v>343</v>
      </c>
      <c r="H2457" s="14" t="s">
        <v>343</v>
      </c>
      <c r="U2457" s="14">
        <v>1</v>
      </c>
      <c r="V2457" s="14">
        <v>1</v>
      </c>
      <c r="W2457" s="14">
        <v>1</v>
      </c>
      <c r="X2457" s="14">
        <v>1</v>
      </c>
    </row>
    <row r="2458" spans="1:24" hidden="1" x14ac:dyDescent="0.3">
      <c r="A2458" s="14" t="s">
        <v>449</v>
      </c>
      <c r="B2458" s="14" t="s">
        <v>125</v>
      </c>
      <c r="C2458" s="14" t="s">
        <v>357</v>
      </c>
      <c r="D2458" s="14" t="s">
        <v>358</v>
      </c>
      <c r="E2458" s="14" t="s">
        <v>342</v>
      </c>
      <c r="F2458" s="14" t="s">
        <v>343</v>
      </c>
      <c r="G2458" s="14" t="s">
        <v>343</v>
      </c>
      <c r="H2458" s="14" t="s">
        <v>343</v>
      </c>
      <c r="U2458" s="14">
        <v>1</v>
      </c>
      <c r="V2458" s="14">
        <v>1</v>
      </c>
      <c r="W2458" s="14">
        <v>1</v>
      </c>
      <c r="X2458" s="14">
        <v>1</v>
      </c>
    </row>
    <row r="2459" spans="1:24" hidden="1" x14ac:dyDescent="0.3">
      <c r="A2459" s="14" t="s">
        <v>449</v>
      </c>
      <c r="B2459" s="14" t="s">
        <v>125</v>
      </c>
      <c r="C2459" s="14" t="s">
        <v>357</v>
      </c>
      <c r="D2459" s="14" t="s">
        <v>358</v>
      </c>
      <c r="E2459" s="14" t="s">
        <v>344</v>
      </c>
      <c r="F2459" s="14" t="s">
        <v>343</v>
      </c>
      <c r="G2459" s="14" t="s">
        <v>343</v>
      </c>
      <c r="H2459" s="14" t="s">
        <v>343</v>
      </c>
      <c r="U2459" s="14">
        <v>1</v>
      </c>
      <c r="V2459" s="14">
        <v>1</v>
      </c>
      <c r="W2459" s="14">
        <v>1</v>
      </c>
      <c r="X2459" s="14">
        <v>1</v>
      </c>
    </row>
    <row r="2460" spans="1:24" hidden="1" x14ac:dyDescent="0.3">
      <c r="A2460" s="14" t="s">
        <v>449</v>
      </c>
      <c r="B2460" s="14" t="s">
        <v>125</v>
      </c>
      <c r="C2460" s="14" t="s">
        <v>359</v>
      </c>
      <c r="D2460" s="14" t="s">
        <v>360</v>
      </c>
      <c r="E2460" s="14" t="s">
        <v>342</v>
      </c>
      <c r="F2460" s="14" t="s">
        <v>343</v>
      </c>
      <c r="G2460" s="14" t="s">
        <v>343</v>
      </c>
      <c r="H2460" s="14" t="s">
        <v>343</v>
      </c>
      <c r="I2460" s="14">
        <v>0.64</v>
      </c>
      <c r="J2460" s="14">
        <v>0.67</v>
      </c>
      <c r="K2460" s="14">
        <v>0.68</v>
      </c>
      <c r="L2460" s="14">
        <v>0.69</v>
      </c>
      <c r="M2460" s="14">
        <v>0.74</v>
      </c>
      <c r="N2460" s="14">
        <v>0.73</v>
      </c>
      <c r="O2460" s="14">
        <v>0.75</v>
      </c>
      <c r="P2460" s="14">
        <v>0.74</v>
      </c>
      <c r="Q2460" s="14">
        <v>0.75</v>
      </c>
      <c r="R2460" s="14">
        <v>0.78</v>
      </c>
      <c r="S2460" s="14">
        <v>0.71</v>
      </c>
      <c r="T2460" s="14">
        <v>0.71</v>
      </c>
      <c r="U2460" s="14">
        <v>0.72</v>
      </c>
      <c r="V2460" s="14">
        <v>0.73</v>
      </c>
      <c r="W2460" s="14">
        <v>0.73</v>
      </c>
      <c r="X2460" s="14">
        <v>0.75</v>
      </c>
    </row>
    <row r="2461" spans="1:24" hidden="1" x14ac:dyDescent="0.3">
      <c r="A2461" s="14" t="s">
        <v>449</v>
      </c>
      <c r="B2461" s="14" t="s">
        <v>125</v>
      </c>
      <c r="C2461" s="14" t="s">
        <v>359</v>
      </c>
      <c r="D2461" s="14" t="s">
        <v>360</v>
      </c>
      <c r="E2461" s="14" t="s">
        <v>344</v>
      </c>
      <c r="F2461" s="14" t="s">
        <v>343</v>
      </c>
      <c r="G2461" s="14" t="s">
        <v>343</v>
      </c>
      <c r="H2461" s="14" t="s">
        <v>343</v>
      </c>
      <c r="I2461" s="14">
        <v>47</v>
      </c>
      <c r="J2461" s="14">
        <v>48</v>
      </c>
      <c r="K2461" s="14">
        <v>48</v>
      </c>
      <c r="L2461" s="14">
        <v>43</v>
      </c>
      <c r="M2461" s="14">
        <v>25</v>
      </c>
      <c r="N2461" s="14">
        <v>30</v>
      </c>
      <c r="O2461" s="14">
        <v>29</v>
      </c>
      <c r="P2461" s="14">
        <v>29</v>
      </c>
      <c r="Q2461" s="14">
        <v>28</v>
      </c>
      <c r="R2461" s="14">
        <v>26</v>
      </c>
      <c r="S2461" s="14">
        <v>49</v>
      </c>
      <c r="T2461" s="14">
        <v>50</v>
      </c>
      <c r="U2461" s="14">
        <v>43</v>
      </c>
      <c r="V2461" s="14">
        <v>43</v>
      </c>
      <c r="W2461" s="14">
        <v>43</v>
      </c>
      <c r="X2461" s="14">
        <v>35</v>
      </c>
    </row>
    <row r="2462" spans="1:24" x14ac:dyDescent="0.3">
      <c r="A2462" s="14" t="s">
        <v>449</v>
      </c>
      <c r="B2462" s="14" t="s">
        <v>125</v>
      </c>
      <c r="C2462" s="14" t="s">
        <v>361</v>
      </c>
      <c r="D2462" s="14" t="s">
        <v>362</v>
      </c>
      <c r="E2462" s="14" t="s">
        <v>342</v>
      </c>
      <c r="F2462" s="14" t="s">
        <v>343</v>
      </c>
      <c r="G2462" s="14" t="s">
        <v>343</v>
      </c>
      <c r="H2462" s="14" t="s">
        <v>343</v>
      </c>
      <c r="I2462" s="14">
        <v>0.97</v>
      </c>
      <c r="J2462" s="14">
        <v>0.97</v>
      </c>
      <c r="K2462" s="14">
        <v>0.97</v>
      </c>
      <c r="L2462" s="14">
        <v>0.97</v>
      </c>
      <c r="M2462" s="14">
        <v>0.97</v>
      </c>
      <c r="N2462" s="14">
        <v>0.97</v>
      </c>
      <c r="O2462" s="14">
        <v>0.97</v>
      </c>
      <c r="P2462" s="14">
        <v>0.97</v>
      </c>
      <c r="Q2462" s="14">
        <v>0.97</v>
      </c>
      <c r="R2462" s="14">
        <v>0.98</v>
      </c>
      <c r="S2462" s="14">
        <v>0.98</v>
      </c>
      <c r="T2462" s="14">
        <v>0.97</v>
      </c>
      <c r="U2462" s="14">
        <v>0.97</v>
      </c>
      <c r="V2462" s="14">
        <v>0.97</v>
      </c>
      <c r="W2462" s="14">
        <v>0.96</v>
      </c>
      <c r="X2462" s="14">
        <v>0.96</v>
      </c>
    </row>
    <row r="2463" spans="1:24" hidden="1" x14ac:dyDescent="0.3">
      <c r="A2463" s="14" t="s">
        <v>449</v>
      </c>
      <c r="B2463" s="14" t="s">
        <v>125</v>
      </c>
      <c r="C2463" s="14" t="s">
        <v>361</v>
      </c>
      <c r="D2463" s="14" t="s">
        <v>362</v>
      </c>
      <c r="E2463" s="14" t="s">
        <v>344</v>
      </c>
      <c r="F2463" s="14" t="s">
        <v>343</v>
      </c>
      <c r="G2463" s="14" t="s">
        <v>343</v>
      </c>
      <c r="H2463" s="14" t="s">
        <v>343</v>
      </c>
      <c r="I2463" s="14">
        <v>81</v>
      </c>
      <c r="J2463" s="14">
        <v>80</v>
      </c>
      <c r="K2463" s="14">
        <v>81</v>
      </c>
      <c r="L2463" s="14">
        <v>86</v>
      </c>
      <c r="M2463" s="14">
        <v>89</v>
      </c>
      <c r="N2463" s="14">
        <v>72</v>
      </c>
      <c r="O2463" s="14">
        <v>69</v>
      </c>
      <c r="P2463" s="14">
        <v>65</v>
      </c>
      <c r="Q2463" s="14">
        <v>67</v>
      </c>
      <c r="R2463" s="14">
        <v>56</v>
      </c>
      <c r="S2463" s="14">
        <v>54</v>
      </c>
      <c r="T2463" s="14">
        <v>96</v>
      </c>
      <c r="U2463" s="14">
        <v>111</v>
      </c>
      <c r="V2463" s="14">
        <v>113</v>
      </c>
      <c r="W2463" s="14">
        <v>119</v>
      </c>
      <c r="X2463" s="14">
        <v>113</v>
      </c>
    </row>
    <row r="2464" spans="1:24" hidden="1" x14ac:dyDescent="0.3">
      <c r="A2464" s="14" t="s">
        <v>449</v>
      </c>
      <c r="B2464" s="14" t="s">
        <v>125</v>
      </c>
      <c r="C2464" s="14" t="s">
        <v>363</v>
      </c>
      <c r="D2464" s="14" t="s">
        <v>364</v>
      </c>
      <c r="E2464" s="14" t="s">
        <v>342</v>
      </c>
      <c r="F2464" s="14" t="s">
        <v>343</v>
      </c>
      <c r="G2464" s="14" t="s">
        <v>343</v>
      </c>
      <c r="H2464" s="14" t="s">
        <v>343</v>
      </c>
      <c r="U2464" s="14">
        <v>1.03</v>
      </c>
      <c r="V2464" s="14">
        <v>1.03</v>
      </c>
      <c r="W2464" s="14">
        <v>1.01</v>
      </c>
      <c r="X2464" s="14">
        <v>1.01</v>
      </c>
    </row>
    <row r="2465" spans="1:24" hidden="1" x14ac:dyDescent="0.3">
      <c r="A2465" s="14" t="s">
        <v>449</v>
      </c>
      <c r="B2465" s="14" t="s">
        <v>125</v>
      </c>
      <c r="C2465" s="14" t="s">
        <v>363</v>
      </c>
      <c r="D2465" s="14" t="s">
        <v>364</v>
      </c>
      <c r="E2465" s="14" t="s">
        <v>344</v>
      </c>
      <c r="F2465" s="14" t="s">
        <v>343</v>
      </c>
      <c r="G2465" s="14" t="s">
        <v>343</v>
      </c>
      <c r="H2465" s="14" t="s">
        <v>343</v>
      </c>
      <c r="U2465" s="14">
        <v>114</v>
      </c>
      <c r="V2465" s="14">
        <v>117</v>
      </c>
      <c r="W2465" s="14">
        <v>127</v>
      </c>
      <c r="X2465" s="14">
        <v>120</v>
      </c>
    </row>
    <row r="2466" spans="1:24" hidden="1" x14ac:dyDescent="0.3">
      <c r="A2466" s="14" t="s">
        <v>449</v>
      </c>
      <c r="B2466" s="14" t="s">
        <v>125</v>
      </c>
      <c r="C2466" s="14" t="s">
        <v>365</v>
      </c>
      <c r="D2466" s="14" t="s">
        <v>366</v>
      </c>
      <c r="E2466" s="14" t="s">
        <v>342</v>
      </c>
      <c r="F2466" s="14" t="s">
        <v>343</v>
      </c>
      <c r="G2466" s="14" t="s">
        <v>343</v>
      </c>
      <c r="H2466" s="14" t="s">
        <v>343</v>
      </c>
      <c r="U2466" s="14">
        <v>0.94</v>
      </c>
      <c r="V2466" s="14">
        <v>0.94</v>
      </c>
      <c r="W2466" s="14">
        <v>0.94</v>
      </c>
      <c r="X2466" s="14">
        <v>0.94</v>
      </c>
    </row>
    <row r="2467" spans="1:24" hidden="1" x14ac:dyDescent="0.3">
      <c r="A2467" s="14" t="s">
        <v>449</v>
      </c>
      <c r="B2467" s="14" t="s">
        <v>125</v>
      </c>
      <c r="C2467" s="14" t="s">
        <v>365</v>
      </c>
      <c r="D2467" s="14" t="s">
        <v>366</v>
      </c>
      <c r="E2467" s="14" t="s">
        <v>344</v>
      </c>
      <c r="F2467" s="14" t="s">
        <v>343</v>
      </c>
      <c r="G2467" s="14" t="s">
        <v>343</v>
      </c>
      <c r="H2467" s="14" t="s">
        <v>343</v>
      </c>
      <c r="U2467" s="14">
        <v>114</v>
      </c>
      <c r="V2467" s="14">
        <v>112</v>
      </c>
      <c r="W2467" s="14">
        <v>1</v>
      </c>
      <c r="X2467" s="14">
        <v>1</v>
      </c>
    </row>
    <row r="2468" spans="1:24" hidden="1" x14ac:dyDescent="0.3">
      <c r="A2468" s="14" t="s">
        <v>449</v>
      </c>
      <c r="B2468" s="14" t="s">
        <v>125</v>
      </c>
      <c r="C2468" s="14" t="s">
        <v>367</v>
      </c>
      <c r="D2468" s="14" t="s">
        <v>368</v>
      </c>
      <c r="E2468" s="14" t="s">
        <v>342</v>
      </c>
      <c r="F2468" s="14" t="s">
        <v>343</v>
      </c>
      <c r="G2468" s="14" t="s">
        <v>343</v>
      </c>
      <c r="H2468" s="14" t="s">
        <v>343</v>
      </c>
      <c r="I2468" s="14">
        <v>0.73</v>
      </c>
      <c r="J2468" s="14">
        <v>0.75</v>
      </c>
      <c r="K2468" s="14">
        <v>0.75</v>
      </c>
      <c r="L2468" s="14">
        <v>0.76</v>
      </c>
      <c r="M2468" s="14">
        <v>0.78</v>
      </c>
      <c r="N2468" s="14">
        <v>0.78</v>
      </c>
      <c r="O2468" s="14">
        <v>0.78</v>
      </c>
      <c r="P2468" s="14">
        <v>0.78</v>
      </c>
      <c r="Q2468" s="14">
        <v>0.78</v>
      </c>
      <c r="R2468" s="14">
        <v>0.81</v>
      </c>
      <c r="S2468" s="14">
        <v>0.8</v>
      </c>
      <c r="T2468" s="14">
        <v>0.79</v>
      </c>
      <c r="U2468" s="14">
        <v>0.8</v>
      </c>
      <c r="V2468" s="14">
        <v>0.8</v>
      </c>
      <c r="W2468" s="14">
        <v>0.8</v>
      </c>
      <c r="X2468" s="14">
        <v>0.8</v>
      </c>
    </row>
    <row r="2469" spans="1:24" hidden="1" x14ac:dyDescent="0.3">
      <c r="A2469" s="14" t="s">
        <v>449</v>
      </c>
      <c r="B2469" s="14" t="s">
        <v>125</v>
      </c>
      <c r="C2469" s="14" t="s">
        <v>367</v>
      </c>
      <c r="D2469" s="14" t="s">
        <v>368</v>
      </c>
      <c r="E2469" s="14" t="s">
        <v>344</v>
      </c>
      <c r="F2469" s="14" t="s">
        <v>343</v>
      </c>
      <c r="G2469" s="14" t="s">
        <v>343</v>
      </c>
      <c r="H2469" s="14" t="s">
        <v>343</v>
      </c>
      <c r="I2469" s="14">
        <v>10</v>
      </c>
      <c r="J2469" s="14">
        <v>9</v>
      </c>
      <c r="K2469" s="14">
        <v>8</v>
      </c>
      <c r="L2469" s="14">
        <v>8</v>
      </c>
      <c r="M2469" s="14">
        <v>6</v>
      </c>
      <c r="N2469" s="14">
        <v>5</v>
      </c>
      <c r="O2469" s="14">
        <v>5</v>
      </c>
      <c r="P2469" s="14">
        <v>6</v>
      </c>
      <c r="Q2469" s="14">
        <v>8</v>
      </c>
      <c r="R2469" s="14">
        <v>5</v>
      </c>
      <c r="S2469" s="14">
        <v>6</v>
      </c>
      <c r="T2469" s="14">
        <v>8</v>
      </c>
      <c r="U2469" s="14">
        <v>9</v>
      </c>
      <c r="V2469" s="14">
        <v>7</v>
      </c>
      <c r="W2469" s="14">
        <v>9</v>
      </c>
      <c r="X2469" s="14">
        <v>9</v>
      </c>
    </row>
    <row r="2470" spans="1:24" hidden="1" x14ac:dyDescent="0.3">
      <c r="A2470" s="14" t="s">
        <v>449</v>
      </c>
      <c r="B2470" s="14" t="s">
        <v>125</v>
      </c>
      <c r="C2470" s="14" t="s">
        <v>369</v>
      </c>
      <c r="D2470" s="14" t="s">
        <v>370</v>
      </c>
      <c r="E2470" s="14" t="s">
        <v>342</v>
      </c>
      <c r="F2470" s="14" t="s">
        <v>343</v>
      </c>
      <c r="G2470" s="14" t="s">
        <v>343</v>
      </c>
      <c r="H2470" s="14" t="s">
        <v>343</v>
      </c>
      <c r="I2470" s="14">
        <v>0.32</v>
      </c>
      <c r="J2470" s="14">
        <v>0.34</v>
      </c>
      <c r="K2470" s="14">
        <v>0.35</v>
      </c>
      <c r="L2470" s="14">
        <v>0.37</v>
      </c>
      <c r="M2470" s="14">
        <v>0.4</v>
      </c>
      <c r="N2470" s="14">
        <v>0.43</v>
      </c>
      <c r="O2470" s="14">
        <v>0.41</v>
      </c>
      <c r="P2470" s="14">
        <v>0.41</v>
      </c>
      <c r="Q2470" s="14">
        <v>0.41</v>
      </c>
      <c r="R2470" s="14">
        <v>0.47</v>
      </c>
      <c r="S2470" s="14">
        <v>0.5</v>
      </c>
      <c r="T2470" s="14">
        <v>0.49</v>
      </c>
      <c r="U2470" s="14">
        <v>0.49</v>
      </c>
      <c r="V2470" s="14">
        <v>0.49</v>
      </c>
      <c r="W2470" s="14">
        <v>0.5</v>
      </c>
      <c r="X2470" s="14">
        <v>0.51</v>
      </c>
    </row>
    <row r="2471" spans="1:24" hidden="1" x14ac:dyDescent="0.3">
      <c r="A2471" s="14" t="s">
        <v>449</v>
      </c>
      <c r="B2471" s="14" t="s">
        <v>125</v>
      </c>
      <c r="C2471" s="14" t="s">
        <v>369</v>
      </c>
      <c r="D2471" s="14" t="s">
        <v>370</v>
      </c>
      <c r="E2471" s="14" t="s">
        <v>344</v>
      </c>
      <c r="F2471" s="14" t="s">
        <v>343</v>
      </c>
      <c r="G2471" s="14" t="s">
        <v>343</v>
      </c>
      <c r="H2471" s="14" t="s">
        <v>343</v>
      </c>
      <c r="I2471" s="14">
        <v>9</v>
      </c>
      <c r="J2471" s="14">
        <v>8</v>
      </c>
      <c r="K2471" s="14">
        <v>8</v>
      </c>
      <c r="L2471" s="14">
        <v>8</v>
      </c>
      <c r="M2471" s="14">
        <v>7</v>
      </c>
      <c r="N2471" s="14">
        <v>6</v>
      </c>
      <c r="O2471" s="14">
        <v>6</v>
      </c>
      <c r="P2471" s="14">
        <v>6</v>
      </c>
      <c r="Q2471" s="14">
        <v>8</v>
      </c>
      <c r="R2471" s="14">
        <v>6</v>
      </c>
      <c r="S2471" s="14">
        <v>5</v>
      </c>
      <c r="T2471" s="14">
        <v>6</v>
      </c>
      <c r="U2471" s="14">
        <v>8</v>
      </c>
      <c r="V2471" s="14">
        <v>11</v>
      </c>
      <c r="W2471" s="14">
        <v>11</v>
      </c>
      <c r="X2471" s="14">
        <v>11</v>
      </c>
    </row>
    <row r="2472" spans="1:24" hidden="1" x14ac:dyDescent="0.3">
      <c r="A2472" s="14" t="s">
        <v>449</v>
      </c>
      <c r="B2472" s="14" t="s">
        <v>125</v>
      </c>
      <c r="C2472" s="14" t="s">
        <v>371</v>
      </c>
      <c r="D2472" s="14" t="s">
        <v>372</v>
      </c>
      <c r="E2472" s="14" t="s">
        <v>342</v>
      </c>
      <c r="F2472" s="14" t="s">
        <v>343</v>
      </c>
      <c r="G2472" s="14" t="s">
        <v>343</v>
      </c>
      <c r="H2472" s="14" t="s">
        <v>343</v>
      </c>
      <c r="U2472" s="14">
        <v>0.71</v>
      </c>
      <c r="V2472" s="14">
        <v>0.71</v>
      </c>
      <c r="W2472" s="14">
        <v>0.71</v>
      </c>
      <c r="X2472" s="14">
        <v>0.71</v>
      </c>
    </row>
    <row r="2473" spans="1:24" hidden="1" x14ac:dyDescent="0.3">
      <c r="A2473" s="14" t="s">
        <v>449</v>
      </c>
      <c r="B2473" s="14" t="s">
        <v>125</v>
      </c>
      <c r="C2473" s="14" t="s">
        <v>371</v>
      </c>
      <c r="D2473" s="14" t="s">
        <v>372</v>
      </c>
      <c r="E2473" s="14" t="s">
        <v>344</v>
      </c>
      <c r="F2473" s="14" t="s">
        <v>343</v>
      </c>
      <c r="G2473" s="14" t="s">
        <v>343</v>
      </c>
      <c r="H2473" s="14" t="s">
        <v>343</v>
      </c>
      <c r="U2473" s="14">
        <v>3</v>
      </c>
      <c r="V2473" s="14">
        <v>3</v>
      </c>
      <c r="W2473" s="14">
        <v>3</v>
      </c>
      <c r="X2473" s="14">
        <v>3</v>
      </c>
    </row>
    <row r="2474" spans="1:24" hidden="1" x14ac:dyDescent="0.3">
      <c r="A2474" s="14" t="s">
        <v>449</v>
      </c>
      <c r="B2474" s="14" t="s">
        <v>125</v>
      </c>
      <c r="C2474" s="14" t="s">
        <v>373</v>
      </c>
      <c r="D2474" s="14" t="s">
        <v>374</v>
      </c>
      <c r="E2474" s="14" t="s">
        <v>342</v>
      </c>
      <c r="F2474" s="14" t="s">
        <v>343</v>
      </c>
      <c r="G2474" s="14" t="s">
        <v>343</v>
      </c>
      <c r="H2474" s="14" t="s">
        <v>343</v>
      </c>
      <c r="U2474" s="14">
        <v>0.36</v>
      </c>
      <c r="V2474" s="14">
        <v>0.36</v>
      </c>
      <c r="W2474" s="14">
        <v>0.4</v>
      </c>
      <c r="X2474" s="14">
        <v>0.4</v>
      </c>
    </row>
    <row r="2475" spans="1:24" hidden="1" x14ac:dyDescent="0.3">
      <c r="A2475" s="14" t="s">
        <v>449</v>
      </c>
      <c r="B2475" s="14" t="s">
        <v>125</v>
      </c>
      <c r="C2475" s="14" t="s">
        <v>373</v>
      </c>
      <c r="D2475" s="14" t="s">
        <v>374</v>
      </c>
      <c r="E2475" s="14" t="s">
        <v>344</v>
      </c>
      <c r="F2475" s="14" t="s">
        <v>343</v>
      </c>
      <c r="G2475" s="14" t="s">
        <v>343</v>
      </c>
      <c r="H2475" s="14" t="s">
        <v>343</v>
      </c>
      <c r="U2475" s="14">
        <v>33</v>
      </c>
      <c r="V2475" s="14">
        <v>53</v>
      </c>
      <c r="W2475" s="14">
        <v>58</v>
      </c>
      <c r="X2475" s="14">
        <v>56</v>
      </c>
    </row>
    <row r="2476" spans="1:24" hidden="1" x14ac:dyDescent="0.3">
      <c r="A2476" s="14" t="s">
        <v>449</v>
      </c>
      <c r="B2476" s="14" t="s">
        <v>125</v>
      </c>
      <c r="C2476" s="14" t="s">
        <v>375</v>
      </c>
      <c r="D2476" s="14" t="s">
        <v>376</v>
      </c>
      <c r="E2476" s="14" t="s">
        <v>342</v>
      </c>
      <c r="F2476" s="14" t="s">
        <v>343</v>
      </c>
      <c r="G2476" s="14" t="s">
        <v>343</v>
      </c>
      <c r="H2476" s="14" t="s">
        <v>343</v>
      </c>
      <c r="U2476" s="14">
        <v>0.28000000000000003</v>
      </c>
      <c r="V2476" s="14">
        <v>0.28000000000000003</v>
      </c>
      <c r="W2476" s="14">
        <v>0.28999999999999998</v>
      </c>
      <c r="X2476" s="14">
        <v>0.3</v>
      </c>
    </row>
    <row r="2477" spans="1:24" hidden="1" x14ac:dyDescent="0.3">
      <c r="A2477" s="14" t="s">
        <v>449</v>
      </c>
      <c r="B2477" s="14" t="s">
        <v>125</v>
      </c>
      <c r="C2477" s="14" t="s">
        <v>375</v>
      </c>
      <c r="D2477" s="14" t="s">
        <v>376</v>
      </c>
      <c r="E2477" s="14" t="s">
        <v>344</v>
      </c>
      <c r="F2477" s="14" t="s">
        <v>343</v>
      </c>
      <c r="G2477" s="14" t="s">
        <v>343</v>
      </c>
      <c r="H2477" s="14" t="s">
        <v>343</v>
      </c>
      <c r="U2477" s="14">
        <v>69</v>
      </c>
      <c r="V2477" s="14">
        <v>78</v>
      </c>
      <c r="W2477" s="14">
        <v>87</v>
      </c>
      <c r="X2477" s="14">
        <v>83</v>
      </c>
    </row>
    <row r="2478" spans="1:24" hidden="1" x14ac:dyDescent="0.3">
      <c r="A2478" s="14" t="s">
        <v>450</v>
      </c>
      <c r="B2478" s="14" t="s">
        <v>451</v>
      </c>
      <c r="C2478" s="14" t="s">
        <v>340</v>
      </c>
      <c r="D2478" s="14" t="s">
        <v>341</v>
      </c>
      <c r="E2478" s="14" t="s">
        <v>342</v>
      </c>
      <c r="F2478" s="14" t="s">
        <v>343</v>
      </c>
      <c r="G2478" s="14" t="s">
        <v>343</v>
      </c>
      <c r="H2478" s="14" t="s">
        <v>343</v>
      </c>
      <c r="I2478" s="14">
        <v>0.95</v>
      </c>
      <c r="J2478" s="14">
        <v>0.96</v>
      </c>
      <c r="K2478" s="14">
        <v>0.96</v>
      </c>
      <c r="L2478" s="14">
        <v>0.96</v>
      </c>
      <c r="M2478" s="14">
        <v>0.96</v>
      </c>
      <c r="N2478" s="14">
        <v>0.93</v>
      </c>
      <c r="O2478" s="14">
        <v>0.95</v>
      </c>
      <c r="P2478" s="14">
        <v>0.97</v>
      </c>
      <c r="Q2478" s="14">
        <v>0.96</v>
      </c>
      <c r="R2478" s="14">
        <v>0.95</v>
      </c>
      <c r="S2478" s="14">
        <v>0.98</v>
      </c>
      <c r="T2478" s="14">
        <v>0.96</v>
      </c>
      <c r="U2478" s="14">
        <v>0.97</v>
      </c>
      <c r="V2478" s="14">
        <v>0.95</v>
      </c>
      <c r="W2478" s="14">
        <v>0.95</v>
      </c>
      <c r="X2478" s="14">
        <v>0.96</v>
      </c>
    </row>
    <row r="2479" spans="1:24" hidden="1" x14ac:dyDescent="0.3">
      <c r="A2479" s="14" t="s">
        <v>450</v>
      </c>
      <c r="B2479" s="14" t="s">
        <v>451</v>
      </c>
      <c r="C2479" s="14" t="s">
        <v>340</v>
      </c>
      <c r="D2479" s="14" t="s">
        <v>341</v>
      </c>
      <c r="E2479" s="14" t="s">
        <v>344</v>
      </c>
      <c r="F2479" s="14" t="s">
        <v>343</v>
      </c>
      <c r="G2479" s="14" t="s">
        <v>343</v>
      </c>
      <c r="H2479" s="14" t="s">
        <v>343</v>
      </c>
      <c r="I2479" s="14">
        <v>79</v>
      </c>
      <c r="J2479" s="14">
        <v>90</v>
      </c>
      <c r="K2479" s="14">
        <v>92</v>
      </c>
      <c r="L2479" s="14">
        <v>96</v>
      </c>
      <c r="M2479" s="14">
        <v>96</v>
      </c>
      <c r="N2479" s="14">
        <v>105</v>
      </c>
      <c r="O2479" s="14">
        <v>101</v>
      </c>
      <c r="P2479" s="14">
        <v>98</v>
      </c>
      <c r="Q2479" s="14">
        <v>104</v>
      </c>
      <c r="R2479" s="14">
        <v>106</v>
      </c>
      <c r="S2479" s="14">
        <v>94</v>
      </c>
      <c r="T2479" s="14">
        <v>100</v>
      </c>
      <c r="U2479" s="14">
        <v>103</v>
      </c>
      <c r="V2479" s="14">
        <v>118</v>
      </c>
      <c r="W2479" s="14">
        <v>119</v>
      </c>
      <c r="X2479" s="14">
        <v>106</v>
      </c>
    </row>
    <row r="2480" spans="1:24" hidden="1" x14ac:dyDescent="0.3">
      <c r="A2480" s="14" t="s">
        <v>450</v>
      </c>
      <c r="B2480" s="14" t="s">
        <v>451</v>
      </c>
      <c r="C2480" s="14" t="s">
        <v>345</v>
      </c>
      <c r="D2480" s="14" t="s">
        <v>346</v>
      </c>
      <c r="E2480" s="14" t="s">
        <v>342</v>
      </c>
      <c r="F2480" s="14" t="s">
        <v>343</v>
      </c>
      <c r="G2480" s="14" t="s">
        <v>343</v>
      </c>
      <c r="H2480" s="14" t="s">
        <v>343</v>
      </c>
      <c r="U2480" s="14">
        <v>0.17</v>
      </c>
      <c r="V2480" s="14">
        <v>0.18</v>
      </c>
      <c r="W2480" s="14">
        <v>0.18</v>
      </c>
      <c r="X2480" s="14">
        <v>0.16</v>
      </c>
    </row>
    <row r="2481" spans="1:24" hidden="1" x14ac:dyDescent="0.3">
      <c r="A2481" s="14" t="s">
        <v>450</v>
      </c>
      <c r="B2481" s="14" t="s">
        <v>451</v>
      </c>
      <c r="C2481" s="14" t="s">
        <v>345</v>
      </c>
      <c r="D2481" s="14" t="s">
        <v>346</v>
      </c>
      <c r="E2481" s="14" t="s">
        <v>344</v>
      </c>
      <c r="F2481" s="14" t="s">
        <v>343</v>
      </c>
      <c r="G2481" s="14" t="s">
        <v>343</v>
      </c>
      <c r="H2481" s="14" t="s">
        <v>343</v>
      </c>
      <c r="U2481" s="14">
        <v>143</v>
      </c>
      <c r="V2481" s="14">
        <v>149</v>
      </c>
      <c r="W2481" s="14">
        <v>150</v>
      </c>
      <c r="X2481" s="14">
        <v>146</v>
      </c>
    </row>
    <row r="2482" spans="1:24" hidden="1" x14ac:dyDescent="0.3">
      <c r="A2482" s="14" t="s">
        <v>450</v>
      </c>
      <c r="B2482" s="14" t="s">
        <v>451</v>
      </c>
      <c r="C2482" s="14" t="s">
        <v>347</v>
      </c>
      <c r="D2482" s="14" t="s">
        <v>348</v>
      </c>
      <c r="E2482" s="14" t="s">
        <v>342</v>
      </c>
      <c r="F2482" s="14" t="s">
        <v>343</v>
      </c>
      <c r="G2482" s="14" t="s">
        <v>343</v>
      </c>
      <c r="H2482" s="14" t="s">
        <v>343</v>
      </c>
      <c r="U2482" s="14">
        <v>0.24</v>
      </c>
      <c r="V2482" s="14">
        <v>0.24</v>
      </c>
      <c r="W2482" s="14">
        <v>0.25</v>
      </c>
      <c r="X2482" s="14">
        <v>0.21</v>
      </c>
    </row>
    <row r="2483" spans="1:24" hidden="1" x14ac:dyDescent="0.3">
      <c r="A2483" s="14" t="s">
        <v>450</v>
      </c>
      <c r="B2483" s="14" t="s">
        <v>451</v>
      </c>
      <c r="C2483" s="14" t="s">
        <v>347</v>
      </c>
      <c r="D2483" s="14" t="s">
        <v>348</v>
      </c>
      <c r="E2483" s="14" t="s">
        <v>344</v>
      </c>
      <c r="F2483" s="14" t="s">
        <v>343</v>
      </c>
      <c r="G2483" s="14" t="s">
        <v>343</v>
      </c>
      <c r="H2483" s="14" t="s">
        <v>343</v>
      </c>
      <c r="U2483" s="14">
        <v>145</v>
      </c>
      <c r="V2483" s="14">
        <v>148</v>
      </c>
      <c r="W2483" s="14">
        <v>152</v>
      </c>
      <c r="X2483" s="14">
        <v>146</v>
      </c>
    </row>
    <row r="2484" spans="1:24" hidden="1" x14ac:dyDescent="0.3">
      <c r="A2484" s="14" t="s">
        <v>450</v>
      </c>
      <c r="B2484" s="14" t="s">
        <v>451</v>
      </c>
      <c r="C2484" s="14" t="s">
        <v>349</v>
      </c>
      <c r="D2484" s="14" t="s">
        <v>350</v>
      </c>
      <c r="E2484" s="14" t="s">
        <v>342</v>
      </c>
      <c r="F2484" s="14" t="s">
        <v>343</v>
      </c>
      <c r="G2484" s="14" t="s">
        <v>343</v>
      </c>
      <c r="H2484" s="14" t="s">
        <v>343</v>
      </c>
      <c r="U2484" s="14">
        <v>0.24</v>
      </c>
      <c r="V2484" s="14">
        <v>0.26</v>
      </c>
      <c r="W2484" s="14">
        <v>0.26</v>
      </c>
      <c r="X2484" s="14">
        <v>0.22</v>
      </c>
    </row>
    <row r="2485" spans="1:24" hidden="1" x14ac:dyDescent="0.3">
      <c r="A2485" s="14" t="s">
        <v>450</v>
      </c>
      <c r="B2485" s="14" t="s">
        <v>451</v>
      </c>
      <c r="C2485" s="14" t="s">
        <v>349</v>
      </c>
      <c r="D2485" s="14" t="s">
        <v>350</v>
      </c>
      <c r="E2485" s="14" t="s">
        <v>344</v>
      </c>
      <c r="F2485" s="14" t="s">
        <v>343</v>
      </c>
      <c r="G2485" s="14" t="s">
        <v>343</v>
      </c>
      <c r="H2485" s="14" t="s">
        <v>343</v>
      </c>
      <c r="U2485" s="14">
        <v>117</v>
      </c>
      <c r="V2485" s="14">
        <v>115</v>
      </c>
      <c r="W2485" s="14">
        <v>123</v>
      </c>
      <c r="X2485" s="14">
        <v>121</v>
      </c>
    </row>
    <row r="2486" spans="1:24" hidden="1" x14ac:dyDescent="0.3">
      <c r="A2486" s="14" t="s">
        <v>450</v>
      </c>
      <c r="B2486" s="14" t="s">
        <v>451</v>
      </c>
      <c r="C2486" s="14" t="s">
        <v>351</v>
      </c>
      <c r="D2486" s="14" t="s">
        <v>352</v>
      </c>
      <c r="E2486" s="14" t="s">
        <v>342</v>
      </c>
      <c r="F2486" s="14" t="s">
        <v>343</v>
      </c>
      <c r="G2486" s="14" t="s">
        <v>343</v>
      </c>
      <c r="H2486" s="14" t="s">
        <v>343</v>
      </c>
      <c r="U2486" s="14">
        <v>0.6</v>
      </c>
      <c r="V2486" s="14">
        <v>0.57999999999999996</v>
      </c>
      <c r="W2486" s="14">
        <v>0.55000000000000004</v>
      </c>
      <c r="X2486" s="14">
        <v>0.53</v>
      </c>
    </row>
    <row r="2487" spans="1:24" hidden="1" x14ac:dyDescent="0.3">
      <c r="A2487" s="14" t="s">
        <v>450</v>
      </c>
      <c r="B2487" s="14" t="s">
        <v>451</v>
      </c>
      <c r="C2487" s="14" t="s">
        <v>351</v>
      </c>
      <c r="D2487" s="14" t="s">
        <v>352</v>
      </c>
      <c r="E2487" s="14" t="s">
        <v>344</v>
      </c>
      <c r="F2487" s="14" t="s">
        <v>343</v>
      </c>
      <c r="G2487" s="14" t="s">
        <v>343</v>
      </c>
      <c r="H2487" s="14" t="s">
        <v>343</v>
      </c>
      <c r="U2487" s="14">
        <v>115</v>
      </c>
      <c r="V2487" s="14">
        <v>120</v>
      </c>
      <c r="W2487" s="14">
        <v>121</v>
      </c>
      <c r="X2487" s="14">
        <v>114</v>
      </c>
    </row>
    <row r="2488" spans="1:24" hidden="1" x14ac:dyDescent="0.3">
      <c r="A2488" s="14" t="s">
        <v>450</v>
      </c>
      <c r="B2488" s="14" t="s">
        <v>451</v>
      </c>
      <c r="C2488" s="14" t="s">
        <v>378</v>
      </c>
      <c r="D2488" s="14" t="s">
        <v>379</v>
      </c>
      <c r="E2488" s="14" t="s">
        <v>342</v>
      </c>
      <c r="F2488" s="14" t="s">
        <v>343</v>
      </c>
      <c r="G2488" s="14" t="s">
        <v>343</v>
      </c>
      <c r="H2488" s="14" t="s">
        <v>343</v>
      </c>
      <c r="S2488" s="14">
        <v>0.57999999999999996</v>
      </c>
      <c r="U2488" s="14">
        <v>0.59</v>
      </c>
      <c r="V2488" s="14">
        <v>0.6</v>
      </c>
      <c r="W2488" s="14">
        <v>0.57999999999999996</v>
      </c>
      <c r="X2488" s="14">
        <v>0.54</v>
      </c>
    </row>
    <row r="2489" spans="1:24" hidden="1" x14ac:dyDescent="0.3">
      <c r="A2489" s="14" t="s">
        <v>450</v>
      </c>
      <c r="B2489" s="14" t="s">
        <v>451</v>
      </c>
      <c r="C2489" s="14" t="s">
        <v>378</v>
      </c>
      <c r="D2489" s="14" t="s">
        <v>379</v>
      </c>
      <c r="E2489" s="14" t="s">
        <v>344</v>
      </c>
      <c r="F2489" s="14" t="s">
        <v>343</v>
      </c>
      <c r="G2489" s="14" t="s">
        <v>343</v>
      </c>
      <c r="H2489" s="14" t="s">
        <v>343</v>
      </c>
      <c r="S2489" s="14">
        <v>101</v>
      </c>
      <c r="U2489" s="14">
        <v>95</v>
      </c>
      <c r="V2489" s="14">
        <v>99</v>
      </c>
      <c r="W2489" s="14">
        <v>110</v>
      </c>
      <c r="X2489" s="14">
        <v>121</v>
      </c>
    </row>
    <row r="2490" spans="1:24" hidden="1" x14ac:dyDescent="0.3">
      <c r="A2490" s="14" t="s">
        <v>450</v>
      </c>
      <c r="B2490" s="14" t="s">
        <v>451</v>
      </c>
      <c r="C2490" s="14" t="s">
        <v>353</v>
      </c>
      <c r="D2490" s="14" t="s">
        <v>354</v>
      </c>
      <c r="E2490" s="14" t="s">
        <v>342</v>
      </c>
      <c r="F2490" s="14" t="s">
        <v>343</v>
      </c>
      <c r="G2490" s="14" t="s">
        <v>343</v>
      </c>
      <c r="H2490" s="14" t="s">
        <v>343</v>
      </c>
      <c r="U2490" s="14">
        <v>0.89</v>
      </c>
      <c r="V2490" s="14">
        <v>0.89</v>
      </c>
      <c r="W2490" s="14">
        <v>0.89</v>
      </c>
      <c r="X2490" s="14">
        <v>0.89</v>
      </c>
    </row>
    <row r="2491" spans="1:24" hidden="1" x14ac:dyDescent="0.3">
      <c r="A2491" s="14" t="s">
        <v>450</v>
      </c>
      <c r="B2491" s="14" t="s">
        <v>451</v>
      </c>
      <c r="C2491" s="14" t="s">
        <v>353</v>
      </c>
      <c r="D2491" s="14" t="s">
        <v>354</v>
      </c>
      <c r="E2491" s="14" t="s">
        <v>344</v>
      </c>
      <c r="F2491" s="14" t="s">
        <v>343</v>
      </c>
      <c r="G2491" s="14" t="s">
        <v>343</v>
      </c>
      <c r="H2491" s="14" t="s">
        <v>343</v>
      </c>
      <c r="U2491" s="14">
        <v>104</v>
      </c>
      <c r="V2491" s="14">
        <v>112</v>
      </c>
      <c r="W2491" s="14">
        <v>113</v>
      </c>
      <c r="X2491" s="14">
        <v>108</v>
      </c>
    </row>
    <row r="2492" spans="1:24" hidden="1" x14ac:dyDescent="0.3">
      <c r="A2492" s="14" t="s">
        <v>450</v>
      </c>
      <c r="B2492" s="14" t="s">
        <v>451</v>
      </c>
      <c r="C2492" s="14" t="s">
        <v>380</v>
      </c>
      <c r="D2492" s="14" t="s">
        <v>381</v>
      </c>
      <c r="E2492" s="14" t="s">
        <v>342</v>
      </c>
      <c r="F2492" s="14" t="s">
        <v>343</v>
      </c>
      <c r="G2492" s="14" t="s">
        <v>343</v>
      </c>
      <c r="H2492" s="14" t="s">
        <v>343</v>
      </c>
      <c r="U2492" s="14">
        <v>1</v>
      </c>
      <c r="V2492" s="14">
        <v>0.99</v>
      </c>
      <c r="W2492" s="14">
        <v>0.99</v>
      </c>
      <c r="X2492" s="14">
        <v>0.99</v>
      </c>
    </row>
    <row r="2493" spans="1:24" hidden="1" x14ac:dyDescent="0.3">
      <c r="A2493" s="14" t="s">
        <v>450</v>
      </c>
      <c r="B2493" s="14" t="s">
        <v>451</v>
      </c>
      <c r="C2493" s="14" t="s">
        <v>380</v>
      </c>
      <c r="D2493" s="14" t="s">
        <v>381</v>
      </c>
      <c r="E2493" s="14" t="s">
        <v>344</v>
      </c>
      <c r="F2493" s="14" t="s">
        <v>343</v>
      </c>
      <c r="G2493" s="14" t="s">
        <v>343</v>
      </c>
      <c r="H2493" s="14" t="s">
        <v>343</v>
      </c>
      <c r="U2493" s="14">
        <v>1</v>
      </c>
      <c r="V2493" s="14">
        <v>109</v>
      </c>
      <c r="W2493" s="14">
        <v>110</v>
      </c>
      <c r="X2493" s="14">
        <v>91</v>
      </c>
    </row>
    <row r="2494" spans="1:24" hidden="1" x14ac:dyDescent="0.3">
      <c r="A2494" s="14" t="s">
        <v>450</v>
      </c>
      <c r="B2494" s="14" t="s">
        <v>451</v>
      </c>
      <c r="C2494" s="14" t="s">
        <v>355</v>
      </c>
      <c r="D2494" s="14" t="s">
        <v>356</v>
      </c>
      <c r="E2494" s="14" t="s">
        <v>342</v>
      </c>
      <c r="F2494" s="14" t="s">
        <v>343</v>
      </c>
      <c r="G2494" s="14" t="s">
        <v>343</v>
      </c>
      <c r="H2494" s="14" t="s">
        <v>343</v>
      </c>
      <c r="U2494" s="14">
        <v>1</v>
      </c>
      <c r="V2494" s="14">
        <v>0.98</v>
      </c>
      <c r="W2494" s="14">
        <v>0.98</v>
      </c>
      <c r="X2494" s="14">
        <v>0.96</v>
      </c>
    </row>
    <row r="2495" spans="1:24" hidden="1" x14ac:dyDescent="0.3">
      <c r="A2495" s="14" t="s">
        <v>450</v>
      </c>
      <c r="B2495" s="14" t="s">
        <v>451</v>
      </c>
      <c r="C2495" s="14" t="s">
        <v>355</v>
      </c>
      <c r="D2495" s="14" t="s">
        <v>356</v>
      </c>
      <c r="E2495" s="14" t="s">
        <v>344</v>
      </c>
      <c r="F2495" s="14" t="s">
        <v>343</v>
      </c>
      <c r="G2495" s="14" t="s">
        <v>343</v>
      </c>
      <c r="H2495" s="14" t="s">
        <v>343</v>
      </c>
      <c r="U2495" s="14">
        <v>1</v>
      </c>
      <c r="V2495" s="14">
        <v>115</v>
      </c>
      <c r="W2495" s="14">
        <v>117</v>
      </c>
      <c r="X2495" s="14">
        <v>104</v>
      </c>
    </row>
    <row r="2496" spans="1:24" hidden="1" x14ac:dyDescent="0.3">
      <c r="A2496" s="14" t="s">
        <v>450</v>
      </c>
      <c r="B2496" s="14" t="s">
        <v>451</v>
      </c>
      <c r="C2496" s="14" t="s">
        <v>357</v>
      </c>
      <c r="D2496" s="14" t="s">
        <v>358</v>
      </c>
      <c r="E2496" s="14" t="s">
        <v>342</v>
      </c>
      <c r="F2496" s="14" t="s">
        <v>343</v>
      </c>
      <c r="G2496" s="14" t="s">
        <v>343</v>
      </c>
      <c r="H2496" s="14" t="s">
        <v>343</v>
      </c>
      <c r="U2496" s="14">
        <v>0.91</v>
      </c>
      <c r="V2496" s="14">
        <v>0.86</v>
      </c>
      <c r="W2496" s="14">
        <v>0.86</v>
      </c>
      <c r="X2496" s="14">
        <v>0.96</v>
      </c>
    </row>
    <row r="2497" spans="1:24" hidden="1" x14ac:dyDescent="0.3">
      <c r="A2497" s="14" t="s">
        <v>450</v>
      </c>
      <c r="B2497" s="14" t="s">
        <v>451</v>
      </c>
      <c r="C2497" s="14" t="s">
        <v>357</v>
      </c>
      <c r="D2497" s="14" t="s">
        <v>358</v>
      </c>
      <c r="E2497" s="14" t="s">
        <v>344</v>
      </c>
      <c r="F2497" s="14" t="s">
        <v>343</v>
      </c>
      <c r="G2497" s="14" t="s">
        <v>343</v>
      </c>
      <c r="H2497" s="14" t="s">
        <v>343</v>
      </c>
      <c r="U2497" s="14">
        <v>105</v>
      </c>
      <c r="V2497" s="14">
        <v>114</v>
      </c>
      <c r="W2497" s="14">
        <v>115</v>
      </c>
      <c r="X2497" s="14">
        <v>104</v>
      </c>
    </row>
    <row r="2498" spans="1:24" hidden="1" x14ac:dyDescent="0.3">
      <c r="A2498" s="14" t="s">
        <v>450</v>
      </c>
      <c r="B2498" s="14" t="s">
        <v>451</v>
      </c>
      <c r="C2498" s="14" t="s">
        <v>359</v>
      </c>
      <c r="D2498" s="14" t="s">
        <v>360</v>
      </c>
      <c r="E2498" s="14" t="s">
        <v>342</v>
      </c>
      <c r="F2498" s="14" t="s">
        <v>343</v>
      </c>
      <c r="G2498" s="14" t="s">
        <v>343</v>
      </c>
      <c r="H2498" s="14" t="s">
        <v>343</v>
      </c>
      <c r="I2498" s="14">
        <v>0.36</v>
      </c>
      <c r="J2498" s="14">
        <v>0.4</v>
      </c>
      <c r="K2498" s="14">
        <v>0.45</v>
      </c>
      <c r="L2498" s="14">
        <v>0.38</v>
      </c>
      <c r="M2498" s="14">
        <v>0.43</v>
      </c>
      <c r="N2498" s="14">
        <v>0.44</v>
      </c>
      <c r="O2498" s="14">
        <v>0.41</v>
      </c>
      <c r="P2498" s="14">
        <v>0.37</v>
      </c>
      <c r="Q2498" s="14">
        <v>0.36</v>
      </c>
      <c r="R2498" s="14">
        <v>0.36</v>
      </c>
      <c r="S2498" s="14">
        <v>0.36</v>
      </c>
      <c r="T2498" s="14">
        <v>0.36</v>
      </c>
      <c r="U2498" s="14">
        <v>0.38</v>
      </c>
      <c r="V2498" s="14">
        <v>0.38</v>
      </c>
      <c r="W2498" s="14">
        <v>0.38</v>
      </c>
      <c r="X2498" s="14">
        <v>0.34</v>
      </c>
    </row>
    <row r="2499" spans="1:24" hidden="1" x14ac:dyDescent="0.3">
      <c r="A2499" s="14" t="s">
        <v>450</v>
      </c>
      <c r="B2499" s="14" t="s">
        <v>451</v>
      </c>
      <c r="C2499" s="14" t="s">
        <v>359</v>
      </c>
      <c r="D2499" s="14" t="s">
        <v>360</v>
      </c>
      <c r="E2499" s="14" t="s">
        <v>344</v>
      </c>
      <c r="F2499" s="14" t="s">
        <v>343</v>
      </c>
      <c r="G2499" s="14" t="s">
        <v>343</v>
      </c>
      <c r="H2499" s="14" t="s">
        <v>343</v>
      </c>
      <c r="I2499" s="14">
        <v>113</v>
      </c>
      <c r="J2499" s="14">
        <v>123</v>
      </c>
      <c r="K2499" s="14">
        <v>118</v>
      </c>
      <c r="L2499" s="14">
        <v>131</v>
      </c>
      <c r="M2499" s="14">
        <v>125</v>
      </c>
      <c r="N2499" s="14">
        <v>125</v>
      </c>
      <c r="O2499" s="14">
        <v>130</v>
      </c>
      <c r="P2499" s="14">
        <v>130</v>
      </c>
      <c r="Q2499" s="14">
        <v>139</v>
      </c>
      <c r="R2499" s="14">
        <v>141</v>
      </c>
      <c r="S2499" s="14">
        <v>140</v>
      </c>
      <c r="T2499" s="14">
        <v>140</v>
      </c>
      <c r="U2499" s="14">
        <v>143</v>
      </c>
      <c r="V2499" s="14">
        <v>147</v>
      </c>
      <c r="W2499" s="14">
        <v>150</v>
      </c>
      <c r="X2499" s="14">
        <v>144</v>
      </c>
    </row>
    <row r="2500" spans="1:24" x14ac:dyDescent="0.3">
      <c r="A2500" s="14" t="s">
        <v>450</v>
      </c>
      <c r="B2500" s="14" t="s">
        <v>451</v>
      </c>
      <c r="C2500" s="14" t="s">
        <v>361</v>
      </c>
      <c r="D2500" s="14" t="s">
        <v>362</v>
      </c>
      <c r="E2500" s="14" t="s">
        <v>342</v>
      </c>
      <c r="F2500" s="14" t="s">
        <v>343</v>
      </c>
      <c r="G2500" s="14" t="s">
        <v>343</v>
      </c>
      <c r="H2500" s="14" t="s">
        <v>343</v>
      </c>
      <c r="I2500" s="14">
        <v>0.98</v>
      </c>
      <c r="J2500" s="14">
        <v>0.98</v>
      </c>
      <c r="K2500" s="14">
        <v>0.98</v>
      </c>
      <c r="L2500" s="14">
        <v>0.98</v>
      </c>
      <c r="M2500" s="14">
        <v>0.97</v>
      </c>
      <c r="N2500" s="14">
        <v>0.97</v>
      </c>
      <c r="O2500" s="14">
        <v>0.97</v>
      </c>
      <c r="P2500" s="14">
        <v>0.97</v>
      </c>
      <c r="Q2500" s="14">
        <v>0.97</v>
      </c>
      <c r="R2500" s="14">
        <v>0.97</v>
      </c>
      <c r="S2500" s="14">
        <v>0.97</v>
      </c>
      <c r="T2500" s="14">
        <v>0.96</v>
      </c>
      <c r="U2500" s="14">
        <v>0.97</v>
      </c>
      <c r="V2500" s="14">
        <v>0.97</v>
      </c>
      <c r="W2500" s="14">
        <v>0.96</v>
      </c>
      <c r="X2500" s="14">
        <v>0.96</v>
      </c>
    </row>
    <row r="2501" spans="1:24" hidden="1" x14ac:dyDescent="0.3">
      <c r="A2501" s="14" t="s">
        <v>450</v>
      </c>
      <c r="B2501" s="14" t="s">
        <v>451</v>
      </c>
      <c r="C2501" s="14" t="s">
        <v>361</v>
      </c>
      <c r="D2501" s="14" t="s">
        <v>362</v>
      </c>
      <c r="E2501" s="14" t="s">
        <v>344</v>
      </c>
      <c r="F2501" s="14" t="s">
        <v>343</v>
      </c>
      <c r="G2501" s="14" t="s">
        <v>343</v>
      </c>
      <c r="H2501" s="14" t="s">
        <v>343</v>
      </c>
      <c r="I2501" s="14">
        <v>52</v>
      </c>
      <c r="J2501" s="14">
        <v>58</v>
      </c>
      <c r="K2501" s="14">
        <v>60</v>
      </c>
      <c r="L2501" s="14">
        <v>63</v>
      </c>
      <c r="M2501" s="14">
        <v>83</v>
      </c>
      <c r="N2501" s="14">
        <v>85</v>
      </c>
      <c r="O2501" s="14">
        <v>87</v>
      </c>
      <c r="P2501" s="14">
        <v>87</v>
      </c>
      <c r="Q2501" s="14">
        <v>89</v>
      </c>
      <c r="R2501" s="14">
        <v>99</v>
      </c>
      <c r="S2501" s="14">
        <v>98</v>
      </c>
      <c r="T2501" s="14">
        <v>135</v>
      </c>
      <c r="U2501" s="14">
        <v>127</v>
      </c>
      <c r="V2501" s="14">
        <v>130</v>
      </c>
      <c r="W2501" s="14">
        <v>129</v>
      </c>
      <c r="X2501" s="14">
        <v>118</v>
      </c>
    </row>
    <row r="2502" spans="1:24" hidden="1" x14ac:dyDescent="0.3">
      <c r="A2502" s="14" t="s">
        <v>450</v>
      </c>
      <c r="B2502" s="14" t="s">
        <v>451</v>
      </c>
      <c r="C2502" s="14" t="s">
        <v>363</v>
      </c>
      <c r="D2502" s="14" t="s">
        <v>364</v>
      </c>
      <c r="E2502" s="14" t="s">
        <v>342</v>
      </c>
      <c r="F2502" s="14" t="s">
        <v>343</v>
      </c>
      <c r="G2502" s="14" t="s">
        <v>343</v>
      </c>
      <c r="H2502" s="14" t="s">
        <v>343</v>
      </c>
      <c r="U2502" s="14">
        <v>1.02</v>
      </c>
      <c r="V2502" s="14">
        <v>1.01</v>
      </c>
      <c r="W2502" s="14">
        <v>1.01</v>
      </c>
      <c r="X2502" s="14">
        <v>1.01</v>
      </c>
    </row>
    <row r="2503" spans="1:24" hidden="1" x14ac:dyDescent="0.3">
      <c r="A2503" s="14" t="s">
        <v>450</v>
      </c>
      <c r="B2503" s="14" t="s">
        <v>451</v>
      </c>
      <c r="C2503" s="14" t="s">
        <v>363</v>
      </c>
      <c r="D2503" s="14" t="s">
        <v>364</v>
      </c>
      <c r="E2503" s="14" t="s">
        <v>344</v>
      </c>
      <c r="F2503" s="14" t="s">
        <v>343</v>
      </c>
      <c r="G2503" s="14" t="s">
        <v>343</v>
      </c>
      <c r="H2503" s="14" t="s">
        <v>343</v>
      </c>
      <c r="U2503" s="14">
        <v>135</v>
      </c>
      <c r="V2503" s="14">
        <v>139</v>
      </c>
      <c r="W2503" s="14">
        <v>137</v>
      </c>
      <c r="X2503" s="14">
        <v>125</v>
      </c>
    </row>
    <row r="2504" spans="1:24" hidden="1" x14ac:dyDescent="0.3">
      <c r="A2504" s="14" t="s">
        <v>450</v>
      </c>
      <c r="B2504" s="14" t="s">
        <v>451</v>
      </c>
      <c r="C2504" s="14" t="s">
        <v>365</v>
      </c>
      <c r="D2504" s="14" t="s">
        <v>366</v>
      </c>
      <c r="E2504" s="14" t="s">
        <v>342</v>
      </c>
      <c r="F2504" s="14" t="s">
        <v>343</v>
      </c>
      <c r="G2504" s="14" t="s">
        <v>343</v>
      </c>
      <c r="H2504" s="14" t="s">
        <v>343</v>
      </c>
      <c r="U2504" s="14">
        <v>0.94</v>
      </c>
      <c r="V2504" s="14">
        <v>0.94</v>
      </c>
      <c r="W2504" s="14">
        <v>0.94</v>
      </c>
      <c r="X2504" s="14">
        <v>0.94</v>
      </c>
    </row>
    <row r="2505" spans="1:24" hidden="1" x14ac:dyDescent="0.3">
      <c r="A2505" s="14" t="s">
        <v>450</v>
      </c>
      <c r="B2505" s="14" t="s">
        <v>451</v>
      </c>
      <c r="C2505" s="14" t="s">
        <v>365</v>
      </c>
      <c r="D2505" s="14" t="s">
        <v>366</v>
      </c>
      <c r="E2505" s="14" t="s">
        <v>344</v>
      </c>
      <c r="F2505" s="14" t="s">
        <v>343</v>
      </c>
      <c r="G2505" s="14" t="s">
        <v>343</v>
      </c>
      <c r="H2505" s="14" t="s">
        <v>343</v>
      </c>
      <c r="U2505" s="14">
        <v>1</v>
      </c>
      <c r="V2505" s="14">
        <v>1</v>
      </c>
      <c r="W2505" s="14">
        <v>1</v>
      </c>
      <c r="X2505" s="14">
        <v>1</v>
      </c>
    </row>
    <row r="2506" spans="1:24" hidden="1" x14ac:dyDescent="0.3">
      <c r="A2506" s="14" t="s">
        <v>450</v>
      </c>
      <c r="B2506" s="14" t="s">
        <v>451</v>
      </c>
      <c r="C2506" s="14" t="s">
        <v>367</v>
      </c>
      <c r="D2506" s="14" t="s">
        <v>368</v>
      </c>
      <c r="E2506" s="14" t="s">
        <v>342</v>
      </c>
      <c r="F2506" s="14" t="s">
        <v>343</v>
      </c>
      <c r="G2506" s="14" t="s">
        <v>343</v>
      </c>
      <c r="H2506" s="14" t="s">
        <v>343</v>
      </c>
      <c r="I2506" s="14">
        <v>0.57999999999999996</v>
      </c>
      <c r="J2506" s="14">
        <v>0.59</v>
      </c>
      <c r="K2506" s="14">
        <v>0.6</v>
      </c>
      <c r="L2506" s="14">
        <v>0.57999999999999996</v>
      </c>
      <c r="M2506" s="14">
        <v>0.59</v>
      </c>
      <c r="N2506" s="14">
        <v>0.59</v>
      </c>
      <c r="O2506" s="14">
        <v>0.59</v>
      </c>
      <c r="P2506" s="14">
        <v>0.57999999999999996</v>
      </c>
      <c r="Q2506" s="14">
        <v>0.57999999999999996</v>
      </c>
      <c r="R2506" s="14">
        <v>0.57999999999999996</v>
      </c>
      <c r="S2506" s="14">
        <v>0.59</v>
      </c>
      <c r="T2506" s="14">
        <v>0.57999999999999996</v>
      </c>
      <c r="U2506" s="14">
        <v>0.59</v>
      </c>
      <c r="V2506" s="14">
        <v>0.57999999999999996</v>
      </c>
      <c r="W2506" s="14">
        <v>0.57999999999999996</v>
      </c>
      <c r="X2506" s="14">
        <v>0.57999999999999996</v>
      </c>
    </row>
    <row r="2507" spans="1:24" hidden="1" x14ac:dyDescent="0.3">
      <c r="A2507" s="14" t="s">
        <v>450</v>
      </c>
      <c r="B2507" s="14" t="s">
        <v>451</v>
      </c>
      <c r="C2507" s="14" t="s">
        <v>367</v>
      </c>
      <c r="D2507" s="14" t="s">
        <v>368</v>
      </c>
      <c r="E2507" s="14" t="s">
        <v>344</v>
      </c>
      <c r="F2507" s="14" t="s">
        <v>343</v>
      </c>
      <c r="G2507" s="14" t="s">
        <v>343</v>
      </c>
      <c r="H2507" s="14" t="s">
        <v>343</v>
      </c>
      <c r="I2507" s="14">
        <v>108</v>
      </c>
      <c r="J2507" s="14">
        <v>118</v>
      </c>
      <c r="K2507" s="14">
        <v>116</v>
      </c>
      <c r="L2507" s="14">
        <v>128</v>
      </c>
      <c r="M2507" s="14">
        <v>123</v>
      </c>
      <c r="N2507" s="14">
        <v>125</v>
      </c>
      <c r="O2507" s="14">
        <v>127</v>
      </c>
      <c r="P2507" s="14">
        <v>130</v>
      </c>
      <c r="Q2507" s="14">
        <v>137</v>
      </c>
      <c r="R2507" s="14">
        <v>141</v>
      </c>
      <c r="S2507" s="14">
        <v>139</v>
      </c>
      <c r="T2507" s="14">
        <v>140</v>
      </c>
      <c r="U2507" s="14">
        <v>142</v>
      </c>
      <c r="V2507" s="14">
        <v>148</v>
      </c>
      <c r="W2507" s="14">
        <v>150</v>
      </c>
      <c r="X2507" s="14">
        <v>143</v>
      </c>
    </row>
    <row r="2508" spans="1:24" hidden="1" x14ac:dyDescent="0.3">
      <c r="A2508" s="14" t="s">
        <v>450</v>
      </c>
      <c r="B2508" s="14" t="s">
        <v>451</v>
      </c>
      <c r="C2508" s="14" t="s">
        <v>369</v>
      </c>
      <c r="D2508" s="14" t="s">
        <v>370</v>
      </c>
      <c r="E2508" s="14" t="s">
        <v>342</v>
      </c>
      <c r="F2508" s="14" t="s">
        <v>343</v>
      </c>
      <c r="G2508" s="14" t="s">
        <v>343</v>
      </c>
      <c r="H2508" s="14" t="s">
        <v>343</v>
      </c>
      <c r="I2508" s="14">
        <v>0.03</v>
      </c>
      <c r="J2508" s="14">
        <v>0.03</v>
      </c>
      <c r="K2508" s="14">
        <v>0.02</v>
      </c>
      <c r="L2508" s="14">
        <v>0.02</v>
      </c>
      <c r="M2508" s="14">
        <v>0.02</v>
      </c>
      <c r="N2508" s="14">
        <v>0.02</v>
      </c>
      <c r="O2508" s="14">
        <v>0.03</v>
      </c>
      <c r="P2508" s="14">
        <v>0.03</v>
      </c>
      <c r="Q2508" s="14">
        <v>0.04</v>
      </c>
      <c r="R2508" s="14">
        <v>0.04</v>
      </c>
      <c r="S2508" s="14">
        <v>0.05</v>
      </c>
      <c r="T2508" s="14">
        <v>0.05</v>
      </c>
      <c r="U2508" s="14">
        <v>0.05</v>
      </c>
      <c r="V2508" s="14">
        <v>0.04</v>
      </c>
      <c r="W2508" s="14">
        <v>0.04</v>
      </c>
      <c r="X2508" s="14">
        <v>0.04</v>
      </c>
    </row>
    <row r="2509" spans="1:24" hidden="1" x14ac:dyDescent="0.3">
      <c r="A2509" s="14" t="s">
        <v>450</v>
      </c>
      <c r="B2509" s="14" t="s">
        <v>451</v>
      </c>
      <c r="C2509" s="14" t="s">
        <v>369</v>
      </c>
      <c r="D2509" s="14" t="s">
        <v>370</v>
      </c>
      <c r="E2509" s="14" t="s">
        <v>344</v>
      </c>
      <c r="F2509" s="14" t="s">
        <v>343</v>
      </c>
      <c r="G2509" s="14" t="s">
        <v>343</v>
      </c>
      <c r="H2509" s="14" t="s">
        <v>343</v>
      </c>
      <c r="I2509" s="14">
        <v>109</v>
      </c>
      <c r="J2509" s="14">
        <v>122</v>
      </c>
      <c r="K2509" s="14">
        <v>128</v>
      </c>
      <c r="L2509" s="14">
        <v>132</v>
      </c>
      <c r="M2509" s="14">
        <v>129</v>
      </c>
      <c r="N2509" s="14">
        <v>130</v>
      </c>
      <c r="O2509" s="14">
        <v>126</v>
      </c>
      <c r="P2509" s="14">
        <v>129</v>
      </c>
      <c r="Q2509" s="14">
        <v>135</v>
      </c>
      <c r="R2509" s="14">
        <v>137</v>
      </c>
      <c r="S2509" s="14">
        <v>136</v>
      </c>
      <c r="T2509" s="14">
        <v>136</v>
      </c>
      <c r="U2509" s="14">
        <v>141</v>
      </c>
      <c r="V2509" s="14">
        <v>145</v>
      </c>
      <c r="W2509" s="14">
        <v>151</v>
      </c>
      <c r="X2509" s="14">
        <v>142</v>
      </c>
    </row>
    <row r="2510" spans="1:24" hidden="1" x14ac:dyDescent="0.3">
      <c r="A2510" s="14" t="s">
        <v>450</v>
      </c>
      <c r="B2510" s="14" t="s">
        <v>451</v>
      </c>
      <c r="C2510" s="14" t="s">
        <v>371</v>
      </c>
      <c r="D2510" s="14" t="s">
        <v>372</v>
      </c>
      <c r="E2510" s="14" t="s">
        <v>342</v>
      </c>
      <c r="F2510" s="14" t="s">
        <v>343</v>
      </c>
      <c r="G2510" s="14" t="s">
        <v>343</v>
      </c>
      <c r="H2510" s="14" t="s">
        <v>343</v>
      </c>
      <c r="U2510" s="14">
        <v>0</v>
      </c>
      <c r="V2510" s="14">
        <v>0</v>
      </c>
      <c r="W2510" s="14">
        <v>0</v>
      </c>
      <c r="X2510" s="14">
        <v>0</v>
      </c>
    </row>
    <row r="2511" spans="1:24" hidden="1" x14ac:dyDescent="0.3">
      <c r="A2511" s="14" t="s">
        <v>450</v>
      </c>
      <c r="B2511" s="14" t="s">
        <v>451</v>
      </c>
      <c r="C2511" s="14" t="s">
        <v>371</v>
      </c>
      <c r="D2511" s="14" t="s">
        <v>372</v>
      </c>
      <c r="E2511" s="14" t="s">
        <v>344</v>
      </c>
      <c r="F2511" s="14" t="s">
        <v>343</v>
      </c>
      <c r="G2511" s="14" t="s">
        <v>343</v>
      </c>
      <c r="H2511" s="14" t="s">
        <v>343</v>
      </c>
      <c r="U2511" s="14">
        <v>71</v>
      </c>
      <c r="V2511" s="14">
        <v>73</v>
      </c>
      <c r="W2511" s="14">
        <v>76</v>
      </c>
      <c r="X2511" s="14">
        <v>78</v>
      </c>
    </row>
    <row r="2512" spans="1:24" hidden="1" x14ac:dyDescent="0.3">
      <c r="A2512" s="14" t="s">
        <v>450</v>
      </c>
      <c r="B2512" s="14" t="s">
        <v>451</v>
      </c>
      <c r="C2512" s="14" t="s">
        <v>373</v>
      </c>
      <c r="D2512" s="14" t="s">
        <v>374</v>
      </c>
      <c r="E2512" s="14" t="s">
        <v>342</v>
      </c>
      <c r="F2512" s="14" t="s">
        <v>343</v>
      </c>
      <c r="G2512" s="14" t="s">
        <v>343</v>
      </c>
      <c r="H2512" s="14" t="s">
        <v>343</v>
      </c>
      <c r="U2512" s="14">
        <v>0.11</v>
      </c>
      <c r="V2512" s="14">
        <v>7.0000000000000007E-2</v>
      </c>
      <c r="W2512" s="14">
        <v>7.0000000000000007E-2</v>
      </c>
      <c r="X2512" s="14">
        <v>7.0000000000000007E-2</v>
      </c>
    </row>
    <row r="2513" spans="1:24" hidden="1" x14ac:dyDescent="0.3">
      <c r="A2513" s="14" t="s">
        <v>450</v>
      </c>
      <c r="B2513" s="14" t="s">
        <v>451</v>
      </c>
      <c r="C2513" s="14" t="s">
        <v>373</v>
      </c>
      <c r="D2513" s="14" t="s">
        <v>374</v>
      </c>
      <c r="E2513" s="14" t="s">
        <v>344</v>
      </c>
      <c r="F2513" s="14" t="s">
        <v>343</v>
      </c>
      <c r="G2513" s="14" t="s">
        <v>343</v>
      </c>
      <c r="H2513" s="14" t="s">
        <v>343</v>
      </c>
      <c r="U2513" s="14">
        <v>117</v>
      </c>
      <c r="V2513" s="14">
        <v>132</v>
      </c>
      <c r="W2513" s="14">
        <v>136</v>
      </c>
      <c r="X2513" s="14">
        <v>129</v>
      </c>
    </row>
    <row r="2514" spans="1:24" hidden="1" x14ac:dyDescent="0.3">
      <c r="A2514" s="14" t="s">
        <v>450</v>
      </c>
      <c r="B2514" s="14" t="s">
        <v>451</v>
      </c>
      <c r="C2514" s="14" t="s">
        <v>375</v>
      </c>
      <c r="D2514" s="14" t="s">
        <v>376</v>
      </c>
      <c r="E2514" s="14" t="s">
        <v>342</v>
      </c>
      <c r="F2514" s="14" t="s">
        <v>343</v>
      </c>
      <c r="G2514" s="14" t="s">
        <v>343</v>
      </c>
      <c r="H2514" s="14" t="s">
        <v>343</v>
      </c>
      <c r="U2514" s="14">
        <v>0.06</v>
      </c>
      <c r="V2514" s="14">
        <v>0.06</v>
      </c>
      <c r="W2514" s="14">
        <v>0.06</v>
      </c>
      <c r="X2514" s="14">
        <v>0.06</v>
      </c>
    </row>
    <row r="2515" spans="1:24" hidden="1" x14ac:dyDescent="0.3">
      <c r="A2515" s="14" t="s">
        <v>450</v>
      </c>
      <c r="B2515" s="14" t="s">
        <v>451</v>
      </c>
      <c r="C2515" s="14" t="s">
        <v>375</v>
      </c>
      <c r="D2515" s="14" t="s">
        <v>376</v>
      </c>
      <c r="E2515" s="14" t="s">
        <v>344</v>
      </c>
      <c r="F2515" s="14" t="s">
        <v>343</v>
      </c>
      <c r="G2515" s="14" t="s">
        <v>343</v>
      </c>
      <c r="H2515" s="14" t="s">
        <v>343</v>
      </c>
      <c r="U2515" s="14">
        <v>141</v>
      </c>
      <c r="V2515" s="14">
        <v>144</v>
      </c>
      <c r="W2515" s="14">
        <v>148</v>
      </c>
      <c r="X2515" s="14">
        <v>138</v>
      </c>
    </row>
    <row r="2516" spans="1:24" hidden="1" x14ac:dyDescent="0.3">
      <c r="A2516" s="14" t="s">
        <v>452</v>
      </c>
      <c r="B2516" s="14" t="s">
        <v>124</v>
      </c>
      <c r="C2516" s="14" t="s">
        <v>340</v>
      </c>
      <c r="D2516" s="14" t="s">
        <v>341</v>
      </c>
      <c r="E2516" s="14" t="s">
        <v>342</v>
      </c>
      <c r="F2516" s="14" t="s">
        <v>343</v>
      </c>
      <c r="G2516" s="14" t="s">
        <v>343</v>
      </c>
      <c r="H2516" s="14" t="s">
        <v>343</v>
      </c>
      <c r="U2516" s="14">
        <v>0.83</v>
      </c>
      <c r="V2516" s="14">
        <v>0.81</v>
      </c>
      <c r="W2516" s="14">
        <v>0.81</v>
      </c>
    </row>
    <row r="2517" spans="1:24" hidden="1" x14ac:dyDescent="0.3">
      <c r="A2517" s="14" t="s">
        <v>452</v>
      </c>
      <c r="B2517" s="14" t="s">
        <v>124</v>
      </c>
      <c r="C2517" s="14" t="s">
        <v>340</v>
      </c>
      <c r="D2517" s="14" t="s">
        <v>341</v>
      </c>
      <c r="E2517" s="14" t="s">
        <v>344</v>
      </c>
      <c r="F2517" s="14" t="s">
        <v>343</v>
      </c>
      <c r="G2517" s="14" t="s">
        <v>343</v>
      </c>
      <c r="H2517" s="14" t="s">
        <v>343</v>
      </c>
      <c r="U2517" s="14">
        <v>136</v>
      </c>
      <c r="V2517" s="14">
        <v>144</v>
      </c>
      <c r="W2517" s="14">
        <v>145</v>
      </c>
    </row>
    <row r="2518" spans="1:24" hidden="1" x14ac:dyDescent="0.3">
      <c r="A2518" s="14" t="s">
        <v>452</v>
      </c>
      <c r="B2518" s="14" t="s">
        <v>124</v>
      </c>
      <c r="C2518" s="14" t="s">
        <v>345</v>
      </c>
      <c r="D2518" s="14" t="s">
        <v>346</v>
      </c>
      <c r="E2518" s="14" t="s">
        <v>342</v>
      </c>
      <c r="F2518" s="14" t="s">
        <v>343</v>
      </c>
      <c r="G2518" s="14" t="s">
        <v>343</v>
      </c>
      <c r="H2518" s="14" t="s">
        <v>343</v>
      </c>
      <c r="U2518" s="14">
        <v>0.17</v>
      </c>
      <c r="V2518" s="14">
        <v>0.13</v>
      </c>
      <c r="W2518" s="14">
        <v>0.12</v>
      </c>
    </row>
    <row r="2519" spans="1:24" hidden="1" x14ac:dyDescent="0.3">
      <c r="A2519" s="14" t="s">
        <v>452</v>
      </c>
      <c r="B2519" s="14" t="s">
        <v>124</v>
      </c>
      <c r="C2519" s="14" t="s">
        <v>345</v>
      </c>
      <c r="D2519" s="14" t="s">
        <v>346</v>
      </c>
      <c r="E2519" s="14" t="s">
        <v>344</v>
      </c>
      <c r="F2519" s="14" t="s">
        <v>343</v>
      </c>
      <c r="G2519" s="14" t="s">
        <v>343</v>
      </c>
      <c r="H2519" s="14" t="s">
        <v>343</v>
      </c>
      <c r="U2519" s="14">
        <v>144</v>
      </c>
      <c r="V2519" s="14">
        <v>151</v>
      </c>
      <c r="W2519" s="14">
        <v>153</v>
      </c>
    </row>
    <row r="2520" spans="1:24" hidden="1" x14ac:dyDescent="0.3">
      <c r="A2520" s="14" t="s">
        <v>452</v>
      </c>
      <c r="B2520" s="14" t="s">
        <v>124</v>
      </c>
      <c r="C2520" s="14" t="s">
        <v>347</v>
      </c>
      <c r="D2520" s="14" t="s">
        <v>348</v>
      </c>
      <c r="E2520" s="14" t="s">
        <v>342</v>
      </c>
      <c r="F2520" s="14" t="s">
        <v>343</v>
      </c>
      <c r="G2520" s="14" t="s">
        <v>343</v>
      </c>
      <c r="H2520" s="14" t="s">
        <v>343</v>
      </c>
      <c r="U2520" s="14">
        <v>0.26</v>
      </c>
      <c r="V2520" s="14">
        <v>0.17</v>
      </c>
      <c r="W2520" s="14">
        <v>0.16</v>
      </c>
    </row>
    <row r="2521" spans="1:24" hidden="1" x14ac:dyDescent="0.3">
      <c r="A2521" s="14" t="s">
        <v>452</v>
      </c>
      <c r="B2521" s="14" t="s">
        <v>124</v>
      </c>
      <c r="C2521" s="14" t="s">
        <v>347</v>
      </c>
      <c r="D2521" s="14" t="s">
        <v>348</v>
      </c>
      <c r="E2521" s="14" t="s">
        <v>344</v>
      </c>
      <c r="F2521" s="14" t="s">
        <v>343</v>
      </c>
      <c r="G2521" s="14" t="s">
        <v>343</v>
      </c>
      <c r="H2521" s="14" t="s">
        <v>343</v>
      </c>
      <c r="U2521" s="14">
        <v>144</v>
      </c>
      <c r="V2521" s="14">
        <v>152</v>
      </c>
      <c r="W2521" s="14">
        <v>155</v>
      </c>
    </row>
    <row r="2522" spans="1:24" hidden="1" x14ac:dyDescent="0.3">
      <c r="A2522" s="14" t="s">
        <v>452</v>
      </c>
      <c r="B2522" s="14" t="s">
        <v>124</v>
      </c>
      <c r="C2522" s="14" t="s">
        <v>349</v>
      </c>
      <c r="D2522" s="14" t="s">
        <v>350</v>
      </c>
      <c r="E2522" s="14" t="s">
        <v>342</v>
      </c>
      <c r="F2522" s="14" t="s">
        <v>343</v>
      </c>
      <c r="G2522" s="14" t="s">
        <v>343</v>
      </c>
      <c r="H2522" s="14" t="s">
        <v>343</v>
      </c>
      <c r="U2522" s="14">
        <v>0.28000000000000003</v>
      </c>
      <c r="V2522" s="14">
        <v>0.28000000000000003</v>
      </c>
      <c r="W2522" s="14">
        <v>0.28000000000000003</v>
      </c>
    </row>
    <row r="2523" spans="1:24" hidden="1" x14ac:dyDescent="0.3">
      <c r="A2523" s="14" t="s">
        <v>452</v>
      </c>
      <c r="B2523" s="14" t="s">
        <v>124</v>
      </c>
      <c r="C2523" s="14" t="s">
        <v>349</v>
      </c>
      <c r="D2523" s="14" t="s">
        <v>350</v>
      </c>
      <c r="E2523" s="14" t="s">
        <v>344</v>
      </c>
      <c r="F2523" s="14" t="s">
        <v>343</v>
      </c>
      <c r="G2523" s="14" t="s">
        <v>343</v>
      </c>
      <c r="H2523" s="14" t="s">
        <v>343</v>
      </c>
      <c r="U2523" s="14">
        <v>109</v>
      </c>
      <c r="V2523" s="14">
        <v>113</v>
      </c>
      <c r="W2523" s="14">
        <v>118</v>
      </c>
    </row>
    <row r="2524" spans="1:24" hidden="1" x14ac:dyDescent="0.3">
      <c r="A2524" s="14" t="s">
        <v>452</v>
      </c>
      <c r="B2524" s="14" t="s">
        <v>124</v>
      </c>
      <c r="C2524" s="14" t="s">
        <v>351</v>
      </c>
      <c r="D2524" s="14" t="s">
        <v>352</v>
      </c>
      <c r="E2524" s="14" t="s">
        <v>342</v>
      </c>
      <c r="F2524" s="14" t="s">
        <v>343</v>
      </c>
      <c r="G2524" s="14" t="s">
        <v>343</v>
      </c>
      <c r="H2524" s="14" t="s">
        <v>343</v>
      </c>
      <c r="U2524" s="14">
        <v>0.43</v>
      </c>
      <c r="V2524" s="14">
        <v>0.43</v>
      </c>
      <c r="W2524" s="14">
        <v>0.48</v>
      </c>
    </row>
    <row r="2525" spans="1:24" hidden="1" x14ac:dyDescent="0.3">
      <c r="A2525" s="14" t="s">
        <v>452</v>
      </c>
      <c r="B2525" s="14" t="s">
        <v>124</v>
      </c>
      <c r="C2525" s="14" t="s">
        <v>351</v>
      </c>
      <c r="D2525" s="14" t="s">
        <v>352</v>
      </c>
      <c r="E2525" s="14" t="s">
        <v>344</v>
      </c>
      <c r="F2525" s="14" t="s">
        <v>343</v>
      </c>
      <c r="G2525" s="14" t="s">
        <v>343</v>
      </c>
      <c r="H2525" s="14" t="s">
        <v>343</v>
      </c>
      <c r="U2525" s="14">
        <v>128</v>
      </c>
      <c r="V2525" s="14">
        <v>133</v>
      </c>
      <c r="W2525" s="14">
        <v>132</v>
      </c>
    </row>
    <row r="2526" spans="1:24" hidden="1" x14ac:dyDescent="0.3">
      <c r="A2526" s="14" t="s">
        <v>452</v>
      </c>
      <c r="B2526" s="14" t="s">
        <v>124</v>
      </c>
      <c r="C2526" s="14" t="s">
        <v>353</v>
      </c>
      <c r="D2526" s="14" t="s">
        <v>354</v>
      </c>
      <c r="E2526" s="14" t="s">
        <v>342</v>
      </c>
      <c r="F2526" s="14" t="s">
        <v>343</v>
      </c>
      <c r="G2526" s="14" t="s">
        <v>343</v>
      </c>
      <c r="H2526" s="14" t="s">
        <v>343</v>
      </c>
      <c r="U2526" s="14">
        <v>0.72</v>
      </c>
      <c r="V2526" s="14">
        <v>0.78</v>
      </c>
      <c r="W2526" s="14">
        <v>0.88</v>
      </c>
    </row>
    <row r="2527" spans="1:24" hidden="1" x14ac:dyDescent="0.3">
      <c r="A2527" s="14" t="s">
        <v>452</v>
      </c>
      <c r="B2527" s="14" t="s">
        <v>124</v>
      </c>
      <c r="C2527" s="14" t="s">
        <v>353</v>
      </c>
      <c r="D2527" s="14" t="s">
        <v>354</v>
      </c>
      <c r="E2527" s="14" t="s">
        <v>344</v>
      </c>
      <c r="F2527" s="14" t="s">
        <v>343</v>
      </c>
      <c r="G2527" s="14" t="s">
        <v>343</v>
      </c>
      <c r="H2527" s="14" t="s">
        <v>343</v>
      </c>
      <c r="U2527" s="14">
        <v>126</v>
      </c>
      <c r="V2527" s="14">
        <v>129</v>
      </c>
      <c r="W2527" s="14">
        <v>120</v>
      </c>
    </row>
    <row r="2528" spans="1:24" hidden="1" x14ac:dyDescent="0.3">
      <c r="A2528" s="14" t="s">
        <v>452</v>
      </c>
      <c r="B2528" s="14" t="s">
        <v>124</v>
      </c>
      <c r="C2528" s="14" t="s">
        <v>380</v>
      </c>
      <c r="D2528" s="14" t="s">
        <v>381</v>
      </c>
      <c r="E2528" s="14" t="s">
        <v>342</v>
      </c>
      <c r="F2528" s="14" t="s">
        <v>343</v>
      </c>
      <c r="G2528" s="14" t="s">
        <v>343</v>
      </c>
      <c r="H2528" s="14" t="s">
        <v>343</v>
      </c>
      <c r="U2528" s="14">
        <v>0.89</v>
      </c>
      <c r="V2528" s="14">
        <v>0.88</v>
      </c>
      <c r="W2528" s="14">
        <v>0.88</v>
      </c>
    </row>
    <row r="2529" spans="1:23" hidden="1" x14ac:dyDescent="0.3">
      <c r="A2529" s="14" t="s">
        <v>452</v>
      </c>
      <c r="B2529" s="14" t="s">
        <v>124</v>
      </c>
      <c r="C2529" s="14" t="s">
        <v>380</v>
      </c>
      <c r="D2529" s="14" t="s">
        <v>381</v>
      </c>
      <c r="E2529" s="14" t="s">
        <v>344</v>
      </c>
      <c r="F2529" s="14" t="s">
        <v>343</v>
      </c>
      <c r="G2529" s="14" t="s">
        <v>343</v>
      </c>
      <c r="H2529" s="14" t="s">
        <v>343</v>
      </c>
      <c r="U2529" s="14">
        <v>131</v>
      </c>
      <c r="V2529" s="14">
        <v>139</v>
      </c>
      <c r="W2529" s="14">
        <v>140</v>
      </c>
    </row>
    <row r="2530" spans="1:23" hidden="1" x14ac:dyDescent="0.3">
      <c r="A2530" s="14" t="s">
        <v>452</v>
      </c>
      <c r="B2530" s="14" t="s">
        <v>124</v>
      </c>
      <c r="C2530" s="14" t="s">
        <v>355</v>
      </c>
      <c r="D2530" s="14" t="s">
        <v>356</v>
      </c>
      <c r="E2530" s="14" t="s">
        <v>342</v>
      </c>
      <c r="F2530" s="14" t="s">
        <v>343</v>
      </c>
      <c r="G2530" s="14" t="s">
        <v>343</v>
      </c>
      <c r="H2530" s="14" t="s">
        <v>343</v>
      </c>
      <c r="U2530" s="14">
        <v>0.81</v>
      </c>
      <c r="V2530" s="14">
        <v>0.81</v>
      </c>
      <c r="W2530" s="14">
        <v>0.71</v>
      </c>
    </row>
    <row r="2531" spans="1:23" hidden="1" x14ac:dyDescent="0.3">
      <c r="A2531" s="14" t="s">
        <v>452</v>
      </c>
      <c r="B2531" s="14" t="s">
        <v>124</v>
      </c>
      <c r="C2531" s="14" t="s">
        <v>355</v>
      </c>
      <c r="D2531" s="14" t="s">
        <v>356</v>
      </c>
      <c r="E2531" s="14" t="s">
        <v>344</v>
      </c>
      <c r="F2531" s="14" t="s">
        <v>343</v>
      </c>
      <c r="G2531" s="14" t="s">
        <v>343</v>
      </c>
      <c r="H2531" s="14" t="s">
        <v>343</v>
      </c>
      <c r="U2531" s="14">
        <v>138</v>
      </c>
      <c r="V2531" s="14">
        <v>143</v>
      </c>
      <c r="W2531" s="14">
        <v>149</v>
      </c>
    </row>
    <row r="2532" spans="1:23" hidden="1" x14ac:dyDescent="0.3">
      <c r="A2532" s="14" t="s">
        <v>452</v>
      </c>
      <c r="B2532" s="14" t="s">
        <v>124</v>
      </c>
      <c r="C2532" s="14" t="s">
        <v>357</v>
      </c>
      <c r="D2532" s="14" t="s">
        <v>358</v>
      </c>
      <c r="E2532" s="14" t="s">
        <v>342</v>
      </c>
      <c r="F2532" s="14" t="s">
        <v>343</v>
      </c>
      <c r="G2532" s="14" t="s">
        <v>343</v>
      </c>
      <c r="H2532" s="14" t="s">
        <v>343</v>
      </c>
      <c r="V2532" s="14">
        <v>0.6</v>
      </c>
      <c r="W2532" s="14">
        <v>0.6</v>
      </c>
    </row>
    <row r="2533" spans="1:23" hidden="1" x14ac:dyDescent="0.3">
      <c r="A2533" s="14" t="s">
        <v>452</v>
      </c>
      <c r="B2533" s="14" t="s">
        <v>124</v>
      </c>
      <c r="C2533" s="14" t="s">
        <v>357</v>
      </c>
      <c r="D2533" s="14" t="s">
        <v>358</v>
      </c>
      <c r="E2533" s="14" t="s">
        <v>344</v>
      </c>
      <c r="F2533" s="14" t="s">
        <v>343</v>
      </c>
      <c r="G2533" s="14" t="s">
        <v>343</v>
      </c>
      <c r="H2533" s="14" t="s">
        <v>343</v>
      </c>
      <c r="V2533" s="14">
        <v>134</v>
      </c>
      <c r="W2533" s="14">
        <v>135</v>
      </c>
    </row>
    <row r="2534" spans="1:23" hidden="1" x14ac:dyDescent="0.3">
      <c r="A2534" s="14" t="s">
        <v>452</v>
      </c>
      <c r="B2534" s="14" t="s">
        <v>124</v>
      </c>
      <c r="C2534" s="14" t="s">
        <v>359</v>
      </c>
      <c r="D2534" s="14" t="s">
        <v>360</v>
      </c>
      <c r="E2534" s="14" t="s">
        <v>342</v>
      </c>
      <c r="F2534" s="14" t="s">
        <v>343</v>
      </c>
      <c r="G2534" s="14" t="s">
        <v>343</v>
      </c>
      <c r="H2534" s="14" t="s">
        <v>343</v>
      </c>
      <c r="U2534" s="14">
        <v>0.26</v>
      </c>
      <c r="V2534" s="14">
        <v>0.23</v>
      </c>
      <c r="W2534" s="14">
        <v>0.23</v>
      </c>
    </row>
    <row r="2535" spans="1:23" hidden="1" x14ac:dyDescent="0.3">
      <c r="A2535" s="14" t="s">
        <v>452</v>
      </c>
      <c r="B2535" s="14" t="s">
        <v>124</v>
      </c>
      <c r="C2535" s="14" t="s">
        <v>359</v>
      </c>
      <c r="D2535" s="14" t="s">
        <v>360</v>
      </c>
      <c r="E2535" s="14" t="s">
        <v>344</v>
      </c>
      <c r="F2535" s="14" t="s">
        <v>343</v>
      </c>
      <c r="G2535" s="14" t="s">
        <v>343</v>
      </c>
      <c r="H2535" s="14" t="s">
        <v>343</v>
      </c>
      <c r="U2535" s="14">
        <v>149</v>
      </c>
      <c r="V2535" s="14">
        <v>153</v>
      </c>
      <c r="W2535" s="14">
        <v>155</v>
      </c>
    </row>
    <row r="2536" spans="1:23" hidden="1" x14ac:dyDescent="0.3">
      <c r="A2536" s="14" t="s">
        <v>452</v>
      </c>
      <c r="B2536" s="14" t="s">
        <v>124</v>
      </c>
      <c r="C2536" s="14" t="s">
        <v>361</v>
      </c>
      <c r="D2536" s="14" t="s">
        <v>362</v>
      </c>
      <c r="E2536" s="14" t="s">
        <v>342</v>
      </c>
      <c r="F2536" s="14" t="s">
        <v>343</v>
      </c>
      <c r="G2536" s="14" t="s">
        <v>343</v>
      </c>
      <c r="H2536" s="14" t="s">
        <v>343</v>
      </c>
      <c r="U2536" s="14">
        <v>0.98</v>
      </c>
      <c r="V2536" s="14">
        <v>0.98</v>
      </c>
      <c r="W2536" s="14">
        <v>0.97</v>
      </c>
    </row>
    <row r="2537" spans="1:23" hidden="1" x14ac:dyDescent="0.3">
      <c r="A2537" s="14" t="s">
        <v>452</v>
      </c>
      <c r="B2537" s="14" t="s">
        <v>124</v>
      </c>
      <c r="C2537" s="14" t="s">
        <v>361</v>
      </c>
      <c r="D2537" s="14" t="s">
        <v>362</v>
      </c>
      <c r="E2537" s="14" t="s">
        <v>344</v>
      </c>
      <c r="F2537" s="14" t="s">
        <v>343</v>
      </c>
      <c r="G2537" s="14" t="s">
        <v>343</v>
      </c>
      <c r="H2537" s="14" t="s">
        <v>343</v>
      </c>
      <c r="U2537" s="14">
        <v>76</v>
      </c>
      <c r="V2537" s="14">
        <v>76</v>
      </c>
      <c r="W2537" s="14">
        <v>96</v>
      </c>
    </row>
    <row r="2538" spans="1:23" hidden="1" x14ac:dyDescent="0.3">
      <c r="A2538" s="14" t="s">
        <v>452</v>
      </c>
      <c r="B2538" s="14" t="s">
        <v>124</v>
      </c>
      <c r="C2538" s="14" t="s">
        <v>363</v>
      </c>
      <c r="D2538" s="14" t="s">
        <v>364</v>
      </c>
      <c r="E2538" s="14" t="s">
        <v>342</v>
      </c>
      <c r="F2538" s="14" t="s">
        <v>343</v>
      </c>
      <c r="G2538" s="14" t="s">
        <v>343</v>
      </c>
      <c r="H2538" s="14" t="s">
        <v>343</v>
      </c>
      <c r="U2538" s="14">
        <v>1.06</v>
      </c>
      <c r="V2538" s="14">
        <v>1.06</v>
      </c>
      <c r="W2538" s="14">
        <v>1.03</v>
      </c>
    </row>
    <row r="2539" spans="1:23" hidden="1" x14ac:dyDescent="0.3">
      <c r="A2539" s="14" t="s">
        <v>452</v>
      </c>
      <c r="B2539" s="14" t="s">
        <v>124</v>
      </c>
      <c r="C2539" s="14" t="s">
        <v>363</v>
      </c>
      <c r="D2539" s="14" t="s">
        <v>364</v>
      </c>
      <c r="E2539" s="14" t="s">
        <v>344</v>
      </c>
      <c r="F2539" s="14" t="s">
        <v>343</v>
      </c>
      <c r="G2539" s="14" t="s">
        <v>343</v>
      </c>
      <c r="H2539" s="14" t="s">
        <v>343</v>
      </c>
      <c r="U2539" s="14">
        <v>64</v>
      </c>
      <c r="V2539" s="14">
        <v>66</v>
      </c>
      <c r="W2539" s="14">
        <v>84</v>
      </c>
    </row>
    <row r="2540" spans="1:23" hidden="1" x14ac:dyDescent="0.3">
      <c r="A2540" s="14" t="s">
        <v>452</v>
      </c>
      <c r="B2540" s="14" t="s">
        <v>124</v>
      </c>
      <c r="C2540" s="14" t="s">
        <v>365</v>
      </c>
      <c r="D2540" s="14" t="s">
        <v>366</v>
      </c>
      <c r="E2540" s="14" t="s">
        <v>342</v>
      </c>
      <c r="F2540" s="14" t="s">
        <v>343</v>
      </c>
      <c r="G2540" s="14" t="s">
        <v>343</v>
      </c>
      <c r="H2540" s="14" t="s">
        <v>343</v>
      </c>
      <c r="U2540" s="14">
        <v>0.94</v>
      </c>
      <c r="V2540" s="14">
        <v>0.94</v>
      </c>
      <c r="W2540" s="14">
        <v>0.94</v>
      </c>
    </row>
    <row r="2541" spans="1:23" hidden="1" x14ac:dyDescent="0.3">
      <c r="A2541" s="14" t="s">
        <v>452</v>
      </c>
      <c r="B2541" s="14" t="s">
        <v>124</v>
      </c>
      <c r="C2541" s="14" t="s">
        <v>365</v>
      </c>
      <c r="D2541" s="14" t="s">
        <v>366</v>
      </c>
      <c r="E2541" s="14" t="s">
        <v>344</v>
      </c>
      <c r="F2541" s="14" t="s">
        <v>343</v>
      </c>
      <c r="G2541" s="14" t="s">
        <v>343</v>
      </c>
      <c r="H2541" s="14" t="s">
        <v>343</v>
      </c>
      <c r="U2541" s="14">
        <v>133</v>
      </c>
      <c r="V2541" s="14">
        <v>130</v>
      </c>
      <c r="W2541" s="14">
        <v>136</v>
      </c>
    </row>
    <row r="2542" spans="1:23" hidden="1" x14ac:dyDescent="0.3">
      <c r="A2542" s="14" t="s">
        <v>452</v>
      </c>
      <c r="B2542" s="14" t="s">
        <v>124</v>
      </c>
      <c r="C2542" s="14" t="s">
        <v>367</v>
      </c>
      <c r="D2542" s="14" t="s">
        <v>368</v>
      </c>
      <c r="E2542" s="14" t="s">
        <v>342</v>
      </c>
      <c r="F2542" s="14" t="s">
        <v>343</v>
      </c>
      <c r="G2542" s="14" t="s">
        <v>343</v>
      </c>
      <c r="H2542" s="14" t="s">
        <v>343</v>
      </c>
      <c r="U2542" s="14">
        <v>0.55000000000000004</v>
      </c>
      <c r="V2542" s="14">
        <v>0.53</v>
      </c>
      <c r="W2542" s="14">
        <v>0.54</v>
      </c>
    </row>
    <row r="2543" spans="1:23" hidden="1" x14ac:dyDescent="0.3">
      <c r="A2543" s="14" t="s">
        <v>452</v>
      </c>
      <c r="B2543" s="14" t="s">
        <v>124</v>
      </c>
      <c r="C2543" s="14" t="s">
        <v>367</v>
      </c>
      <c r="D2543" s="14" t="s">
        <v>368</v>
      </c>
      <c r="E2543" s="14" t="s">
        <v>344</v>
      </c>
      <c r="F2543" s="14" t="s">
        <v>343</v>
      </c>
      <c r="G2543" s="14" t="s">
        <v>343</v>
      </c>
      <c r="H2543" s="14" t="s">
        <v>343</v>
      </c>
      <c r="U2543" s="14">
        <v>147</v>
      </c>
      <c r="V2543" s="14">
        <v>152</v>
      </c>
      <c r="W2543" s="14">
        <v>154</v>
      </c>
    </row>
    <row r="2544" spans="1:23" hidden="1" x14ac:dyDescent="0.3">
      <c r="A2544" s="14" t="s">
        <v>452</v>
      </c>
      <c r="B2544" s="14" t="s">
        <v>124</v>
      </c>
      <c r="C2544" s="14" t="s">
        <v>369</v>
      </c>
      <c r="D2544" s="14" t="s">
        <v>370</v>
      </c>
      <c r="E2544" s="14" t="s">
        <v>342</v>
      </c>
      <c r="F2544" s="14" t="s">
        <v>343</v>
      </c>
      <c r="G2544" s="14" t="s">
        <v>343</v>
      </c>
      <c r="H2544" s="14" t="s">
        <v>343</v>
      </c>
      <c r="U2544" s="14">
        <v>0.14000000000000001</v>
      </c>
      <c r="V2544" s="14">
        <v>0.1</v>
      </c>
      <c r="W2544" s="14">
        <v>0.14000000000000001</v>
      </c>
    </row>
    <row r="2545" spans="1:24" hidden="1" x14ac:dyDescent="0.3">
      <c r="A2545" s="14" t="s">
        <v>452</v>
      </c>
      <c r="B2545" s="14" t="s">
        <v>124</v>
      </c>
      <c r="C2545" s="14" t="s">
        <v>369</v>
      </c>
      <c r="D2545" s="14" t="s">
        <v>370</v>
      </c>
      <c r="E2545" s="14" t="s">
        <v>344</v>
      </c>
      <c r="F2545" s="14" t="s">
        <v>343</v>
      </c>
      <c r="G2545" s="14" t="s">
        <v>343</v>
      </c>
      <c r="H2545" s="14" t="s">
        <v>343</v>
      </c>
      <c r="U2545" s="14">
        <v>90</v>
      </c>
      <c r="V2545" s="14">
        <v>118</v>
      </c>
      <c r="W2545" s="14">
        <v>109</v>
      </c>
    </row>
    <row r="2546" spans="1:24" hidden="1" x14ac:dyDescent="0.3">
      <c r="A2546" s="14" t="s">
        <v>452</v>
      </c>
      <c r="B2546" s="14" t="s">
        <v>124</v>
      </c>
      <c r="C2546" s="14" t="s">
        <v>371</v>
      </c>
      <c r="D2546" s="14" t="s">
        <v>372</v>
      </c>
      <c r="E2546" s="14" t="s">
        <v>342</v>
      </c>
      <c r="F2546" s="14" t="s">
        <v>343</v>
      </c>
      <c r="G2546" s="14" t="s">
        <v>343</v>
      </c>
      <c r="H2546" s="14" t="s">
        <v>343</v>
      </c>
      <c r="U2546" s="14">
        <v>0</v>
      </c>
      <c r="V2546" s="14">
        <v>0</v>
      </c>
      <c r="W2546" s="14">
        <v>0</v>
      </c>
    </row>
    <row r="2547" spans="1:24" hidden="1" x14ac:dyDescent="0.3">
      <c r="A2547" s="14" t="s">
        <v>452</v>
      </c>
      <c r="B2547" s="14" t="s">
        <v>124</v>
      </c>
      <c r="C2547" s="14" t="s">
        <v>371</v>
      </c>
      <c r="D2547" s="14" t="s">
        <v>372</v>
      </c>
      <c r="E2547" s="14" t="s">
        <v>344</v>
      </c>
      <c r="F2547" s="14" t="s">
        <v>343</v>
      </c>
      <c r="G2547" s="14" t="s">
        <v>343</v>
      </c>
      <c r="H2547" s="14" t="s">
        <v>343</v>
      </c>
      <c r="U2547" s="14">
        <v>71</v>
      </c>
      <c r="V2547" s="14">
        <v>73</v>
      </c>
      <c r="W2547" s="14">
        <v>76</v>
      </c>
    </row>
    <row r="2548" spans="1:24" hidden="1" x14ac:dyDescent="0.3">
      <c r="A2548" s="14" t="s">
        <v>452</v>
      </c>
      <c r="B2548" s="14" t="s">
        <v>124</v>
      </c>
      <c r="C2548" s="14" t="s">
        <v>373</v>
      </c>
      <c r="D2548" s="14" t="s">
        <v>374</v>
      </c>
      <c r="E2548" s="14" t="s">
        <v>342</v>
      </c>
      <c r="F2548" s="14" t="s">
        <v>343</v>
      </c>
      <c r="G2548" s="14" t="s">
        <v>343</v>
      </c>
      <c r="H2548" s="14" t="s">
        <v>343</v>
      </c>
      <c r="U2548" s="14">
        <v>0.12</v>
      </c>
      <c r="V2548" s="14">
        <v>0</v>
      </c>
      <c r="W2548" s="14">
        <v>0.1</v>
      </c>
    </row>
    <row r="2549" spans="1:24" hidden="1" x14ac:dyDescent="0.3">
      <c r="A2549" s="14" t="s">
        <v>452</v>
      </c>
      <c r="B2549" s="14" t="s">
        <v>124</v>
      </c>
      <c r="C2549" s="14" t="s">
        <v>373</v>
      </c>
      <c r="D2549" s="14" t="s">
        <v>374</v>
      </c>
      <c r="E2549" s="14" t="s">
        <v>344</v>
      </c>
      <c r="F2549" s="14" t="s">
        <v>343</v>
      </c>
      <c r="G2549" s="14" t="s">
        <v>343</v>
      </c>
      <c r="H2549" s="14" t="s">
        <v>343</v>
      </c>
      <c r="U2549" s="14">
        <v>112</v>
      </c>
      <c r="V2549" s="14">
        <v>145</v>
      </c>
      <c r="W2549" s="14">
        <v>132</v>
      </c>
    </row>
    <row r="2550" spans="1:24" hidden="1" x14ac:dyDescent="0.3">
      <c r="A2550" s="14" t="s">
        <v>452</v>
      </c>
      <c r="B2550" s="14" t="s">
        <v>124</v>
      </c>
      <c r="C2550" s="14" t="s">
        <v>375</v>
      </c>
      <c r="D2550" s="14" t="s">
        <v>376</v>
      </c>
      <c r="E2550" s="14" t="s">
        <v>342</v>
      </c>
      <c r="F2550" s="14" t="s">
        <v>343</v>
      </c>
      <c r="G2550" s="14" t="s">
        <v>343</v>
      </c>
      <c r="H2550" s="14" t="s">
        <v>343</v>
      </c>
      <c r="U2550" s="14">
        <v>0.34</v>
      </c>
      <c r="V2550" s="14">
        <v>0.34</v>
      </c>
      <c r="W2550" s="14">
        <v>0.36</v>
      </c>
    </row>
    <row r="2551" spans="1:24" hidden="1" x14ac:dyDescent="0.3">
      <c r="A2551" s="14" t="s">
        <v>452</v>
      </c>
      <c r="B2551" s="14" t="s">
        <v>124</v>
      </c>
      <c r="C2551" s="14" t="s">
        <v>375</v>
      </c>
      <c r="D2551" s="14" t="s">
        <v>376</v>
      </c>
      <c r="E2551" s="14" t="s">
        <v>344</v>
      </c>
      <c r="F2551" s="14" t="s">
        <v>343</v>
      </c>
      <c r="G2551" s="14" t="s">
        <v>343</v>
      </c>
      <c r="H2551" s="14" t="s">
        <v>343</v>
      </c>
      <c r="U2551" s="14">
        <v>57</v>
      </c>
      <c r="V2551" s="14">
        <v>60</v>
      </c>
      <c r="W2551" s="14">
        <v>68</v>
      </c>
    </row>
    <row r="2552" spans="1:24" hidden="1" x14ac:dyDescent="0.3">
      <c r="A2552" s="14" t="s">
        <v>453</v>
      </c>
      <c r="B2552" s="14" t="s">
        <v>120</v>
      </c>
      <c r="C2552" s="14" t="s">
        <v>340</v>
      </c>
      <c r="D2552" s="14" t="s">
        <v>341</v>
      </c>
      <c r="E2552" s="14" t="s">
        <v>342</v>
      </c>
      <c r="F2552" s="14" t="s">
        <v>343</v>
      </c>
      <c r="G2552" s="14" t="s">
        <v>343</v>
      </c>
      <c r="H2552" s="14" t="s">
        <v>343</v>
      </c>
      <c r="I2552" s="14">
        <v>0.99</v>
      </c>
      <c r="J2552" s="14">
        <v>0.99</v>
      </c>
      <c r="K2552" s="14">
        <v>0.99</v>
      </c>
      <c r="L2552" s="14">
        <v>1</v>
      </c>
      <c r="M2552" s="14">
        <v>1</v>
      </c>
      <c r="N2552" s="14">
        <v>1</v>
      </c>
      <c r="O2552" s="14">
        <v>1</v>
      </c>
      <c r="P2552" s="14">
        <v>1</v>
      </c>
      <c r="Q2552" s="14">
        <v>1</v>
      </c>
      <c r="R2552" s="14">
        <v>1</v>
      </c>
      <c r="S2552" s="14">
        <v>1</v>
      </c>
      <c r="T2552" s="14">
        <v>1</v>
      </c>
      <c r="U2552" s="14">
        <v>1</v>
      </c>
      <c r="V2552" s="14">
        <v>1</v>
      </c>
      <c r="W2552" s="14">
        <v>1</v>
      </c>
      <c r="X2552" s="14">
        <v>0.99</v>
      </c>
    </row>
    <row r="2553" spans="1:24" hidden="1" x14ac:dyDescent="0.3">
      <c r="A2553" s="14" t="s">
        <v>453</v>
      </c>
      <c r="B2553" s="14" t="s">
        <v>120</v>
      </c>
      <c r="C2553" s="14" t="s">
        <v>340</v>
      </c>
      <c r="D2553" s="14" t="s">
        <v>341</v>
      </c>
      <c r="E2553" s="14" t="s">
        <v>344</v>
      </c>
      <c r="F2553" s="14" t="s">
        <v>343</v>
      </c>
      <c r="G2553" s="14" t="s">
        <v>343</v>
      </c>
      <c r="H2553" s="14" t="s">
        <v>343</v>
      </c>
      <c r="I2553" s="14">
        <v>49</v>
      </c>
      <c r="J2553" s="14">
        <v>67</v>
      </c>
      <c r="K2553" s="14">
        <v>61</v>
      </c>
      <c r="L2553" s="14">
        <v>1</v>
      </c>
      <c r="M2553" s="14">
        <v>1</v>
      </c>
      <c r="O2553" s="14">
        <v>1</v>
      </c>
      <c r="P2553" s="14">
        <v>1</v>
      </c>
      <c r="Q2553" s="14">
        <v>1</v>
      </c>
      <c r="R2553" s="14">
        <v>1</v>
      </c>
      <c r="S2553" s="14">
        <v>1</v>
      </c>
      <c r="T2553" s="14">
        <v>57</v>
      </c>
      <c r="U2553" s="14">
        <v>39</v>
      </c>
      <c r="V2553" s="14">
        <v>36</v>
      </c>
      <c r="W2553" s="14">
        <v>38</v>
      </c>
      <c r="X2553" s="14">
        <v>68</v>
      </c>
    </row>
    <row r="2554" spans="1:24" hidden="1" x14ac:dyDescent="0.3">
      <c r="A2554" s="14" t="s">
        <v>453</v>
      </c>
      <c r="B2554" s="14" t="s">
        <v>120</v>
      </c>
      <c r="C2554" s="14" t="s">
        <v>345</v>
      </c>
      <c r="D2554" s="14" t="s">
        <v>346</v>
      </c>
      <c r="E2554" s="14" t="s">
        <v>342</v>
      </c>
      <c r="F2554" s="14" t="s">
        <v>343</v>
      </c>
      <c r="G2554" s="14" t="s">
        <v>343</v>
      </c>
      <c r="H2554" s="14" t="s">
        <v>343</v>
      </c>
      <c r="U2554" s="14">
        <v>0.72</v>
      </c>
      <c r="V2554" s="14">
        <v>0.73</v>
      </c>
      <c r="W2554" s="14">
        <v>0.74</v>
      </c>
      <c r="X2554" s="14">
        <v>0.73</v>
      </c>
    </row>
    <row r="2555" spans="1:24" hidden="1" x14ac:dyDescent="0.3">
      <c r="A2555" s="14" t="s">
        <v>453</v>
      </c>
      <c r="B2555" s="14" t="s">
        <v>120</v>
      </c>
      <c r="C2555" s="14" t="s">
        <v>345</v>
      </c>
      <c r="D2555" s="14" t="s">
        <v>346</v>
      </c>
      <c r="E2555" s="14" t="s">
        <v>344</v>
      </c>
      <c r="F2555" s="14" t="s">
        <v>343</v>
      </c>
      <c r="G2555" s="14" t="s">
        <v>343</v>
      </c>
      <c r="H2555" s="14" t="s">
        <v>343</v>
      </c>
      <c r="U2555" s="14">
        <v>26</v>
      </c>
      <c r="V2555" s="14">
        <v>26</v>
      </c>
      <c r="W2555" s="14">
        <v>26</v>
      </c>
      <c r="X2555" s="14">
        <v>32</v>
      </c>
    </row>
    <row r="2556" spans="1:24" hidden="1" x14ac:dyDescent="0.3">
      <c r="A2556" s="14" t="s">
        <v>453</v>
      </c>
      <c r="B2556" s="14" t="s">
        <v>120</v>
      </c>
      <c r="C2556" s="14" t="s">
        <v>347</v>
      </c>
      <c r="D2556" s="14" t="s">
        <v>348</v>
      </c>
      <c r="E2556" s="14" t="s">
        <v>342</v>
      </c>
      <c r="F2556" s="14" t="s">
        <v>343</v>
      </c>
      <c r="G2556" s="14" t="s">
        <v>343</v>
      </c>
      <c r="H2556" s="14" t="s">
        <v>343</v>
      </c>
      <c r="U2556" s="14">
        <v>0.94</v>
      </c>
      <c r="V2556" s="14">
        <v>0.94</v>
      </c>
      <c r="W2556" s="14">
        <v>0.95</v>
      </c>
      <c r="X2556" s="14">
        <v>0.88</v>
      </c>
    </row>
    <row r="2557" spans="1:24" hidden="1" x14ac:dyDescent="0.3">
      <c r="A2557" s="14" t="s">
        <v>453</v>
      </c>
      <c r="B2557" s="14" t="s">
        <v>120</v>
      </c>
      <c r="C2557" s="14" t="s">
        <v>347</v>
      </c>
      <c r="D2557" s="14" t="s">
        <v>348</v>
      </c>
      <c r="E2557" s="14" t="s">
        <v>344</v>
      </c>
      <c r="F2557" s="14" t="s">
        <v>343</v>
      </c>
      <c r="G2557" s="14" t="s">
        <v>343</v>
      </c>
      <c r="H2557" s="14" t="s">
        <v>343</v>
      </c>
      <c r="U2557" s="14">
        <v>20</v>
      </c>
      <c r="V2557" s="14">
        <v>17</v>
      </c>
      <c r="W2557" s="14">
        <v>14</v>
      </c>
      <c r="X2557" s="14">
        <v>30</v>
      </c>
    </row>
    <row r="2558" spans="1:24" hidden="1" x14ac:dyDescent="0.3">
      <c r="A2558" s="14" t="s">
        <v>453</v>
      </c>
      <c r="B2558" s="14" t="s">
        <v>120</v>
      </c>
      <c r="C2558" s="14" t="s">
        <v>349</v>
      </c>
      <c r="D2558" s="14" t="s">
        <v>350</v>
      </c>
      <c r="E2558" s="14" t="s">
        <v>342</v>
      </c>
      <c r="F2558" s="14" t="s">
        <v>343</v>
      </c>
      <c r="G2558" s="14" t="s">
        <v>343</v>
      </c>
      <c r="H2558" s="14" t="s">
        <v>343</v>
      </c>
      <c r="U2558" s="14">
        <v>0.48</v>
      </c>
      <c r="V2558" s="14">
        <v>0.71</v>
      </c>
      <c r="W2558" s="14">
        <v>0.72</v>
      </c>
      <c r="X2558" s="14">
        <v>0.63</v>
      </c>
    </row>
    <row r="2559" spans="1:24" hidden="1" x14ac:dyDescent="0.3">
      <c r="A2559" s="14" t="s">
        <v>453</v>
      </c>
      <c r="B2559" s="14" t="s">
        <v>120</v>
      </c>
      <c r="C2559" s="14" t="s">
        <v>349</v>
      </c>
      <c r="D2559" s="14" t="s">
        <v>350</v>
      </c>
      <c r="E2559" s="14" t="s">
        <v>344</v>
      </c>
      <c r="F2559" s="14" t="s">
        <v>343</v>
      </c>
      <c r="G2559" s="14" t="s">
        <v>343</v>
      </c>
      <c r="H2559" s="14" t="s">
        <v>343</v>
      </c>
      <c r="U2559" s="14">
        <v>68</v>
      </c>
      <c r="V2559" s="14">
        <v>21</v>
      </c>
      <c r="W2559" s="14">
        <v>30</v>
      </c>
      <c r="X2559" s="14">
        <v>43</v>
      </c>
    </row>
    <row r="2560" spans="1:24" hidden="1" x14ac:dyDescent="0.3">
      <c r="A2560" s="14" t="s">
        <v>453</v>
      </c>
      <c r="B2560" s="14" t="s">
        <v>120</v>
      </c>
      <c r="C2560" s="14" t="s">
        <v>351</v>
      </c>
      <c r="D2560" s="14" t="s">
        <v>352</v>
      </c>
      <c r="E2560" s="14" t="s">
        <v>342</v>
      </c>
      <c r="F2560" s="14" t="s">
        <v>343</v>
      </c>
      <c r="G2560" s="14" t="s">
        <v>343</v>
      </c>
      <c r="H2560" s="14" t="s">
        <v>343</v>
      </c>
      <c r="U2560" s="14">
        <v>1</v>
      </c>
      <c r="V2560" s="14">
        <v>1</v>
      </c>
      <c r="W2560" s="14">
        <v>1</v>
      </c>
      <c r="X2560" s="14">
        <v>1</v>
      </c>
    </row>
    <row r="2561" spans="1:24" hidden="1" x14ac:dyDescent="0.3">
      <c r="A2561" s="14" t="s">
        <v>453</v>
      </c>
      <c r="B2561" s="14" t="s">
        <v>120</v>
      </c>
      <c r="C2561" s="14" t="s">
        <v>351</v>
      </c>
      <c r="D2561" s="14" t="s">
        <v>352</v>
      </c>
      <c r="E2561" s="14" t="s">
        <v>344</v>
      </c>
      <c r="F2561" s="14" t="s">
        <v>343</v>
      </c>
      <c r="G2561" s="14" t="s">
        <v>343</v>
      </c>
      <c r="H2561" s="14" t="s">
        <v>343</v>
      </c>
      <c r="U2561" s="14">
        <v>1</v>
      </c>
      <c r="V2561" s="14">
        <v>1</v>
      </c>
      <c r="W2561" s="14">
        <v>1</v>
      </c>
      <c r="X2561" s="14">
        <v>1</v>
      </c>
    </row>
    <row r="2562" spans="1:24" hidden="1" x14ac:dyDescent="0.3">
      <c r="A2562" s="14" t="s">
        <v>453</v>
      </c>
      <c r="B2562" s="14" t="s">
        <v>120</v>
      </c>
      <c r="C2562" s="14" t="s">
        <v>378</v>
      </c>
      <c r="D2562" s="14" t="s">
        <v>379</v>
      </c>
      <c r="E2562" s="14" t="s">
        <v>342</v>
      </c>
      <c r="F2562" s="14" t="s">
        <v>343</v>
      </c>
      <c r="G2562" s="14" t="s">
        <v>343</v>
      </c>
      <c r="H2562" s="14" t="s">
        <v>343</v>
      </c>
      <c r="S2562" s="14">
        <v>0.79</v>
      </c>
      <c r="U2562" s="14">
        <v>0.82</v>
      </c>
      <c r="V2562" s="14">
        <v>0.85</v>
      </c>
      <c r="W2562" s="14">
        <v>0.86</v>
      </c>
      <c r="X2562" s="14">
        <v>0.81</v>
      </c>
    </row>
    <row r="2563" spans="1:24" hidden="1" x14ac:dyDescent="0.3">
      <c r="A2563" s="14" t="s">
        <v>453</v>
      </c>
      <c r="B2563" s="14" t="s">
        <v>120</v>
      </c>
      <c r="C2563" s="14" t="s">
        <v>378</v>
      </c>
      <c r="D2563" s="14" t="s">
        <v>379</v>
      </c>
      <c r="E2563" s="14" t="s">
        <v>344</v>
      </c>
      <c r="F2563" s="14" t="s">
        <v>343</v>
      </c>
      <c r="G2563" s="14" t="s">
        <v>343</v>
      </c>
      <c r="H2563" s="14" t="s">
        <v>343</v>
      </c>
      <c r="S2563" s="14">
        <v>11</v>
      </c>
      <c r="U2563" s="14">
        <v>1</v>
      </c>
      <c r="V2563" s="14">
        <v>1</v>
      </c>
      <c r="W2563" s="14">
        <v>1</v>
      </c>
      <c r="X2563" s="14">
        <v>4</v>
      </c>
    </row>
    <row r="2564" spans="1:24" hidden="1" x14ac:dyDescent="0.3">
      <c r="A2564" s="14" t="s">
        <v>453</v>
      </c>
      <c r="B2564" s="14" t="s">
        <v>120</v>
      </c>
      <c r="C2564" s="14" t="s">
        <v>353</v>
      </c>
      <c r="D2564" s="14" t="s">
        <v>354</v>
      </c>
      <c r="E2564" s="14" t="s">
        <v>342</v>
      </c>
      <c r="F2564" s="14" t="s">
        <v>343</v>
      </c>
      <c r="G2564" s="14" t="s">
        <v>343</v>
      </c>
      <c r="H2564" s="14" t="s">
        <v>343</v>
      </c>
      <c r="U2564" s="14">
        <v>1</v>
      </c>
      <c r="V2564" s="14">
        <v>1</v>
      </c>
      <c r="W2564" s="14">
        <v>1</v>
      </c>
      <c r="X2564" s="14">
        <v>1</v>
      </c>
    </row>
    <row r="2565" spans="1:24" hidden="1" x14ac:dyDescent="0.3">
      <c r="A2565" s="14" t="s">
        <v>453</v>
      </c>
      <c r="B2565" s="14" t="s">
        <v>120</v>
      </c>
      <c r="C2565" s="14" t="s">
        <v>353</v>
      </c>
      <c r="D2565" s="14" t="s">
        <v>354</v>
      </c>
      <c r="E2565" s="14" t="s">
        <v>344</v>
      </c>
      <c r="F2565" s="14" t="s">
        <v>343</v>
      </c>
      <c r="G2565" s="14" t="s">
        <v>343</v>
      </c>
      <c r="H2565" s="14" t="s">
        <v>343</v>
      </c>
      <c r="U2565" s="14">
        <v>1</v>
      </c>
      <c r="V2565" s="14">
        <v>1</v>
      </c>
      <c r="W2565" s="14">
        <v>1</v>
      </c>
      <c r="X2565" s="14">
        <v>1</v>
      </c>
    </row>
    <row r="2566" spans="1:24" hidden="1" x14ac:dyDescent="0.3">
      <c r="A2566" s="14" t="s">
        <v>453</v>
      </c>
      <c r="B2566" s="14" t="s">
        <v>120</v>
      </c>
      <c r="C2566" s="14" t="s">
        <v>380</v>
      </c>
      <c r="D2566" s="14" t="s">
        <v>381</v>
      </c>
      <c r="E2566" s="14" t="s">
        <v>342</v>
      </c>
      <c r="F2566" s="14" t="s">
        <v>343</v>
      </c>
      <c r="G2566" s="14" t="s">
        <v>343</v>
      </c>
      <c r="H2566" s="14" t="s">
        <v>343</v>
      </c>
      <c r="U2566" s="14">
        <v>1</v>
      </c>
      <c r="V2566" s="14">
        <v>1</v>
      </c>
      <c r="W2566" s="14">
        <v>1</v>
      </c>
      <c r="X2566" s="14">
        <v>1</v>
      </c>
    </row>
    <row r="2567" spans="1:24" hidden="1" x14ac:dyDescent="0.3">
      <c r="A2567" s="14" t="s">
        <v>453</v>
      </c>
      <c r="B2567" s="14" t="s">
        <v>120</v>
      </c>
      <c r="C2567" s="14" t="s">
        <v>380</v>
      </c>
      <c r="D2567" s="14" t="s">
        <v>381</v>
      </c>
      <c r="E2567" s="14" t="s">
        <v>344</v>
      </c>
      <c r="F2567" s="14" t="s">
        <v>343</v>
      </c>
      <c r="G2567" s="14" t="s">
        <v>343</v>
      </c>
      <c r="H2567" s="14" t="s">
        <v>343</v>
      </c>
      <c r="U2567" s="14">
        <v>73</v>
      </c>
      <c r="V2567" s="14">
        <v>82</v>
      </c>
      <c r="W2567" s="14">
        <v>83</v>
      </c>
      <c r="X2567" s="14">
        <v>76</v>
      </c>
    </row>
    <row r="2568" spans="1:24" hidden="1" x14ac:dyDescent="0.3">
      <c r="A2568" s="14" t="s">
        <v>453</v>
      </c>
      <c r="B2568" s="14" t="s">
        <v>120</v>
      </c>
      <c r="C2568" s="14" t="s">
        <v>355</v>
      </c>
      <c r="D2568" s="14" t="s">
        <v>356</v>
      </c>
      <c r="E2568" s="14" t="s">
        <v>342</v>
      </c>
      <c r="F2568" s="14" t="s">
        <v>343</v>
      </c>
      <c r="G2568" s="14" t="s">
        <v>343</v>
      </c>
      <c r="H2568" s="14" t="s">
        <v>343</v>
      </c>
      <c r="U2568" s="14">
        <v>1</v>
      </c>
      <c r="V2568" s="14">
        <v>1</v>
      </c>
      <c r="W2568" s="14">
        <v>1</v>
      </c>
      <c r="X2568" s="14">
        <v>0.97</v>
      </c>
    </row>
    <row r="2569" spans="1:24" hidden="1" x14ac:dyDescent="0.3">
      <c r="A2569" s="14" t="s">
        <v>453</v>
      </c>
      <c r="B2569" s="14" t="s">
        <v>120</v>
      </c>
      <c r="C2569" s="14" t="s">
        <v>355</v>
      </c>
      <c r="D2569" s="14" t="s">
        <v>356</v>
      </c>
      <c r="E2569" s="14" t="s">
        <v>344</v>
      </c>
      <c r="F2569" s="14" t="s">
        <v>343</v>
      </c>
      <c r="G2569" s="14" t="s">
        <v>343</v>
      </c>
      <c r="H2569" s="14" t="s">
        <v>343</v>
      </c>
      <c r="U2569" s="14">
        <v>1</v>
      </c>
      <c r="V2569" s="14">
        <v>1</v>
      </c>
      <c r="W2569" s="14">
        <v>1</v>
      </c>
      <c r="X2569" s="14">
        <v>100</v>
      </c>
    </row>
    <row r="2570" spans="1:24" hidden="1" x14ac:dyDescent="0.3">
      <c r="A2570" s="14" t="s">
        <v>453</v>
      </c>
      <c r="B2570" s="14" t="s">
        <v>120</v>
      </c>
      <c r="C2570" s="14" t="s">
        <v>357</v>
      </c>
      <c r="D2570" s="14" t="s">
        <v>358</v>
      </c>
      <c r="E2570" s="14" t="s">
        <v>342</v>
      </c>
      <c r="F2570" s="14" t="s">
        <v>343</v>
      </c>
      <c r="G2570" s="14" t="s">
        <v>343</v>
      </c>
      <c r="H2570" s="14" t="s">
        <v>343</v>
      </c>
      <c r="U2570" s="14">
        <v>1</v>
      </c>
      <c r="V2570" s="14">
        <v>1</v>
      </c>
      <c r="W2570" s="14">
        <v>1</v>
      </c>
      <c r="X2570" s="14">
        <v>1</v>
      </c>
    </row>
    <row r="2571" spans="1:24" hidden="1" x14ac:dyDescent="0.3">
      <c r="A2571" s="14" t="s">
        <v>453</v>
      </c>
      <c r="B2571" s="14" t="s">
        <v>120</v>
      </c>
      <c r="C2571" s="14" t="s">
        <v>357</v>
      </c>
      <c r="D2571" s="14" t="s">
        <v>358</v>
      </c>
      <c r="E2571" s="14" t="s">
        <v>344</v>
      </c>
      <c r="F2571" s="14" t="s">
        <v>343</v>
      </c>
      <c r="G2571" s="14" t="s">
        <v>343</v>
      </c>
      <c r="H2571" s="14" t="s">
        <v>343</v>
      </c>
      <c r="U2571" s="14">
        <v>1</v>
      </c>
      <c r="V2571" s="14">
        <v>1</v>
      </c>
      <c r="W2571" s="14">
        <v>1</v>
      </c>
      <c r="X2571" s="14">
        <v>1</v>
      </c>
    </row>
    <row r="2572" spans="1:24" hidden="1" x14ac:dyDescent="0.3">
      <c r="A2572" s="14" t="s">
        <v>453</v>
      </c>
      <c r="B2572" s="14" t="s">
        <v>120</v>
      </c>
      <c r="C2572" s="14" t="s">
        <v>359</v>
      </c>
      <c r="D2572" s="14" t="s">
        <v>360</v>
      </c>
      <c r="E2572" s="14" t="s">
        <v>342</v>
      </c>
      <c r="F2572" s="14" t="s">
        <v>343</v>
      </c>
      <c r="G2572" s="14" t="s">
        <v>343</v>
      </c>
      <c r="H2572" s="14" t="s">
        <v>343</v>
      </c>
      <c r="I2572" s="14">
        <v>0.71</v>
      </c>
      <c r="J2572" s="14">
        <v>0.72</v>
      </c>
      <c r="K2572" s="14">
        <v>0.73</v>
      </c>
      <c r="L2572" s="14">
        <v>0.75</v>
      </c>
      <c r="M2572" s="14">
        <v>0.75</v>
      </c>
      <c r="N2572" s="14">
        <v>0.75</v>
      </c>
      <c r="O2572" s="14">
        <v>0.75</v>
      </c>
      <c r="P2572" s="14">
        <v>0.77</v>
      </c>
      <c r="Q2572" s="14">
        <v>0.82</v>
      </c>
      <c r="R2572" s="14">
        <v>0.84</v>
      </c>
      <c r="S2572" s="14">
        <v>0.81</v>
      </c>
      <c r="T2572" s="14">
        <v>0.8</v>
      </c>
      <c r="U2572" s="14">
        <v>0.79</v>
      </c>
      <c r="V2572" s="14">
        <v>0.84</v>
      </c>
      <c r="W2572" s="14">
        <v>0.85</v>
      </c>
      <c r="X2572" s="14">
        <v>0.8</v>
      </c>
    </row>
    <row r="2573" spans="1:24" hidden="1" x14ac:dyDescent="0.3">
      <c r="A2573" s="14" t="s">
        <v>453</v>
      </c>
      <c r="B2573" s="14" t="s">
        <v>120</v>
      </c>
      <c r="C2573" s="14" t="s">
        <v>359</v>
      </c>
      <c r="D2573" s="14" t="s">
        <v>360</v>
      </c>
      <c r="E2573" s="14" t="s">
        <v>344</v>
      </c>
      <c r="F2573" s="14" t="s">
        <v>343</v>
      </c>
      <c r="G2573" s="14" t="s">
        <v>343</v>
      </c>
      <c r="H2573" s="14" t="s">
        <v>343</v>
      </c>
      <c r="I2573" s="14">
        <v>17</v>
      </c>
      <c r="J2573" s="14">
        <v>23</v>
      </c>
      <c r="K2573" s="14">
        <v>20</v>
      </c>
      <c r="L2573" s="14">
        <v>16</v>
      </c>
      <c r="M2573" s="14">
        <v>18</v>
      </c>
      <c r="N2573" s="14">
        <v>24</v>
      </c>
      <c r="O2573" s="14">
        <v>27</v>
      </c>
      <c r="P2573" s="14">
        <v>22</v>
      </c>
      <c r="Q2573" s="14">
        <v>7</v>
      </c>
      <c r="R2573" s="14">
        <v>5</v>
      </c>
      <c r="S2573" s="14">
        <v>9</v>
      </c>
      <c r="T2573" s="14">
        <v>14</v>
      </c>
      <c r="U2573" s="14">
        <v>16</v>
      </c>
      <c r="V2573" s="14">
        <v>2</v>
      </c>
      <c r="W2573" s="14">
        <v>4</v>
      </c>
      <c r="X2573" s="14">
        <v>11</v>
      </c>
    </row>
    <row r="2574" spans="1:24" x14ac:dyDescent="0.3">
      <c r="A2574" s="14" t="s">
        <v>453</v>
      </c>
      <c r="B2574" s="14" t="s">
        <v>120</v>
      </c>
      <c r="C2574" s="14" t="s">
        <v>361</v>
      </c>
      <c r="D2574" s="14" t="s">
        <v>362</v>
      </c>
      <c r="E2574" s="14" t="s">
        <v>342</v>
      </c>
      <c r="F2574" s="14" t="s">
        <v>343</v>
      </c>
      <c r="G2574" s="14" t="s">
        <v>343</v>
      </c>
      <c r="H2574" s="14" t="s">
        <v>343</v>
      </c>
      <c r="I2574" s="14">
        <v>0.97</v>
      </c>
      <c r="J2574" s="14">
        <v>0.97</v>
      </c>
      <c r="K2574" s="14">
        <v>0.97</v>
      </c>
      <c r="L2574" s="14">
        <v>0.97</v>
      </c>
      <c r="M2574" s="14">
        <v>0.97</v>
      </c>
      <c r="N2574" s="14">
        <v>0.97</v>
      </c>
      <c r="O2574" s="14">
        <v>0.97</v>
      </c>
      <c r="P2574" s="14">
        <v>0.97</v>
      </c>
      <c r="Q2574" s="14">
        <v>0.97</v>
      </c>
      <c r="R2574" s="14">
        <v>0.97</v>
      </c>
      <c r="S2574" s="14">
        <v>0.97</v>
      </c>
      <c r="T2574" s="14">
        <v>0.97</v>
      </c>
      <c r="U2574" s="14">
        <v>0.97</v>
      </c>
      <c r="V2574" s="14">
        <v>0.97</v>
      </c>
      <c r="W2574" s="14">
        <v>0.96</v>
      </c>
      <c r="X2574" s="14">
        <v>0.96</v>
      </c>
    </row>
    <row r="2575" spans="1:24" hidden="1" x14ac:dyDescent="0.3">
      <c r="A2575" s="14" t="s">
        <v>453</v>
      </c>
      <c r="B2575" s="14" t="s">
        <v>120</v>
      </c>
      <c r="C2575" s="14" t="s">
        <v>361</v>
      </c>
      <c r="D2575" s="14" t="s">
        <v>362</v>
      </c>
      <c r="E2575" s="14" t="s">
        <v>344</v>
      </c>
      <c r="F2575" s="14" t="s">
        <v>343</v>
      </c>
      <c r="G2575" s="14" t="s">
        <v>343</v>
      </c>
      <c r="H2575" s="14" t="s">
        <v>343</v>
      </c>
      <c r="I2575" s="14">
        <v>92</v>
      </c>
      <c r="J2575" s="14">
        <v>95</v>
      </c>
      <c r="K2575" s="14">
        <v>96</v>
      </c>
      <c r="L2575" s="14">
        <v>101</v>
      </c>
      <c r="M2575" s="14">
        <v>96</v>
      </c>
      <c r="N2575" s="14">
        <v>96</v>
      </c>
      <c r="O2575" s="14">
        <v>98</v>
      </c>
      <c r="P2575" s="14">
        <v>97</v>
      </c>
      <c r="Q2575" s="14">
        <v>128</v>
      </c>
      <c r="R2575" s="14">
        <v>105</v>
      </c>
      <c r="S2575" s="14">
        <v>104</v>
      </c>
      <c r="T2575" s="14">
        <v>114</v>
      </c>
      <c r="U2575" s="14">
        <v>121</v>
      </c>
      <c r="V2575" s="14">
        <v>123</v>
      </c>
      <c r="W2575" s="14">
        <v>127</v>
      </c>
      <c r="X2575" s="14">
        <v>121</v>
      </c>
    </row>
    <row r="2576" spans="1:24" hidden="1" x14ac:dyDescent="0.3">
      <c r="A2576" s="14" t="s">
        <v>453</v>
      </c>
      <c r="B2576" s="14" t="s">
        <v>120</v>
      </c>
      <c r="C2576" s="14" t="s">
        <v>363</v>
      </c>
      <c r="D2576" s="14" t="s">
        <v>364</v>
      </c>
      <c r="E2576" s="14" t="s">
        <v>342</v>
      </c>
      <c r="F2576" s="14" t="s">
        <v>343</v>
      </c>
      <c r="G2576" s="14" t="s">
        <v>343</v>
      </c>
      <c r="H2576" s="14" t="s">
        <v>343</v>
      </c>
      <c r="U2576" s="14">
        <v>1.02</v>
      </c>
      <c r="V2576" s="14">
        <v>1.02</v>
      </c>
      <c r="W2576" s="14">
        <v>1.01</v>
      </c>
      <c r="X2576" s="14">
        <v>1.01</v>
      </c>
    </row>
    <row r="2577" spans="1:24" hidden="1" x14ac:dyDescent="0.3">
      <c r="A2577" s="14" t="s">
        <v>453</v>
      </c>
      <c r="B2577" s="14" t="s">
        <v>120</v>
      </c>
      <c r="C2577" s="14" t="s">
        <v>363</v>
      </c>
      <c r="D2577" s="14" t="s">
        <v>364</v>
      </c>
      <c r="E2577" s="14" t="s">
        <v>344</v>
      </c>
      <c r="F2577" s="14" t="s">
        <v>343</v>
      </c>
      <c r="G2577" s="14" t="s">
        <v>343</v>
      </c>
      <c r="H2577" s="14" t="s">
        <v>343</v>
      </c>
      <c r="U2577" s="14">
        <v>129</v>
      </c>
      <c r="V2577" s="14">
        <v>133</v>
      </c>
      <c r="W2577" s="14">
        <v>135</v>
      </c>
      <c r="X2577" s="14">
        <v>128</v>
      </c>
    </row>
    <row r="2578" spans="1:24" hidden="1" x14ac:dyDescent="0.3">
      <c r="A2578" s="14" t="s">
        <v>453</v>
      </c>
      <c r="B2578" s="14" t="s">
        <v>120</v>
      </c>
      <c r="C2578" s="14" t="s">
        <v>365</v>
      </c>
      <c r="D2578" s="14" t="s">
        <v>366</v>
      </c>
      <c r="E2578" s="14" t="s">
        <v>342</v>
      </c>
      <c r="F2578" s="14" t="s">
        <v>343</v>
      </c>
      <c r="G2578" s="14" t="s">
        <v>343</v>
      </c>
      <c r="H2578" s="14" t="s">
        <v>343</v>
      </c>
      <c r="U2578" s="14">
        <v>0.94</v>
      </c>
      <c r="V2578" s="14">
        <v>0.94</v>
      </c>
      <c r="W2578" s="14">
        <v>0.94</v>
      </c>
      <c r="X2578" s="14">
        <v>0.94</v>
      </c>
    </row>
    <row r="2579" spans="1:24" hidden="1" x14ac:dyDescent="0.3">
      <c r="A2579" s="14" t="s">
        <v>453</v>
      </c>
      <c r="B2579" s="14" t="s">
        <v>120</v>
      </c>
      <c r="C2579" s="14" t="s">
        <v>365</v>
      </c>
      <c r="D2579" s="14" t="s">
        <v>366</v>
      </c>
      <c r="E2579" s="14" t="s">
        <v>344</v>
      </c>
      <c r="F2579" s="14" t="s">
        <v>343</v>
      </c>
      <c r="G2579" s="14" t="s">
        <v>343</v>
      </c>
      <c r="H2579" s="14" t="s">
        <v>343</v>
      </c>
      <c r="U2579" s="14">
        <v>1</v>
      </c>
      <c r="V2579" s="14">
        <v>1</v>
      </c>
      <c r="W2579" s="14">
        <v>1</v>
      </c>
      <c r="X2579" s="14">
        <v>1</v>
      </c>
    </row>
    <row r="2580" spans="1:24" hidden="1" x14ac:dyDescent="0.3">
      <c r="A2580" s="14" t="s">
        <v>453</v>
      </c>
      <c r="B2580" s="14" t="s">
        <v>120</v>
      </c>
      <c r="C2580" s="14" t="s">
        <v>367</v>
      </c>
      <c r="D2580" s="14" t="s">
        <v>368</v>
      </c>
      <c r="E2580" s="14" t="s">
        <v>342</v>
      </c>
      <c r="F2580" s="14" t="s">
        <v>343</v>
      </c>
      <c r="G2580" s="14" t="s">
        <v>343</v>
      </c>
      <c r="H2580" s="14" t="s">
        <v>343</v>
      </c>
      <c r="I2580" s="14">
        <v>0.78</v>
      </c>
      <c r="J2580" s="14">
        <v>0.78</v>
      </c>
      <c r="K2580" s="14">
        <v>0.8</v>
      </c>
      <c r="L2580" s="14">
        <v>0.83</v>
      </c>
      <c r="M2580" s="14">
        <v>0.85</v>
      </c>
      <c r="N2580" s="14">
        <v>0.85</v>
      </c>
      <c r="O2580" s="14">
        <v>0.86</v>
      </c>
      <c r="P2580" s="14">
        <v>0.87</v>
      </c>
      <c r="Q2580" s="14">
        <v>0.86</v>
      </c>
      <c r="R2580" s="14">
        <v>0.88</v>
      </c>
      <c r="S2580" s="14">
        <v>0.87</v>
      </c>
      <c r="T2580" s="14">
        <v>0.88</v>
      </c>
      <c r="U2580" s="14">
        <v>0.86</v>
      </c>
      <c r="V2580" s="14">
        <v>0.88</v>
      </c>
      <c r="W2580" s="14">
        <v>0.89</v>
      </c>
      <c r="X2580" s="14">
        <v>0.91</v>
      </c>
    </row>
    <row r="2581" spans="1:24" hidden="1" x14ac:dyDescent="0.3">
      <c r="A2581" s="14" t="s">
        <v>453</v>
      </c>
      <c r="B2581" s="14" t="s">
        <v>120</v>
      </c>
      <c r="C2581" s="14" t="s">
        <v>367</v>
      </c>
      <c r="D2581" s="14" t="s">
        <v>368</v>
      </c>
      <c r="E2581" s="14" t="s">
        <v>344</v>
      </c>
      <c r="F2581" s="14" t="s">
        <v>343</v>
      </c>
      <c r="G2581" s="14" t="s">
        <v>343</v>
      </c>
      <c r="H2581" s="14" t="s">
        <v>343</v>
      </c>
      <c r="I2581" s="14">
        <v>4</v>
      </c>
      <c r="J2581" s="14">
        <v>4</v>
      </c>
      <c r="K2581" s="14">
        <v>4</v>
      </c>
      <c r="L2581" s="14">
        <v>1</v>
      </c>
      <c r="M2581" s="14">
        <v>1</v>
      </c>
      <c r="N2581" s="14">
        <v>1</v>
      </c>
      <c r="O2581" s="14">
        <v>1</v>
      </c>
      <c r="P2581" s="14">
        <v>1</v>
      </c>
      <c r="Q2581" s="14">
        <v>1</v>
      </c>
      <c r="R2581" s="14">
        <v>1</v>
      </c>
      <c r="S2581" s="14">
        <v>1</v>
      </c>
      <c r="T2581" s="14">
        <v>1</v>
      </c>
      <c r="U2581" s="14">
        <v>1</v>
      </c>
      <c r="V2581" s="14">
        <v>1</v>
      </c>
      <c r="W2581" s="14">
        <v>1</v>
      </c>
      <c r="X2581" s="14">
        <v>1</v>
      </c>
    </row>
    <row r="2582" spans="1:24" hidden="1" x14ac:dyDescent="0.3">
      <c r="A2582" s="14" t="s">
        <v>453</v>
      </c>
      <c r="B2582" s="14" t="s">
        <v>120</v>
      </c>
      <c r="C2582" s="14" t="s">
        <v>369</v>
      </c>
      <c r="D2582" s="14" t="s">
        <v>370</v>
      </c>
      <c r="E2582" s="14" t="s">
        <v>342</v>
      </c>
      <c r="F2582" s="14" t="s">
        <v>343</v>
      </c>
      <c r="G2582" s="14" t="s">
        <v>343</v>
      </c>
      <c r="H2582" s="14" t="s">
        <v>343</v>
      </c>
      <c r="I2582" s="14">
        <v>0.46</v>
      </c>
      <c r="J2582" s="14">
        <v>0.46</v>
      </c>
      <c r="K2582" s="14">
        <v>0.5</v>
      </c>
      <c r="L2582" s="14">
        <v>0.59</v>
      </c>
      <c r="M2582" s="14">
        <v>0.67</v>
      </c>
      <c r="N2582" s="14">
        <v>0.7</v>
      </c>
      <c r="O2582" s="14">
        <v>0.73</v>
      </c>
      <c r="P2582" s="14">
        <v>0.75</v>
      </c>
      <c r="Q2582" s="14">
        <v>0.66</v>
      </c>
      <c r="R2582" s="14">
        <v>0.72</v>
      </c>
      <c r="S2582" s="14">
        <v>0.72</v>
      </c>
      <c r="T2582" s="14">
        <v>0.75</v>
      </c>
      <c r="U2582" s="14">
        <v>0.67</v>
      </c>
      <c r="V2582" s="14">
        <v>0.7</v>
      </c>
      <c r="W2582" s="14">
        <v>0.76</v>
      </c>
      <c r="X2582" s="14">
        <v>0.87</v>
      </c>
    </row>
    <row r="2583" spans="1:24" hidden="1" x14ac:dyDescent="0.3">
      <c r="A2583" s="14" t="s">
        <v>453</v>
      </c>
      <c r="B2583" s="14" t="s">
        <v>120</v>
      </c>
      <c r="C2583" s="14" t="s">
        <v>369</v>
      </c>
      <c r="D2583" s="14" t="s">
        <v>370</v>
      </c>
      <c r="E2583" s="14" t="s">
        <v>344</v>
      </c>
      <c r="F2583" s="14" t="s">
        <v>343</v>
      </c>
      <c r="G2583" s="14" t="s">
        <v>343</v>
      </c>
      <c r="H2583" s="14" t="s">
        <v>343</v>
      </c>
      <c r="I2583" s="14">
        <v>4</v>
      </c>
      <c r="J2583" s="14">
        <v>4</v>
      </c>
      <c r="K2583" s="14">
        <v>3</v>
      </c>
      <c r="L2583" s="14">
        <v>1</v>
      </c>
      <c r="M2583" s="14">
        <v>1</v>
      </c>
      <c r="N2583" s="14">
        <v>1</v>
      </c>
      <c r="O2583" s="14">
        <v>1</v>
      </c>
      <c r="P2583" s="14">
        <v>1</v>
      </c>
      <c r="Q2583" s="14">
        <v>1</v>
      </c>
      <c r="R2583" s="14">
        <v>1</v>
      </c>
      <c r="S2583" s="14">
        <v>1</v>
      </c>
      <c r="T2583" s="14">
        <v>1</v>
      </c>
      <c r="U2583" s="14">
        <v>1</v>
      </c>
      <c r="V2583" s="14">
        <v>1</v>
      </c>
      <c r="W2583" s="14">
        <v>1</v>
      </c>
      <c r="X2583" s="14">
        <v>1</v>
      </c>
    </row>
    <row r="2584" spans="1:24" hidden="1" x14ac:dyDescent="0.3">
      <c r="A2584" s="14" t="s">
        <v>453</v>
      </c>
      <c r="B2584" s="14" t="s">
        <v>120</v>
      </c>
      <c r="C2584" s="14" t="s">
        <v>371</v>
      </c>
      <c r="D2584" s="14" t="s">
        <v>372</v>
      </c>
      <c r="E2584" s="14" t="s">
        <v>342</v>
      </c>
      <c r="F2584" s="14" t="s">
        <v>343</v>
      </c>
      <c r="G2584" s="14" t="s">
        <v>343</v>
      </c>
      <c r="H2584" s="14" t="s">
        <v>343</v>
      </c>
      <c r="U2584" s="14">
        <v>0.72</v>
      </c>
      <c r="V2584" s="14">
        <v>0.78</v>
      </c>
      <c r="W2584" s="14">
        <v>0.88</v>
      </c>
      <c r="X2584" s="14">
        <v>0.97</v>
      </c>
    </row>
    <row r="2585" spans="1:24" hidden="1" x14ac:dyDescent="0.3">
      <c r="A2585" s="14" t="s">
        <v>453</v>
      </c>
      <c r="B2585" s="14" t="s">
        <v>120</v>
      </c>
      <c r="C2585" s="14" t="s">
        <v>371</v>
      </c>
      <c r="D2585" s="14" t="s">
        <v>372</v>
      </c>
      <c r="E2585" s="14" t="s">
        <v>344</v>
      </c>
      <c r="F2585" s="14" t="s">
        <v>343</v>
      </c>
      <c r="G2585" s="14" t="s">
        <v>343</v>
      </c>
      <c r="H2585" s="14" t="s">
        <v>343</v>
      </c>
      <c r="U2585" s="14">
        <v>2</v>
      </c>
      <c r="V2585" s="14">
        <v>2</v>
      </c>
      <c r="W2585" s="14">
        <v>2</v>
      </c>
      <c r="X2585" s="14">
        <v>2</v>
      </c>
    </row>
    <row r="2586" spans="1:24" hidden="1" x14ac:dyDescent="0.3">
      <c r="A2586" s="14" t="s">
        <v>453</v>
      </c>
      <c r="B2586" s="14" t="s">
        <v>120</v>
      </c>
      <c r="C2586" s="14" t="s">
        <v>373</v>
      </c>
      <c r="D2586" s="14" t="s">
        <v>374</v>
      </c>
      <c r="E2586" s="14" t="s">
        <v>342</v>
      </c>
      <c r="F2586" s="14" t="s">
        <v>343</v>
      </c>
      <c r="G2586" s="14" t="s">
        <v>343</v>
      </c>
      <c r="H2586" s="14" t="s">
        <v>343</v>
      </c>
      <c r="U2586" s="14">
        <v>0.67</v>
      </c>
      <c r="V2586" s="14">
        <v>0.67</v>
      </c>
      <c r="W2586" s="14">
        <v>0.67</v>
      </c>
      <c r="X2586" s="14">
        <v>0.67</v>
      </c>
    </row>
    <row r="2587" spans="1:24" hidden="1" x14ac:dyDescent="0.3">
      <c r="A2587" s="14" t="s">
        <v>453</v>
      </c>
      <c r="B2587" s="14" t="s">
        <v>120</v>
      </c>
      <c r="C2587" s="14" t="s">
        <v>373</v>
      </c>
      <c r="D2587" s="14" t="s">
        <v>374</v>
      </c>
      <c r="E2587" s="14" t="s">
        <v>344</v>
      </c>
      <c r="F2587" s="14" t="s">
        <v>343</v>
      </c>
      <c r="G2587" s="14" t="s">
        <v>343</v>
      </c>
      <c r="H2587" s="14" t="s">
        <v>343</v>
      </c>
      <c r="U2587" s="14">
        <v>10</v>
      </c>
      <c r="V2587" s="14">
        <v>17</v>
      </c>
      <c r="W2587" s="14">
        <v>23</v>
      </c>
      <c r="X2587" s="14">
        <v>23</v>
      </c>
    </row>
    <row r="2588" spans="1:24" hidden="1" x14ac:dyDescent="0.3">
      <c r="A2588" s="14" t="s">
        <v>453</v>
      </c>
      <c r="B2588" s="14" t="s">
        <v>120</v>
      </c>
      <c r="C2588" s="14" t="s">
        <v>375</v>
      </c>
      <c r="D2588" s="14" t="s">
        <v>376</v>
      </c>
      <c r="E2588" s="14" t="s">
        <v>342</v>
      </c>
      <c r="F2588" s="14" t="s">
        <v>343</v>
      </c>
      <c r="G2588" s="14" t="s">
        <v>343</v>
      </c>
      <c r="H2588" s="14" t="s">
        <v>343</v>
      </c>
      <c r="U2588" s="14">
        <v>0.62</v>
      </c>
      <c r="V2588" s="14">
        <v>0.62</v>
      </c>
      <c r="W2588" s="14">
        <v>0.66</v>
      </c>
      <c r="X2588" s="14">
        <v>0.91</v>
      </c>
    </row>
    <row r="2589" spans="1:24" hidden="1" x14ac:dyDescent="0.3">
      <c r="A2589" s="14" t="s">
        <v>453</v>
      </c>
      <c r="B2589" s="14" t="s">
        <v>120</v>
      </c>
      <c r="C2589" s="14" t="s">
        <v>375</v>
      </c>
      <c r="D2589" s="14" t="s">
        <v>376</v>
      </c>
      <c r="E2589" s="14" t="s">
        <v>344</v>
      </c>
      <c r="F2589" s="14" t="s">
        <v>343</v>
      </c>
      <c r="G2589" s="14" t="s">
        <v>343</v>
      </c>
      <c r="H2589" s="14" t="s">
        <v>343</v>
      </c>
      <c r="U2589" s="14">
        <v>20</v>
      </c>
      <c r="V2589" s="14">
        <v>23</v>
      </c>
      <c r="W2589" s="14">
        <v>23</v>
      </c>
      <c r="X2589" s="14">
        <v>6</v>
      </c>
    </row>
    <row r="2590" spans="1:24" hidden="1" x14ac:dyDescent="0.3">
      <c r="A2590" s="14" t="s">
        <v>454</v>
      </c>
      <c r="B2590" s="14" t="s">
        <v>127</v>
      </c>
      <c r="C2590" s="14" t="s">
        <v>340</v>
      </c>
      <c r="D2590" s="14" t="s">
        <v>341</v>
      </c>
      <c r="E2590" s="14" t="s">
        <v>342</v>
      </c>
      <c r="F2590" s="14" t="s">
        <v>343</v>
      </c>
      <c r="G2590" s="14" t="s">
        <v>343</v>
      </c>
      <c r="H2590" s="14" t="s">
        <v>343</v>
      </c>
      <c r="I2590" s="14">
        <v>1</v>
      </c>
      <c r="J2590" s="14">
        <v>1</v>
      </c>
      <c r="K2590" s="14">
        <v>1</v>
      </c>
      <c r="L2590" s="14">
        <v>1</v>
      </c>
      <c r="M2590" s="14">
        <v>0.99</v>
      </c>
      <c r="N2590" s="14">
        <v>0.99</v>
      </c>
      <c r="O2590" s="14">
        <v>0.99</v>
      </c>
      <c r="P2590" s="14">
        <v>0.99</v>
      </c>
      <c r="Q2590" s="14">
        <v>1</v>
      </c>
      <c r="R2590" s="14">
        <v>1</v>
      </c>
      <c r="S2590" s="14">
        <v>1</v>
      </c>
      <c r="T2590" s="14">
        <v>1</v>
      </c>
      <c r="U2590" s="14">
        <v>1</v>
      </c>
      <c r="V2590" s="14">
        <v>1</v>
      </c>
      <c r="W2590" s="14">
        <v>1</v>
      </c>
      <c r="X2590" s="14">
        <v>1</v>
      </c>
    </row>
    <row r="2591" spans="1:24" hidden="1" x14ac:dyDescent="0.3">
      <c r="A2591" s="14" t="s">
        <v>454</v>
      </c>
      <c r="B2591" s="14" t="s">
        <v>127</v>
      </c>
      <c r="C2591" s="14" t="s">
        <v>340</v>
      </c>
      <c r="D2591" s="14" t="s">
        <v>341</v>
      </c>
      <c r="E2591" s="14" t="s">
        <v>344</v>
      </c>
      <c r="F2591" s="14" t="s">
        <v>343</v>
      </c>
      <c r="G2591" s="14" t="s">
        <v>343</v>
      </c>
      <c r="H2591" s="14" t="s">
        <v>343</v>
      </c>
      <c r="I2591" s="14">
        <v>35</v>
      </c>
      <c r="J2591" s="14">
        <v>38</v>
      </c>
      <c r="K2591" s="14">
        <v>42</v>
      </c>
      <c r="L2591" s="14">
        <v>50</v>
      </c>
      <c r="M2591" s="14">
        <v>80</v>
      </c>
      <c r="N2591" s="14">
        <v>78</v>
      </c>
      <c r="O2591" s="14">
        <v>80</v>
      </c>
      <c r="P2591" s="14">
        <v>82</v>
      </c>
      <c r="Q2591" s="14">
        <v>49</v>
      </c>
      <c r="R2591" s="14">
        <v>51</v>
      </c>
      <c r="S2591" s="14">
        <v>1</v>
      </c>
      <c r="T2591" s="14">
        <v>1</v>
      </c>
      <c r="U2591" s="14">
        <v>1</v>
      </c>
      <c r="V2591" s="14">
        <v>1</v>
      </c>
      <c r="W2591" s="14">
        <v>1</v>
      </c>
      <c r="X2591" s="14">
        <v>1</v>
      </c>
    </row>
    <row r="2592" spans="1:24" hidden="1" x14ac:dyDescent="0.3">
      <c r="A2592" s="14" t="s">
        <v>454</v>
      </c>
      <c r="B2592" s="14" t="s">
        <v>127</v>
      </c>
      <c r="C2592" s="14" t="s">
        <v>345</v>
      </c>
      <c r="D2592" s="14" t="s">
        <v>346</v>
      </c>
      <c r="E2592" s="14" t="s">
        <v>342</v>
      </c>
      <c r="F2592" s="14" t="s">
        <v>343</v>
      </c>
      <c r="G2592" s="14" t="s">
        <v>343</v>
      </c>
      <c r="H2592" s="14" t="s">
        <v>343</v>
      </c>
      <c r="U2592" s="14">
        <v>0.56999999999999995</v>
      </c>
      <c r="V2592" s="14">
        <v>0.57999999999999996</v>
      </c>
      <c r="W2592" s="14">
        <v>0.61</v>
      </c>
      <c r="X2592" s="14">
        <v>0.62</v>
      </c>
    </row>
    <row r="2593" spans="1:24" hidden="1" x14ac:dyDescent="0.3">
      <c r="A2593" s="14" t="s">
        <v>454</v>
      </c>
      <c r="B2593" s="14" t="s">
        <v>127</v>
      </c>
      <c r="C2593" s="14" t="s">
        <v>345</v>
      </c>
      <c r="D2593" s="14" t="s">
        <v>346</v>
      </c>
      <c r="E2593" s="14" t="s">
        <v>344</v>
      </c>
      <c r="F2593" s="14" t="s">
        <v>343</v>
      </c>
      <c r="G2593" s="14" t="s">
        <v>343</v>
      </c>
      <c r="H2593" s="14" t="s">
        <v>343</v>
      </c>
      <c r="U2593" s="14">
        <v>92</v>
      </c>
      <c r="V2593" s="14">
        <v>97</v>
      </c>
      <c r="W2593" s="14">
        <v>78</v>
      </c>
      <c r="X2593" s="14">
        <v>83</v>
      </c>
    </row>
    <row r="2594" spans="1:24" hidden="1" x14ac:dyDescent="0.3">
      <c r="A2594" s="14" t="s">
        <v>454</v>
      </c>
      <c r="B2594" s="14" t="s">
        <v>127</v>
      </c>
      <c r="C2594" s="14" t="s">
        <v>347</v>
      </c>
      <c r="D2594" s="14" t="s">
        <v>348</v>
      </c>
      <c r="E2594" s="14" t="s">
        <v>342</v>
      </c>
      <c r="F2594" s="14" t="s">
        <v>343</v>
      </c>
      <c r="G2594" s="14" t="s">
        <v>343</v>
      </c>
      <c r="H2594" s="14" t="s">
        <v>343</v>
      </c>
      <c r="U2594" s="14">
        <v>0.91</v>
      </c>
      <c r="V2594" s="14">
        <v>0.91</v>
      </c>
      <c r="W2594" s="14">
        <v>0.93</v>
      </c>
      <c r="X2594" s="14">
        <v>0.89</v>
      </c>
    </row>
    <row r="2595" spans="1:24" hidden="1" x14ac:dyDescent="0.3">
      <c r="A2595" s="14" t="s">
        <v>454</v>
      </c>
      <c r="B2595" s="14" t="s">
        <v>127</v>
      </c>
      <c r="C2595" s="14" t="s">
        <v>347</v>
      </c>
      <c r="D2595" s="14" t="s">
        <v>348</v>
      </c>
      <c r="E2595" s="14" t="s">
        <v>344</v>
      </c>
      <c r="F2595" s="14" t="s">
        <v>343</v>
      </c>
      <c r="G2595" s="14" t="s">
        <v>343</v>
      </c>
      <c r="H2595" s="14" t="s">
        <v>343</v>
      </c>
      <c r="U2595" s="14">
        <v>33</v>
      </c>
      <c r="V2595" s="14">
        <v>33</v>
      </c>
      <c r="W2595" s="14">
        <v>22</v>
      </c>
      <c r="X2595" s="14">
        <v>23</v>
      </c>
    </row>
    <row r="2596" spans="1:24" hidden="1" x14ac:dyDescent="0.3">
      <c r="A2596" s="14" t="s">
        <v>454</v>
      </c>
      <c r="B2596" s="14" t="s">
        <v>127</v>
      </c>
      <c r="C2596" s="14" t="s">
        <v>349</v>
      </c>
      <c r="D2596" s="14" t="s">
        <v>350</v>
      </c>
      <c r="E2596" s="14" t="s">
        <v>342</v>
      </c>
      <c r="F2596" s="14" t="s">
        <v>343</v>
      </c>
      <c r="G2596" s="14" t="s">
        <v>343</v>
      </c>
      <c r="H2596" s="14" t="s">
        <v>343</v>
      </c>
      <c r="U2596" s="14">
        <v>0.53</v>
      </c>
      <c r="V2596" s="14">
        <v>0.52</v>
      </c>
      <c r="W2596" s="14">
        <v>0.53</v>
      </c>
      <c r="X2596" s="14">
        <v>0.53</v>
      </c>
    </row>
    <row r="2597" spans="1:24" hidden="1" x14ac:dyDescent="0.3">
      <c r="A2597" s="14" t="s">
        <v>454</v>
      </c>
      <c r="B2597" s="14" t="s">
        <v>127</v>
      </c>
      <c r="C2597" s="14" t="s">
        <v>349</v>
      </c>
      <c r="D2597" s="14" t="s">
        <v>350</v>
      </c>
      <c r="E2597" s="14" t="s">
        <v>344</v>
      </c>
      <c r="F2597" s="14" t="s">
        <v>343</v>
      </c>
      <c r="G2597" s="14" t="s">
        <v>343</v>
      </c>
      <c r="H2597" s="14" t="s">
        <v>343</v>
      </c>
      <c r="U2597" s="14">
        <v>55</v>
      </c>
      <c r="V2597" s="14">
        <v>60</v>
      </c>
      <c r="W2597" s="14">
        <v>66</v>
      </c>
      <c r="X2597" s="14">
        <v>68</v>
      </c>
    </row>
    <row r="2598" spans="1:24" hidden="1" x14ac:dyDescent="0.3">
      <c r="A2598" s="14" t="s">
        <v>454</v>
      </c>
      <c r="B2598" s="14" t="s">
        <v>127</v>
      </c>
      <c r="C2598" s="14" t="s">
        <v>351</v>
      </c>
      <c r="D2598" s="14" t="s">
        <v>352</v>
      </c>
      <c r="E2598" s="14" t="s">
        <v>342</v>
      </c>
      <c r="F2598" s="14" t="s">
        <v>343</v>
      </c>
      <c r="G2598" s="14" t="s">
        <v>343</v>
      </c>
      <c r="H2598" s="14" t="s">
        <v>343</v>
      </c>
      <c r="U2598" s="14">
        <v>1</v>
      </c>
      <c r="V2598" s="14">
        <v>1</v>
      </c>
      <c r="W2598" s="14">
        <v>1</v>
      </c>
      <c r="X2598" s="14">
        <v>1</v>
      </c>
    </row>
    <row r="2599" spans="1:24" hidden="1" x14ac:dyDescent="0.3">
      <c r="A2599" s="14" t="s">
        <v>454</v>
      </c>
      <c r="B2599" s="14" t="s">
        <v>127</v>
      </c>
      <c r="C2599" s="14" t="s">
        <v>351</v>
      </c>
      <c r="D2599" s="14" t="s">
        <v>352</v>
      </c>
      <c r="E2599" s="14" t="s">
        <v>344</v>
      </c>
      <c r="F2599" s="14" t="s">
        <v>343</v>
      </c>
      <c r="G2599" s="14" t="s">
        <v>343</v>
      </c>
      <c r="H2599" s="14" t="s">
        <v>343</v>
      </c>
      <c r="U2599" s="14">
        <v>1</v>
      </c>
      <c r="V2599" s="14">
        <v>1</v>
      </c>
      <c r="W2599" s="14">
        <v>1</v>
      </c>
      <c r="X2599" s="14">
        <v>1</v>
      </c>
    </row>
    <row r="2600" spans="1:24" hidden="1" x14ac:dyDescent="0.3">
      <c r="A2600" s="14" t="s">
        <v>454</v>
      </c>
      <c r="B2600" s="14" t="s">
        <v>127</v>
      </c>
      <c r="C2600" s="14" t="s">
        <v>378</v>
      </c>
      <c r="D2600" s="14" t="s">
        <v>379</v>
      </c>
      <c r="E2600" s="14" t="s">
        <v>342</v>
      </c>
      <c r="F2600" s="14" t="s">
        <v>343</v>
      </c>
      <c r="G2600" s="14" t="s">
        <v>343</v>
      </c>
      <c r="H2600" s="14" t="s">
        <v>343</v>
      </c>
      <c r="S2600" s="14">
        <v>0.56000000000000005</v>
      </c>
      <c r="U2600" s="14">
        <v>0.56999999999999995</v>
      </c>
      <c r="V2600" s="14">
        <v>0.57999999999999996</v>
      </c>
      <c r="W2600" s="14">
        <v>0.6</v>
      </c>
      <c r="X2600" s="14">
        <v>0.61</v>
      </c>
    </row>
    <row r="2601" spans="1:24" hidden="1" x14ac:dyDescent="0.3">
      <c r="A2601" s="14" t="s">
        <v>454</v>
      </c>
      <c r="B2601" s="14" t="s">
        <v>127</v>
      </c>
      <c r="C2601" s="14" t="s">
        <v>378</v>
      </c>
      <c r="D2601" s="14" t="s">
        <v>379</v>
      </c>
      <c r="E2601" s="14" t="s">
        <v>344</v>
      </c>
      <c r="F2601" s="14" t="s">
        <v>343</v>
      </c>
      <c r="G2601" s="14" t="s">
        <v>343</v>
      </c>
      <c r="H2601" s="14" t="s">
        <v>343</v>
      </c>
      <c r="S2601" s="14">
        <v>111</v>
      </c>
      <c r="U2601" s="14">
        <v>108</v>
      </c>
      <c r="V2601" s="14">
        <v>105</v>
      </c>
      <c r="W2601" s="14">
        <v>105</v>
      </c>
      <c r="X2601" s="14">
        <v>97</v>
      </c>
    </row>
    <row r="2602" spans="1:24" hidden="1" x14ac:dyDescent="0.3">
      <c r="A2602" s="14" t="s">
        <v>454</v>
      </c>
      <c r="B2602" s="14" t="s">
        <v>127</v>
      </c>
      <c r="C2602" s="14" t="s">
        <v>353</v>
      </c>
      <c r="D2602" s="14" t="s">
        <v>354</v>
      </c>
      <c r="E2602" s="14" t="s">
        <v>342</v>
      </c>
      <c r="F2602" s="14" t="s">
        <v>343</v>
      </c>
      <c r="G2602" s="14" t="s">
        <v>343</v>
      </c>
      <c r="H2602" s="14" t="s">
        <v>343</v>
      </c>
      <c r="X2602" s="14">
        <v>1</v>
      </c>
    </row>
    <row r="2603" spans="1:24" hidden="1" x14ac:dyDescent="0.3">
      <c r="A2603" s="14" t="s">
        <v>454</v>
      </c>
      <c r="B2603" s="14" t="s">
        <v>127</v>
      </c>
      <c r="C2603" s="14" t="s">
        <v>353</v>
      </c>
      <c r="D2603" s="14" t="s">
        <v>354</v>
      </c>
      <c r="E2603" s="14" t="s">
        <v>344</v>
      </c>
      <c r="F2603" s="14" t="s">
        <v>343</v>
      </c>
      <c r="G2603" s="14" t="s">
        <v>343</v>
      </c>
      <c r="H2603" s="14" t="s">
        <v>343</v>
      </c>
      <c r="X2603" s="14">
        <v>1</v>
      </c>
    </row>
    <row r="2604" spans="1:24" hidden="1" x14ac:dyDescent="0.3">
      <c r="A2604" s="14" t="s">
        <v>454</v>
      </c>
      <c r="B2604" s="14" t="s">
        <v>127</v>
      </c>
      <c r="C2604" s="14" t="s">
        <v>380</v>
      </c>
      <c r="D2604" s="14" t="s">
        <v>381</v>
      </c>
      <c r="E2604" s="14" t="s">
        <v>342</v>
      </c>
      <c r="F2604" s="14" t="s">
        <v>343</v>
      </c>
      <c r="G2604" s="14" t="s">
        <v>343</v>
      </c>
      <c r="H2604" s="14" t="s">
        <v>343</v>
      </c>
      <c r="U2604" s="14">
        <v>1</v>
      </c>
      <c r="V2604" s="14">
        <v>1</v>
      </c>
      <c r="W2604" s="14">
        <v>1</v>
      </c>
    </row>
    <row r="2605" spans="1:24" hidden="1" x14ac:dyDescent="0.3">
      <c r="A2605" s="14" t="s">
        <v>454</v>
      </c>
      <c r="B2605" s="14" t="s">
        <v>127</v>
      </c>
      <c r="C2605" s="14" t="s">
        <v>380</v>
      </c>
      <c r="D2605" s="14" t="s">
        <v>381</v>
      </c>
      <c r="E2605" s="14" t="s">
        <v>344</v>
      </c>
      <c r="F2605" s="14" t="s">
        <v>343</v>
      </c>
      <c r="G2605" s="14" t="s">
        <v>343</v>
      </c>
      <c r="H2605" s="14" t="s">
        <v>343</v>
      </c>
      <c r="U2605" s="14">
        <v>1</v>
      </c>
      <c r="V2605" s="14">
        <v>1</v>
      </c>
      <c r="W2605" s="14">
        <v>1</v>
      </c>
    </row>
    <row r="2606" spans="1:24" hidden="1" x14ac:dyDescent="0.3">
      <c r="A2606" s="14" t="s">
        <v>454</v>
      </c>
      <c r="B2606" s="14" t="s">
        <v>127</v>
      </c>
      <c r="C2606" s="14" t="s">
        <v>355</v>
      </c>
      <c r="D2606" s="14" t="s">
        <v>356</v>
      </c>
      <c r="E2606" s="14" t="s">
        <v>342</v>
      </c>
      <c r="F2606" s="14" t="s">
        <v>343</v>
      </c>
      <c r="G2606" s="14" t="s">
        <v>343</v>
      </c>
      <c r="H2606" s="14" t="s">
        <v>343</v>
      </c>
      <c r="U2606" s="14">
        <v>1</v>
      </c>
      <c r="V2606" s="14">
        <v>1</v>
      </c>
      <c r="W2606" s="14">
        <v>1</v>
      </c>
      <c r="X2606" s="14">
        <v>1</v>
      </c>
    </row>
    <row r="2607" spans="1:24" hidden="1" x14ac:dyDescent="0.3">
      <c r="A2607" s="14" t="s">
        <v>454</v>
      </c>
      <c r="B2607" s="14" t="s">
        <v>127</v>
      </c>
      <c r="C2607" s="14" t="s">
        <v>355</v>
      </c>
      <c r="D2607" s="14" t="s">
        <v>356</v>
      </c>
      <c r="E2607" s="14" t="s">
        <v>344</v>
      </c>
      <c r="F2607" s="14" t="s">
        <v>343</v>
      </c>
      <c r="G2607" s="14" t="s">
        <v>343</v>
      </c>
      <c r="H2607" s="14" t="s">
        <v>343</v>
      </c>
      <c r="U2607" s="14">
        <v>1</v>
      </c>
      <c r="V2607" s="14">
        <v>1</v>
      </c>
      <c r="W2607" s="14">
        <v>1</v>
      </c>
      <c r="X2607" s="14">
        <v>1</v>
      </c>
    </row>
    <row r="2608" spans="1:24" hidden="1" x14ac:dyDescent="0.3">
      <c r="A2608" s="14" t="s">
        <v>454</v>
      </c>
      <c r="B2608" s="14" t="s">
        <v>127</v>
      </c>
      <c r="C2608" s="14" t="s">
        <v>357</v>
      </c>
      <c r="D2608" s="14" t="s">
        <v>358</v>
      </c>
      <c r="E2608" s="14" t="s">
        <v>342</v>
      </c>
      <c r="F2608" s="14" t="s">
        <v>343</v>
      </c>
      <c r="G2608" s="14" t="s">
        <v>343</v>
      </c>
      <c r="H2608" s="14" t="s">
        <v>343</v>
      </c>
      <c r="U2608" s="14">
        <v>1</v>
      </c>
      <c r="V2608" s="14">
        <v>1</v>
      </c>
      <c r="W2608" s="14">
        <v>1</v>
      </c>
      <c r="X2608" s="14">
        <v>1</v>
      </c>
    </row>
    <row r="2609" spans="1:24" hidden="1" x14ac:dyDescent="0.3">
      <c r="A2609" s="14" t="s">
        <v>454</v>
      </c>
      <c r="B2609" s="14" t="s">
        <v>127</v>
      </c>
      <c r="C2609" s="14" t="s">
        <v>357</v>
      </c>
      <c r="D2609" s="14" t="s">
        <v>358</v>
      </c>
      <c r="E2609" s="14" t="s">
        <v>344</v>
      </c>
      <c r="F2609" s="14" t="s">
        <v>343</v>
      </c>
      <c r="G2609" s="14" t="s">
        <v>343</v>
      </c>
      <c r="H2609" s="14" t="s">
        <v>343</v>
      </c>
      <c r="U2609" s="14">
        <v>1</v>
      </c>
      <c r="V2609" s="14">
        <v>1</v>
      </c>
      <c r="W2609" s="14">
        <v>1</v>
      </c>
      <c r="X2609" s="14">
        <v>1</v>
      </c>
    </row>
    <row r="2610" spans="1:24" hidden="1" x14ac:dyDescent="0.3">
      <c r="A2610" s="14" t="s">
        <v>454</v>
      </c>
      <c r="B2610" s="14" t="s">
        <v>127</v>
      </c>
      <c r="C2610" s="14" t="s">
        <v>359</v>
      </c>
      <c r="D2610" s="14" t="s">
        <v>360</v>
      </c>
      <c r="E2610" s="14" t="s">
        <v>342</v>
      </c>
      <c r="F2610" s="14" t="s">
        <v>343</v>
      </c>
      <c r="G2610" s="14" t="s">
        <v>343</v>
      </c>
      <c r="H2610" s="14" t="s">
        <v>343</v>
      </c>
      <c r="I2610" s="14">
        <v>0.64</v>
      </c>
      <c r="J2610" s="14">
        <v>0.67</v>
      </c>
      <c r="K2610" s="14">
        <v>0.66</v>
      </c>
      <c r="L2610" s="14">
        <v>0.69</v>
      </c>
      <c r="M2610" s="14">
        <v>0.69</v>
      </c>
      <c r="N2610" s="14">
        <v>0.67</v>
      </c>
      <c r="O2610" s="14">
        <v>0.68</v>
      </c>
      <c r="P2610" s="14">
        <v>0.69</v>
      </c>
      <c r="Q2610" s="14">
        <v>0.64</v>
      </c>
      <c r="R2610" s="14">
        <v>0.67</v>
      </c>
      <c r="S2610" s="14">
        <v>0.68</v>
      </c>
      <c r="T2610" s="14">
        <v>0.68</v>
      </c>
      <c r="U2610" s="14">
        <v>0.68</v>
      </c>
      <c r="V2610" s="14">
        <v>0.69</v>
      </c>
      <c r="W2610" s="14">
        <v>0.7</v>
      </c>
      <c r="X2610" s="14">
        <v>0.7</v>
      </c>
    </row>
    <row r="2611" spans="1:24" hidden="1" x14ac:dyDescent="0.3">
      <c r="A2611" s="14" t="s">
        <v>454</v>
      </c>
      <c r="B2611" s="14" t="s">
        <v>127</v>
      </c>
      <c r="C2611" s="14" t="s">
        <v>359</v>
      </c>
      <c r="D2611" s="14" t="s">
        <v>360</v>
      </c>
      <c r="E2611" s="14" t="s">
        <v>344</v>
      </c>
      <c r="F2611" s="14" t="s">
        <v>343</v>
      </c>
      <c r="G2611" s="14" t="s">
        <v>343</v>
      </c>
      <c r="H2611" s="14" t="s">
        <v>343</v>
      </c>
      <c r="I2611" s="14">
        <v>46</v>
      </c>
      <c r="J2611" s="14">
        <v>45</v>
      </c>
      <c r="K2611" s="14">
        <v>55</v>
      </c>
      <c r="L2611" s="14">
        <v>41</v>
      </c>
      <c r="M2611" s="14">
        <v>49</v>
      </c>
      <c r="N2611" s="14">
        <v>55</v>
      </c>
      <c r="O2611" s="14">
        <v>53</v>
      </c>
      <c r="P2611" s="14">
        <v>56</v>
      </c>
      <c r="Q2611" s="14">
        <v>90</v>
      </c>
      <c r="R2611" s="14">
        <v>71</v>
      </c>
      <c r="S2611" s="14">
        <v>62</v>
      </c>
      <c r="T2611" s="14">
        <v>65</v>
      </c>
      <c r="U2611" s="14">
        <v>66</v>
      </c>
      <c r="V2611" s="14">
        <v>67</v>
      </c>
      <c r="W2611" s="14">
        <v>65</v>
      </c>
      <c r="X2611" s="14">
        <v>69</v>
      </c>
    </row>
    <row r="2612" spans="1:24" x14ac:dyDescent="0.3">
      <c r="A2612" s="14" t="s">
        <v>454</v>
      </c>
      <c r="B2612" s="14" t="s">
        <v>127</v>
      </c>
      <c r="C2612" s="14" t="s">
        <v>361</v>
      </c>
      <c r="D2612" s="14" t="s">
        <v>362</v>
      </c>
      <c r="E2612" s="14" t="s">
        <v>342</v>
      </c>
      <c r="F2612" s="14" t="s">
        <v>343</v>
      </c>
      <c r="G2612" s="14" t="s">
        <v>343</v>
      </c>
      <c r="H2612" s="14" t="s">
        <v>343</v>
      </c>
      <c r="I2612" s="14">
        <v>0.97</v>
      </c>
      <c r="J2612" s="14">
        <v>0.97</v>
      </c>
      <c r="K2612" s="14">
        <v>0.97</v>
      </c>
      <c r="L2612" s="14">
        <v>0.97</v>
      </c>
      <c r="M2612" s="14">
        <v>0.97</v>
      </c>
      <c r="N2612" s="14">
        <v>0.97</v>
      </c>
      <c r="O2612" s="14">
        <v>0.97</v>
      </c>
      <c r="P2612" s="14">
        <v>0.97</v>
      </c>
      <c r="Q2612" s="14">
        <v>0.97</v>
      </c>
      <c r="R2612" s="14">
        <v>0.97</v>
      </c>
      <c r="S2612" s="14">
        <v>0.97</v>
      </c>
      <c r="T2612" s="14">
        <v>0.97</v>
      </c>
      <c r="U2612" s="14">
        <v>0.97</v>
      </c>
      <c r="V2612" s="14">
        <v>0.97</v>
      </c>
      <c r="W2612" s="14">
        <v>0.96</v>
      </c>
      <c r="X2612" s="14">
        <v>0.96</v>
      </c>
    </row>
    <row r="2613" spans="1:24" hidden="1" x14ac:dyDescent="0.3">
      <c r="A2613" s="14" t="s">
        <v>454</v>
      </c>
      <c r="B2613" s="14" t="s">
        <v>127</v>
      </c>
      <c r="C2613" s="14" t="s">
        <v>361</v>
      </c>
      <c r="D2613" s="14" t="s">
        <v>362</v>
      </c>
      <c r="E2613" s="14" t="s">
        <v>344</v>
      </c>
      <c r="F2613" s="14" t="s">
        <v>343</v>
      </c>
      <c r="G2613" s="14" t="s">
        <v>343</v>
      </c>
      <c r="H2613" s="14" t="s">
        <v>343</v>
      </c>
      <c r="I2613" s="14">
        <v>83</v>
      </c>
      <c r="J2613" s="14">
        <v>92</v>
      </c>
      <c r="K2613" s="14">
        <v>93</v>
      </c>
      <c r="L2613" s="14">
        <v>98</v>
      </c>
      <c r="M2613" s="14">
        <v>91</v>
      </c>
      <c r="N2613" s="14">
        <v>92</v>
      </c>
      <c r="O2613" s="14">
        <v>94</v>
      </c>
      <c r="P2613" s="14">
        <v>93</v>
      </c>
      <c r="Q2613" s="14">
        <v>96</v>
      </c>
      <c r="R2613" s="14">
        <v>69</v>
      </c>
      <c r="S2613" s="14">
        <v>67</v>
      </c>
      <c r="T2613" s="14">
        <v>98</v>
      </c>
      <c r="U2613" s="14">
        <v>97</v>
      </c>
      <c r="V2613" s="14">
        <v>97</v>
      </c>
      <c r="W2613" s="14">
        <v>121</v>
      </c>
      <c r="X2613" s="14">
        <v>111</v>
      </c>
    </row>
    <row r="2614" spans="1:24" hidden="1" x14ac:dyDescent="0.3">
      <c r="A2614" s="14" t="s">
        <v>454</v>
      </c>
      <c r="B2614" s="14" t="s">
        <v>127</v>
      </c>
      <c r="C2614" s="14" t="s">
        <v>363</v>
      </c>
      <c r="D2614" s="14" t="s">
        <v>364</v>
      </c>
      <c r="E2614" s="14" t="s">
        <v>342</v>
      </c>
      <c r="F2614" s="14" t="s">
        <v>343</v>
      </c>
      <c r="G2614" s="14" t="s">
        <v>343</v>
      </c>
      <c r="H2614" s="14" t="s">
        <v>343</v>
      </c>
      <c r="U2614" s="14">
        <v>1.03</v>
      </c>
      <c r="V2614" s="14">
        <v>1.03</v>
      </c>
      <c r="W2614" s="14">
        <v>1.01</v>
      </c>
      <c r="X2614" s="14">
        <v>1.01</v>
      </c>
    </row>
    <row r="2615" spans="1:24" hidden="1" x14ac:dyDescent="0.3">
      <c r="A2615" s="14" t="s">
        <v>454</v>
      </c>
      <c r="B2615" s="14" t="s">
        <v>127</v>
      </c>
      <c r="C2615" s="14" t="s">
        <v>363</v>
      </c>
      <c r="D2615" s="14" t="s">
        <v>364</v>
      </c>
      <c r="E2615" s="14" t="s">
        <v>344</v>
      </c>
      <c r="F2615" s="14" t="s">
        <v>343</v>
      </c>
      <c r="G2615" s="14" t="s">
        <v>343</v>
      </c>
      <c r="H2615" s="14" t="s">
        <v>343</v>
      </c>
      <c r="U2615" s="14">
        <v>105</v>
      </c>
      <c r="V2615" s="14">
        <v>108</v>
      </c>
      <c r="W2615" s="14">
        <v>129</v>
      </c>
      <c r="X2615" s="14">
        <v>118</v>
      </c>
    </row>
    <row r="2616" spans="1:24" hidden="1" x14ac:dyDescent="0.3">
      <c r="A2616" s="14" t="s">
        <v>454</v>
      </c>
      <c r="B2616" s="14" t="s">
        <v>127</v>
      </c>
      <c r="C2616" s="14" t="s">
        <v>365</v>
      </c>
      <c r="D2616" s="14" t="s">
        <v>366</v>
      </c>
      <c r="E2616" s="14" t="s">
        <v>342</v>
      </c>
      <c r="F2616" s="14" t="s">
        <v>343</v>
      </c>
      <c r="G2616" s="14" t="s">
        <v>343</v>
      </c>
      <c r="H2616" s="14" t="s">
        <v>343</v>
      </c>
      <c r="U2616" s="14">
        <v>0.94</v>
      </c>
      <c r="V2616" s="14">
        <v>0.94</v>
      </c>
      <c r="W2616" s="14">
        <v>0.94</v>
      </c>
      <c r="X2616" s="14">
        <v>0.94</v>
      </c>
    </row>
    <row r="2617" spans="1:24" hidden="1" x14ac:dyDescent="0.3">
      <c r="A2617" s="14" t="s">
        <v>454</v>
      </c>
      <c r="B2617" s="14" t="s">
        <v>127</v>
      </c>
      <c r="C2617" s="14" t="s">
        <v>365</v>
      </c>
      <c r="D2617" s="14" t="s">
        <v>366</v>
      </c>
      <c r="E2617" s="14" t="s">
        <v>344</v>
      </c>
      <c r="F2617" s="14" t="s">
        <v>343</v>
      </c>
      <c r="G2617" s="14" t="s">
        <v>343</v>
      </c>
      <c r="H2617" s="14" t="s">
        <v>343</v>
      </c>
      <c r="U2617" s="14">
        <v>1</v>
      </c>
      <c r="V2617" s="14">
        <v>1</v>
      </c>
      <c r="W2617" s="14">
        <v>1</v>
      </c>
      <c r="X2617" s="14">
        <v>1</v>
      </c>
    </row>
    <row r="2618" spans="1:24" hidden="1" x14ac:dyDescent="0.3">
      <c r="A2618" s="14" t="s">
        <v>454</v>
      </c>
      <c r="B2618" s="14" t="s">
        <v>127</v>
      </c>
      <c r="C2618" s="14" t="s">
        <v>367</v>
      </c>
      <c r="D2618" s="14" t="s">
        <v>368</v>
      </c>
      <c r="E2618" s="14" t="s">
        <v>342</v>
      </c>
      <c r="F2618" s="14" t="s">
        <v>343</v>
      </c>
      <c r="G2618" s="14" t="s">
        <v>343</v>
      </c>
      <c r="H2618" s="14" t="s">
        <v>343</v>
      </c>
      <c r="I2618" s="14">
        <v>0.69</v>
      </c>
      <c r="J2618" s="14">
        <v>0.7</v>
      </c>
      <c r="K2618" s="14">
        <v>0.69</v>
      </c>
      <c r="L2618" s="14">
        <v>0.7</v>
      </c>
      <c r="M2618" s="14">
        <v>0.7</v>
      </c>
      <c r="N2618" s="14">
        <v>0.69</v>
      </c>
      <c r="O2618" s="14">
        <v>0.7</v>
      </c>
      <c r="P2618" s="14">
        <v>0.7</v>
      </c>
      <c r="Q2618" s="14">
        <v>0.7</v>
      </c>
      <c r="R2618" s="14">
        <v>0.71</v>
      </c>
      <c r="S2618" s="14">
        <v>0.72</v>
      </c>
      <c r="T2618" s="14">
        <v>0.72</v>
      </c>
      <c r="U2618" s="14">
        <v>0.72</v>
      </c>
      <c r="V2618" s="14">
        <v>0.72</v>
      </c>
      <c r="W2618" s="14">
        <v>0.72</v>
      </c>
      <c r="X2618" s="14">
        <v>0.73</v>
      </c>
    </row>
    <row r="2619" spans="1:24" hidden="1" x14ac:dyDescent="0.3">
      <c r="A2619" s="14" t="s">
        <v>454</v>
      </c>
      <c r="B2619" s="14" t="s">
        <v>127</v>
      </c>
      <c r="C2619" s="14" t="s">
        <v>367</v>
      </c>
      <c r="D2619" s="14" t="s">
        <v>368</v>
      </c>
      <c r="E2619" s="14" t="s">
        <v>344</v>
      </c>
      <c r="F2619" s="14" t="s">
        <v>343</v>
      </c>
      <c r="G2619" s="14" t="s">
        <v>343</v>
      </c>
      <c r="H2619" s="14" t="s">
        <v>343</v>
      </c>
      <c r="I2619" s="14">
        <v>35</v>
      </c>
      <c r="J2619" s="14">
        <v>36</v>
      </c>
      <c r="K2619" s="14">
        <v>56</v>
      </c>
      <c r="L2619" s="14">
        <v>45</v>
      </c>
      <c r="M2619" s="14">
        <v>52</v>
      </c>
      <c r="N2619" s="14">
        <v>55</v>
      </c>
      <c r="O2619" s="14">
        <v>56</v>
      </c>
      <c r="P2619" s="14">
        <v>53</v>
      </c>
      <c r="Q2619" s="14">
        <v>65</v>
      </c>
      <c r="R2619" s="14">
        <v>53</v>
      </c>
      <c r="S2619" s="14">
        <v>49</v>
      </c>
      <c r="T2619" s="14">
        <v>44</v>
      </c>
      <c r="U2619" s="14">
        <v>46</v>
      </c>
      <c r="V2619" s="14">
        <v>64</v>
      </c>
      <c r="W2619" s="14">
        <v>60</v>
      </c>
      <c r="X2619" s="14">
        <v>60</v>
      </c>
    </row>
    <row r="2620" spans="1:24" hidden="1" x14ac:dyDescent="0.3">
      <c r="A2620" s="14" t="s">
        <v>454</v>
      </c>
      <c r="B2620" s="14" t="s">
        <v>127</v>
      </c>
      <c r="C2620" s="14" t="s">
        <v>369</v>
      </c>
      <c r="D2620" s="14" t="s">
        <v>370</v>
      </c>
      <c r="E2620" s="14" t="s">
        <v>342</v>
      </c>
      <c r="F2620" s="14" t="s">
        <v>343</v>
      </c>
      <c r="G2620" s="14" t="s">
        <v>343</v>
      </c>
      <c r="H2620" s="14" t="s">
        <v>343</v>
      </c>
      <c r="I2620" s="14">
        <v>0.15</v>
      </c>
      <c r="J2620" s="14">
        <v>0.15</v>
      </c>
      <c r="K2620" s="14">
        <v>0.14000000000000001</v>
      </c>
      <c r="L2620" s="14">
        <v>0.15</v>
      </c>
      <c r="M2620" s="14">
        <v>0.14000000000000001</v>
      </c>
      <c r="N2620" s="14">
        <v>0.14000000000000001</v>
      </c>
      <c r="O2620" s="14">
        <v>0.16</v>
      </c>
      <c r="P2620" s="14">
        <v>0.16</v>
      </c>
      <c r="Q2620" s="14">
        <v>0.2</v>
      </c>
      <c r="R2620" s="14">
        <v>0.2</v>
      </c>
      <c r="S2620" s="14">
        <v>0.22</v>
      </c>
      <c r="T2620" s="14">
        <v>0.23</v>
      </c>
      <c r="U2620" s="14">
        <v>0.23</v>
      </c>
      <c r="V2620" s="14">
        <v>0.21</v>
      </c>
      <c r="W2620" s="14">
        <v>0.23</v>
      </c>
      <c r="X2620" s="14">
        <v>0.24</v>
      </c>
    </row>
    <row r="2621" spans="1:24" hidden="1" x14ac:dyDescent="0.3">
      <c r="A2621" s="14" t="s">
        <v>454</v>
      </c>
      <c r="B2621" s="14" t="s">
        <v>127</v>
      </c>
      <c r="C2621" s="14" t="s">
        <v>369</v>
      </c>
      <c r="D2621" s="14" t="s">
        <v>370</v>
      </c>
      <c r="E2621" s="14" t="s">
        <v>344</v>
      </c>
      <c r="F2621" s="14" t="s">
        <v>343</v>
      </c>
      <c r="G2621" s="14" t="s">
        <v>343</v>
      </c>
      <c r="H2621" s="14" t="s">
        <v>343</v>
      </c>
      <c r="I2621" s="14">
        <v>36</v>
      </c>
      <c r="J2621" s="14">
        <v>41</v>
      </c>
      <c r="K2621" s="14">
        <v>59</v>
      </c>
      <c r="L2621" s="14">
        <v>53</v>
      </c>
      <c r="M2621" s="14">
        <v>63</v>
      </c>
      <c r="N2621" s="14">
        <v>59</v>
      </c>
      <c r="O2621" s="14">
        <v>54</v>
      </c>
      <c r="P2621" s="14">
        <v>57</v>
      </c>
      <c r="Q2621" s="14">
        <v>49</v>
      </c>
      <c r="R2621" s="14">
        <v>54</v>
      </c>
      <c r="S2621" s="14">
        <v>48</v>
      </c>
      <c r="T2621" s="14">
        <v>47</v>
      </c>
      <c r="U2621" s="14">
        <v>48</v>
      </c>
      <c r="V2621" s="14">
        <v>64</v>
      </c>
      <c r="W2621" s="14">
        <v>65</v>
      </c>
      <c r="X2621" s="14">
        <v>61</v>
      </c>
    </row>
    <row r="2622" spans="1:24" hidden="1" x14ac:dyDescent="0.3">
      <c r="A2622" s="14" t="s">
        <v>454</v>
      </c>
      <c r="B2622" s="14" t="s">
        <v>127</v>
      </c>
      <c r="C2622" s="14" t="s">
        <v>371</v>
      </c>
      <c r="D2622" s="14" t="s">
        <v>372</v>
      </c>
      <c r="E2622" s="14" t="s">
        <v>342</v>
      </c>
      <c r="F2622" s="14" t="s">
        <v>343</v>
      </c>
      <c r="G2622" s="14" t="s">
        <v>343</v>
      </c>
      <c r="H2622" s="14" t="s">
        <v>343</v>
      </c>
      <c r="U2622" s="14">
        <v>0.13</v>
      </c>
      <c r="V2622" s="14">
        <v>0.13</v>
      </c>
      <c r="W2622" s="14">
        <v>7.0000000000000007E-2</v>
      </c>
      <c r="X2622" s="14">
        <v>0.06</v>
      </c>
    </row>
    <row r="2623" spans="1:24" hidden="1" x14ac:dyDescent="0.3">
      <c r="A2623" s="14" t="s">
        <v>454</v>
      </c>
      <c r="B2623" s="14" t="s">
        <v>127</v>
      </c>
      <c r="C2623" s="14" t="s">
        <v>371</v>
      </c>
      <c r="D2623" s="14" t="s">
        <v>372</v>
      </c>
      <c r="E2623" s="14" t="s">
        <v>344</v>
      </c>
      <c r="F2623" s="14" t="s">
        <v>343</v>
      </c>
      <c r="G2623" s="14" t="s">
        <v>343</v>
      </c>
      <c r="H2623" s="14" t="s">
        <v>343</v>
      </c>
      <c r="U2623" s="14">
        <v>23</v>
      </c>
      <c r="V2623" s="14">
        <v>25</v>
      </c>
      <c r="W2623" s="14">
        <v>38</v>
      </c>
      <c r="X2623" s="14">
        <v>47</v>
      </c>
    </row>
    <row r="2624" spans="1:24" hidden="1" x14ac:dyDescent="0.3">
      <c r="A2624" s="14" t="s">
        <v>454</v>
      </c>
      <c r="B2624" s="14" t="s">
        <v>127</v>
      </c>
      <c r="C2624" s="14" t="s">
        <v>373</v>
      </c>
      <c r="D2624" s="14" t="s">
        <v>374</v>
      </c>
      <c r="E2624" s="14" t="s">
        <v>342</v>
      </c>
      <c r="F2624" s="14" t="s">
        <v>343</v>
      </c>
      <c r="G2624" s="14" t="s">
        <v>343</v>
      </c>
      <c r="H2624" s="14" t="s">
        <v>343</v>
      </c>
      <c r="U2624" s="14">
        <v>0.24</v>
      </c>
      <c r="V2624" s="14">
        <v>0.24</v>
      </c>
      <c r="W2624" s="14">
        <v>0.33</v>
      </c>
      <c r="X2624" s="14">
        <v>0.33</v>
      </c>
    </row>
    <row r="2625" spans="1:24" hidden="1" x14ac:dyDescent="0.3">
      <c r="A2625" s="14" t="s">
        <v>454</v>
      </c>
      <c r="B2625" s="14" t="s">
        <v>127</v>
      </c>
      <c r="C2625" s="14" t="s">
        <v>373</v>
      </c>
      <c r="D2625" s="14" t="s">
        <v>374</v>
      </c>
      <c r="E2625" s="14" t="s">
        <v>344</v>
      </c>
      <c r="F2625" s="14" t="s">
        <v>343</v>
      </c>
      <c r="G2625" s="14" t="s">
        <v>343</v>
      </c>
      <c r="H2625" s="14" t="s">
        <v>343</v>
      </c>
      <c r="U2625" s="14">
        <v>74</v>
      </c>
      <c r="V2625" s="14">
        <v>85</v>
      </c>
      <c r="W2625" s="14">
        <v>65</v>
      </c>
      <c r="X2625" s="14">
        <v>63</v>
      </c>
    </row>
    <row r="2626" spans="1:24" hidden="1" x14ac:dyDescent="0.3">
      <c r="A2626" s="14" t="s">
        <v>454</v>
      </c>
      <c r="B2626" s="14" t="s">
        <v>127</v>
      </c>
      <c r="C2626" s="14" t="s">
        <v>375</v>
      </c>
      <c r="D2626" s="14" t="s">
        <v>376</v>
      </c>
      <c r="E2626" s="14" t="s">
        <v>342</v>
      </c>
      <c r="F2626" s="14" t="s">
        <v>343</v>
      </c>
      <c r="G2626" s="14" t="s">
        <v>343</v>
      </c>
      <c r="H2626" s="14" t="s">
        <v>343</v>
      </c>
      <c r="U2626" s="14">
        <v>0.38</v>
      </c>
      <c r="V2626" s="14">
        <v>0.32</v>
      </c>
      <c r="W2626" s="14">
        <v>0.36</v>
      </c>
      <c r="X2626" s="14">
        <v>0.43</v>
      </c>
    </row>
    <row r="2627" spans="1:24" hidden="1" x14ac:dyDescent="0.3">
      <c r="A2627" s="14" t="s">
        <v>454</v>
      </c>
      <c r="B2627" s="14" t="s">
        <v>127</v>
      </c>
      <c r="C2627" s="14" t="s">
        <v>375</v>
      </c>
      <c r="D2627" s="14" t="s">
        <v>376</v>
      </c>
      <c r="E2627" s="14" t="s">
        <v>344</v>
      </c>
      <c r="F2627" s="14" t="s">
        <v>343</v>
      </c>
      <c r="G2627" s="14" t="s">
        <v>343</v>
      </c>
      <c r="H2627" s="14" t="s">
        <v>343</v>
      </c>
      <c r="U2627" s="14">
        <v>50</v>
      </c>
      <c r="V2627" s="14">
        <v>65</v>
      </c>
      <c r="W2627" s="14">
        <v>65</v>
      </c>
      <c r="X2627" s="14">
        <v>52</v>
      </c>
    </row>
    <row r="2628" spans="1:24" hidden="1" x14ac:dyDescent="0.3">
      <c r="A2628" s="14" t="s">
        <v>455</v>
      </c>
      <c r="B2628" s="14" t="s">
        <v>128</v>
      </c>
      <c r="C2628" s="14" t="s">
        <v>340</v>
      </c>
      <c r="D2628" s="14" t="s">
        <v>341</v>
      </c>
      <c r="E2628" s="14" t="s">
        <v>342</v>
      </c>
      <c r="F2628" s="14" t="s">
        <v>343</v>
      </c>
      <c r="G2628" s="14" t="s">
        <v>343</v>
      </c>
      <c r="H2628" s="14" t="s">
        <v>343</v>
      </c>
      <c r="I2628" s="14">
        <v>1</v>
      </c>
      <c r="J2628" s="14">
        <v>1</v>
      </c>
      <c r="K2628" s="14">
        <v>1</v>
      </c>
      <c r="L2628" s="14">
        <v>1</v>
      </c>
      <c r="M2628" s="14">
        <v>0.99</v>
      </c>
      <c r="N2628" s="14">
        <v>0.99</v>
      </c>
      <c r="O2628" s="14">
        <v>0.99</v>
      </c>
      <c r="P2628" s="14">
        <v>0.99</v>
      </c>
      <c r="Q2628" s="14">
        <v>0.99</v>
      </c>
      <c r="R2628" s="14">
        <v>1</v>
      </c>
      <c r="S2628" s="14">
        <v>1</v>
      </c>
      <c r="T2628" s="14">
        <v>1</v>
      </c>
      <c r="U2628" s="14">
        <v>1</v>
      </c>
      <c r="V2628" s="14">
        <v>1</v>
      </c>
      <c r="W2628" s="14">
        <v>1</v>
      </c>
      <c r="X2628" s="14">
        <v>1</v>
      </c>
    </row>
    <row r="2629" spans="1:24" hidden="1" x14ac:dyDescent="0.3">
      <c r="A2629" s="14" t="s">
        <v>455</v>
      </c>
      <c r="B2629" s="14" t="s">
        <v>128</v>
      </c>
      <c r="C2629" s="14" t="s">
        <v>340</v>
      </c>
      <c r="D2629" s="14" t="s">
        <v>341</v>
      </c>
      <c r="E2629" s="14" t="s">
        <v>344</v>
      </c>
      <c r="F2629" s="14" t="s">
        <v>343</v>
      </c>
      <c r="G2629" s="14" t="s">
        <v>343</v>
      </c>
      <c r="H2629" s="14" t="s">
        <v>343</v>
      </c>
      <c r="I2629" s="14">
        <v>26</v>
      </c>
      <c r="J2629" s="14">
        <v>32</v>
      </c>
      <c r="K2629" s="14">
        <v>43</v>
      </c>
      <c r="L2629" s="14">
        <v>46</v>
      </c>
      <c r="M2629" s="14">
        <v>49</v>
      </c>
      <c r="N2629" s="14">
        <v>48</v>
      </c>
      <c r="O2629" s="14">
        <v>65</v>
      </c>
      <c r="P2629" s="14">
        <v>65</v>
      </c>
      <c r="Q2629" s="14">
        <v>62</v>
      </c>
      <c r="R2629" s="14">
        <v>58</v>
      </c>
      <c r="S2629" s="14">
        <v>56</v>
      </c>
      <c r="T2629" s="14">
        <v>60</v>
      </c>
      <c r="U2629" s="14">
        <v>61</v>
      </c>
      <c r="V2629" s="14">
        <v>55</v>
      </c>
      <c r="W2629" s="14">
        <v>57</v>
      </c>
      <c r="X2629" s="14">
        <v>59</v>
      </c>
    </row>
    <row r="2630" spans="1:24" hidden="1" x14ac:dyDescent="0.3">
      <c r="A2630" s="14" t="s">
        <v>455</v>
      </c>
      <c r="B2630" s="14" t="s">
        <v>128</v>
      </c>
      <c r="C2630" s="14" t="s">
        <v>345</v>
      </c>
      <c r="D2630" s="14" t="s">
        <v>346</v>
      </c>
      <c r="E2630" s="14" t="s">
        <v>342</v>
      </c>
      <c r="F2630" s="14" t="s">
        <v>343</v>
      </c>
      <c r="G2630" s="14" t="s">
        <v>343</v>
      </c>
      <c r="H2630" s="14" t="s">
        <v>343</v>
      </c>
      <c r="U2630" s="14">
        <v>0.56999999999999995</v>
      </c>
      <c r="V2630" s="14">
        <v>0.56000000000000005</v>
      </c>
      <c r="W2630" s="14">
        <v>0.56999999999999995</v>
      </c>
      <c r="X2630" s="14">
        <v>0.57999999999999996</v>
      </c>
    </row>
    <row r="2631" spans="1:24" hidden="1" x14ac:dyDescent="0.3">
      <c r="A2631" s="14" t="s">
        <v>455</v>
      </c>
      <c r="B2631" s="14" t="s">
        <v>128</v>
      </c>
      <c r="C2631" s="14" t="s">
        <v>345</v>
      </c>
      <c r="D2631" s="14" t="s">
        <v>346</v>
      </c>
      <c r="E2631" s="14" t="s">
        <v>344</v>
      </c>
      <c r="F2631" s="14" t="s">
        <v>343</v>
      </c>
      <c r="G2631" s="14" t="s">
        <v>343</v>
      </c>
      <c r="H2631" s="14" t="s">
        <v>343</v>
      </c>
      <c r="U2631" s="14">
        <v>91</v>
      </c>
      <c r="V2631" s="14">
        <v>101</v>
      </c>
      <c r="W2631" s="14">
        <v>96</v>
      </c>
      <c r="X2631" s="14">
        <v>96</v>
      </c>
    </row>
    <row r="2632" spans="1:24" hidden="1" x14ac:dyDescent="0.3">
      <c r="A2632" s="14" t="s">
        <v>455</v>
      </c>
      <c r="B2632" s="14" t="s">
        <v>128</v>
      </c>
      <c r="C2632" s="14" t="s">
        <v>347</v>
      </c>
      <c r="D2632" s="14" t="s">
        <v>348</v>
      </c>
      <c r="E2632" s="14" t="s">
        <v>342</v>
      </c>
      <c r="F2632" s="14" t="s">
        <v>343</v>
      </c>
      <c r="G2632" s="14" t="s">
        <v>343</v>
      </c>
      <c r="H2632" s="14" t="s">
        <v>343</v>
      </c>
      <c r="U2632" s="14">
        <v>0.74</v>
      </c>
      <c r="V2632" s="14">
        <v>0.74</v>
      </c>
      <c r="W2632" s="14">
        <v>0.75</v>
      </c>
      <c r="X2632" s="14">
        <v>0.69</v>
      </c>
    </row>
    <row r="2633" spans="1:24" hidden="1" x14ac:dyDescent="0.3">
      <c r="A2633" s="14" t="s">
        <v>455</v>
      </c>
      <c r="B2633" s="14" t="s">
        <v>128</v>
      </c>
      <c r="C2633" s="14" t="s">
        <v>347</v>
      </c>
      <c r="D2633" s="14" t="s">
        <v>348</v>
      </c>
      <c r="E2633" s="14" t="s">
        <v>344</v>
      </c>
      <c r="F2633" s="14" t="s">
        <v>343</v>
      </c>
      <c r="G2633" s="14" t="s">
        <v>343</v>
      </c>
      <c r="H2633" s="14" t="s">
        <v>343</v>
      </c>
      <c r="U2633" s="14">
        <v>93</v>
      </c>
      <c r="V2633" s="14">
        <v>95</v>
      </c>
      <c r="W2633" s="14">
        <v>98</v>
      </c>
      <c r="X2633" s="14">
        <v>99</v>
      </c>
    </row>
    <row r="2634" spans="1:24" hidden="1" x14ac:dyDescent="0.3">
      <c r="A2634" s="14" t="s">
        <v>455</v>
      </c>
      <c r="B2634" s="14" t="s">
        <v>128</v>
      </c>
      <c r="C2634" s="14" t="s">
        <v>349</v>
      </c>
      <c r="D2634" s="14" t="s">
        <v>350</v>
      </c>
      <c r="E2634" s="14" t="s">
        <v>342</v>
      </c>
      <c r="F2634" s="14" t="s">
        <v>343</v>
      </c>
      <c r="G2634" s="14" t="s">
        <v>343</v>
      </c>
      <c r="H2634" s="14" t="s">
        <v>343</v>
      </c>
      <c r="U2634" s="14">
        <v>0.38</v>
      </c>
      <c r="V2634" s="14">
        <v>0.37</v>
      </c>
      <c r="W2634" s="14">
        <v>0.38</v>
      </c>
      <c r="X2634" s="14">
        <v>0.38</v>
      </c>
    </row>
    <row r="2635" spans="1:24" hidden="1" x14ac:dyDescent="0.3">
      <c r="A2635" s="14" t="s">
        <v>455</v>
      </c>
      <c r="B2635" s="14" t="s">
        <v>128</v>
      </c>
      <c r="C2635" s="14" t="s">
        <v>349</v>
      </c>
      <c r="D2635" s="14" t="s">
        <v>350</v>
      </c>
      <c r="E2635" s="14" t="s">
        <v>344</v>
      </c>
      <c r="F2635" s="14" t="s">
        <v>343</v>
      </c>
      <c r="G2635" s="14" t="s">
        <v>343</v>
      </c>
      <c r="H2635" s="14" t="s">
        <v>343</v>
      </c>
      <c r="U2635" s="14">
        <v>92</v>
      </c>
      <c r="V2635" s="14">
        <v>99</v>
      </c>
      <c r="W2635" s="14">
        <v>98</v>
      </c>
      <c r="X2635" s="14">
        <v>97</v>
      </c>
    </row>
    <row r="2636" spans="1:24" hidden="1" x14ac:dyDescent="0.3">
      <c r="A2636" s="14" t="s">
        <v>455</v>
      </c>
      <c r="B2636" s="14" t="s">
        <v>128</v>
      </c>
      <c r="C2636" s="14" t="s">
        <v>351</v>
      </c>
      <c r="D2636" s="14" t="s">
        <v>352</v>
      </c>
      <c r="E2636" s="14" t="s">
        <v>342</v>
      </c>
      <c r="F2636" s="14" t="s">
        <v>343</v>
      </c>
      <c r="G2636" s="14" t="s">
        <v>343</v>
      </c>
      <c r="H2636" s="14" t="s">
        <v>343</v>
      </c>
      <c r="U2636" s="14">
        <v>0.86</v>
      </c>
      <c r="V2636" s="14">
        <v>0.86</v>
      </c>
      <c r="W2636" s="14">
        <v>0.91</v>
      </c>
      <c r="X2636" s="14">
        <v>0.87</v>
      </c>
    </row>
    <row r="2637" spans="1:24" hidden="1" x14ac:dyDescent="0.3">
      <c r="A2637" s="14" t="s">
        <v>455</v>
      </c>
      <c r="B2637" s="14" t="s">
        <v>128</v>
      </c>
      <c r="C2637" s="14" t="s">
        <v>351</v>
      </c>
      <c r="D2637" s="14" t="s">
        <v>352</v>
      </c>
      <c r="E2637" s="14" t="s">
        <v>344</v>
      </c>
      <c r="F2637" s="14" t="s">
        <v>343</v>
      </c>
      <c r="G2637" s="14" t="s">
        <v>343</v>
      </c>
      <c r="H2637" s="14" t="s">
        <v>343</v>
      </c>
      <c r="U2637" s="14">
        <v>92</v>
      </c>
      <c r="V2637" s="14">
        <v>97</v>
      </c>
      <c r="W2637" s="14">
        <v>87</v>
      </c>
      <c r="X2637" s="14">
        <v>87</v>
      </c>
    </row>
    <row r="2638" spans="1:24" hidden="1" x14ac:dyDescent="0.3">
      <c r="A2638" s="14" t="s">
        <v>455</v>
      </c>
      <c r="B2638" s="14" t="s">
        <v>128</v>
      </c>
      <c r="C2638" s="14" t="s">
        <v>378</v>
      </c>
      <c r="D2638" s="14" t="s">
        <v>379</v>
      </c>
      <c r="E2638" s="14" t="s">
        <v>342</v>
      </c>
      <c r="F2638" s="14" t="s">
        <v>343</v>
      </c>
      <c r="G2638" s="14" t="s">
        <v>343</v>
      </c>
      <c r="H2638" s="14" t="s">
        <v>343</v>
      </c>
      <c r="S2638" s="14">
        <v>0.51</v>
      </c>
      <c r="U2638" s="14">
        <v>0.51</v>
      </c>
      <c r="V2638" s="14">
        <v>0.53</v>
      </c>
      <c r="W2638" s="14">
        <v>0.53</v>
      </c>
      <c r="X2638" s="14">
        <v>0.56999999999999995</v>
      </c>
    </row>
    <row r="2639" spans="1:24" hidden="1" x14ac:dyDescent="0.3">
      <c r="A2639" s="14" t="s">
        <v>455</v>
      </c>
      <c r="B2639" s="14" t="s">
        <v>128</v>
      </c>
      <c r="C2639" s="14" t="s">
        <v>378</v>
      </c>
      <c r="D2639" s="14" t="s">
        <v>379</v>
      </c>
      <c r="E2639" s="14" t="s">
        <v>344</v>
      </c>
      <c r="F2639" s="14" t="s">
        <v>343</v>
      </c>
      <c r="G2639" s="14" t="s">
        <v>343</v>
      </c>
      <c r="H2639" s="14" t="s">
        <v>343</v>
      </c>
      <c r="S2639" s="14">
        <v>127</v>
      </c>
      <c r="U2639" s="14">
        <v>126</v>
      </c>
      <c r="V2639" s="14">
        <v>125</v>
      </c>
      <c r="W2639" s="14">
        <v>127</v>
      </c>
      <c r="X2639" s="14">
        <v>114</v>
      </c>
    </row>
    <row r="2640" spans="1:24" hidden="1" x14ac:dyDescent="0.3">
      <c r="A2640" s="14" t="s">
        <v>455</v>
      </c>
      <c r="B2640" s="14" t="s">
        <v>128</v>
      </c>
      <c r="C2640" s="14" t="s">
        <v>353</v>
      </c>
      <c r="D2640" s="14" t="s">
        <v>354</v>
      </c>
      <c r="E2640" s="14" t="s">
        <v>342</v>
      </c>
      <c r="F2640" s="14" t="s">
        <v>343</v>
      </c>
      <c r="G2640" s="14" t="s">
        <v>343</v>
      </c>
      <c r="H2640" s="14" t="s">
        <v>343</v>
      </c>
      <c r="U2640" s="14">
        <v>0.99</v>
      </c>
      <c r="V2640" s="14">
        <v>1</v>
      </c>
      <c r="W2640" s="14">
        <v>1</v>
      </c>
      <c r="X2640" s="14">
        <v>1</v>
      </c>
    </row>
    <row r="2641" spans="1:24" hidden="1" x14ac:dyDescent="0.3">
      <c r="A2641" s="14" t="s">
        <v>455</v>
      </c>
      <c r="B2641" s="14" t="s">
        <v>128</v>
      </c>
      <c r="C2641" s="14" t="s">
        <v>353</v>
      </c>
      <c r="D2641" s="14" t="s">
        <v>354</v>
      </c>
      <c r="E2641" s="14" t="s">
        <v>344</v>
      </c>
      <c r="F2641" s="14" t="s">
        <v>343</v>
      </c>
      <c r="G2641" s="14" t="s">
        <v>343</v>
      </c>
      <c r="H2641" s="14" t="s">
        <v>343</v>
      </c>
      <c r="U2641" s="14">
        <v>60</v>
      </c>
      <c r="V2641" s="14">
        <v>62</v>
      </c>
      <c r="W2641" s="14">
        <v>62</v>
      </c>
      <c r="X2641" s="14">
        <v>60</v>
      </c>
    </row>
    <row r="2642" spans="1:24" hidden="1" x14ac:dyDescent="0.3">
      <c r="A2642" s="14" t="s">
        <v>455</v>
      </c>
      <c r="B2642" s="14" t="s">
        <v>128</v>
      </c>
      <c r="C2642" s="14" t="s">
        <v>380</v>
      </c>
      <c r="D2642" s="14" t="s">
        <v>381</v>
      </c>
      <c r="E2642" s="14" t="s">
        <v>342</v>
      </c>
      <c r="F2642" s="14" t="s">
        <v>343</v>
      </c>
      <c r="G2642" s="14" t="s">
        <v>343</v>
      </c>
      <c r="H2642" s="14" t="s">
        <v>343</v>
      </c>
      <c r="U2642" s="14">
        <v>0.99</v>
      </c>
      <c r="V2642" s="14">
        <v>0.99</v>
      </c>
      <c r="W2642" s="14">
        <v>0.99</v>
      </c>
      <c r="X2642" s="14">
        <v>1</v>
      </c>
    </row>
    <row r="2643" spans="1:24" hidden="1" x14ac:dyDescent="0.3">
      <c r="A2643" s="14" t="s">
        <v>455</v>
      </c>
      <c r="B2643" s="14" t="s">
        <v>128</v>
      </c>
      <c r="C2643" s="14" t="s">
        <v>380</v>
      </c>
      <c r="D2643" s="14" t="s">
        <v>381</v>
      </c>
      <c r="E2643" s="14" t="s">
        <v>344</v>
      </c>
      <c r="F2643" s="14" t="s">
        <v>343</v>
      </c>
      <c r="G2643" s="14" t="s">
        <v>343</v>
      </c>
      <c r="H2643" s="14" t="s">
        <v>343</v>
      </c>
      <c r="U2643" s="14">
        <v>91</v>
      </c>
      <c r="V2643" s="14">
        <v>101</v>
      </c>
      <c r="W2643" s="14">
        <v>103</v>
      </c>
      <c r="X2643" s="14">
        <v>80</v>
      </c>
    </row>
    <row r="2644" spans="1:24" hidden="1" x14ac:dyDescent="0.3">
      <c r="A2644" s="14" t="s">
        <v>455</v>
      </c>
      <c r="B2644" s="14" t="s">
        <v>128</v>
      </c>
      <c r="C2644" s="14" t="s">
        <v>355</v>
      </c>
      <c r="D2644" s="14" t="s">
        <v>356</v>
      </c>
      <c r="E2644" s="14" t="s">
        <v>342</v>
      </c>
      <c r="F2644" s="14" t="s">
        <v>343</v>
      </c>
      <c r="G2644" s="14" t="s">
        <v>343</v>
      </c>
      <c r="H2644" s="14" t="s">
        <v>343</v>
      </c>
      <c r="U2644" s="14">
        <v>1</v>
      </c>
      <c r="V2644" s="14">
        <v>1</v>
      </c>
      <c r="W2644" s="14">
        <v>1</v>
      </c>
      <c r="X2644" s="14">
        <v>0.98</v>
      </c>
    </row>
    <row r="2645" spans="1:24" hidden="1" x14ac:dyDescent="0.3">
      <c r="A2645" s="14" t="s">
        <v>455</v>
      </c>
      <c r="B2645" s="14" t="s">
        <v>128</v>
      </c>
      <c r="C2645" s="14" t="s">
        <v>355</v>
      </c>
      <c r="D2645" s="14" t="s">
        <v>356</v>
      </c>
      <c r="E2645" s="14" t="s">
        <v>344</v>
      </c>
      <c r="F2645" s="14" t="s">
        <v>343</v>
      </c>
      <c r="G2645" s="14" t="s">
        <v>343</v>
      </c>
      <c r="H2645" s="14" t="s">
        <v>343</v>
      </c>
      <c r="U2645" s="14">
        <v>104</v>
      </c>
      <c r="V2645" s="14">
        <v>1</v>
      </c>
      <c r="W2645" s="14">
        <v>1</v>
      </c>
      <c r="X2645" s="14">
        <v>88</v>
      </c>
    </row>
    <row r="2646" spans="1:24" hidden="1" x14ac:dyDescent="0.3">
      <c r="A2646" s="14" t="s">
        <v>455</v>
      </c>
      <c r="B2646" s="14" t="s">
        <v>128</v>
      </c>
      <c r="C2646" s="14" t="s">
        <v>357</v>
      </c>
      <c r="D2646" s="14" t="s">
        <v>358</v>
      </c>
      <c r="E2646" s="14" t="s">
        <v>342</v>
      </c>
      <c r="F2646" s="14" t="s">
        <v>343</v>
      </c>
      <c r="G2646" s="14" t="s">
        <v>343</v>
      </c>
      <c r="H2646" s="14" t="s">
        <v>343</v>
      </c>
      <c r="U2646" s="14">
        <v>1</v>
      </c>
      <c r="V2646" s="14">
        <v>1</v>
      </c>
      <c r="W2646" s="14">
        <v>1</v>
      </c>
      <c r="X2646" s="14">
        <v>1</v>
      </c>
    </row>
    <row r="2647" spans="1:24" hidden="1" x14ac:dyDescent="0.3">
      <c r="A2647" s="14" t="s">
        <v>455</v>
      </c>
      <c r="B2647" s="14" t="s">
        <v>128</v>
      </c>
      <c r="C2647" s="14" t="s">
        <v>357</v>
      </c>
      <c r="D2647" s="14" t="s">
        <v>358</v>
      </c>
      <c r="E2647" s="14" t="s">
        <v>344</v>
      </c>
      <c r="F2647" s="14" t="s">
        <v>343</v>
      </c>
      <c r="G2647" s="14" t="s">
        <v>343</v>
      </c>
      <c r="H2647" s="14" t="s">
        <v>343</v>
      </c>
      <c r="U2647" s="14">
        <v>1</v>
      </c>
      <c r="V2647" s="14">
        <v>1</v>
      </c>
      <c r="W2647" s="14">
        <v>1</v>
      </c>
      <c r="X2647" s="14">
        <v>1</v>
      </c>
    </row>
    <row r="2648" spans="1:24" hidden="1" x14ac:dyDescent="0.3">
      <c r="A2648" s="14" t="s">
        <v>455</v>
      </c>
      <c r="B2648" s="14" t="s">
        <v>128</v>
      </c>
      <c r="C2648" s="14" t="s">
        <v>359</v>
      </c>
      <c r="D2648" s="14" t="s">
        <v>360</v>
      </c>
      <c r="E2648" s="14" t="s">
        <v>342</v>
      </c>
      <c r="F2648" s="14" t="s">
        <v>343</v>
      </c>
      <c r="G2648" s="14" t="s">
        <v>343</v>
      </c>
      <c r="H2648" s="14" t="s">
        <v>343</v>
      </c>
      <c r="I2648" s="14">
        <v>0.53</v>
      </c>
      <c r="J2648" s="14">
        <v>0.54</v>
      </c>
      <c r="K2648" s="14">
        <v>0.59</v>
      </c>
      <c r="L2648" s="14">
        <v>0.59</v>
      </c>
      <c r="M2648" s="14">
        <v>0.59</v>
      </c>
      <c r="N2648" s="14">
        <v>0.6</v>
      </c>
      <c r="O2648" s="14">
        <v>0.59</v>
      </c>
      <c r="P2648" s="14">
        <v>0.6</v>
      </c>
      <c r="Q2648" s="14">
        <v>0.56999999999999995</v>
      </c>
      <c r="R2648" s="14">
        <v>0.6</v>
      </c>
      <c r="S2648" s="14">
        <v>0.56999999999999995</v>
      </c>
      <c r="T2648" s="14">
        <v>0.56999999999999995</v>
      </c>
      <c r="U2648" s="14">
        <v>0.59</v>
      </c>
      <c r="V2648" s="14">
        <v>0.6</v>
      </c>
      <c r="W2648" s="14">
        <v>0.61</v>
      </c>
      <c r="X2648" s="14">
        <v>0.6</v>
      </c>
    </row>
    <row r="2649" spans="1:24" hidden="1" x14ac:dyDescent="0.3">
      <c r="A2649" s="14" t="s">
        <v>455</v>
      </c>
      <c r="B2649" s="14" t="s">
        <v>128</v>
      </c>
      <c r="C2649" s="14" t="s">
        <v>359</v>
      </c>
      <c r="D2649" s="14" t="s">
        <v>360</v>
      </c>
      <c r="E2649" s="14" t="s">
        <v>344</v>
      </c>
      <c r="F2649" s="14" t="s">
        <v>343</v>
      </c>
      <c r="G2649" s="14" t="s">
        <v>343</v>
      </c>
      <c r="H2649" s="14" t="s">
        <v>343</v>
      </c>
      <c r="I2649" s="14">
        <v>87</v>
      </c>
      <c r="J2649" s="14">
        <v>101</v>
      </c>
      <c r="K2649" s="14">
        <v>85</v>
      </c>
      <c r="L2649" s="14">
        <v>95</v>
      </c>
      <c r="M2649" s="14">
        <v>97</v>
      </c>
      <c r="N2649" s="14">
        <v>90</v>
      </c>
      <c r="O2649" s="14">
        <v>101</v>
      </c>
      <c r="P2649" s="14">
        <v>97</v>
      </c>
      <c r="Q2649" s="14">
        <v>114</v>
      </c>
      <c r="R2649" s="14">
        <v>111</v>
      </c>
      <c r="S2649" s="14">
        <v>117</v>
      </c>
      <c r="T2649" s="14">
        <v>118</v>
      </c>
      <c r="U2649" s="14">
        <v>118</v>
      </c>
      <c r="V2649" s="14">
        <v>117</v>
      </c>
      <c r="W2649" s="14">
        <v>114</v>
      </c>
      <c r="X2649" s="14">
        <v>110</v>
      </c>
    </row>
    <row r="2650" spans="1:24" x14ac:dyDescent="0.3">
      <c r="A2650" s="14" t="s">
        <v>455</v>
      </c>
      <c r="B2650" s="14" t="s">
        <v>128</v>
      </c>
      <c r="C2650" s="14" t="s">
        <v>361</v>
      </c>
      <c r="D2650" s="14" t="s">
        <v>362</v>
      </c>
      <c r="E2650" s="14" t="s">
        <v>342</v>
      </c>
      <c r="F2650" s="14" t="s">
        <v>343</v>
      </c>
      <c r="G2650" s="14" t="s">
        <v>343</v>
      </c>
      <c r="H2650" s="14" t="s">
        <v>343</v>
      </c>
      <c r="I2650" s="14">
        <v>0.97</v>
      </c>
      <c r="J2650" s="14">
        <v>0.97</v>
      </c>
      <c r="K2650" s="14">
        <v>0.97</v>
      </c>
      <c r="L2650" s="14">
        <v>0.97</v>
      </c>
      <c r="M2650" s="14">
        <v>0.97</v>
      </c>
      <c r="N2650" s="14">
        <v>0.97</v>
      </c>
      <c r="O2650" s="14">
        <v>0.97</v>
      </c>
      <c r="P2650" s="14">
        <v>0.97</v>
      </c>
      <c r="Q2650" s="14">
        <v>0.97</v>
      </c>
      <c r="R2650" s="14">
        <v>0.97</v>
      </c>
      <c r="S2650" s="14">
        <v>0.97</v>
      </c>
      <c r="T2650" s="14">
        <v>0.97</v>
      </c>
      <c r="U2650" s="14">
        <v>0.97</v>
      </c>
      <c r="V2650" s="14">
        <v>0.97</v>
      </c>
      <c r="W2650" s="14">
        <v>0.96</v>
      </c>
      <c r="X2650" s="14">
        <v>0.96</v>
      </c>
    </row>
    <row r="2651" spans="1:24" hidden="1" x14ac:dyDescent="0.3">
      <c r="A2651" s="14" t="s">
        <v>455</v>
      </c>
      <c r="B2651" s="14" t="s">
        <v>128</v>
      </c>
      <c r="C2651" s="14" t="s">
        <v>361</v>
      </c>
      <c r="D2651" s="14" t="s">
        <v>362</v>
      </c>
      <c r="E2651" s="14" t="s">
        <v>344</v>
      </c>
      <c r="F2651" s="14" t="s">
        <v>343</v>
      </c>
      <c r="G2651" s="14" t="s">
        <v>343</v>
      </c>
      <c r="H2651" s="14" t="s">
        <v>343</v>
      </c>
      <c r="I2651" s="14">
        <v>77</v>
      </c>
      <c r="J2651" s="14">
        <v>82</v>
      </c>
      <c r="K2651" s="14">
        <v>83</v>
      </c>
      <c r="L2651" s="14">
        <v>88</v>
      </c>
      <c r="M2651" s="14">
        <v>95</v>
      </c>
      <c r="N2651" s="14">
        <v>75</v>
      </c>
      <c r="O2651" s="14">
        <v>76</v>
      </c>
      <c r="P2651" s="14">
        <v>72</v>
      </c>
      <c r="Q2651" s="14">
        <v>70</v>
      </c>
      <c r="R2651" s="14">
        <v>74</v>
      </c>
      <c r="S2651" s="14">
        <v>72</v>
      </c>
      <c r="T2651" s="14">
        <v>123</v>
      </c>
      <c r="U2651" s="14">
        <v>116</v>
      </c>
      <c r="V2651" s="14">
        <v>118</v>
      </c>
      <c r="W2651" s="14">
        <v>118</v>
      </c>
      <c r="X2651" s="14">
        <v>108</v>
      </c>
    </row>
    <row r="2652" spans="1:24" hidden="1" x14ac:dyDescent="0.3">
      <c r="A2652" s="14" t="s">
        <v>455</v>
      </c>
      <c r="B2652" s="14" t="s">
        <v>128</v>
      </c>
      <c r="C2652" s="14" t="s">
        <v>363</v>
      </c>
      <c r="D2652" s="14" t="s">
        <v>364</v>
      </c>
      <c r="E2652" s="14" t="s">
        <v>342</v>
      </c>
      <c r="F2652" s="14" t="s">
        <v>343</v>
      </c>
      <c r="G2652" s="14" t="s">
        <v>343</v>
      </c>
      <c r="H2652" s="14" t="s">
        <v>343</v>
      </c>
      <c r="U2652" s="14">
        <v>1.03</v>
      </c>
      <c r="V2652" s="14">
        <v>1.03</v>
      </c>
      <c r="W2652" s="14">
        <v>1.02</v>
      </c>
      <c r="X2652" s="14">
        <v>1.02</v>
      </c>
    </row>
    <row r="2653" spans="1:24" hidden="1" x14ac:dyDescent="0.3">
      <c r="A2653" s="14" t="s">
        <v>455</v>
      </c>
      <c r="B2653" s="14" t="s">
        <v>128</v>
      </c>
      <c r="C2653" s="14" t="s">
        <v>363</v>
      </c>
      <c r="D2653" s="14" t="s">
        <v>364</v>
      </c>
      <c r="E2653" s="14" t="s">
        <v>344</v>
      </c>
      <c r="F2653" s="14" t="s">
        <v>343</v>
      </c>
      <c r="G2653" s="14" t="s">
        <v>343</v>
      </c>
      <c r="H2653" s="14" t="s">
        <v>343</v>
      </c>
      <c r="U2653" s="14">
        <v>111</v>
      </c>
      <c r="W2653" s="14">
        <v>113</v>
      </c>
      <c r="X2653" s="14">
        <v>105</v>
      </c>
    </row>
    <row r="2654" spans="1:24" hidden="1" x14ac:dyDescent="0.3">
      <c r="A2654" s="14" t="s">
        <v>455</v>
      </c>
      <c r="B2654" s="14" t="s">
        <v>128</v>
      </c>
      <c r="C2654" s="14" t="s">
        <v>365</v>
      </c>
      <c r="D2654" s="14" t="s">
        <v>366</v>
      </c>
      <c r="E2654" s="14" t="s">
        <v>342</v>
      </c>
      <c r="F2654" s="14" t="s">
        <v>343</v>
      </c>
      <c r="G2654" s="14" t="s">
        <v>343</v>
      </c>
      <c r="H2654" s="14" t="s">
        <v>343</v>
      </c>
      <c r="U2654" s="14">
        <v>0.94</v>
      </c>
      <c r="V2654" s="14">
        <v>0.94</v>
      </c>
      <c r="W2654" s="14">
        <v>0.94</v>
      </c>
      <c r="X2654" s="14">
        <v>0.94</v>
      </c>
    </row>
    <row r="2655" spans="1:24" hidden="1" x14ac:dyDescent="0.3">
      <c r="A2655" s="14" t="s">
        <v>455</v>
      </c>
      <c r="B2655" s="14" t="s">
        <v>128</v>
      </c>
      <c r="C2655" s="14" t="s">
        <v>365</v>
      </c>
      <c r="D2655" s="14" t="s">
        <v>366</v>
      </c>
      <c r="E2655" s="14" t="s">
        <v>344</v>
      </c>
      <c r="F2655" s="14" t="s">
        <v>343</v>
      </c>
      <c r="G2655" s="14" t="s">
        <v>343</v>
      </c>
      <c r="H2655" s="14" t="s">
        <v>343</v>
      </c>
      <c r="U2655" s="14">
        <v>131</v>
      </c>
      <c r="V2655" s="14">
        <v>126</v>
      </c>
      <c r="W2655" s="14">
        <v>131</v>
      </c>
      <c r="X2655" s="14">
        <v>126</v>
      </c>
    </row>
    <row r="2656" spans="1:24" hidden="1" x14ac:dyDescent="0.3">
      <c r="A2656" s="14" t="s">
        <v>455</v>
      </c>
      <c r="B2656" s="14" t="s">
        <v>128</v>
      </c>
      <c r="C2656" s="14" t="s">
        <v>367</v>
      </c>
      <c r="D2656" s="14" t="s">
        <v>368</v>
      </c>
      <c r="E2656" s="14" t="s">
        <v>342</v>
      </c>
      <c r="F2656" s="14" t="s">
        <v>343</v>
      </c>
      <c r="G2656" s="14" t="s">
        <v>343</v>
      </c>
      <c r="H2656" s="14" t="s">
        <v>343</v>
      </c>
      <c r="I2656" s="14">
        <v>0.65</v>
      </c>
      <c r="J2656" s="14">
        <v>0.65</v>
      </c>
      <c r="K2656" s="14">
        <v>0.68</v>
      </c>
      <c r="L2656" s="14">
        <v>0.68</v>
      </c>
      <c r="M2656" s="14">
        <v>0.68</v>
      </c>
      <c r="N2656" s="14">
        <v>0.68</v>
      </c>
      <c r="O2656" s="14">
        <v>0.67</v>
      </c>
      <c r="P2656" s="14">
        <v>0.69</v>
      </c>
      <c r="Q2656" s="14">
        <v>0.7</v>
      </c>
      <c r="R2656" s="14">
        <v>0.73</v>
      </c>
      <c r="S2656" s="14">
        <v>0.72</v>
      </c>
      <c r="T2656" s="14">
        <v>0.69</v>
      </c>
      <c r="U2656" s="14">
        <v>0.71</v>
      </c>
      <c r="V2656" s="14">
        <v>0.71</v>
      </c>
      <c r="W2656" s="14">
        <v>0.72</v>
      </c>
      <c r="X2656" s="14">
        <v>0.72</v>
      </c>
    </row>
    <row r="2657" spans="1:24" hidden="1" x14ac:dyDescent="0.3">
      <c r="A2657" s="14" t="s">
        <v>455</v>
      </c>
      <c r="B2657" s="14" t="s">
        <v>128</v>
      </c>
      <c r="C2657" s="14" t="s">
        <v>367</v>
      </c>
      <c r="D2657" s="14" t="s">
        <v>368</v>
      </c>
      <c r="E2657" s="14" t="s">
        <v>344</v>
      </c>
      <c r="F2657" s="14" t="s">
        <v>343</v>
      </c>
      <c r="G2657" s="14" t="s">
        <v>343</v>
      </c>
      <c r="H2657" s="14" t="s">
        <v>343</v>
      </c>
      <c r="I2657" s="14">
        <v>77</v>
      </c>
      <c r="J2657" s="14">
        <v>84</v>
      </c>
      <c r="K2657" s="14">
        <v>67</v>
      </c>
      <c r="L2657" s="14">
        <v>72</v>
      </c>
      <c r="M2657" s="14">
        <v>74</v>
      </c>
      <c r="N2657" s="14">
        <v>74</v>
      </c>
      <c r="O2657" s="14">
        <v>80</v>
      </c>
      <c r="P2657" s="14">
        <v>71</v>
      </c>
      <c r="Q2657" s="14">
        <v>69</v>
      </c>
      <c r="R2657" s="14">
        <v>41</v>
      </c>
      <c r="S2657" s="14">
        <v>50</v>
      </c>
      <c r="T2657" s="14">
        <v>82</v>
      </c>
      <c r="U2657" s="14">
        <v>70</v>
      </c>
      <c r="V2657" s="14">
        <v>76</v>
      </c>
      <c r="W2657" s="14">
        <v>63</v>
      </c>
      <c r="X2657" s="14">
        <v>63</v>
      </c>
    </row>
    <row r="2658" spans="1:24" hidden="1" x14ac:dyDescent="0.3">
      <c r="A2658" s="14" t="s">
        <v>455</v>
      </c>
      <c r="B2658" s="14" t="s">
        <v>128</v>
      </c>
      <c r="C2658" s="14" t="s">
        <v>369</v>
      </c>
      <c r="D2658" s="14" t="s">
        <v>370</v>
      </c>
      <c r="E2658" s="14" t="s">
        <v>342</v>
      </c>
      <c r="F2658" s="14" t="s">
        <v>343</v>
      </c>
      <c r="G2658" s="14" t="s">
        <v>343</v>
      </c>
      <c r="H2658" s="14" t="s">
        <v>343</v>
      </c>
      <c r="I2658" s="14">
        <v>0.09</v>
      </c>
      <c r="J2658" s="14">
        <v>0.09</v>
      </c>
      <c r="L2658" s="14">
        <v>0.16</v>
      </c>
      <c r="M2658" s="14">
        <v>0.15</v>
      </c>
      <c r="N2658" s="14">
        <v>0.15</v>
      </c>
      <c r="O2658" s="14">
        <v>0.13</v>
      </c>
      <c r="P2658" s="14">
        <v>0.19</v>
      </c>
      <c r="Q2658" s="14">
        <v>0.25</v>
      </c>
      <c r="R2658" s="14">
        <v>0.33</v>
      </c>
      <c r="S2658" s="14">
        <v>0.33</v>
      </c>
      <c r="T2658" s="14">
        <v>0.23</v>
      </c>
      <c r="U2658" s="14">
        <v>0.27</v>
      </c>
      <c r="V2658" s="14">
        <v>0.27</v>
      </c>
      <c r="W2658" s="14">
        <v>0.31</v>
      </c>
      <c r="X2658" s="14">
        <v>0.32</v>
      </c>
    </row>
    <row r="2659" spans="1:24" hidden="1" x14ac:dyDescent="0.3">
      <c r="A2659" s="14" t="s">
        <v>455</v>
      </c>
      <c r="B2659" s="14" t="s">
        <v>128</v>
      </c>
      <c r="C2659" s="14" t="s">
        <v>369</v>
      </c>
      <c r="D2659" s="14" t="s">
        <v>370</v>
      </c>
      <c r="E2659" s="14" t="s">
        <v>344</v>
      </c>
      <c r="F2659" s="14" t="s">
        <v>343</v>
      </c>
      <c r="G2659" s="14" t="s">
        <v>343</v>
      </c>
      <c r="H2659" s="14" t="s">
        <v>343</v>
      </c>
      <c r="I2659" s="14">
        <v>72</v>
      </c>
      <c r="J2659" s="14">
        <v>80</v>
      </c>
      <c r="K2659" s="14">
        <v>46</v>
      </c>
      <c r="L2659" s="14">
        <v>45</v>
      </c>
      <c r="M2659" s="14">
        <v>54</v>
      </c>
      <c r="N2659" s="14">
        <v>55</v>
      </c>
      <c r="O2659" s="14">
        <v>71</v>
      </c>
      <c r="P2659" s="14">
        <v>44</v>
      </c>
      <c r="Q2659" s="14">
        <v>37</v>
      </c>
      <c r="R2659" s="14">
        <v>24</v>
      </c>
      <c r="S2659" s="14">
        <v>25</v>
      </c>
      <c r="T2659" s="14">
        <v>46</v>
      </c>
      <c r="U2659" s="14">
        <v>38</v>
      </c>
      <c r="V2659" s="14">
        <v>44</v>
      </c>
      <c r="W2659" s="14">
        <v>41</v>
      </c>
      <c r="X2659" s="14">
        <v>40</v>
      </c>
    </row>
    <row r="2660" spans="1:24" hidden="1" x14ac:dyDescent="0.3">
      <c r="A2660" s="14" t="s">
        <v>455</v>
      </c>
      <c r="B2660" s="14" t="s">
        <v>128</v>
      </c>
      <c r="C2660" s="14" t="s">
        <v>371</v>
      </c>
      <c r="D2660" s="14" t="s">
        <v>372</v>
      </c>
      <c r="E2660" s="14" t="s">
        <v>342</v>
      </c>
      <c r="F2660" s="14" t="s">
        <v>343</v>
      </c>
      <c r="G2660" s="14" t="s">
        <v>343</v>
      </c>
      <c r="H2660" s="14" t="s">
        <v>343</v>
      </c>
      <c r="U2660" s="14">
        <v>0</v>
      </c>
      <c r="V2660" s="14">
        <v>0</v>
      </c>
      <c r="W2660" s="14">
        <v>0</v>
      </c>
      <c r="X2660" s="14">
        <v>0</v>
      </c>
    </row>
    <row r="2661" spans="1:24" hidden="1" x14ac:dyDescent="0.3">
      <c r="A2661" s="14" t="s">
        <v>455</v>
      </c>
      <c r="B2661" s="14" t="s">
        <v>128</v>
      </c>
      <c r="C2661" s="14" t="s">
        <v>371</v>
      </c>
      <c r="D2661" s="14" t="s">
        <v>372</v>
      </c>
      <c r="E2661" s="14" t="s">
        <v>344</v>
      </c>
      <c r="F2661" s="14" t="s">
        <v>343</v>
      </c>
      <c r="G2661" s="14" t="s">
        <v>343</v>
      </c>
      <c r="H2661" s="14" t="s">
        <v>343</v>
      </c>
      <c r="U2661" s="14">
        <v>71</v>
      </c>
      <c r="V2661" s="14">
        <v>73</v>
      </c>
      <c r="W2661" s="14">
        <v>76</v>
      </c>
      <c r="X2661" s="14">
        <v>78</v>
      </c>
    </row>
    <row r="2662" spans="1:24" hidden="1" x14ac:dyDescent="0.3">
      <c r="A2662" s="14" t="s">
        <v>455</v>
      </c>
      <c r="B2662" s="14" t="s">
        <v>128</v>
      </c>
      <c r="C2662" s="14" t="s">
        <v>373</v>
      </c>
      <c r="D2662" s="14" t="s">
        <v>374</v>
      </c>
      <c r="E2662" s="14" t="s">
        <v>342</v>
      </c>
      <c r="F2662" s="14" t="s">
        <v>343</v>
      </c>
      <c r="G2662" s="14" t="s">
        <v>343</v>
      </c>
      <c r="H2662" s="14" t="s">
        <v>343</v>
      </c>
      <c r="U2662" s="14">
        <v>0.38</v>
      </c>
      <c r="V2662" s="14">
        <v>0.38</v>
      </c>
      <c r="W2662" s="14">
        <v>0.56999999999999995</v>
      </c>
      <c r="X2662" s="14">
        <v>0.56999999999999995</v>
      </c>
    </row>
    <row r="2663" spans="1:24" hidden="1" x14ac:dyDescent="0.3">
      <c r="A2663" s="14" t="s">
        <v>455</v>
      </c>
      <c r="B2663" s="14" t="s">
        <v>128</v>
      </c>
      <c r="C2663" s="14" t="s">
        <v>373</v>
      </c>
      <c r="D2663" s="14" t="s">
        <v>374</v>
      </c>
      <c r="E2663" s="14" t="s">
        <v>344</v>
      </c>
      <c r="F2663" s="14" t="s">
        <v>343</v>
      </c>
      <c r="G2663" s="14" t="s">
        <v>343</v>
      </c>
      <c r="H2663" s="14" t="s">
        <v>343</v>
      </c>
      <c r="U2663" s="14">
        <v>29</v>
      </c>
      <c r="V2663" s="14">
        <v>47</v>
      </c>
      <c r="W2663" s="14">
        <v>33</v>
      </c>
      <c r="X2663" s="14">
        <v>33</v>
      </c>
    </row>
    <row r="2664" spans="1:24" hidden="1" x14ac:dyDescent="0.3">
      <c r="A2664" s="14" t="s">
        <v>455</v>
      </c>
      <c r="B2664" s="14" t="s">
        <v>128</v>
      </c>
      <c r="C2664" s="14" t="s">
        <v>375</v>
      </c>
      <c r="D2664" s="14" t="s">
        <v>376</v>
      </c>
      <c r="E2664" s="14" t="s">
        <v>342</v>
      </c>
      <c r="F2664" s="14" t="s">
        <v>343</v>
      </c>
      <c r="G2664" s="14" t="s">
        <v>343</v>
      </c>
      <c r="H2664" s="14" t="s">
        <v>343</v>
      </c>
      <c r="U2664" s="14">
        <v>0.56000000000000005</v>
      </c>
      <c r="V2664" s="14">
        <v>0.56000000000000005</v>
      </c>
      <c r="W2664" s="14">
        <v>0.56000000000000005</v>
      </c>
      <c r="X2664" s="14">
        <v>0.56999999999999995</v>
      </c>
    </row>
    <row r="2665" spans="1:24" hidden="1" x14ac:dyDescent="0.3">
      <c r="A2665" s="14" t="s">
        <v>455</v>
      </c>
      <c r="B2665" s="14" t="s">
        <v>128</v>
      </c>
      <c r="C2665" s="14" t="s">
        <v>375</v>
      </c>
      <c r="D2665" s="14" t="s">
        <v>376</v>
      </c>
      <c r="E2665" s="14" t="s">
        <v>344</v>
      </c>
      <c r="F2665" s="14" t="s">
        <v>343</v>
      </c>
      <c r="G2665" s="14" t="s">
        <v>343</v>
      </c>
      <c r="H2665" s="14" t="s">
        <v>343</v>
      </c>
      <c r="U2665" s="14">
        <v>27</v>
      </c>
      <c r="V2665" s="14">
        <v>30</v>
      </c>
      <c r="W2665" s="14">
        <v>33</v>
      </c>
      <c r="X2665" s="14">
        <v>36</v>
      </c>
    </row>
    <row r="2666" spans="1:24" hidden="1" x14ac:dyDescent="0.3">
      <c r="A2666" s="14" t="s">
        <v>456</v>
      </c>
      <c r="B2666" s="14" t="s">
        <v>129</v>
      </c>
      <c r="C2666" s="14" t="s">
        <v>340</v>
      </c>
      <c r="D2666" s="14" t="s">
        <v>341</v>
      </c>
      <c r="E2666" s="14" t="s">
        <v>342</v>
      </c>
      <c r="F2666" s="14" t="s">
        <v>343</v>
      </c>
      <c r="G2666" s="14" t="s">
        <v>343</v>
      </c>
      <c r="H2666" s="14" t="s">
        <v>343</v>
      </c>
      <c r="I2666" s="14">
        <v>1</v>
      </c>
      <c r="J2666" s="14">
        <v>1</v>
      </c>
      <c r="K2666" s="14">
        <v>1</v>
      </c>
      <c r="L2666" s="14">
        <v>1</v>
      </c>
      <c r="M2666" s="14">
        <v>0.98</v>
      </c>
      <c r="N2666" s="14">
        <v>0.98</v>
      </c>
      <c r="O2666" s="14">
        <v>0.99</v>
      </c>
      <c r="P2666" s="14">
        <v>0.99</v>
      </c>
      <c r="Q2666" s="14">
        <v>1</v>
      </c>
      <c r="R2666" s="14">
        <v>1</v>
      </c>
      <c r="S2666" s="14">
        <v>1</v>
      </c>
      <c r="T2666" s="14">
        <v>1</v>
      </c>
      <c r="U2666" s="14">
        <v>1</v>
      </c>
      <c r="V2666" s="14">
        <v>1</v>
      </c>
      <c r="W2666" s="14">
        <v>1</v>
      </c>
      <c r="X2666" s="14">
        <v>1</v>
      </c>
    </row>
    <row r="2667" spans="1:24" hidden="1" x14ac:dyDescent="0.3">
      <c r="A2667" s="14" t="s">
        <v>456</v>
      </c>
      <c r="B2667" s="14" t="s">
        <v>129</v>
      </c>
      <c r="C2667" s="14" t="s">
        <v>340</v>
      </c>
      <c r="D2667" s="14" t="s">
        <v>341</v>
      </c>
      <c r="E2667" s="14" t="s">
        <v>344</v>
      </c>
      <c r="F2667" s="14" t="s">
        <v>343</v>
      </c>
      <c r="G2667" s="14" t="s">
        <v>343</v>
      </c>
      <c r="H2667" s="14" t="s">
        <v>343</v>
      </c>
      <c r="I2667" s="14">
        <v>1</v>
      </c>
      <c r="J2667" s="14">
        <v>1</v>
      </c>
      <c r="K2667" s="14">
        <v>1</v>
      </c>
      <c r="L2667" s="14">
        <v>1</v>
      </c>
      <c r="M2667" s="14">
        <v>86</v>
      </c>
      <c r="N2667" s="14">
        <v>83</v>
      </c>
      <c r="O2667" s="14">
        <v>79</v>
      </c>
      <c r="P2667" s="14">
        <v>80</v>
      </c>
      <c r="Q2667" s="14">
        <v>37</v>
      </c>
      <c r="R2667" s="14">
        <v>42</v>
      </c>
      <c r="S2667" s="14">
        <v>1</v>
      </c>
      <c r="T2667" s="14">
        <v>1</v>
      </c>
      <c r="V2667" s="14">
        <v>1</v>
      </c>
      <c r="W2667" s="14">
        <v>1</v>
      </c>
      <c r="X2667" s="14">
        <v>1</v>
      </c>
    </row>
    <row r="2668" spans="1:24" hidden="1" x14ac:dyDescent="0.3">
      <c r="A2668" s="14" t="s">
        <v>456</v>
      </c>
      <c r="B2668" s="14" t="s">
        <v>129</v>
      </c>
      <c r="C2668" s="14" t="s">
        <v>345</v>
      </c>
      <c r="D2668" s="14" t="s">
        <v>346</v>
      </c>
      <c r="E2668" s="14" t="s">
        <v>342</v>
      </c>
      <c r="F2668" s="14" t="s">
        <v>343</v>
      </c>
      <c r="G2668" s="14" t="s">
        <v>343</v>
      </c>
      <c r="H2668" s="14" t="s">
        <v>343</v>
      </c>
      <c r="U2668" s="14">
        <v>0.61</v>
      </c>
      <c r="V2668" s="14">
        <v>0.62</v>
      </c>
      <c r="W2668" s="14">
        <v>0.63</v>
      </c>
      <c r="X2668" s="14">
        <v>0.81</v>
      </c>
    </row>
    <row r="2669" spans="1:24" hidden="1" x14ac:dyDescent="0.3">
      <c r="A2669" s="14" t="s">
        <v>456</v>
      </c>
      <c r="B2669" s="14" t="s">
        <v>129</v>
      </c>
      <c r="C2669" s="14" t="s">
        <v>345</v>
      </c>
      <c r="D2669" s="14" t="s">
        <v>346</v>
      </c>
      <c r="E2669" s="14" t="s">
        <v>344</v>
      </c>
      <c r="F2669" s="14" t="s">
        <v>343</v>
      </c>
      <c r="G2669" s="14" t="s">
        <v>343</v>
      </c>
      <c r="H2669" s="14" t="s">
        <v>343</v>
      </c>
      <c r="U2669" s="14">
        <v>78</v>
      </c>
      <c r="V2669" s="14">
        <v>74</v>
      </c>
      <c r="W2669" s="14">
        <v>69</v>
      </c>
      <c r="X2669" s="14">
        <v>15</v>
      </c>
    </row>
    <row r="2670" spans="1:24" hidden="1" x14ac:dyDescent="0.3">
      <c r="A2670" s="14" t="s">
        <v>456</v>
      </c>
      <c r="B2670" s="14" t="s">
        <v>129</v>
      </c>
      <c r="C2670" s="14" t="s">
        <v>347</v>
      </c>
      <c r="D2670" s="14" t="s">
        <v>348</v>
      </c>
      <c r="E2670" s="14" t="s">
        <v>342</v>
      </c>
      <c r="F2670" s="14" t="s">
        <v>343</v>
      </c>
      <c r="G2670" s="14" t="s">
        <v>343</v>
      </c>
      <c r="H2670" s="14" t="s">
        <v>343</v>
      </c>
      <c r="U2670" s="14">
        <v>0.77</v>
      </c>
      <c r="V2670" s="14">
        <v>0.86</v>
      </c>
      <c r="W2670" s="14">
        <v>0.85</v>
      </c>
      <c r="X2670" s="14">
        <v>0.8</v>
      </c>
    </row>
    <row r="2671" spans="1:24" hidden="1" x14ac:dyDescent="0.3">
      <c r="A2671" s="14" t="s">
        <v>456</v>
      </c>
      <c r="B2671" s="14" t="s">
        <v>129</v>
      </c>
      <c r="C2671" s="14" t="s">
        <v>347</v>
      </c>
      <c r="D2671" s="14" t="s">
        <v>348</v>
      </c>
      <c r="E2671" s="14" t="s">
        <v>344</v>
      </c>
      <c r="F2671" s="14" t="s">
        <v>343</v>
      </c>
      <c r="G2671" s="14" t="s">
        <v>343</v>
      </c>
      <c r="H2671" s="14" t="s">
        <v>343</v>
      </c>
      <c r="U2671" s="14">
        <v>83</v>
      </c>
      <c r="V2671" s="14">
        <v>62</v>
      </c>
      <c r="W2671" s="14">
        <v>64</v>
      </c>
      <c r="X2671" s="14">
        <v>64</v>
      </c>
    </row>
    <row r="2672" spans="1:24" hidden="1" x14ac:dyDescent="0.3">
      <c r="A2672" s="14" t="s">
        <v>456</v>
      </c>
      <c r="B2672" s="14" t="s">
        <v>129</v>
      </c>
      <c r="C2672" s="14" t="s">
        <v>349</v>
      </c>
      <c r="D2672" s="14" t="s">
        <v>350</v>
      </c>
      <c r="E2672" s="14" t="s">
        <v>342</v>
      </c>
      <c r="F2672" s="14" t="s">
        <v>343</v>
      </c>
      <c r="G2672" s="14" t="s">
        <v>343</v>
      </c>
      <c r="H2672" s="14" t="s">
        <v>343</v>
      </c>
      <c r="U2672" s="14">
        <v>1</v>
      </c>
      <c r="V2672" s="14">
        <v>1</v>
      </c>
      <c r="W2672" s="14">
        <v>1</v>
      </c>
      <c r="X2672" s="14">
        <v>1</v>
      </c>
    </row>
    <row r="2673" spans="1:24" hidden="1" x14ac:dyDescent="0.3">
      <c r="A2673" s="14" t="s">
        <v>456</v>
      </c>
      <c r="B2673" s="14" t="s">
        <v>129</v>
      </c>
      <c r="C2673" s="14" t="s">
        <v>349</v>
      </c>
      <c r="D2673" s="14" t="s">
        <v>350</v>
      </c>
      <c r="E2673" s="14" t="s">
        <v>344</v>
      </c>
      <c r="F2673" s="14" t="s">
        <v>343</v>
      </c>
      <c r="G2673" s="14" t="s">
        <v>343</v>
      </c>
      <c r="H2673" s="14" t="s">
        <v>343</v>
      </c>
      <c r="U2673" s="14">
        <v>1</v>
      </c>
      <c r="V2673" s="14">
        <v>1</v>
      </c>
      <c r="W2673" s="14">
        <v>1</v>
      </c>
      <c r="X2673" s="14">
        <v>1</v>
      </c>
    </row>
    <row r="2674" spans="1:24" hidden="1" x14ac:dyDescent="0.3">
      <c r="A2674" s="14" t="s">
        <v>456</v>
      </c>
      <c r="B2674" s="14" t="s">
        <v>129</v>
      </c>
      <c r="C2674" s="14" t="s">
        <v>351</v>
      </c>
      <c r="D2674" s="14" t="s">
        <v>352</v>
      </c>
      <c r="E2674" s="14" t="s">
        <v>342</v>
      </c>
      <c r="F2674" s="14" t="s">
        <v>343</v>
      </c>
      <c r="G2674" s="14" t="s">
        <v>343</v>
      </c>
      <c r="H2674" s="14" t="s">
        <v>343</v>
      </c>
      <c r="U2674" s="14">
        <v>1</v>
      </c>
      <c r="V2674" s="14">
        <v>1</v>
      </c>
      <c r="W2674" s="14">
        <v>1</v>
      </c>
      <c r="X2674" s="14">
        <v>1</v>
      </c>
    </row>
    <row r="2675" spans="1:24" hidden="1" x14ac:dyDescent="0.3">
      <c r="A2675" s="14" t="s">
        <v>456</v>
      </c>
      <c r="B2675" s="14" t="s">
        <v>129</v>
      </c>
      <c r="C2675" s="14" t="s">
        <v>351</v>
      </c>
      <c r="D2675" s="14" t="s">
        <v>352</v>
      </c>
      <c r="E2675" s="14" t="s">
        <v>344</v>
      </c>
      <c r="F2675" s="14" t="s">
        <v>343</v>
      </c>
      <c r="G2675" s="14" t="s">
        <v>343</v>
      </c>
      <c r="H2675" s="14" t="s">
        <v>343</v>
      </c>
      <c r="U2675" s="14">
        <v>1</v>
      </c>
      <c r="V2675" s="14">
        <v>1</v>
      </c>
      <c r="W2675" s="14">
        <v>1</v>
      </c>
      <c r="X2675" s="14">
        <v>1</v>
      </c>
    </row>
    <row r="2676" spans="1:24" hidden="1" x14ac:dyDescent="0.3">
      <c r="A2676" s="14" t="s">
        <v>456</v>
      </c>
      <c r="B2676" s="14" t="s">
        <v>129</v>
      </c>
      <c r="C2676" s="14" t="s">
        <v>378</v>
      </c>
      <c r="D2676" s="14" t="s">
        <v>379</v>
      </c>
      <c r="E2676" s="14" t="s">
        <v>342</v>
      </c>
      <c r="F2676" s="14" t="s">
        <v>343</v>
      </c>
      <c r="G2676" s="14" t="s">
        <v>343</v>
      </c>
      <c r="H2676" s="14" t="s">
        <v>343</v>
      </c>
      <c r="S2676" s="14">
        <v>0.63</v>
      </c>
      <c r="U2676" s="14">
        <v>0.61</v>
      </c>
      <c r="V2676" s="14">
        <v>0.61</v>
      </c>
      <c r="W2676" s="14">
        <v>0.61</v>
      </c>
      <c r="X2676" s="14">
        <v>0.61</v>
      </c>
    </row>
    <row r="2677" spans="1:24" hidden="1" x14ac:dyDescent="0.3">
      <c r="A2677" s="14" t="s">
        <v>456</v>
      </c>
      <c r="B2677" s="14" t="s">
        <v>129</v>
      </c>
      <c r="C2677" s="14" t="s">
        <v>378</v>
      </c>
      <c r="D2677" s="14" t="s">
        <v>379</v>
      </c>
      <c r="E2677" s="14" t="s">
        <v>344</v>
      </c>
      <c r="F2677" s="14" t="s">
        <v>343</v>
      </c>
      <c r="G2677" s="14" t="s">
        <v>343</v>
      </c>
      <c r="H2677" s="14" t="s">
        <v>343</v>
      </c>
      <c r="S2677" s="14">
        <v>82</v>
      </c>
      <c r="U2677" s="14">
        <v>92</v>
      </c>
      <c r="V2677" s="14">
        <v>95</v>
      </c>
      <c r="W2677" s="14">
        <v>100</v>
      </c>
      <c r="X2677" s="14">
        <v>95</v>
      </c>
    </row>
    <row r="2678" spans="1:24" hidden="1" x14ac:dyDescent="0.3">
      <c r="A2678" s="14" t="s">
        <v>456</v>
      </c>
      <c r="B2678" s="14" t="s">
        <v>129</v>
      </c>
      <c r="C2678" s="14" t="s">
        <v>353</v>
      </c>
      <c r="D2678" s="14" t="s">
        <v>354</v>
      </c>
      <c r="E2678" s="14" t="s">
        <v>342</v>
      </c>
      <c r="F2678" s="14" t="s">
        <v>343</v>
      </c>
      <c r="G2678" s="14" t="s">
        <v>343</v>
      </c>
      <c r="H2678" s="14" t="s">
        <v>343</v>
      </c>
      <c r="U2678" s="14">
        <v>1</v>
      </c>
      <c r="V2678" s="14">
        <v>1</v>
      </c>
      <c r="W2678" s="14">
        <v>1</v>
      </c>
      <c r="X2678" s="14">
        <v>1</v>
      </c>
    </row>
    <row r="2679" spans="1:24" hidden="1" x14ac:dyDescent="0.3">
      <c r="A2679" s="14" t="s">
        <v>456</v>
      </c>
      <c r="B2679" s="14" t="s">
        <v>129</v>
      </c>
      <c r="C2679" s="14" t="s">
        <v>353</v>
      </c>
      <c r="D2679" s="14" t="s">
        <v>354</v>
      </c>
      <c r="E2679" s="14" t="s">
        <v>344</v>
      </c>
      <c r="F2679" s="14" t="s">
        <v>343</v>
      </c>
      <c r="G2679" s="14" t="s">
        <v>343</v>
      </c>
      <c r="H2679" s="14" t="s">
        <v>343</v>
      </c>
      <c r="U2679" s="14">
        <v>1</v>
      </c>
      <c r="V2679" s="14">
        <v>1</v>
      </c>
      <c r="W2679" s="14">
        <v>1</v>
      </c>
      <c r="X2679" s="14">
        <v>1</v>
      </c>
    </row>
    <row r="2680" spans="1:24" hidden="1" x14ac:dyDescent="0.3">
      <c r="A2680" s="14" t="s">
        <v>456</v>
      </c>
      <c r="B2680" s="14" t="s">
        <v>129</v>
      </c>
      <c r="C2680" s="14" t="s">
        <v>380</v>
      </c>
      <c r="D2680" s="14" t="s">
        <v>381</v>
      </c>
      <c r="E2680" s="14" t="s">
        <v>342</v>
      </c>
      <c r="F2680" s="14" t="s">
        <v>343</v>
      </c>
      <c r="G2680" s="14" t="s">
        <v>343</v>
      </c>
      <c r="H2680" s="14" t="s">
        <v>343</v>
      </c>
      <c r="V2680" s="14">
        <v>1</v>
      </c>
      <c r="W2680" s="14">
        <v>1</v>
      </c>
    </row>
    <row r="2681" spans="1:24" hidden="1" x14ac:dyDescent="0.3">
      <c r="A2681" s="14" t="s">
        <v>456</v>
      </c>
      <c r="B2681" s="14" t="s">
        <v>129</v>
      </c>
      <c r="C2681" s="14" t="s">
        <v>380</v>
      </c>
      <c r="D2681" s="14" t="s">
        <v>381</v>
      </c>
      <c r="E2681" s="14" t="s">
        <v>344</v>
      </c>
      <c r="F2681" s="14" t="s">
        <v>343</v>
      </c>
      <c r="G2681" s="14" t="s">
        <v>343</v>
      </c>
      <c r="H2681" s="14" t="s">
        <v>343</v>
      </c>
      <c r="V2681" s="14">
        <v>1</v>
      </c>
      <c r="W2681" s="14">
        <v>1</v>
      </c>
    </row>
    <row r="2682" spans="1:24" hidden="1" x14ac:dyDescent="0.3">
      <c r="A2682" s="14" t="s">
        <v>456</v>
      </c>
      <c r="B2682" s="14" t="s">
        <v>129</v>
      </c>
      <c r="C2682" s="14" t="s">
        <v>355</v>
      </c>
      <c r="D2682" s="14" t="s">
        <v>356</v>
      </c>
      <c r="E2682" s="14" t="s">
        <v>342</v>
      </c>
      <c r="F2682" s="14" t="s">
        <v>343</v>
      </c>
      <c r="G2682" s="14" t="s">
        <v>343</v>
      </c>
      <c r="H2682" s="14" t="s">
        <v>343</v>
      </c>
      <c r="U2682" s="14">
        <v>1</v>
      </c>
      <c r="V2682" s="14">
        <v>1</v>
      </c>
      <c r="W2682" s="14">
        <v>1</v>
      </c>
      <c r="X2682" s="14">
        <v>1</v>
      </c>
    </row>
    <row r="2683" spans="1:24" hidden="1" x14ac:dyDescent="0.3">
      <c r="A2683" s="14" t="s">
        <v>456</v>
      </c>
      <c r="B2683" s="14" t="s">
        <v>129</v>
      </c>
      <c r="C2683" s="14" t="s">
        <v>355</v>
      </c>
      <c r="D2683" s="14" t="s">
        <v>356</v>
      </c>
      <c r="E2683" s="14" t="s">
        <v>344</v>
      </c>
      <c r="F2683" s="14" t="s">
        <v>343</v>
      </c>
      <c r="G2683" s="14" t="s">
        <v>343</v>
      </c>
      <c r="H2683" s="14" t="s">
        <v>343</v>
      </c>
      <c r="U2683" s="14">
        <v>1</v>
      </c>
      <c r="V2683" s="14">
        <v>1</v>
      </c>
      <c r="W2683" s="14">
        <v>1</v>
      </c>
      <c r="X2683" s="14">
        <v>1</v>
      </c>
    </row>
    <row r="2684" spans="1:24" hidden="1" x14ac:dyDescent="0.3">
      <c r="A2684" s="14" t="s">
        <v>456</v>
      </c>
      <c r="B2684" s="14" t="s">
        <v>129</v>
      </c>
      <c r="C2684" s="14" t="s">
        <v>357</v>
      </c>
      <c r="D2684" s="14" t="s">
        <v>358</v>
      </c>
      <c r="E2684" s="14" t="s">
        <v>342</v>
      </c>
      <c r="F2684" s="14" t="s">
        <v>343</v>
      </c>
      <c r="G2684" s="14" t="s">
        <v>343</v>
      </c>
      <c r="H2684" s="14" t="s">
        <v>343</v>
      </c>
      <c r="U2684" s="14">
        <v>1</v>
      </c>
      <c r="V2684" s="14">
        <v>1</v>
      </c>
      <c r="W2684" s="14">
        <v>1</v>
      </c>
      <c r="X2684" s="14">
        <v>1</v>
      </c>
    </row>
    <row r="2685" spans="1:24" hidden="1" x14ac:dyDescent="0.3">
      <c r="A2685" s="14" t="s">
        <v>456</v>
      </c>
      <c r="B2685" s="14" t="s">
        <v>129</v>
      </c>
      <c r="C2685" s="14" t="s">
        <v>357</v>
      </c>
      <c r="D2685" s="14" t="s">
        <v>358</v>
      </c>
      <c r="E2685" s="14" t="s">
        <v>344</v>
      </c>
      <c r="F2685" s="14" t="s">
        <v>343</v>
      </c>
      <c r="G2685" s="14" t="s">
        <v>343</v>
      </c>
      <c r="H2685" s="14" t="s">
        <v>343</v>
      </c>
      <c r="U2685" s="14">
        <v>1</v>
      </c>
      <c r="V2685" s="14">
        <v>1</v>
      </c>
      <c r="W2685" s="14">
        <v>1</v>
      </c>
      <c r="X2685" s="14">
        <v>1</v>
      </c>
    </row>
    <row r="2686" spans="1:24" hidden="1" x14ac:dyDescent="0.3">
      <c r="A2686" s="14" t="s">
        <v>456</v>
      </c>
      <c r="B2686" s="14" t="s">
        <v>129</v>
      </c>
      <c r="C2686" s="14" t="s">
        <v>359</v>
      </c>
      <c r="D2686" s="14" t="s">
        <v>360</v>
      </c>
      <c r="E2686" s="14" t="s">
        <v>342</v>
      </c>
      <c r="F2686" s="14" t="s">
        <v>343</v>
      </c>
      <c r="G2686" s="14" t="s">
        <v>343</v>
      </c>
      <c r="H2686" s="14" t="s">
        <v>343</v>
      </c>
      <c r="I2686" s="14">
        <v>0.74</v>
      </c>
      <c r="J2686" s="14">
        <v>0.7</v>
      </c>
      <c r="K2686" s="14">
        <v>0.73</v>
      </c>
      <c r="L2686" s="14">
        <v>0.74</v>
      </c>
      <c r="M2686" s="14">
        <v>0.75</v>
      </c>
      <c r="N2686" s="14">
        <v>0.75</v>
      </c>
      <c r="O2686" s="14">
        <v>0.72</v>
      </c>
      <c r="P2686" s="14">
        <v>0.73</v>
      </c>
      <c r="Q2686" s="14">
        <v>0.73</v>
      </c>
      <c r="R2686" s="14">
        <v>0.68</v>
      </c>
      <c r="S2686" s="14">
        <v>0.73</v>
      </c>
      <c r="T2686" s="14">
        <v>0.72</v>
      </c>
      <c r="U2686" s="14">
        <v>0.75</v>
      </c>
      <c r="V2686" s="14">
        <v>0.77</v>
      </c>
      <c r="W2686" s="14">
        <v>0.77</v>
      </c>
      <c r="X2686" s="14">
        <v>0.8</v>
      </c>
    </row>
    <row r="2687" spans="1:24" hidden="1" x14ac:dyDescent="0.3">
      <c r="A2687" s="14" t="s">
        <v>456</v>
      </c>
      <c r="B2687" s="14" t="s">
        <v>129</v>
      </c>
      <c r="C2687" s="14" t="s">
        <v>359</v>
      </c>
      <c r="D2687" s="14" t="s">
        <v>360</v>
      </c>
      <c r="E2687" s="14" t="s">
        <v>344</v>
      </c>
      <c r="F2687" s="14" t="s">
        <v>343</v>
      </c>
      <c r="G2687" s="14" t="s">
        <v>343</v>
      </c>
      <c r="H2687" s="14" t="s">
        <v>343</v>
      </c>
      <c r="I2687" s="14">
        <v>7</v>
      </c>
      <c r="J2687" s="14">
        <v>28</v>
      </c>
      <c r="K2687" s="14">
        <v>23</v>
      </c>
      <c r="L2687" s="14">
        <v>21</v>
      </c>
      <c r="M2687" s="14">
        <v>19</v>
      </c>
      <c r="N2687" s="14">
        <v>21</v>
      </c>
      <c r="O2687" s="14">
        <v>38</v>
      </c>
      <c r="P2687" s="14">
        <v>36</v>
      </c>
      <c r="Q2687" s="14">
        <v>40</v>
      </c>
      <c r="R2687" s="14">
        <v>64</v>
      </c>
      <c r="S2687" s="14">
        <v>35</v>
      </c>
      <c r="T2687" s="14">
        <v>39</v>
      </c>
      <c r="U2687" s="14">
        <v>29</v>
      </c>
      <c r="V2687" s="14">
        <v>24</v>
      </c>
      <c r="W2687" s="14">
        <v>24</v>
      </c>
      <c r="X2687" s="14">
        <v>14</v>
      </c>
    </row>
    <row r="2688" spans="1:24" x14ac:dyDescent="0.3">
      <c r="A2688" s="14" t="s">
        <v>456</v>
      </c>
      <c r="B2688" s="14" t="s">
        <v>129</v>
      </c>
      <c r="C2688" s="14" t="s">
        <v>361</v>
      </c>
      <c r="D2688" s="14" t="s">
        <v>362</v>
      </c>
      <c r="E2688" s="14" t="s">
        <v>342</v>
      </c>
      <c r="F2688" s="14" t="s">
        <v>343</v>
      </c>
      <c r="G2688" s="14" t="s">
        <v>343</v>
      </c>
      <c r="H2688" s="14" t="s">
        <v>343</v>
      </c>
      <c r="I2688" s="14">
        <v>0.97</v>
      </c>
      <c r="J2688" s="14">
        <v>0.97</v>
      </c>
      <c r="K2688" s="14">
        <v>0.97</v>
      </c>
      <c r="L2688" s="14">
        <v>0.97</v>
      </c>
      <c r="M2688" s="14">
        <v>0.98</v>
      </c>
      <c r="N2688" s="14">
        <v>0.98</v>
      </c>
      <c r="O2688" s="14">
        <v>0.98</v>
      </c>
      <c r="P2688" s="14">
        <v>0.98</v>
      </c>
      <c r="Q2688" s="14">
        <v>0.98</v>
      </c>
      <c r="R2688" s="14">
        <v>0.98</v>
      </c>
      <c r="S2688" s="14">
        <v>0.98</v>
      </c>
      <c r="T2688" s="14">
        <v>0.97</v>
      </c>
      <c r="U2688" s="14">
        <v>0.98</v>
      </c>
      <c r="V2688" s="14">
        <v>0.98</v>
      </c>
      <c r="W2688" s="14">
        <v>0.97</v>
      </c>
      <c r="X2688" s="14">
        <v>0.97</v>
      </c>
    </row>
    <row r="2689" spans="1:24" hidden="1" x14ac:dyDescent="0.3">
      <c r="A2689" s="14" t="s">
        <v>456</v>
      </c>
      <c r="B2689" s="14" t="s">
        <v>129</v>
      </c>
      <c r="C2689" s="14" t="s">
        <v>361</v>
      </c>
      <c r="D2689" s="14" t="s">
        <v>362</v>
      </c>
      <c r="E2689" s="14" t="s">
        <v>344</v>
      </c>
      <c r="F2689" s="14" t="s">
        <v>343</v>
      </c>
      <c r="G2689" s="14" t="s">
        <v>343</v>
      </c>
      <c r="H2689" s="14" t="s">
        <v>343</v>
      </c>
      <c r="I2689" s="14">
        <v>82</v>
      </c>
      <c r="J2689" s="14">
        <v>90</v>
      </c>
      <c r="K2689" s="14">
        <v>91</v>
      </c>
      <c r="L2689" s="14">
        <v>96</v>
      </c>
      <c r="M2689" s="14">
        <v>1</v>
      </c>
      <c r="N2689" s="14">
        <v>1</v>
      </c>
      <c r="O2689" s="14">
        <v>1</v>
      </c>
      <c r="P2689" s="14">
        <v>1</v>
      </c>
      <c r="Q2689" s="14">
        <v>1</v>
      </c>
      <c r="R2689" s="14">
        <v>1</v>
      </c>
      <c r="S2689" s="14">
        <v>1</v>
      </c>
      <c r="T2689" s="14">
        <v>93</v>
      </c>
      <c r="U2689" s="14">
        <v>68</v>
      </c>
      <c r="V2689" s="14">
        <v>65</v>
      </c>
      <c r="W2689" s="14">
        <v>101</v>
      </c>
      <c r="X2689" s="14">
        <v>95</v>
      </c>
    </row>
    <row r="2690" spans="1:24" hidden="1" x14ac:dyDescent="0.3">
      <c r="A2690" s="14" t="s">
        <v>456</v>
      </c>
      <c r="B2690" s="14" t="s">
        <v>129</v>
      </c>
      <c r="C2690" s="14" t="s">
        <v>363</v>
      </c>
      <c r="D2690" s="14" t="s">
        <v>364</v>
      </c>
      <c r="E2690" s="14" t="s">
        <v>342</v>
      </c>
      <c r="F2690" s="14" t="s">
        <v>343</v>
      </c>
      <c r="G2690" s="14" t="s">
        <v>343</v>
      </c>
      <c r="H2690" s="14" t="s">
        <v>343</v>
      </c>
      <c r="U2690" s="14">
        <v>1.05</v>
      </c>
      <c r="V2690" s="14">
        <v>1.05</v>
      </c>
      <c r="W2690" s="14">
        <v>1.02</v>
      </c>
      <c r="X2690" s="14">
        <v>1.02</v>
      </c>
    </row>
    <row r="2691" spans="1:24" hidden="1" x14ac:dyDescent="0.3">
      <c r="A2691" s="14" t="s">
        <v>456</v>
      </c>
      <c r="B2691" s="14" t="s">
        <v>129</v>
      </c>
      <c r="C2691" s="14" t="s">
        <v>363</v>
      </c>
      <c r="D2691" s="14" t="s">
        <v>364</v>
      </c>
      <c r="E2691" s="14" t="s">
        <v>344</v>
      </c>
      <c r="F2691" s="14" t="s">
        <v>343</v>
      </c>
      <c r="G2691" s="14" t="s">
        <v>343</v>
      </c>
      <c r="H2691" s="14" t="s">
        <v>343</v>
      </c>
      <c r="U2691" s="14">
        <v>76</v>
      </c>
      <c r="V2691" s="14">
        <v>79</v>
      </c>
      <c r="W2691" s="14">
        <v>112</v>
      </c>
      <c r="X2691" s="14">
        <v>104</v>
      </c>
    </row>
    <row r="2692" spans="1:24" hidden="1" x14ac:dyDescent="0.3">
      <c r="A2692" s="14" t="s">
        <v>456</v>
      </c>
      <c r="B2692" s="14" t="s">
        <v>129</v>
      </c>
      <c r="C2692" s="14" t="s">
        <v>365</v>
      </c>
      <c r="D2692" s="14" t="s">
        <v>366</v>
      </c>
      <c r="E2692" s="14" t="s">
        <v>342</v>
      </c>
      <c r="F2692" s="14" t="s">
        <v>343</v>
      </c>
      <c r="G2692" s="14" t="s">
        <v>343</v>
      </c>
      <c r="H2692" s="14" t="s">
        <v>343</v>
      </c>
      <c r="U2692" s="14">
        <v>0.94</v>
      </c>
      <c r="V2692" s="14">
        <v>0.94</v>
      </c>
      <c r="W2692" s="14">
        <v>0.94</v>
      </c>
      <c r="X2692" s="14">
        <v>0.94</v>
      </c>
    </row>
    <row r="2693" spans="1:24" hidden="1" x14ac:dyDescent="0.3">
      <c r="A2693" s="14" t="s">
        <v>456</v>
      </c>
      <c r="B2693" s="14" t="s">
        <v>129</v>
      </c>
      <c r="C2693" s="14" t="s">
        <v>365</v>
      </c>
      <c r="D2693" s="14" t="s">
        <v>366</v>
      </c>
      <c r="E2693" s="14" t="s">
        <v>344</v>
      </c>
      <c r="F2693" s="14" t="s">
        <v>343</v>
      </c>
      <c r="G2693" s="14" t="s">
        <v>343</v>
      </c>
      <c r="H2693" s="14" t="s">
        <v>343</v>
      </c>
      <c r="U2693" s="14">
        <v>1</v>
      </c>
      <c r="V2693" s="14">
        <v>1</v>
      </c>
      <c r="W2693" s="14">
        <v>1</v>
      </c>
      <c r="X2693" s="14">
        <v>1</v>
      </c>
    </row>
    <row r="2694" spans="1:24" hidden="1" x14ac:dyDescent="0.3">
      <c r="A2694" s="14" t="s">
        <v>456</v>
      </c>
      <c r="B2694" s="14" t="s">
        <v>129</v>
      </c>
      <c r="C2694" s="14" t="s">
        <v>367</v>
      </c>
      <c r="D2694" s="14" t="s">
        <v>368</v>
      </c>
      <c r="E2694" s="14" t="s">
        <v>342</v>
      </c>
      <c r="F2694" s="14" t="s">
        <v>343</v>
      </c>
      <c r="G2694" s="14" t="s">
        <v>343</v>
      </c>
      <c r="H2694" s="14" t="s">
        <v>343</v>
      </c>
      <c r="I2694" s="14">
        <v>0.7</v>
      </c>
      <c r="J2694" s="14">
        <v>0.69</v>
      </c>
      <c r="K2694" s="14">
        <v>0.7</v>
      </c>
      <c r="L2694" s="14">
        <v>0.7</v>
      </c>
      <c r="M2694" s="14">
        <v>0.7</v>
      </c>
      <c r="N2694" s="14">
        <v>0.7</v>
      </c>
      <c r="O2694" s="14">
        <v>0.7</v>
      </c>
      <c r="P2694" s="14">
        <v>0.71</v>
      </c>
      <c r="Q2694" s="14">
        <v>0.71</v>
      </c>
      <c r="R2694" s="14">
        <v>0.7</v>
      </c>
      <c r="S2694" s="14">
        <v>0.72</v>
      </c>
      <c r="T2694" s="14">
        <v>0.72</v>
      </c>
      <c r="U2694" s="14">
        <v>0.72</v>
      </c>
      <c r="V2694" s="14">
        <v>0.74</v>
      </c>
      <c r="W2694" s="14">
        <v>0.74</v>
      </c>
      <c r="X2694" s="14">
        <v>0.75</v>
      </c>
    </row>
    <row r="2695" spans="1:24" hidden="1" x14ac:dyDescent="0.3">
      <c r="A2695" s="14" t="s">
        <v>456</v>
      </c>
      <c r="B2695" s="14" t="s">
        <v>129</v>
      </c>
      <c r="C2695" s="14" t="s">
        <v>367</v>
      </c>
      <c r="D2695" s="14" t="s">
        <v>368</v>
      </c>
      <c r="E2695" s="14" t="s">
        <v>344</v>
      </c>
      <c r="F2695" s="14" t="s">
        <v>343</v>
      </c>
      <c r="G2695" s="14" t="s">
        <v>343</v>
      </c>
      <c r="H2695" s="14" t="s">
        <v>343</v>
      </c>
      <c r="I2695" s="14">
        <v>25</v>
      </c>
      <c r="J2695" s="14">
        <v>39</v>
      </c>
      <c r="K2695" s="14">
        <v>44</v>
      </c>
      <c r="L2695" s="14">
        <v>48</v>
      </c>
      <c r="M2695" s="14">
        <v>44</v>
      </c>
      <c r="N2695" s="14">
        <v>47</v>
      </c>
      <c r="O2695" s="14">
        <v>51</v>
      </c>
      <c r="P2695" s="14">
        <v>47</v>
      </c>
      <c r="Q2695" s="14">
        <v>52</v>
      </c>
      <c r="R2695" s="14">
        <v>65</v>
      </c>
      <c r="S2695" s="14">
        <v>42</v>
      </c>
      <c r="T2695" s="14">
        <v>51</v>
      </c>
      <c r="U2695" s="14">
        <v>44</v>
      </c>
      <c r="V2695" s="14">
        <v>41</v>
      </c>
      <c r="W2695" s="14">
        <v>40</v>
      </c>
      <c r="X2695" s="14">
        <v>38</v>
      </c>
    </row>
    <row r="2696" spans="1:24" hidden="1" x14ac:dyDescent="0.3">
      <c r="A2696" s="14" t="s">
        <v>456</v>
      </c>
      <c r="B2696" s="14" t="s">
        <v>129</v>
      </c>
      <c r="C2696" s="14" t="s">
        <v>369</v>
      </c>
      <c r="D2696" s="14" t="s">
        <v>370</v>
      </c>
      <c r="E2696" s="14" t="s">
        <v>342</v>
      </c>
      <c r="F2696" s="14" t="s">
        <v>343</v>
      </c>
      <c r="G2696" s="14" t="s">
        <v>343</v>
      </c>
      <c r="H2696" s="14" t="s">
        <v>343</v>
      </c>
      <c r="I2696" s="14">
        <v>0.1</v>
      </c>
      <c r="J2696" s="14">
        <v>0.1</v>
      </c>
      <c r="K2696" s="14">
        <v>0.09</v>
      </c>
      <c r="L2696" s="14">
        <v>0.09</v>
      </c>
      <c r="M2696" s="14">
        <v>0.1</v>
      </c>
      <c r="N2696" s="14">
        <v>0.1</v>
      </c>
      <c r="O2696" s="14">
        <v>0.12</v>
      </c>
      <c r="P2696" s="14">
        <v>0.13</v>
      </c>
      <c r="Q2696" s="14">
        <v>0.14000000000000001</v>
      </c>
      <c r="R2696" s="14">
        <v>0.16</v>
      </c>
      <c r="S2696" s="14">
        <v>0.18</v>
      </c>
      <c r="T2696" s="14">
        <v>0.17</v>
      </c>
      <c r="U2696" s="14">
        <v>0.17</v>
      </c>
      <c r="V2696" s="14">
        <v>0.2</v>
      </c>
      <c r="W2696" s="14">
        <v>0.23</v>
      </c>
      <c r="X2696" s="14">
        <v>0.23</v>
      </c>
    </row>
    <row r="2697" spans="1:24" hidden="1" x14ac:dyDescent="0.3">
      <c r="A2697" s="14" t="s">
        <v>456</v>
      </c>
      <c r="B2697" s="14" t="s">
        <v>129</v>
      </c>
      <c r="C2697" s="14" t="s">
        <v>369</v>
      </c>
      <c r="D2697" s="14" t="s">
        <v>370</v>
      </c>
      <c r="E2697" s="14" t="s">
        <v>344</v>
      </c>
      <c r="F2697" s="14" t="s">
        <v>343</v>
      </c>
      <c r="G2697" s="14" t="s">
        <v>343</v>
      </c>
      <c r="H2697" s="14" t="s">
        <v>343</v>
      </c>
      <c r="I2697" s="14">
        <v>65</v>
      </c>
      <c r="J2697" s="14">
        <v>72</v>
      </c>
      <c r="K2697" s="14">
        <v>91</v>
      </c>
      <c r="L2697" s="14">
        <v>93</v>
      </c>
      <c r="M2697" s="14">
        <v>87</v>
      </c>
      <c r="N2697" s="14">
        <v>92</v>
      </c>
      <c r="O2697" s="14">
        <v>77</v>
      </c>
      <c r="P2697" s="14">
        <v>74</v>
      </c>
      <c r="Q2697" s="14">
        <v>75</v>
      </c>
      <c r="R2697" s="14">
        <v>75</v>
      </c>
      <c r="S2697" s="14">
        <v>63</v>
      </c>
      <c r="T2697" s="14">
        <v>74</v>
      </c>
      <c r="U2697" s="14">
        <v>75</v>
      </c>
      <c r="V2697" s="14">
        <v>69</v>
      </c>
      <c r="W2697" s="14">
        <v>64</v>
      </c>
      <c r="X2697" s="14">
        <v>63</v>
      </c>
    </row>
    <row r="2698" spans="1:24" hidden="1" x14ac:dyDescent="0.3">
      <c r="A2698" s="14" t="s">
        <v>456</v>
      </c>
      <c r="B2698" s="14" t="s">
        <v>129</v>
      </c>
      <c r="C2698" s="14" t="s">
        <v>371</v>
      </c>
      <c r="D2698" s="14" t="s">
        <v>372</v>
      </c>
      <c r="E2698" s="14" t="s">
        <v>342</v>
      </c>
      <c r="F2698" s="14" t="s">
        <v>343</v>
      </c>
      <c r="G2698" s="14" t="s">
        <v>343</v>
      </c>
      <c r="H2698" s="14" t="s">
        <v>343</v>
      </c>
      <c r="U2698" s="14">
        <v>0.13</v>
      </c>
      <c r="V2698" s="14">
        <v>0.13</v>
      </c>
      <c r="W2698" s="14">
        <v>0.13</v>
      </c>
      <c r="X2698" s="14">
        <v>0.13</v>
      </c>
    </row>
    <row r="2699" spans="1:24" hidden="1" x14ac:dyDescent="0.3">
      <c r="A2699" s="14" t="s">
        <v>456</v>
      </c>
      <c r="B2699" s="14" t="s">
        <v>129</v>
      </c>
      <c r="C2699" s="14" t="s">
        <v>371</v>
      </c>
      <c r="D2699" s="14" t="s">
        <v>372</v>
      </c>
      <c r="E2699" s="14" t="s">
        <v>344</v>
      </c>
      <c r="F2699" s="14" t="s">
        <v>343</v>
      </c>
      <c r="G2699" s="14" t="s">
        <v>343</v>
      </c>
      <c r="H2699" s="14" t="s">
        <v>343</v>
      </c>
      <c r="U2699" s="14">
        <v>24</v>
      </c>
      <c r="V2699" s="14">
        <v>26</v>
      </c>
      <c r="W2699" s="14">
        <v>26</v>
      </c>
      <c r="X2699" s="14">
        <v>25</v>
      </c>
    </row>
    <row r="2700" spans="1:24" hidden="1" x14ac:dyDescent="0.3">
      <c r="A2700" s="14" t="s">
        <v>456</v>
      </c>
      <c r="B2700" s="14" t="s">
        <v>129</v>
      </c>
      <c r="C2700" s="14" t="s">
        <v>373</v>
      </c>
      <c r="D2700" s="14" t="s">
        <v>374</v>
      </c>
      <c r="E2700" s="14" t="s">
        <v>342</v>
      </c>
      <c r="F2700" s="14" t="s">
        <v>343</v>
      </c>
      <c r="G2700" s="14" t="s">
        <v>343</v>
      </c>
      <c r="H2700" s="14" t="s">
        <v>343</v>
      </c>
      <c r="U2700" s="14">
        <v>0.2</v>
      </c>
      <c r="V2700" s="14">
        <v>0.31</v>
      </c>
      <c r="W2700" s="14">
        <v>0.2</v>
      </c>
      <c r="X2700" s="14">
        <v>0.2</v>
      </c>
    </row>
    <row r="2701" spans="1:24" hidden="1" x14ac:dyDescent="0.3">
      <c r="A2701" s="14" t="s">
        <v>456</v>
      </c>
      <c r="B2701" s="14" t="s">
        <v>129</v>
      </c>
      <c r="C2701" s="14" t="s">
        <v>373</v>
      </c>
      <c r="D2701" s="14" t="s">
        <v>374</v>
      </c>
      <c r="E2701" s="14" t="s">
        <v>344</v>
      </c>
      <c r="F2701" s="14" t="s">
        <v>343</v>
      </c>
      <c r="G2701" s="14" t="s">
        <v>343</v>
      </c>
      <c r="H2701" s="14" t="s">
        <v>343</v>
      </c>
      <c r="U2701" s="14">
        <v>85</v>
      </c>
      <c r="V2701" s="14">
        <v>67</v>
      </c>
      <c r="W2701" s="14">
        <v>94</v>
      </c>
      <c r="X2701" s="14">
        <v>89</v>
      </c>
    </row>
    <row r="2702" spans="1:24" hidden="1" x14ac:dyDescent="0.3">
      <c r="A2702" s="14" t="s">
        <v>456</v>
      </c>
      <c r="B2702" s="14" t="s">
        <v>129</v>
      </c>
      <c r="C2702" s="14" t="s">
        <v>375</v>
      </c>
      <c r="D2702" s="14" t="s">
        <v>376</v>
      </c>
      <c r="E2702" s="14" t="s">
        <v>342</v>
      </c>
      <c r="F2702" s="14" t="s">
        <v>343</v>
      </c>
      <c r="G2702" s="14" t="s">
        <v>343</v>
      </c>
      <c r="H2702" s="14" t="s">
        <v>343</v>
      </c>
      <c r="U2702" s="14">
        <v>0.21</v>
      </c>
      <c r="V2702" s="14">
        <v>0.21</v>
      </c>
      <c r="W2702" s="14">
        <v>0.4</v>
      </c>
      <c r="X2702" s="14">
        <v>0.4</v>
      </c>
    </row>
    <row r="2703" spans="1:24" hidden="1" x14ac:dyDescent="0.3">
      <c r="A2703" s="14" t="s">
        <v>456</v>
      </c>
      <c r="B2703" s="14" t="s">
        <v>129</v>
      </c>
      <c r="C2703" s="14" t="s">
        <v>375</v>
      </c>
      <c r="D2703" s="14" t="s">
        <v>376</v>
      </c>
      <c r="E2703" s="14" t="s">
        <v>344</v>
      </c>
      <c r="F2703" s="14" t="s">
        <v>343</v>
      </c>
      <c r="G2703" s="14" t="s">
        <v>343</v>
      </c>
      <c r="H2703" s="14" t="s">
        <v>343</v>
      </c>
      <c r="U2703" s="14">
        <v>99</v>
      </c>
      <c r="V2703" s="14">
        <v>103</v>
      </c>
      <c r="W2703" s="14">
        <v>52</v>
      </c>
      <c r="X2703" s="14">
        <v>58</v>
      </c>
    </row>
    <row r="2704" spans="1:24" hidden="1" x14ac:dyDescent="0.3">
      <c r="A2704" s="14" t="s">
        <v>457</v>
      </c>
      <c r="B2704" s="14" t="s">
        <v>132</v>
      </c>
      <c r="C2704" s="14" t="s">
        <v>340</v>
      </c>
      <c r="D2704" s="14" t="s">
        <v>341</v>
      </c>
      <c r="E2704" s="14" t="s">
        <v>342</v>
      </c>
      <c r="F2704" s="14" t="s">
        <v>343</v>
      </c>
      <c r="G2704" s="14" t="s">
        <v>343</v>
      </c>
      <c r="H2704" s="14" t="s">
        <v>343</v>
      </c>
      <c r="I2704" s="14">
        <v>0.98</v>
      </c>
      <c r="J2704" s="14">
        <v>0.98</v>
      </c>
      <c r="K2704" s="14">
        <v>0.99</v>
      </c>
      <c r="L2704" s="14">
        <v>0.99</v>
      </c>
      <c r="M2704" s="14">
        <v>0.99</v>
      </c>
      <c r="N2704" s="14">
        <v>0.99</v>
      </c>
      <c r="O2704" s="14">
        <v>0.99</v>
      </c>
      <c r="P2704" s="14">
        <v>0.99</v>
      </c>
      <c r="Q2704" s="14">
        <v>0.99</v>
      </c>
      <c r="R2704" s="14">
        <v>0.98</v>
      </c>
      <c r="S2704" s="14">
        <v>0.99</v>
      </c>
      <c r="T2704" s="14">
        <v>1</v>
      </c>
      <c r="U2704" s="14">
        <v>1</v>
      </c>
      <c r="V2704" s="14">
        <v>0.99</v>
      </c>
      <c r="W2704" s="14">
        <v>0.99</v>
      </c>
      <c r="X2704" s="14">
        <v>0.99</v>
      </c>
    </row>
    <row r="2705" spans="1:24" hidden="1" x14ac:dyDescent="0.3">
      <c r="A2705" s="14" t="s">
        <v>457</v>
      </c>
      <c r="B2705" s="14" t="s">
        <v>132</v>
      </c>
      <c r="C2705" s="14" t="s">
        <v>340</v>
      </c>
      <c r="D2705" s="14" t="s">
        <v>341</v>
      </c>
      <c r="E2705" s="14" t="s">
        <v>344</v>
      </c>
      <c r="F2705" s="14" t="s">
        <v>343</v>
      </c>
      <c r="G2705" s="14" t="s">
        <v>343</v>
      </c>
      <c r="H2705" s="14" t="s">
        <v>343</v>
      </c>
      <c r="I2705" s="14">
        <v>69</v>
      </c>
      <c r="J2705" s="14">
        <v>79</v>
      </c>
      <c r="K2705" s="14">
        <v>80</v>
      </c>
      <c r="L2705" s="14">
        <v>83</v>
      </c>
      <c r="M2705" s="14">
        <v>81</v>
      </c>
      <c r="N2705" s="14">
        <v>79</v>
      </c>
      <c r="O2705" s="14">
        <v>82</v>
      </c>
      <c r="P2705" s="14">
        <v>68</v>
      </c>
      <c r="Q2705" s="14">
        <v>74</v>
      </c>
      <c r="R2705" s="14">
        <v>93</v>
      </c>
      <c r="S2705" s="14">
        <v>64</v>
      </c>
      <c r="T2705" s="14">
        <v>51</v>
      </c>
      <c r="U2705" s="14">
        <v>45</v>
      </c>
      <c r="V2705" s="14">
        <v>81</v>
      </c>
      <c r="W2705" s="14">
        <v>84</v>
      </c>
      <c r="X2705" s="14">
        <v>66</v>
      </c>
    </row>
    <row r="2706" spans="1:24" hidden="1" x14ac:dyDescent="0.3">
      <c r="A2706" s="14" t="s">
        <v>457</v>
      </c>
      <c r="B2706" s="14" t="s">
        <v>132</v>
      </c>
      <c r="C2706" s="14" t="s">
        <v>345</v>
      </c>
      <c r="D2706" s="14" t="s">
        <v>346</v>
      </c>
      <c r="E2706" s="14" t="s">
        <v>342</v>
      </c>
      <c r="F2706" s="14" t="s">
        <v>343</v>
      </c>
      <c r="G2706" s="14" t="s">
        <v>343</v>
      </c>
      <c r="H2706" s="14" t="s">
        <v>343</v>
      </c>
      <c r="U2706" s="14">
        <v>0.16</v>
      </c>
      <c r="V2706" s="14">
        <v>0.2</v>
      </c>
      <c r="W2706" s="14">
        <v>0.24</v>
      </c>
      <c r="X2706" s="14">
        <v>0.23</v>
      </c>
    </row>
    <row r="2707" spans="1:24" hidden="1" x14ac:dyDescent="0.3">
      <c r="A2707" s="14" t="s">
        <v>457</v>
      </c>
      <c r="B2707" s="14" t="s">
        <v>132</v>
      </c>
      <c r="C2707" s="14" t="s">
        <v>345</v>
      </c>
      <c r="D2707" s="14" t="s">
        <v>346</v>
      </c>
      <c r="E2707" s="14" t="s">
        <v>344</v>
      </c>
      <c r="F2707" s="14" t="s">
        <v>343</v>
      </c>
      <c r="G2707" s="14" t="s">
        <v>343</v>
      </c>
      <c r="H2707" s="14" t="s">
        <v>343</v>
      </c>
      <c r="U2707" s="14">
        <v>145</v>
      </c>
      <c r="V2707" s="14">
        <v>145</v>
      </c>
      <c r="W2707" s="14">
        <v>144</v>
      </c>
      <c r="X2707" s="14">
        <v>139</v>
      </c>
    </row>
    <row r="2708" spans="1:24" hidden="1" x14ac:dyDescent="0.3">
      <c r="A2708" s="14" t="s">
        <v>457</v>
      </c>
      <c r="B2708" s="14" t="s">
        <v>132</v>
      </c>
      <c r="C2708" s="14" t="s">
        <v>347</v>
      </c>
      <c r="D2708" s="14" t="s">
        <v>348</v>
      </c>
      <c r="E2708" s="14" t="s">
        <v>342</v>
      </c>
      <c r="F2708" s="14" t="s">
        <v>343</v>
      </c>
      <c r="G2708" s="14" t="s">
        <v>343</v>
      </c>
      <c r="H2708" s="14" t="s">
        <v>343</v>
      </c>
      <c r="U2708" s="14">
        <v>0.22</v>
      </c>
      <c r="V2708" s="14">
        <v>0.22</v>
      </c>
      <c r="W2708" s="14">
        <v>0.23</v>
      </c>
      <c r="X2708" s="14">
        <v>0.22</v>
      </c>
    </row>
    <row r="2709" spans="1:24" hidden="1" x14ac:dyDescent="0.3">
      <c r="A2709" s="14" t="s">
        <v>457</v>
      </c>
      <c r="B2709" s="14" t="s">
        <v>132</v>
      </c>
      <c r="C2709" s="14" t="s">
        <v>347</v>
      </c>
      <c r="D2709" s="14" t="s">
        <v>348</v>
      </c>
      <c r="E2709" s="14" t="s">
        <v>344</v>
      </c>
      <c r="F2709" s="14" t="s">
        <v>343</v>
      </c>
      <c r="G2709" s="14" t="s">
        <v>343</v>
      </c>
      <c r="H2709" s="14" t="s">
        <v>343</v>
      </c>
      <c r="U2709" s="14">
        <v>147</v>
      </c>
      <c r="V2709" s="14">
        <v>149</v>
      </c>
      <c r="W2709" s="14">
        <v>153</v>
      </c>
      <c r="X2709" s="14">
        <v>145</v>
      </c>
    </row>
    <row r="2710" spans="1:24" hidden="1" x14ac:dyDescent="0.3">
      <c r="A2710" s="14" t="s">
        <v>457</v>
      </c>
      <c r="B2710" s="14" t="s">
        <v>132</v>
      </c>
      <c r="C2710" s="14" t="s">
        <v>349</v>
      </c>
      <c r="D2710" s="14" t="s">
        <v>350</v>
      </c>
      <c r="E2710" s="14" t="s">
        <v>342</v>
      </c>
      <c r="F2710" s="14" t="s">
        <v>343</v>
      </c>
      <c r="G2710" s="14" t="s">
        <v>343</v>
      </c>
      <c r="H2710" s="14" t="s">
        <v>343</v>
      </c>
      <c r="W2710" s="14">
        <v>1</v>
      </c>
      <c r="X2710" s="14">
        <v>1</v>
      </c>
    </row>
    <row r="2711" spans="1:24" hidden="1" x14ac:dyDescent="0.3">
      <c r="A2711" s="14" t="s">
        <v>457</v>
      </c>
      <c r="B2711" s="14" t="s">
        <v>132</v>
      </c>
      <c r="C2711" s="14" t="s">
        <v>349</v>
      </c>
      <c r="D2711" s="14" t="s">
        <v>350</v>
      </c>
      <c r="E2711" s="14" t="s">
        <v>344</v>
      </c>
      <c r="F2711" s="14" t="s">
        <v>343</v>
      </c>
      <c r="G2711" s="14" t="s">
        <v>343</v>
      </c>
      <c r="H2711" s="14" t="s">
        <v>343</v>
      </c>
      <c r="W2711" s="14">
        <v>1</v>
      </c>
      <c r="X2711" s="14">
        <v>1</v>
      </c>
    </row>
    <row r="2712" spans="1:24" hidden="1" x14ac:dyDescent="0.3">
      <c r="A2712" s="14" t="s">
        <v>457</v>
      </c>
      <c r="B2712" s="14" t="s">
        <v>132</v>
      </c>
      <c r="C2712" s="14" t="s">
        <v>351</v>
      </c>
      <c r="D2712" s="14" t="s">
        <v>352</v>
      </c>
      <c r="E2712" s="14" t="s">
        <v>342</v>
      </c>
      <c r="F2712" s="14" t="s">
        <v>343</v>
      </c>
      <c r="G2712" s="14" t="s">
        <v>343</v>
      </c>
      <c r="H2712" s="14" t="s">
        <v>343</v>
      </c>
      <c r="W2712" s="14">
        <v>0.62</v>
      </c>
      <c r="X2712" s="14">
        <v>0.66</v>
      </c>
    </row>
    <row r="2713" spans="1:24" hidden="1" x14ac:dyDescent="0.3">
      <c r="A2713" s="14" t="s">
        <v>457</v>
      </c>
      <c r="B2713" s="14" t="s">
        <v>132</v>
      </c>
      <c r="C2713" s="14" t="s">
        <v>351</v>
      </c>
      <c r="D2713" s="14" t="s">
        <v>352</v>
      </c>
      <c r="E2713" s="14" t="s">
        <v>344</v>
      </c>
      <c r="F2713" s="14" t="s">
        <v>343</v>
      </c>
      <c r="G2713" s="14" t="s">
        <v>343</v>
      </c>
      <c r="H2713" s="14" t="s">
        <v>343</v>
      </c>
      <c r="W2713" s="14">
        <v>113</v>
      </c>
      <c r="X2713" s="14">
        <v>104</v>
      </c>
    </row>
    <row r="2714" spans="1:24" hidden="1" x14ac:dyDescent="0.3">
      <c r="A2714" s="14" t="s">
        <v>457</v>
      </c>
      <c r="B2714" s="14" t="s">
        <v>132</v>
      </c>
      <c r="C2714" s="14" t="s">
        <v>378</v>
      </c>
      <c r="D2714" s="14" t="s">
        <v>379</v>
      </c>
      <c r="E2714" s="14" t="s">
        <v>342</v>
      </c>
      <c r="F2714" s="14" t="s">
        <v>343</v>
      </c>
      <c r="G2714" s="14" t="s">
        <v>343</v>
      </c>
      <c r="H2714" s="14" t="s">
        <v>343</v>
      </c>
      <c r="S2714" s="14">
        <v>0.64</v>
      </c>
      <c r="U2714" s="14">
        <v>0.63</v>
      </c>
      <c r="V2714" s="14">
        <v>0.68</v>
      </c>
      <c r="W2714" s="14">
        <v>0.7</v>
      </c>
      <c r="X2714" s="14">
        <v>0.7</v>
      </c>
    </row>
    <row r="2715" spans="1:24" hidden="1" x14ac:dyDescent="0.3">
      <c r="A2715" s="14" t="s">
        <v>457</v>
      </c>
      <c r="B2715" s="14" t="s">
        <v>132</v>
      </c>
      <c r="C2715" s="14" t="s">
        <v>378</v>
      </c>
      <c r="D2715" s="14" t="s">
        <v>379</v>
      </c>
      <c r="E2715" s="14" t="s">
        <v>344</v>
      </c>
      <c r="F2715" s="14" t="s">
        <v>343</v>
      </c>
      <c r="G2715" s="14" t="s">
        <v>343</v>
      </c>
      <c r="H2715" s="14" t="s">
        <v>343</v>
      </c>
      <c r="S2715" s="14">
        <v>78</v>
      </c>
      <c r="U2715" s="14">
        <v>84</v>
      </c>
      <c r="V2715" s="14">
        <v>64</v>
      </c>
      <c r="W2715" s="14">
        <v>56</v>
      </c>
      <c r="X2715" s="14">
        <v>53</v>
      </c>
    </row>
    <row r="2716" spans="1:24" hidden="1" x14ac:dyDescent="0.3">
      <c r="A2716" s="14" t="s">
        <v>457</v>
      </c>
      <c r="B2716" s="14" t="s">
        <v>132</v>
      </c>
      <c r="C2716" s="14" t="s">
        <v>353</v>
      </c>
      <c r="D2716" s="14" t="s">
        <v>354</v>
      </c>
      <c r="E2716" s="14" t="s">
        <v>342</v>
      </c>
      <c r="F2716" s="14" t="s">
        <v>343</v>
      </c>
      <c r="G2716" s="14" t="s">
        <v>343</v>
      </c>
      <c r="H2716" s="14" t="s">
        <v>343</v>
      </c>
      <c r="U2716" s="14">
        <v>0.99</v>
      </c>
      <c r="V2716" s="14">
        <v>0.99</v>
      </c>
      <c r="W2716" s="14">
        <v>0.99</v>
      </c>
      <c r="X2716" s="14">
        <v>0.99</v>
      </c>
    </row>
    <row r="2717" spans="1:24" hidden="1" x14ac:dyDescent="0.3">
      <c r="A2717" s="14" t="s">
        <v>457</v>
      </c>
      <c r="B2717" s="14" t="s">
        <v>132</v>
      </c>
      <c r="C2717" s="14" t="s">
        <v>353</v>
      </c>
      <c r="D2717" s="14" t="s">
        <v>354</v>
      </c>
      <c r="E2717" s="14" t="s">
        <v>344</v>
      </c>
      <c r="F2717" s="14" t="s">
        <v>343</v>
      </c>
      <c r="G2717" s="14" t="s">
        <v>343</v>
      </c>
      <c r="H2717" s="14" t="s">
        <v>343</v>
      </c>
      <c r="U2717" s="14">
        <v>67</v>
      </c>
      <c r="V2717" s="14">
        <v>67</v>
      </c>
      <c r="W2717" s="14">
        <v>67</v>
      </c>
      <c r="X2717" s="14">
        <v>66</v>
      </c>
    </row>
    <row r="2718" spans="1:24" hidden="1" x14ac:dyDescent="0.3">
      <c r="A2718" s="14" t="s">
        <v>457</v>
      </c>
      <c r="B2718" s="14" t="s">
        <v>132</v>
      </c>
      <c r="C2718" s="14" t="s">
        <v>380</v>
      </c>
      <c r="D2718" s="14" t="s">
        <v>381</v>
      </c>
      <c r="E2718" s="14" t="s">
        <v>342</v>
      </c>
      <c r="F2718" s="14" t="s">
        <v>343</v>
      </c>
      <c r="G2718" s="14" t="s">
        <v>343</v>
      </c>
      <c r="H2718" s="14" t="s">
        <v>343</v>
      </c>
      <c r="U2718" s="14">
        <v>1</v>
      </c>
      <c r="V2718" s="14">
        <v>0.98</v>
      </c>
      <c r="W2718" s="14">
        <v>0.98</v>
      </c>
      <c r="X2718" s="14">
        <v>0.99</v>
      </c>
    </row>
    <row r="2719" spans="1:24" hidden="1" x14ac:dyDescent="0.3">
      <c r="A2719" s="14" t="s">
        <v>457</v>
      </c>
      <c r="B2719" s="14" t="s">
        <v>132</v>
      </c>
      <c r="C2719" s="14" t="s">
        <v>380</v>
      </c>
      <c r="D2719" s="14" t="s">
        <v>381</v>
      </c>
      <c r="E2719" s="14" t="s">
        <v>344</v>
      </c>
      <c r="F2719" s="14" t="s">
        <v>343</v>
      </c>
      <c r="G2719" s="14" t="s">
        <v>343</v>
      </c>
      <c r="H2719" s="14" t="s">
        <v>343</v>
      </c>
      <c r="U2719" s="14">
        <v>1</v>
      </c>
      <c r="V2719" s="14">
        <v>120</v>
      </c>
      <c r="W2719" s="14">
        <v>120</v>
      </c>
      <c r="X2719" s="14">
        <v>96</v>
      </c>
    </row>
    <row r="2720" spans="1:24" hidden="1" x14ac:dyDescent="0.3">
      <c r="A2720" s="14" t="s">
        <v>457</v>
      </c>
      <c r="B2720" s="14" t="s">
        <v>132</v>
      </c>
      <c r="C2720" s="14" t="s">
        <v>355</v>
      </c>
      <c r="D2720" s="14" t="s">
        <v>356</v>
      </c>
      <c r="E2720" s="14" t="s">
        <v>342</v>
      </c>
      <c r="F2720" s="14" t="s">
        <v>343</v>
      </c>
      <c r="G2720" s="14" t="s">
        <v>343</v>
      </c>
      <c r="H2720" s="14" t="s">
        <v>343</v>
      </c>
      <c r="U2720" s="14">
        <v>1</v>
      </c>
      <c r="V2720" s="14">
        <v>1</v>
      </c>
      <c r="W2720" s="14">
        <v>1</v>
      </c>
      <c r="X2720" s="14">
        <v>1</v>
      </c>
    </row>
    <row r="2721" spans="1:24" hidden="1" x14ac:dyDescent="0.3">
      <c r="A2721" s="14" t="s">
        <v>457</v>
      </c>
      <c r="B2721" s="14" t="s">
        <v>132</v>
      </c>
      <c r="C2721" s="14" t="s">
        <v>355</v>
      </c>
      <c r="D2721" s="14" t="s">
        <v>356</v>
      </c>
      <c r="E2721" s="14" t="s">
        <v>344</v>
      </c>
      <c r="F2721" s="14" t="s">
        <v>343</v>
      </c>
      <c r="G2721" s="14" t="s">
        <v>343</v>
      </c>
      <c r="H2721" s="14" t="s">
        <v>343</v>
      </c>
      <c r="U2721" s="14">
        <v>1</v>
      </c>
      <c r="V2721" s="14">
        <v>1</v>
      </c>
      <c r="W2721" s="14">
        <v>1</v>
      </c>
      <c r="X2721" s="14">
        <v>1</v>
      </c>
    </row>
    <row r="2722" spans="1:24" hidden="1" x14ac:dyDescent="0.3">
      <c r="A2722" s="14" t="s">
        <v>457</v>
      </c>
      <c r="B2722" s="14" t="s">
        <v>132</v>
      </c>
      <c r="C2722" s="14" t="s">
        <v>357</v>
      </c>
      <c r="D2722" s="14" t="s">
        <v>358</v>
      </c>
      <c r="E2722" s="14" t="s">
        <v>342</v>
      </c>
      <c r="F2722" s="14" t="s">
        <v>343</v>
      </c>
      <c r="G2722" s="14" t="s">
        <v>343</v>
      </c>
      <c r="H2722" s="14" t="s">
        <v>343</v>
      </c>
      <c r="U2722" s="14">
        <v>1</v>
      </c>
      <c r="V2722" s="14">
        <v>1</v>
      </c>
      <c r="W2722" s="14">
        <v>1</v>
      </c>
      <c r="X2722" s="14">
        <v>1</v>
      </c>
    </row>
    <row r="2723" spans="1:24" hidden="1" x14ac:dyDescent="0.3">
      <c r="A2723" s="14" t="s">
        <v>457</v>
      </c>
      <c r="B2723" s="14" t="s">
        <v>132</v>
      </c>
      <c r="C2723" s="14" t="s">
        <v>357</v>
      </c>
      <c r="D2723" s="14" t="s">
        <v>358</v>
      </c>
      <c r="E2723" s="14" t="s">
        <v>344</v>
      </c>
      <c r="F2723" s="14" t="s">
        <v>343</v>
      </c>
      <c r="G2723" s="14" t="s">
        <v>343</v>
      </c>
      <c r="H2723" s="14" t="s">
        <v>343</v>
      </c>
      <c r="U2723" s="14">
        <v>1</v>
      </c>
      <c r="V2723" s="14">
        <v>1</v>
      </c>
      <c r="W2723" s="14">
        <v>1</v>
      </c>
      <c r="X2723" s="14">
        <v>1</v>
      </c>
    </row>
    <row r="2724" spans="1:24" hidden="1" x14ac:dyDescent="0.3">
      <c r="A2724" s="14" t="s">
        <v>457</v>
      </c>
      <c r="B2724" s="14" t="s">
        <v>132</v>
      </c>
      <c r="C2724" s="14" t="s">
        <v>359</v>
      </c>
      <c r="D2724" s="14" t="s">
        <v>360</v>
      </c>
      <c r="E2724" s="14" t="s">
        <v>342</v>
      </c>
      <c r="F2724" s="14" t="s">
        <v>343</v>
      </c>
      <c r="G2724" s="14" t="s">
        <v>343</v>
      </c>
      <c r="H2724" s="14" t="s">
        <v>343</v>
      </c>
      <c r="I2724" s="14">
        <v>0.44</v>
      </c>
      <c r="J2724" s="14">
        <v>0.48</v>
      </c>
      <c r="K2724" s="14">
        <v>0.49</v>
      </c>
      <c r="L2724" s="14">
        <v>0.45</v>
      </c>
      <c r="M2724" s="14">
        <v>0.42</v>
      </c>
      <c r="N2724" s="14">
        <v>0.43</v>
      </c>
      <c r="O2724" s="14">
        <v>0.43</v>
      </c>
      <c r="P2724" s="14">
        <v>0.41</v>
      </c>
      <c r="Q2724" s="14">
        <v>0.36</v>
      </c>
      <c r="R2724" s="14">
        <v>0.35</v>
      </c>
      <c r="S2724" s="14">
        <v>0.38</v>
      </c>
      <c r="T2724" s="14">
        <v>0.38</v>
      </c>
      <c r="U2724" s="14">
        <v>0.38</v>
      </c>
      <c r="V2724" s="14">
        <v>0.41</v>
      </c>
      <c r="W2724" s="14">
        <v>0.54</v>
      </c>
      <c r="X2724" s="14">
        <v>0.54</v>
      </c>
    </row>
    <row r="2725" spans="1:24" hidden="1" x14ac:dyDescent="0.3">
      <c r="A2725" s="14" t="s">
        <v>457</v>
      </c>
      <c r="B2725" s="14" t="s">
        <v>132</v>
      </c>
      <c r="C2725" s="14" t="s">
        <v>359</v>
      </c>
      <c r="D2725" s="14" t="s">
        <v>360</v>
      </c>
      <c r="E2725" s="14" t="s">
        <v>344</v>
      </c>
      <c r="F2725" s="14" t="s">
        <v>343</v>
      </c>
      <c r="G2725" s="14" t="s">
        <v>343</v>
      </c>
      <c r="H2725" s="14" t="s">
        <v>343</v>
      </c>
      <c r="I2725" s="14">
        <v>105</v>
      </c>
      <c r="J2725" s="14">
        <v>110</v>
      </c>
      <c r="K2725" s="14">
        <v>109</v>
      </c>
      <c r="L2725" s="14">
        <v>122</v>
      </c>
      <c r="M2725" s="14">
        <v>126</v>
      </c>
      <c r="N2725" s="14">
        <v>127</v>
      </c>
      <c r="O2725" s="14">
        <v>126</v>
      </c>
      <c r="P2725" s="14">
        <v>128</v>
      </c>
      <c r="Q2725" s="14">
        <v>140</v>
      </c>
      <c r="R2725" s="14">
        <v>142</v>
      </c>
      <c r="S2725" s="14">
        <v>138</v>
      </c>
      <c r="T2725" s="14">
        <v>138</v>
      </c>
      <c r="U2725" s="14">
        <v>144</v>
      </c>
      <c r="V2725" s="14">
        <v>145</v>
      </c>
      <c r="W2725" s="14">
        <v>133</v>
      </c>
      <c r="X2725" s="14">
        <v>125</v>
      </c>
    </row>
    <row r="2726" spans="1:24" x14ac:dyDescent="0.3">
      <c r="A2726" s="14" t="s">
        <v>457</v>
      </c>
      <c r="B2726" s="14" t="s">
        <v>132</v>
      </c>
      <c r="C2726" s="14" t="s">
        <v>361</v>
      </c>
      <c r="D2726" s="14" t="s">
        <v>362</v>
      </c>
      <c r="E2726" s="14" t="s">
        <v>342</v>
      </c>
      <c r="F2726" s="14" t="s">
        <v>343</v>
      </c>
      <c r="G2726" s="14" t="s">
        <v>343</v>
      </c>
      <c r="H2726" s="14" t="s">
        <v>343</v>
      </c>
      <c r="I2726" s="14">
        <v>0.97</v>
      </c>
      <c r="J2726" s="14">
        <v>0.97</v>
      </c>
      <c r="K2726" s="14">
        <v>0.97</v>
      </c>
      <c r="L2726" s="14">
        <v>0.97</v>
      </c>
      <c r="M2726" s="14">
        <v>0.97</v>
      </c>
      <c r="N2726" s="14">
        <v>0.97</v>
      </c>
      <c r="O2726" s="14">
        <v>0.97</v>
      </c>
      <c r="P2726" s="14">
        <v>0.97</v>
      </c>
      <c r="Q2726" s="14">
        <v>0.97</v>
      </c>
      <c r="R2726" s="14">
        <v>0.97</v>
      </c>
      <c r="S2726" s="14">
        <v>0.97</v>
      </c>
      <c r="T2726" s="14">
        <v>0.97</v>
      </c>
      <c r="U2726" s="14">
        <v>0.97</v>
      </c>
      <c r="V2726" s="14">
        <v>0.97</v>
      </c>
      <c r="W2726" s="14">
        <v>0.96</v>
      </c>
      <c r="X2726" s="14">
        <v>0.96</v>
      </c>
    </row>
    <row r="2727" spans="1:24" hidden="1" x14ac:dyDescent="0.3">
      <c r="A2727" s="14" t="s">
        <v>457</v>
      </c>
      <c r="B2727" s="14" t="s">
        <v>132</v>
      </c>
      <c r="C2727" s="14" t="s">
        <v>361</v>
      </c>
      <c r="D2727" s="14" t="s">
        <v>362</v>
      </c>
      <c r="E2727" s="14" t="s">
        <v>344</v>
      </c>
      <c r="F2727" s="14" t="s">
        <v>343</v>
      </c>
      <c r="G2727" s="14" t="s">
        <v>343</v>
      </c>
      <c r="H2727" s="14" t="s">
        <v>343</v>
      </c>
      <c r="I2727" s="14">
        <v>62</v>
      </c>
      <c r="J2727" s="14">
        <v>88</v>
      </c>
      <c r="K2727" s="14">
        <v>89</v>
      </c>
      <c r="L2727" s="14">
        <v>94</v>
      </c>
      <c r="M2727" s="14">
        <v>87</v>
      </c>
      <c r="N2727" s="14">
        <v>89</v>
      </c>
      <c r="O2727" s="14">
        <v>90</v>
      </c>
      <c r="P2727" s="14">
        <v>90</v>
      </c>
      <c r="Q2727" s="14">
        <v>127</v>
      </c>
      <c r="R2727" s="14">
        <v>132</v>
      </c>
      <c r="S2727" s="14">
        <v>131</v>
      </c>
      <c r="T2727" s="14">
        <v>113</v>
      </c>
      <c r="U2727" s="14">
        <v>102</v>
      </c>
      <c r="V2727" s="14">
        <v>103</v>
      </c>
      <c r="W2727" s="14">
        <v>145</v>
      </c>
      <c r="X2727" s="14">
        <v>136</v>
      </c>
    </row>
    <row r="2728" spans="1:24" hidden="1" x14ac:dyDescent="0.3">
      <c r="A2728" s="14" t="s">
        <v>457</v>
      </c>
      <c r="B2728" s="14" t="s">
        <v>132</v>
      </c>
      <c r="C2728" s="14" t="s">
        <v>363</v>
      </c>
      <c r="D2728" s="14" t="s">
        <v>364</v>
      </c>
      <c r="E2728" s="14" t="s">
        <v>342</v>
      </c>
      <c r="F2728" s="14" t="s">
        <v>343</v>
      </c>
      <c r="G2728" s="14" t="s">
        <v>343</v>
      </c>
      <c r="H2728" s="14" t="s">
        <v>343</v>
      </c>
      <c r="U2728" s="14">
        <v>1.03</v>
      </c>
      <c r="V2728" s="14">
        <v>1.03</v>
      </c>
      <c r="W2728" s="14">
        <v>0.99</v>
      </c>
      <c r="X2728" s="14">
        <v>0.99</v>
      </c>
    </row>
    <row r="2729" spans="1:24" hidden="1" x14ac:dyDescent="0.3">
      <c r="A2729" s="14" t="s">
        <v>457</v>
      </c>
      <c r="B2729" s="14" t="s">
        <v>132</v>
      </c>
      <c r="C2729" s="14" t="s">
        <v>363</v>
      </c>
      <c r="D2729" s="14" t="s">
        <v>364</v>
      </c>
      <c r="E2729" s="14" t="s">
        <v>344</v>
      </c>
      <c r="F2729" s="14" t="s">
        <v>343</v>
      </c>
      <c r="G2729" s="14" t="s">
        <v>343</v>
      </c>
      <c r="H2729" s="14" t="s">
        <v>343</v>
      </c>
      <c r="U2729" s="14">
        <v>109</v>
      </c>
      <c r="V2729" s="14">
        <v>112</v>
      </c>
      <c r="W2729" s="14">
        <v>153</v>
      </c>
      <c r="X2729" s="14">
        <v>144</v>
      </c>
    </row>
    <row r="2730" spans="1:24" hidden="1" x14ac:dyDescent="0.3">
      <c r="A2730" s="14" t="s">
        <v>457</v>
      </c>
      <c r="B2730" s="14" t="s">
        <v>132</v>
      </c>
      <c r="C2730" s="14" t="s">
        <v>365</v>
      </c>
      <c r="D2730" s="14" t="s">
        <v>366</v>
      </c>
      <c r="E2730" s="14" t="s">
        <v>342</v>
      </c>
      <c r="F2730" s="14" t="s">
        <v>343</v>
      </c>
      <c r="G2730" s="14" t="s">
        <v>343</v>
      </c>
      <c r="H2730" s="14" t="s">
        <v>343</v>
      </c>
      <c r="U2730" s="14">
        <v>0.94</v>
      </c>
      <c r="V2730" s="14">
        <v>0.94</v>
      </c>
      <c r="W2730" s="14">
        <v>0.94</v>
      </c>
      <c r="X2730" s="14">
        <v>0.94</v>
      </c>
    </row>
    <row r="2731" spans="1:24" hidden="1" x14ac:dyDescent="0.3">
      <c r="A2731" s="14" t="s">
        <v>457</v>
      </c>
      <c r="B2731" s="14" t="s">
        <v>132</v>
      </c>
      <c r="C2731" s="14" t="s">
        <v>365</v>
      </c>
      <c r="D2731" s="14" t="s">
        <v>366</v>
      </c>
      <c r="E2731" s="14" t="s">
        <v>344</v>
      </c>
      <c r="F2731" s="14" t="s">
        <v>343</v>
      </c>
      <c r="G2731" s="14" t="s">
        <v>343</v>
      </c>
      <c r="H2731" s="14" t="s">
        <v>343</v>
      </c>
      <c r="U2731" s="14">
        <v>1</v>
      </c>
      <c r="V2731" s="14">
        <v>1</v>
      </c>
      <c r="W2731" s="14">
        <v>1</v>
      </c>
      <c r="X2731" s="14">
        <v>1</v>
      </c>
    </row>
    <row r="2732" spans="1:24" hidden="1" x14ac:dyDescent="0.3">
      <c r="A2732" s="14" t="s">
        <v>457</v>
      </c>
      <c r="B2732" s="14" t="s">
        <v>132</v>
      </c>
      <c r="C2732" s="14" t="s">
        <v>367</v>
      </c>
      <c r="D2732" s="14" t="s">
        <v>368</v>
      </c>
      <c r="E2732" s="14" t="s">
        <v>342</v>
      </c>
      <c r="F2732" s="14" t="s">
        <v>343</v>
      </c>
      <c r="G2732" s="14" t="s">
        <v>343</v>
      </c>
      <c r="H2732" s="14" t="s">
        <v>343</v>
      </c>
      <c r="I2732" s="14">
        <v>0.61</v>
      </c>
      <c r="J2732" s="14">
        <v>0.62</v>
      </c>
      <c r="K2732" s="14">
        <v>0.63</v>
      </c>
      <c r="L2732" s="14">
        <v>0.62</v>
      </c>
      <c r="M2732" s="14">
        <v>0.6</v>
      </c>
      <c r="N2732" s="14">
        <v>0.61</v>
      </c>
      <c r="O2732" s="14">
        <v>0.61</v>
      </c>
      <c r="P2732" s="14">
        <v>0.61</v>
      </c>
      <c r="Q2732" s="14">
        <v>0.6</v>
      </c>
      <c r="R2732" s="14">
        <v>0.59</v>
      </c>
      <c r="S2732" s="14">
        <v>0.6</v>
      </c>
      <c r="T2732" s="14">
        <v>0.6</v>
      </c>
      <c r="U2732" s="14">
        <v>0.6</v>
      </c>
      <c r="V2732" s="14">
        <v>0.62</v>
      </c>
      <c r="W2732" s="14">
        <v>0.64</v>
      </c>
      <c r="X2732" s="14">
        <v>0.64</v>
      </c>
    </row>
    <row r="2733" spans="1:24" hidden="1" x14ac:dyDescent="0.3">
      <c r="A2733" s="14" t="s">
        <v>457</v>
      </c>
      <c r="B2733" s="14" t="s">
        <v>132</v>
      </c>
      <c r="C2733" s="14" t="s">
        <v>367</v>
      </c>
      <c r="D2733" s="14" t="s">
        <v>368</v>
      </c>
      <c r="E2733" s="14" t="s">
        <v>344</v>
      </c>
      <c r="F2733" s="14" t="s">
        <v>343</v>
      </c>
      <c r="G2733" s="14" t="s">
        <v>343</v>
      </c>
      <c r="H2733" s="14" t="s">
        <v>343</v>
      </c>
      <c r="I2733" s="14">
        <v>93</v>
      </c>
      <c r="J2733" s="14">
        <v>104</v>
      </c>
      <c r="K2733" s="14">
        <v>104</v>
      </c>
      <c r="L2733" s="14">
        <v>113</v>
      </c>
      <c r="M2733" s="14">
        <v>120</v>
      </c>
      <c r="N2733" s="14">
        <v>117</v>
      </c>
      <c r="O2733" s="14">
        <v>121</v>
      </c>
      <c r="P2733" s="14">
        <v>119</v>
      </c>
      <c r="Q2733" s="14">
        <v>134</v>
      </c>
      <c r="R2733" s="14">
        <v>140</v>
      </c>
      <c r="S2733" s="14">
        <v>134</v>
      </c>
      <c r="T2733" s="14">
        <v>135</v>
      </c>
      <c r="U2733" s="14">
        <v>138</v>
      </c>
      <c r="V2733" s="14">
        <v>138</v>
      </c>
      <c r="W2733" s="14">
        <v>131</v>
      </c>
      <c r="X2733" s="14">
        <v>122</v>
      </c>
    </row>
    <row r="2734" spans="1:24" hidden="1" x14ac:dyDescent="0.3">
      <c r="A2734" s="14" t="s">
        <v>457</v>
      </c>
      <c r="B2734" s="14" t="s">
        <v>132</v>
      </c>
      <c r="C2734" s="14" t="s">
        <v>369</v>
      </c>
      <c r="D2734" s="14" t="s">
        <v>370</v>
      </c>
      <c r="E2734" s="14" t="s">
        <v>342</v>
      </c>
      <c r="F2734" s="14" t="s">
        <v>343</v>
      </c>
      <c r="G2734" s="14" t="s">
        <v>343</v>
      </c>
      <c r="H2734" s="14" t="s">
        <v>343</v>
      </c>
      <c r="I2734" s="14">
        <v>0.05</v>
      </c>
      <c r="J2734" s="14">
        <v>0.05</v>
      </c>
      <c r="K2734" s="14">
        <v>0.06</v>
      </c>
      <c r="L2734" s="14">
        <v>0.06</v>
      </c>
      <c r="M2734" s="14">
        <v>0.04</v>
      </c>
      <c r="N2734" s="14">
        <v>0.06</v>
      </c>
      <c r="O2734" s="14">
        <v>0.06</v>
      </c>
      <c r="P2734" s="14">
        <v>0.06</v>
      </c>
      <c r="Q2734" s="14">
        <v>7.0000000000000007E-2</v>
      </c>
      <c r="R2734" s="14">
        <v>7.0000000000000007E-2</v>
      </c>
      <c r="S2734" s="14">
        <v>7.0000000000000007E-2</v>
      </c>
      <c r="T2734" s="14">
        <v>0.08</v>
      </c>
      <c r="U2734" s="14">
        <v>0.08</v>
      </c>
      <c r="V2734" s="14">
        <v>0.12</v>
      </c>
      <c r="W2734" s="14">
        <v>7.0000000000000007E-2</v>
      </c>
      <c r="X2734" s="14">
        <v>7.0000000000000007E-2</v>
      </c>
    </row>
    <row r="2735" spans="1:24" hidden="1" x14ac:dyDescent="0.3">
      <c r="A2735" s="14" t="s">
        <v>457</v>
      </c>
      <c r="B2735" s="14" t="s">
        <v>132</v>
      </c>
      <c r="C2735" s="14" t="s">
        <v>369</v>
      </c>
      <c r="D2735" s="14" t="s">
        <v>370</v>
      </c>
      <c r="E2735" s="14" t="s">
        <v>344</v>
      </c>
      <c r="F2735" s="14" t="s">
        <v>343</v>
      </c>
      <c r="G2735" s="14" t="s">
        <v>343</v>
      </c>
      <c r="H2735" s="14" t="s">
        <v>343</v>
      </c>
      <c r="I2735" s="14">
        <v>100</v>
      </c>
      <c r="J2735" s="14">
        <v>112</v>
      </c>
      <c r="K2735" s="14">
        <v>108</v>
      </c>
      <c r="L2735" s="14">
        <v>111</v>
      </c>
      <c r="M2735" s="14">
        <v>117</v>
      </c>
      <c r="N2735" s="14">
        <v>113</v>
      </c>
      <c r="O2735" s="14">
        <v>118</v>
      </c>
      <c r="P2735" s="14">
        <v>117</v>
      </c>
      <c r="Q2735" s="14">
        <v>119</v>
      </c>
      <c r="R2735" s="14">
        <v>123</v>
      </c>
      <c r="S2735" s="14">
        <v>123</v>
      </c>
      <c r="T2735" s="14">
        <v>126</v>
      </c>
      <c r="U2735" s="14">
        <v>129</v>
      </c>
      <c r="V2735" s="14">
        <v>113</v>
      </c>
      <c r="W2735" s="14">
        <v>144</v>
      </c>
      <c r="X2735" s="14">
        <v>136</v>
      </c>
    </row>
    <row r="2736" spans="1:24" hidden="1" x14ac:dyDescent="0.3">
      <c r="A2736" s="14" t="s">
        <v>457</v>
      </c>
      <c r="B2736" s="14" t="s">
        <v>132</v>
      </c>
      <c r="C2736" s="14" t="s">
        <v>371</v>
      </c>
      <c r="D2736" s="14" t="s">
        <v>372</v>
      </c>
      <c r="E2736" s="14" t="s">
        <v>342</v>
      </c>
      <c r="F2736" s="14" t="s">
        <v>343</v>
      </c>
      <c r="G2736" s="14" t="s">
        <v>343</v>
      </c>
      <c r="H2736" s="14" t="s">
        <v>343</v>
      </c>
      <c r="U2736" s="14">
        <v>0</v>
      </c>
      <c r="V2736" s="14">
        <v>0</v>
      </c>
      <c r="W2736" s="14">
        <v>0</v>
      </c>
      <c r="X2736" s="14">
        <v>0</v>
      </c>
    </row>
    <row r="2737" spans="1:24" hidden="1" x14ac:dyDescent="0.3">
      <c r="A2737" s="14" t="s">
        <v>457</v>
      </c>
      <c r="B2737" s="14" t="s">
        <v>132</v>
      </c>
      <c r="C2737" s="14" t="s">
        <v>371</v>
      </c>
      <c r="D2737" s="14" t="s">
        <v>372</v>
      </c>
      <c r="E2737" s="14" t="s">
        <v>344</v>
      </c>
      <c r="F2737" s="14" t="s">
        <v>343</v>
      </c>
      <c r="G2737" s="14" t="s">
        <v>343</v>
      </c>
      <c r="H2737" s="14" t="s">
        <v>343</v>
      </c>
      <c r="U2737" s="14">
        <v>71</v>
      </c>
      <c r="V2737" s="14">
        <v>73</v>
      </c>
      <c r="W2737" s="14">
        <v>76</v>
      </c>
      <c r="X2737" s="14">
        <v>78</v>
      </c>
    </row>
    <row r="2738" spans="1:24" hidden="1" x14ac:dyDescent="0.3">
      <c r="A2738" s="14" t="s">
        <v>457</v>
      </c>
      <c r="B2738" s="14" t="s">
        <v>132</v>
      </c>
      <c r="C2738" s="14" t="s">
        <v>373</v>
      </c>
      <c r="D2738" s="14" t="s">
        <v>374</v>
      </c>
      <c r="E2738" s="14" t="s">
        <v>342</v>
      </c>
      <c r="F2738" s="14" t="s">
        <v>343</v>
      </c>
      <c r="G2738" s="14" t="s">
        <v>343</v>
      </c>
      <c r="H2738" s="14" t="s">
        <v>343</v>
      </c>
      <c r="U2738" s="14">
        <v>0.08</v>
      </c>
      <c r="V2738" s="14">
        <v>0.26</v>
      </c>
      <c r="W2738" s="14">
        <v>0.1</v>
      </c>
      <c r="X2738" s="14">
        <v>0.1</v>
      </c>
    </row>
    <row r="2739" spans="1:24" hidden="1" x14ac:dyDescent="0.3">
      <c r="A2739" s="14" t="s">
        <v>457</v>
      </c>
      <c r="B2739" s="14" t="s">
        <v>132</v>
      </c>
      <c r="C2739" s="14" t="s">
        <v>373</v>
      </c>
      <c r="D2739" s="14" t="s">
        <v>374</v>
      </c>
      <c r="E2739" s="14" t="s">
        <v>344</v>
      </c>
      <c r="F2739" s="14" t="s">
        <v>343</v>
      </c>
      <c r="G2739" s="14" t="s">
        <v>343</v>
      </c>
      <c r="H2739" s="14" t="s">
        <v>343</v>
      </c>
      <c r="U2739" s="14">
        <v>124</v>
      </c>
      <c r="V2739" s="14">
        <v>82</v>
      </c>
      <c r="W2739" s="14">
        <v>130</v>
      </c>
      <c r="X2739" s="14">
        <v>124</v>
      </c>
    </row>
    <row r="2740" spans="1:24" hidden="1" x14ac:dyDescent="0.3">
      <c r="A2740" s="14" t="s">
        <v>457</v>
      </c>
      <c r="B2740" s="14" t="s">
        <v>132</v>
      </c>
      <c r="C2740" s="14" t="s">
        <v>375</v>
      </c>
      <c r="D2740" s="14" t="s">
        <v>376</v>
      </c>
      <c r="E2740" s="14" t="s">
        <v>342</v>
      </c>
      <c r="F2740" s="14" t="s">
        <v>343</v>
      </c>
      <c r="G2740" s="14" t="s">
        <v>343</v>
      </c>
      <c r="H2740" s="14" t="s">
        <v>343</v>
      </c>
      <c r="U2740" s="14">
        <v>0.18</v>
      </c>
      <c r="V2740" s="14">
        <v>0.18</v>
      </c>
      <c r="W2740" s="14">
        <v>0.13</v>
      </c>
      <c r="X2740" s="14">
        <v>0.14000000000000001</v>
      </c>
    </row>
    <row r="2741" spans="1:24" hidden="1" x14ac:dyDescent="0.3">
      <c r="A2741" s="14" t="s">
        <v>457</v>
      </c>
      <c r="B2741" s="14" t="s">
        <v>132</v>
      </c>
      <c r="C2741" s="14" t="s">
        <v>375</v>
      </c>
      <c r="D2741" s="14" t="s">
        <v>376</v>
      </c>
      <c r="E2741" s="14" t="s">
        <v>344</v>
      </c>
      <c r="F2741" s="14" t="s">
        <v>343</v>
      </c>
      <c r="G2741" s="14" t="s">
        <v>343</v>
      </c>
      <c r="H2741" s="14" t="s">
        <v>343</v>
      </c>
      <c r="U2741" s="14">
        <v>109</v>
      </c>
      <c r="V2741" s="14">
        <v>113</v>
      </c>
      <c r="W2741" s="14">
        <v>135</v>
      </c>
      <c r="X2741" s="14">
        <v>127</v>
      </c>
    </row>
    <row r="2742" spans="1:24" hidden="1" x14ac:dyDescent="0.3">
      <c r="A2742" s="14" t="s">
        <v>458</v>
      </c>
      <c r="B2742" s="14" t="s">
        <v>130</v>
      </c>
      <c r="C2742" s="14" t="s">
        <v>340</v>
      </c>
      <c r="D2742" s="14" t="s">
        <v>341</v>
      </c>
      <c r="E2742" s="14" t="s">
        <v>342</v>
      </c>
      <c r="F2742" s="14" t="s">
        <v>343</v>
      </c>
      <c r="G2742" s="14" t="s">
        <v>343</v>
      </c>
      <c r="H2742" s="14" t="s">
        <v>343</v>
      </c>
      <c r="I2742" s="14">
        <v>0.99</v>
      </c>
      <c r="J2742" s="14">
        <v>0.99</v>
      </c>
      <c r="K2742" s="14">
        <v>0.99</v>
      </c>
      <c r="L2742" s="14">
        <v>0.99</v>
      </c>
      <c r="M2742" s="14">
        <v>0.99</v>
      </c>
      <c r="N2742" s="14">
        <v>0.99</v>
      </c>
      <c r="O2742" s="14">
        <v>0.99</v>
      </c>
      <c r="P2742" s="14">
        <v>0.98</v>
      </c>
      <c r="Q2742" s="14">
        <v>0.98</v>
      </c>
      <c r="R2742" s="14">
        <v>0.99</v>
      </c>
      <c r="S2742" s="14">
        <v>0.99</v>
      </c>
      <c r="T2742" s="14">
        <v>0.99</v>
      </c>
      <c r="U2742" s="14">
        <v>0.99</v>
      </c>
      <c r="V2742" s="14">
        <v>0.98</v>
      </c>
      <c r="W2742" s="14">
        <v>0.98</v>
      </c>
      <c r="X2742" s="14">
        <v>1</v>
      </c>
    </row>
    <row r="2743" spans="1:24" hidden="1" x14ac:dyDescent="0.3">
      <c r="A2743" s="14" t="s">
        <v>458</v>
      </c>
      <c r="B2743" s="14" t="s">
        <v>130</v>
      </c>
      <c r="C2743" s="14" t="s">
        <v>340</v>
      </c>
      <c r="D2743" s="14" t="s">
        <v>341</v>
      </c>
      <c r="E2743" s="14" t="s">
        <v>344</v>
      </c>
      <c r="F2743" s="14" t="s">
        <v>343</v>
      </c>
      <c r="G2743" s="14" t="s">
        <v>343</v>
      </c>
      <c r="H2743" s="14" t="s">
        <v>343</v>
      </c>
      <c r="I2743" s="14">
        <v>59</v>
      </c>
      <c r="J2743" s="14">
        <v>69</v>
      </c>
      <c r="K2743" s="14">
        <v>82</v>
      </c>
      <c r="L2743" s="14">
        <v>84</v>
      </c>
      <c r="M2743" s="14">
        <v>82</v>
      </c>
      <c r="N2743" s="14">
        <v>80</v>
      </c>
      <c r="O2743" s="14">
        <v>81</v>
      </c>
      <c r="P2743" s="14">
        <v>91</v>
      </c>
      <c r="Q2743" s="14">
        <v>93</v>
      </c>
      <c r="R2743" s="14">
        <v>84</v>
      </c>
      <c r="S2743" s="14">
        <v>76</v>
      </c>
      <c r="T2743" s="14">
        <v>74</v>
      </c>
      <c r="U2743" s="14">
        <v>65</v>
      </c>
      <c r="V2743" s="14">
        <v>91</v>
      </c>
      <c r="W2743" s="14">
        <v>92</v>
      </c>
      <c r="X2743" s="14">
        <v>1</v>
      </c>
    </row>
    <row r="2744" spans="1:24" hidden="1" x14ac:dyDescent="0.3">
      <c r="A2744" s="14" t="s">
        <v>458</v>
      </c>
      <c r="B2744" s="14" t="s">
        <v>130</v>
      </c>
      <c r="C2744" s="14" t="s">
        <v>345</v>
      </c>
      <c r="D2744" s="14" t="s">
        <v>346</v>
      </c>
      <c r="E2744" s="14" t="s">
        <v>342</v>
      </c>
      <c r="F2744" s="14" t="s">
        <v>343</v>
      </c>
      <c r="G2744" s="14" t="s">
        <v>343</v>
      </c>
      <c r="H2744" s="14" t="s">
        <v>343</v>
      </c>
      <c r="U2744" s="14">
        <v>0.53</v>
      </c>
      <c r="V2744" s="14">
        <v>0.54</v>
      </c>
      <c r="W2744" s="14">
        <v>0.56000000000000005</v>
      </c>
      <c r="X2744" s="14">
        <v>0.56999999999999995</v>
      </c>
    </row>
    <row r="2745" spans="1:24" hidden="1" x14ac:dyDescent="0.3">
      <c r="A2745" s="14" t="s">
        <v>458</v>
      </c>
      <c r="B2745" s="14" t="s">
        <v>130</v>
      </c>
      <c r="C2745" s="14" t="s">
        <v>345</v>
      </c>
      <c r="D2745" s="14" t="s">
        <v>346</v>
      </c>
      <c r="E2745" s="14" t="s">
        <v>344</v>
      </c>
      <c r="F2745" s="14" t="s">
        <v>343</v>
      </c>
      <c r="G2745" s="14" t="s">
        <v>343</v>
      </c>
      <c r="H2745" s="14" t="s">
        <v>343</v>
      </c>
      <c r="U2745" s="14">
        <v>103</v>
      </c>
      <c r="V2745" s="14">
        <v>108</v>
      </c>
      <c r="W2745" s="14">
        <v>101</v>
      </c>
      <c r="X2745" s="14">
        <v>100</v>
      </c>
    </row>
    <row r="2746" spans="1:24" hidden="1" x14ac:dyDescent="0.3">
      <c r="A2746" s="14" t="s">
        <v>458</v>
      </c>
      <c r="B2746" s="14" t="s">
        <v>130</v>
      </c>
      <c r="C2746" s="14" t="s">
        <v>347</v>
      </c>
      <c r="D2746" s="14" t="s">
        <v>348</v>
      </c>
      <c r="E2746" s="14" t="s">
        <v>342</v>
      </c>
      <c r="F2746" s="14" t="s">
        <v>343</v>
      </c>
      <c r="G2746" s="14" t="s">
        <v>343</v>
      </c>
      <c r="H2746" s="14" t="s">
        <v>343</v>
      </c>
      <c r="U2746" s="14">
        <v>0.8</v>
      </c>
      <c r="V2746" s="14">
        <v>0.81</v>
      </c>
      <c r="W2746" s="14">
        <v>0.84</v>
      </c>
      <c r="X2746" s="14">
        <v>0.75</v>
      </c>
    </row>
    <row r="2747" spans="1:24" hidden="1" x14ac:dyDescent="0.3">
      <c r="A2747" s="14" t="s">
        <v>458</v>
      </c>
      <c r="B2747" s="14" t="s">
        <v>130</v>
      </c>
      <c r="C2747" s="14" t="s">
        <v>347</v>
      </c>
      <c r="D2747" s="14" t="s">
        <v>348</v>
      </c>
      <c r="E2747" s="14" t="s">
        <v>344</v>
      </c>
      <c r="F2747" s="14" t="s">
        <v>343</v>
      </c>
      <c r="G2747" s="14" t="s">
        <v>343</v>
      </c>
      <c r="H2747" s="14" t="s">
        <v>343</v>
      </c>
      <c r="U2747" s="14">
        <v>79</v>
      </c>
      <c r="V2747" s="14">
        <v>79</v>
      </c>
      <c r="W2747" s="14">
        <v>68</v>
      </c>
      <c r="X2747" s="14">
        <v>83</v>
      </c>
    </row>
    <row r="2748" spans="1:24" hidden="1" x14ac:dyDescent="0.3">
      <c r="A2748" s="14" t="s">
        <v>458</v>
      </c>
      <c r="B2748" s="14" t="s">
        <v>130</v>
      </c>
      <c r="C2748" s="14" t="s">
        <v>349</v>
      </c>
      <c r="D2748" s="14" t="s">
        <v>350</v>
      </c>
      <c r="E2748" s="14" t="s">
        <v>342</v>
      </c>
      <c r="F2748" s="14" t="s">
        <v>343</v>
      </c>
      <c r="G2748" s="14" t="s">
        <v>343</v>
      </c>
      <c r="H2748" s="14" t="s">
        <v>343</v>
      </c>
      <c r="U2748" s="14">
        <v>0.15</v>
      </c>
      <c r="V2748" s="14">
        <v>0.17</v>
      </c>
      <c r="W2748" s="14">
        <v>0.17</v>
      </c>
      <c r="X2748" s="14">
        <v>0.15</v>
      </c>
    </row>
    <row r="2749" spans="1:24" hidden="1" x14ac:dyDescent="0.3">
      <c r="A2749" s="14" t="s">
        <v>458</v>
      </c>
      <c r="B2749" s="14" t="s">
        <v>130</v>
      </c>
      <c r="C2749" s="14" t="s">
        <v>349</v>
      </c>
      <c r="D2749" s="14" t="s">
        <v>350</v>
      </c>
      <c r="E2749" s="14" t="s">
        <v>344</v>
      </c>
      <c r="F2749" s="14" t="s">
        <v>343</v>
      </c>
      <c r="G2749" s="14" t="s">
        <v>343</v>
      </c>
      <c r="H2749" s="14" t="s">
        <v>343</v>
      </c>
      <c r="U2749" s="14">
        <v>129</v>
      </c>
      <c r="V2749" s="14">
        <v>131</v>
      </c>
      <c r="W2749" s="14">
        <v>139</v>
      </c>
      <c r="X2749" s="14">
        <v>130</v>
      </c>
    </row>
    <row r="2750" spans="1:24" hidden="1" x14ac:dyDescent="0.3">
      <c r="A2750" s="14" t="s">
        <v>458</v>
      </c>
      <c r="B2750" s="14" t="s">
        <v>130</v>
      </c>
      <c r="C2750" s="14" t="s">
        <v>351</v>
      </c>
      <c r="D2750" s="14" t="s">
        <v>352</v>
      </c>
      <c r="E2750" s="14" t="s">
        <v>342</v>
      </c>
      <c r="F2750" s="14" t="s">
        <v>343</v>
      </c>
      <c r="G2750" s="14" t="s">
        <v>343</v>
      </c>
      <c r="H2750" s="14" t="s">
        <v>343</v>
      </c>
      <c r="U2750" s="14">
        <v>0.67</v>
      </c>
      <c r="V2750" s="14">
        <v>0.68</v>
      </c>
      <c r="W2750" s="14">
        <v>0.7</v>
      </c>
    </row>
    <row r="2751" spans="1:24" hidden="1" x14ac:dyDescent="0.3">
      <c r="A2751" s="14" t="s">
        <v>458</v>
      </c>
      <c r="B2751" s="14" t="s">
        <v>130</v>
      </c>
      <c r="C2751" s="14" t="s">
        <v>351</v>
      </c>
      <c r="D2751" s="14" t="s">
        <v>352</v>
      </c>
      <c r="E2751" s="14" t="s">
        <v>344</v>
      </c>
      <c r="F2751" s="14" t="s">
        <v>343</v>
      </c>
      <c r="G2751" s="14" t="s">
        <v>343</v>
      </c>
      <c r="H2751" s="14" t="s">
        <v>343</v>
      </c>
      <c r="U2751" s="14">
        <v>108</v>
      </c>
      <c r="V2751" s="14">
        <v>110</v>
      </c>
      <c r="W2751" s="14">
        <v>105</v>
      </c>
    </row>
    <row r="2752" spans="1:24" hidden="1" x14ac:dyDescent="0.3">
      <c r="A2752" s="14" t="s">
        <v>458</v>
      </c>
      <c r="B2752" s="14" t="s">
        <v>130</v>
      </c>
      <c r="C2752" s="14" t="s">
        <v>378</v>
      </c>
      <c r="D2752" s="14" t="s">
        <v>379</v>
      </c>
      <c r="E2752" s="14" t="s">
        <v>342</v>
      </c>
      <c r="F2752" s="14" t="s">
        <v>343</v>
      </c>
      <c r="G2752" s="14" t="s">
        <v>343</v>
      </c>
      <c r="H2752" s="14" t="s">
        <v>343</v>
      </c>
      <c r="S2752" s="14">
        <v>0.66</v>
      </c>
      <c r="U2752" s="14">
        <v>0.7</v>
      </c>
      <c r="V2752" s="14">
        <v>0.67</v>
      </c>
      <c r="W2752" s="14">
        <v>0.65</v>
      </c>
      <c r="X2752" s="14">
        <v>0.64</v>
      </c>
    </row>
    <row r="2753" spans="1:24" hidden="1" x14ac:dyDescent="0.3">
      <c r="A2753" s="14" t="s">
        <v>458</v>
      </c>
      <c r="B2753" s="14" t="s">
        <v>130</v>
      </c>
      <c r="C2753" s="14" t="s">
        <v>378</v>
      </c>
      <c r="D2753" s="14" t="s">
        <v>379</v>
      </c>
      <c r="E2753" s="14" t="s">
        <v>344</v>
      </c>
      <c r="F2753" s="14" t="s">
        <v>343</v>
      </c>
      <c r="G2753" s="14" t="s">
        <v>343</v>
      </c>
      <c r="H2753" s="14" t="s">
        <v>343</v>
      </c>
      <c r="S2753" s="14">
        <v>58</v>
      </c>
      <c r="U2753" s="14">
        <v>45</v>
      </c>
      <c r="V2753" s="14">
        <v>67</v>
      </c>
      <c r="W2753" s="14">
        <v>83</v>
      </c>
      <c r="X2753" s="14">
        <v>76</v>
      </c>
    </row>
    <row r="2754" spans="1:24" hidden="1" x14ac:dyDescent="0.3">
      <c r="A2754" s="14" t="s">
        <v>458</v>
      </c>
      <c r="B2754" s="14" t="s">
        <v>130</v>
      </c>
      <c r="C2754" s="14" t="s">
        <v>353</v>
      </c>
      <c r="D2754" s="14" t="s">
        <v>354</v>
      </c>
      <c r="E2754" s="14" t="s">
        <v>342</v>
      </c>
      <c r="F2754" s="14" t="s">
        <v>343</v>
      </c>
      <c r="G2754" s="14" t="s">
        <v>343</v>
      </c>
      <c r="H2754" s="14" t="s">
        <v>343</v>
      </c>
      <c r="U2754" s="14">
        <v>1</v>
      </c>
      <c r="V2754" s="14">
        <v>1</v>
      </c>
      <c r="W2754" s="14">
        <v>1</v>
      </c>
      <c r="X2754" s="14">
        <v>1</v>
      </c>
    </row>
    <row r="2755" spans="1:24" hidden="1" x14ac:dyDescent="0.3">
      <c r="A2755" s="14" t="s">
        <v>458</v>
      </c>
      <c r="B2755" s="14" t="s">
        <v>130</v>
      </c>
      <c r="C2755" s="14" t="s">
        <v>353</v>
      </c>
      <c r="D2755" s="14" t="s">
        <v>354</v>
      </c>
      <c r="E2755" s="14" t="s">
        <v>344</v>
      </c>
      <c r="F2755" s="14" t="s">
        <v>343</v>
      </c>
      <c r="G2755" s="14" t="s">
        <v>343</v>
      </c>
      <c r="H2755" s="14" t="s">
        <v>343</v>
      </c>
      <c r="U2755" s="14">
        <v>1</v>
      </c>
      <c r="V2755" s="14">
        <v>1</v>
      </c>
      <c r="W2755" s="14">
        <v>1</v>
      </c>
      <c r="X2755" s="14">
        <v>1</v>
      </c>
    </row>
    <row r="2756" spans="1:24" hidden="1" x14ac:dyDescent="0.3">
      <c r="A2756" s="14" t="s">
        <v>458</v>
      </c>
      <c r="B2756" s="14" t="s">
        <v>130</v>
      </c>
      <c r="C2756" s="14" t="s">
        <v>380</v>
      </c>
      <c r="D2756" s="14" t="s">
        <v>381</v>
      </c>
      <c r="E2756" s="14" t="s">
        <v>342</v>
      </c>
      <c r="F2756" s="14" t="s">
        <v>343</v>
      </c>
      <c r="G2756" s="14" t="s">
        <v>343</v>
      </c>
      <c r="H2756" s="14" t="s">
        <v>343</v>
      </c>
      <c r="U2756" s="14">
        <v>1</v>
      </c>
      <c r="V2756" s="14">
        <v>1</v>
      </c>
      <c r="W2756" s="14">
        <v>1</v>
      </c>
      <c r="X2756" s="14">
        <v>1</v>
      </c>
    </row>
    <row r="2757" spans="1:24" hidden="1" x14ac:dyDescent="0.3">
      <c r="A2757" s="14" t="s">
        <v>458</v>
      </c>
      <c r="B2757" s="14" t="s">
        <v>130</v>
      </c>
      <c r="C2757" s="14" t="s">
        <v>380</v>
      </c>
      <c r="D2757" s="14" t="s">
        <v>381</v>
      </c>
      <c r="E2757" s="14" t="s">
        <v>344</v>
      </c>
      <c r="F2757" s="14" t="s">
        <v>343</v>
      </c>
      <c r="G2757" s="14" t="s">
        <v>343</v>
      </c>
      <c r="H2757" s="14" t="s">
        <v>343</v>
      </c>
      <c r="U2757" s="14">
        <v>1</v>
      </c>
      <c r="V2757" s="14">
        <v>1</v>
      </c>
      <c r="W2757" s="14">
        <v>1</v>
      </c>
      <c r="X2757" s="14">
        <v>1</v>
      </c>
    </row>
    <row r="2758" spans="1:24" hidden="1" x14ac:dyDescent="0.3">
      <c r="A2758" s="14" t="s">
        <v>458</v>
      </c>
      <c r="B2758" s="14" t="s">
        <v>130</v>
      </c>
      <c r="C2758" s="14" t="s">
        <v>355</v>
      </c>
      <c r="D2758" s="14" t="s">
        <v>356</v>
      </c>
      <c r="E2758" s="14" t="s">
        <v>342</v>
      </c>
      <c r="F2758" s="14" t="s">
        <v>343</v>
      </c>
      <c r="G2758" s="14" t="s">
        <v>343</v>
      </c>
      <c r="H2758" s="14" t="s">
        <v>343</v>
      </c>
      <c r="U2758" s="14">
        <v>1</v>
      </c>
      <c r="V2758" s="14">
        <v>0.95</v>
      </c>
      <c r="W2758" s="14">
        <v>0.95</v>
      </c>
      <c r="X2758" s="14">
        <v>1</v>
      </c>
    </row>
    <row r="2759" spans="1:24" hidden="1" x14ac:dyDescent="0.3">
      <c r="A2759" s="14" t="s">
        <v>458</v>
      </c>
      <c r="B2759" s="14" t="s">
        <v>130</v>
      </c>
      <c r="C2759" s="14" t="s">
        <v>355</v>
      </c>
      <c r="D2759" s="14" t="s">
        <v>356</v>
      </c>
      <c r="E2759" s="14" t="s">
        <v>344</v>
      </c>
      <c r="F2759" s="14" t="s">
        <v>343</v>
      </c>
      <c r="G2759" s="14" t="s">
        <v>343</v>
      </c>
      <c r="H2759" s="14" t="s">
        <v>343</v>
      </c>
      <c r="U2759" s="14">
        <v>1</v>
      </c>
      <c r="V2759" s="14">
        <v>128</v>
      </c>
      <c r="W2759" s="14">
        <v>129</v>
      </c>
      <c r="X2759" s="14">
        <v>1</v>
      </c>
    </row>
    <row r="2760" spans="1:24" hidden="1" x14ac:dyDescent="0.3">
      <c r="A2760" s="14" t="s">
        <v>458</v>
      </c>
      <c r="B2760" s="14" t="s">
        <v>130</v>
      </c>
      <c r="C2760" s="14" t="s">
        <v>357</v>
      </c>
      <c r="D2760" s="14" t="s">
        <v>358</v>
      </c>
      <c r="E2760" s="14" t="s">
        <v>342</v>
      </c>
      <c r="F2760" s="14" t="s">
        <v>343</v>
      </c>
      <c r="G2760" s="14" t="s">
        <v>343</v>
      </c>
      <c r="H2760" s="14" t="s">
        <v>343</v>
      </c>
      <c r="U2760" s="14">
        <v>0.95</v>
      </c>
      <c r="V2760" s="14">
        <v>0.95</v>
      </c>
      <c r="W2760" s="14">
        <v>0.95</v>
      </c>
    </row>
    <row r="2761" spans="1:24" hidden="1" x14ac:dyDescent="0.3">
      <c r="A2761" s="14" t="s">
        <v>458</v>
      </c>
      <c r="B2761" s="14" t="s">
        <v>130</v>
      </c>
      <c r="C2761" s="14" t="s">
        <v>357</v>
      </c>
      <c r="D2761" s="14" t="s">
        <v>358</v>
      </c>
      <c r="E2761" s="14" t="s">
        <v>344</v>
      </c>
      <c r="F2761" s="14" t="s">
        <v>343</v>
      </c>
      <c r="G2761" s="14" t="s">
        <v>343</v>
      </c>
      <c r="H2761" s="14" t="s">
        <v>343</v>
      </c>
      <c r="U2761" s="14">
        <v>103</v>
      </c>
      <c r="V2761" s="14">
        <v>108</v>
      </c>
      <c r="W2761" s="14">
        <v>110</v>
      </c>
    </row>
    <row r="2762" spans="1:24" hidden="1" x14ac:dyDescent="0.3">
      <c r="A2762" s="14" t="s">
        <v>458</v>
      </c>
      <c r="B2762" s="14" t="s">
        <v>130</v>
      </c>
      <c r="C2762" s="14" t="s">
        <v>359</v>
      </c>
      <c r="D2762" s="14" t="s">
        <v>360</v>
      </c>
      <c r="E2762" s="14" t="s">
        <v>342</v>
      </c>
      <c r="F2762" s="14" t="s">
        <v>343</v>
      </c>
      <c r="G2762" s="14" t="s">
        <v>343</v>
      </c>
      <c r="H2762" s="14" t="s">
        <v>343</v>
      </c>
      <c r="I2762" s="14">
        <v>0.55000000000000004</v>
      </c>
      <c r="J2762" s="14">
        <v>0.55000000000000004</v>
      </c>
      <c r="K2762" s="14">
        <v>0.54</v>
      </c>
      <c r="L2762" s="14">
        <v>0.55000000000000004</v>
      </c>
      <c r="M2762" s="14">
        <v>0.56999999999999995</v>
      </c>
      <c r="N2762" s="14">
        <v>0.56999999999999995</v>
      </c>
      <c r="O2762" s="14">
        <v>0.57999999999999996</v>
      </c>
      <c r="P2762" s="14">
        <v>0.57999999999999996</v>
      </c>
      <c r="Q2762" s="14">
        <v>0.62</v>
      </c>
      <c r="R2762" s="14">
        <v>0.61</v>
      </c>
      <c r="S2762" s="14">
        <v>0.56999999999999995</v>
      </c>
      <c r="T2762" s="14">
        <v>0.57999999999999996</v>
      </c>
      <c r="U2762" s="14">
        <v>0.6</v>
      </c>
      <c r="V2762" s="14">
        <v>0.6</v>
      </c>
      <c r="W2762" s="14">
        <v>0.6</v>
      </c>
      <c r="X2762" s="14">
        <v>0.56000000000000005</v>
      </c>
    </row>
    <row r="2763" spans="1:24" hidden="1" x14ac:dyDescent="0.3">
      <c r="A2763" s="14" t="s">
        <v>458</v>
      </c>
      <c r="B2763" s="14" t="s">
        <v>130</v>
      </c>
      <c r="C2763" s="14" t="s">
        <v>359</v>
      </c>
      <c r="D2763" s="14" t="s">
        <v>360</v>
      </c>
      <c r="E2763" s="14" t="s">
        <v>344</v>
      </c>
      <c r="F2763" s="14" t="s">
        <v>343</v>
      </c>
      <c r="G2763" s="14" t="s">
        <v>343</v>
      </c>
      <c r="H2763" s="14" t="s">
        <v>343</v>
      </c>
      <c r="I2763" s="14">
        <v>83</v>
      </c>
      <c r="J2763" s="14">
        <v>97</v>
      </c>
      <c r="K2763" s="14">
        <v>102</v>
      </c>
      <c r="L2763" s="14">
        <v>108</v>
      </c>
      <c r="M2763" s="14">
        <v>101</v>
      </c>
      <c r="N2763" s="14">
        <v>100</v>
      </c>
      <c r="O2763" s="14">
        <v>102</v>
      </c>
      <c r="P2763" s="14">
        <v>104</v>
      </c>
      <c r="Q2763" s="14">
        <v>102</v>
      </c>
      <c r="R2763" s="14">
        <v>106</v>
      </c>
      <c r="S2763" s="14">
        <v>118</v>
      </c>
      <c r="T2763" s="14">
        <v>114</v>
      </c>
      <c r="U2763" s="14">
        <v>117</v>
      </c>
      <c r="V2763" s="14">
        <v>115</v>
      </c>
      <c r="W2763" s="14">
        <v>117</v>
      </c>
      <c r="X2763" s="14">
        <v>121</v>
      </c>
    </row>
    <row r="2764" spans="1:24" x14ac:dyDescent="0.3">
      <c r="A2764" s="14" t="s">
        <v>458</v>
      </c>
      <c r="B2764" s="14" t="s">
        <v>130</v>
      </c>
      <c r="C2764" s="14" t="s">
        <v>361</v>
      </c>
      <c r="D2764" s="14" t="s">
        <v>362</v>
      </c>
      <c r="E2764" s="14" t="s">
        <v>342</v>
      </c>
      <c r="F2764" s="14" t="s">
        <v>343</v>
      </c>
      <c r="G2764" s="14" t="s">
        <v>343</v>
      </c>
      <c r="H2764" s="14" t="s">
        <v>343</v>
      </c>
      <c r="I2764" s="14">
        <v>0.98</v>
      </c>
      <c r="J2764" s="14">
        <v>0.98</v>
      </c>
      <c r="K2764" s="14">
        <v>0.98</v>
      </c>
      <c r="L2764" s="14">
        <v>0.98</v>
      </c>
      <c r="M2764" s="14">
        <v>0.98</v>
      </c>
      <c r="N2764" s="14">
        <v>0.98</v>
      </c>
      <c r="O2764" s="14">
        <v>0.98</v>
      </c>
      <c r="P2764" s="14">
        <v>0.98</v>
      </c>
      <c r="Q2764" s="14">
        <v>0.98</v>
      </c>
      <c r="R2764" s="14">
        <v>0.98</v>
      </c>
      <c r="S2764" s="14">
        <v>0.98</v>
      </c>
      <c r="T2764" s="14">
        <v>0.98</v>
      </c>
      <c r="U2764" s="14">
        <v>0.98</v>
      </c>
      <c r="V2764" s="14">
        <v>0.98</v>
      </c>
      <c r="W2764" s="14">
        <v>0.97</v>
      </c>
      <c r="X2764" s="14">
        <v>0.97</v>
      </c>
    </row>
    <row r="2765" spans="1:24" hidden="1" x14ac:dyDescent="0.3">
      <c r="A2765" s="14" t="s">
        <v>458</v>
      </c>
      <c r="B2765" s="14" t="s">
        <v>130</v>
      </c>
      <c r="C2765" s="14" t="s">
        <v>361</v>
      </c>
      <c r="D2765" s="14" t="s">
        <v>362</v>
      </c>
      <c r="E2765" s="14" t="s">
        <v>344</v>
      </c>
      <c r="F2765" s="14" t="s">
        <v>343</v>
      </c>
      <c r="G2765" s="14" t="s">
        <v>343</v>
      </c>
      <c r="H2765" s="14" t="s">
        <v>343</v>
      </c>
      <c r="I2765" s="14">
        <v>1</v>
      </c>
      <c r="J2765" s="14">
        <v>37</v>
      </c>
      <c r="K2765" s="14">
        <v>38</v>
      </c>
      <c r="L2765" s="14">
        <v>41</v>
      </c>
      <c r="M2765" s="14">
        <v>1</v>
      </c>
      <c r="N2765" s="14">
        <v>1</v>
      </c>
      <c r="O2765" s="14">
        <v>34</v>
      </c>
      <c r="P2765" s="14">
        <v>34</v>
      </c>
      <c r="Q2765" s="14">
        <v>37</v>
      </c>
      <c r="R2765" s="14">
        <v>42</v>
      </c>
      <c r="S2765" s="14">
        <v>40</v>
      </c>
      <c r="T2765" s="14">
        <v>1</v>
      </c>
      <c r="U2765" s="14">
        <v>41</v>
      </c>
      <c r="V2765" s="14">
        <v>40</v>
      </c>
      <c r="W2765" s="14">
        <v>65</v>
      </c>
      <c r="X2765" s="14">
        <v>63</v>
      </c>
    </row>
    <row r="2766" spans="1:24" hidden="1" x14ac:dyDescent="0.3">
      <c r="A2766" s="14" t="s">
        <v>458</v>
      </c>
      <c r="B2766" s="14" t="s">
        <v>130</v>
      </c>
      <c r="C2766" s="14" t="s">
        <v>363</v>
      </c>
      <c r="D2766" s="14" t="s">
        <v>364</v>
      </c>
      <c r="E2766" s="14" t="s">
        <v>342</v>
      </c>
      <c r="F2766" s="14" t="s">
        <v>343</v>
      </c>
      <c r="G2766" s="14" t="s">
        <v>343</v>
      </c>
      <c r="H2766" s="14" t="s">
        <v>343</v>
      </c>
      <c r="U2766" s="14">
        <v>1.06</v>
      </c>
      <c r="V2766" s="14">
        <v>1.06</v>
      </c>
      <c r="W2766" s="14">
        <v>1.04</v>
      </c>
      <c r="X2766" s="14">
        <v>1.04</v>
      </c>
    </row>
    <row r="2767" spans="1:24" hidden="1" x14ac:dyDescent="0.3">
      <c r="A2767" s="14" t="s">
        <v>458</v>
      </c>
      <c r="B2767" s="14" t="s">
        <v>130</v>
      </c>
      <c r="C2767" s="14" t="s">
        <v>363</v>
      </c>
      <c r="D2767" s="14" t="s">
        <v>364</v>
      </c>
      <c r="E2767" s="14" t="s">
        <v>344</v>
      </c>
      <c r="F2767" s="14" t="s">
        <v>343</v>
      </c>
      <c r="G2767" s="14" t="s">
        <v>343</v>
      </c>
      <c r="H2767" s="14" t="s">
        <v>343</v>
      </c>
      <c r="U2767" s="14">
        <v>57</v>
      </c>
      <c r="V2767" s="14">
        <v>59</v>
      </c>
      <c r="W2767" s="14">
        <v>72</v>
      </c>
      <c r="X2767" s="14">
        <v>69</v>
      </c>
    </row>
    <row r="2768" spans="1:24" hidden="1" x14ac:dyDescent="0.3">
      <c r="A2768" s="14" t="s">
        <v>458</v>
      </c>
      <c r="B2768" s="14" t="s">
        <v>130</v>
      </c>
      <c r="C2768" s="14" t="s">
        <v>365</v>
      </c>
      <c r="D2768" s="14" t="s">
        <v>366</v>
      </c>
      <c r="E2768" s="14" t="s">
        <v>342</v>
      </c>
      <c r="F2768" s="14" t="s">
        <v>343</v>
      </c>
      <c r="G2768" s="14" t="s">
        <v>343</v>
      </c>
      <c r="H2768" s="14" t="s">
        <v>343</v>
      </c>
      <c r="U2768" s="14">
        <v>0.94</v>
      </c>
      <c r="V2768" s="14">
        <v>0.94</v>
      </c>
      <c r="W2768" s="14">
        <v>0.94</v>
      </c>
      <c r="X2768" s="14">
        <v>0.94</v>
      </c>
    </row>
    <row r="2769" spans="1:24" hidden="1" x14ac:dyDescent="0.3">
      <c r="A2769" s="14" t="s">
        <v>458</v>
      </c>
      <c r="B2769" s="14" t="s">
        <v>130</v>
      </c>
      <c r="C2769" s="14" t="s">
        <v>365</v>
      </c>
      <c r="D2769" s="14" t="s">
        <v>366</v>
      </c>
      <c r="E2769" s="14" t="s">
        <v>344</v>
      </c>
      <c r="F2769" s="14" t="s">
        <v>343</v>
      </c>
      <c r="G2769" s="14" t="s">
        <v>343</v>
      </c>
      <c r="H2769" s="14" t="s">
        <v>343</v>
      </c>
      <c r="U2769" s="14">
        <v>1</v>
      </c>
      <c r="V2769" s="14">
        <v>1</v>
      </c>
      <c r="W2769" s="14">
        <v>1</v>
      </c>
      <c r="X2769" s="14">
        <v>1</v>
      </c>
    </row>
    <row r="2770" spans="1:24" hidden="1" x14ac:dyDescent="0.3">
      <c r="A2770" s="14" t="s">
        <v>458</v>
      </c>
      <c r="B2770" s="14" t="s">
        <v>130</v>
      </c>
      <c r="C2770" s="14" t="s">
        <v>367</v>
      </c>
      <c r="D2770" s="14" t="s">
        <v>368</v>
      </c>
      <c r="E2770" s="14" t="s">
        <v>342</v>
      </c>
      <c r="F2770" s="14" t="s">
        <v>343</v>
      </c>
      <c r="G2770" s="14" t="s">
        <v>343</v>
      </c>
      <c r="H2770" s="14" t="s">
        <v>343</v>
      </c>
      <c r="I2770" s="14">
        <v>0.64</v>
      </c>
      <c r="J2770" s="14">
        <v>0.65</v>
      </c>
      <c r="K2770" s="14">
        <v>0.64</v>
      </c>
      <c r="L2770" s="14">
        <v>0.64</v>
      </c>
      <c r="M2770" s="14">
        <v>0.65</v>
      </c>
      <c r="N2770" s="14">
        <v>0.65</v>
      </c>
      <c r="O2770" s="14">
        <v>0.65</v>
      </c>
      <c r="P2770" s="14">
        <v>0.65</v>
      </c>
      <c r="Q2770" s="14">
        <v>0.66</v>
      </c>
      <c r="R2770" s="14">
        <v>0.67</v>
      </c>
      <c r="S2770" s="14">
        <v>0.66</v>
      </c>
      <c r="T2770" s="14">
        <v>0.66</v>
      </c>
      <c r="U2770" s="14">
        <v>0.66</v>
      </c>
      <c r="V2770" s="14">
        <v>0.65</v>
      </c>
      <c r="W2770" s="14">
        <v>0.66</v>
      </c>
      <c r="X2770" s="14">
        <v>0.65</v>
      </c>
    </row>
    <row r="2771" spans="1:24" hidden="1" x14ac:dyDescent="0.3">
      <c r="A2771" s="14" t="s">
        <v>458</v>
      </c>
      <c r="B2771" s="14" t="s">
        <v>130</v>
      </c>
      <c r="C2771" s="14" t="s">
        <v>367</v>
      </c>
      <c r="D2771" s="14" t="s">
        <v>368</v>
      </c>
      <c r="E2771" s="14" t="s">
        <v>344</v>
      </c>
      <c r="F2771" s="14" t="s">
        <v>343</v>
      </c>
      <c r="G2771" s="14" t="s">
        <v>343</v>
      </c>
      <c r="H2771" s="14" t="s">
        <v>343</v>
      </c>
      <c r="I2771" s="14">
        <v>79</v>
      </c>
      <c r="J2771" s="14">
        <v>91</v>
      </c>
      <c r="K2771" s="14">
        <v>98</v>
      </c>
      <c r="L2771" s="14">
        <v>101</v>
      </c>
      <c r="M2771" s="14">
        <v>94</v>
      </c>
      <c r="N2771" s="14">
        <v>98</v>
      </c>
      <c r="O2771" s="14">
        <v>101</v>
      </c>
      <c r="P2771" s="14">
        <v>105</v>
      </c>
      <c r="Q2771" s="14">
        <v>104</v>
      </c>
      <c r="R2771" s="14">
        <v>101</v>
      </c>
      <c r="S2771" s="14">
        <v>111</v>
      </c>
      <c r="T2771" s="14">
        <v>114</v>
      </c>
      <c r="U2771" s="14">
        <v>110</v>
      </c>
      <c r="V2771" s="14">
        <v>121</v>
      </c>
      <c r="W2771" s="14">
        <v>120</v>
      </c>
      <c r="X2771" s="14">
        <v>116</v>
      </c>
    </row>
    <row r="2772" spans="1:24" hidden="1" x14ac:dyDescent="0.3">
      <c r="A2772" s="14" t="s">
        <v>458</v>
      </c>
      <c r="B2772" s="14" t="s">
        <v>130</v>
      </c>
      <c r="C2772" s="14" t="s">
        <v>369</v>
      </c>
      <c r="D2772" s="14" t="s">
        <v>370</v>
      </c>
      <c r="E2772" s="14" t="s">
        <v>342</v>
      </c>
      <c r="F2772" s="14" t="s">
        <v>343</v>
      </c>
      <c r="G2772" s="14" t="s">
        <v>343</v>
      </c>
      <c r="H2772" s="14" t="s">
        <v>343</v>
      </c>
      <c r="I2772" s="14">
        <v>7.0000000000000007E-2</v>
      </c>
      <c r="J2772" s="14">
        <v>7.0000000000000007E-2</v>
      </c>
      <c r="K2772" s="14">
        <v>7.0000000000000007E-2</v>
      </c>
      <c r="L2772" s="14">
        <v>7.0000000000000007E-2</v>
      </c>
      <c r="M2772" s="14">
        <v>7.0000000000000007E-2</v>
      </c>
      <c r="N2772" s="14">
        <v>7.0000000000000007E-2</v>
      </c>
      <c r="O2772" s="14">
        <v>7.0000000000000007E-2</v>
      </c>
      <c r="P2772" s="14">
        <v>0.06</v>
      </c>
      <c r="Q2772" s="14">
        <v>0.06</v>
      </c>
      <c r="R2772" s="14">
        <v>0.1</v>
      </c>
      <c r="S2772" s="14">
        <v>0.1</v>
      </c>
      <c r="T2772" s="14">
        <v>0.08</v>
      </c>
      <c r="U2772" s="14">
        <v>0.08</v>
      </c>
      <c r="V2772" s="14">
        <v>0.05</v>
      </c>
      <c r="W2772" s="14">
        <v>0.06</v>
      </c>
      <c r="X2772" s="14">
        <v>0.06</v>
      </c>
    </row>
    <row r="2773" spans="1:24" hidden="1" x14ac:dyDescent="0.3">
      <c r="A2773" s="14" t="s">
        <v>458</v>
      </c>
      <c r="B2773" s="14" t="s">
        <v>130</v>
      </c>
      <c r="C2773" s="14" t="s">
        <v>369</v>
      </c>
      <c r="D2773" s="14" t="s">
        <v>370</v>
      </c>
      <c r="E2773" s="14" t="s">
        <v>344</v>
      </c>
      <c r="F2773" s="14" t="s">
        <v>343</v>
      </c>
      <c r="G2773" s="14" t="s">
        <v>343</v>
      </c>
      <c r="H2773" s="14" t="s">
        <v>343</v>
      </c>
      <c r="I2773" s="14">
        <v>83</v>
      </c>
      <c r="J2773" s="14">
        <v>94</v>
      </c>
      <c r="K2773" s="14">
        <v>107</v>
      </c>
      <c r="L2773" s="14">
        <v>110</v>
      </c>
      <c r="M2773" s="14">
        <v>101</v>
      </c>
      <c r="N2773" s="14">
        <v>101</v>
      </c>
      <c r="O2773" s="14">
        <v>110</v>
      </c>
      <c r="P2773" s="14">
        <v>118</v>
      </c>
      <c r="Q2773" s="14">
        <v>129</v>
      </c>
      <c r="R2773" s="14">
        <v>104</v>
      </c>
      <c r="S2773" s="14">
        <v>103</v>
      </c>
      <c r="T2773" s="14">
        <v>123</v>
      </c>
      <c r="U2773" s="14">
        <v>125</v>
      </c>
      <c r="V2773" s="14">
        <v>144</v>
      </c>
      <c r="W2773" s="14">
        <v>147</v>
      </c>
      <c r="X2773" s="14">
        <v>139</v>
      </c>
    </row>
    <row r="2774" spans="1:24" hidden="1" x14ac:dyDescent="0.3">
      <c r="A2774" s="14" t="s">
        <v>458</v>
      </c>
      <c r="B2774" s="14" t="s">
        <v>130</v>
      </c>
      <c r="C2774" s="14" t="s">
        <v>371</v>
      </c>
      <c r="D2774" s="14" t="s">
        <v>372</v>
      </c>
      <c r="E2774" s="14" t="s">
        <v>342</v>
      </c>
      <c r="F2774" s="14" t="s">
        <v>343</v>
      </c>
      <c r="G2774" s="14" t="s">
        <v>343</v>
      </c>
      <c r="H2774" s="14" t="s">
        <v>343</v>
      </c>
      <c r="U2774" s="14">
        <v>0</v>
      </c>
      <c r="V2774" s="14">
        <v>0</v>
      </c>
      <c r="W2774" s="14">
        <v>0</v>
      </c>
      <c r="X2774" s="14">
        <v>0</v>
      </c>
    </row>
    <row r="2775" spans="1:24" hidden="1" x14ac:dyDescent="0.3">
      <c r="A2775" s="14" t="s">
        <v>458</v>
      </c>
      <c r="B2775" s="14" t="s">
        <v>130</v>
      </c>
      <c r="C2775" s="14" t="s">
        <v>371</v>
      </c>
      <c r="D2775" s="14" t="s">
        <v>372</v>
      </c>
      <c r="E2775" s="14" t="s">
        <v>344</v>
      </c>
      <c r="F2775" s="14" t="s">
        <v>343</v>
      </c>
      <c r="G2775" s="14" t="s">
        <v>343</v>
      </c>
      <c r="H2775" s="14" t="s">
        <v>343</v>
      </c>
      <c r="U2775" s="14">
        <v>71</v>
      </c>
      <c r="V2775" s="14">
        <v>73</v>
      </c>
      <c r="W2775" s="14">
        <v>76</v>
      </c>
      <c r="X2775" s="14">
        <v>78</v>
      </c>
    </row>
    <row r="2776" spans="1:24" hidden="1" x14ac:dyDescent="0.3">
      <c r="A2776" s="14" t="s">
        <v>458</v>
      </c>
      <c r="B2776" s="14" t="s">
        <v>130</v>
      </c>
      <c r="C2776" s="14" t="s">
        <v>373</v>
      </c>
      <c r="D2776" s="14" t="s">
        <v>374</v>
      </c>
      <c r="E2776" s="14" t="s">
        <v>342</v>
      </c>
      <c r="F2776" s="14" t="s">
        <v>343</v>
      </c>
      <c r="G2776" s="14" t="s">
        <v>343</v>
      </c>
      <c r="H2776" s="14" t="s">
        <v>343</v>
      </c>
      <c r="U2776" s="14">
        <v>0.19</v>
      </c>
      <c r="V2776" s="14">
        <v>0.06</v>
      </c>
      <c r="W2776" s="14">
        <v>0.11</v>
      </c>
      <c r="X2776" s="14">
        <v>0.11</v>
      </c>
    </row>
    <row r="2777" spans="1:24" hidden="1" x14ac:dyDescent="0.3">
      <c r="A2777" s="14" t="s">
        <v>458</v>
      </c>
      <c r="B2777" s="14" t="s">
        <v>130</v>
      </c>
      <c r="C2777" s="14" t="s">
        <v>373</v>
      </c>
      <c r="D2777" s="14" t="s">
        <v>374</v>
      </c>
      <c r="E2777" s="14" t="s">
        <v>344</v>
      </c>
      <c r="F2777" s="14" t="s">
        <v>343</v>
      </c>
      <c r="G2777" s="14" t="s">
        <v>343</v>
      </c>
      <c r="H2777" s="14" t="s">
        <v>343</v>
      </c>
      <c r="U2777" s="14">
        <v>89</v>
      </c>
      <c r="V2777" s="14">
        <v>139</v>
      </c>
      <c r="W2777" s="14">
        <v>126</v>
      </c>
      <c r="X2777" s="14">
        <v>120</v>
      </c>
    </row>
    <row r="2778" spans="1:24" hidden="1" x14ac:dyDescent="0.3">
      <c r="A2778" s="14" t="s">
        <v>458</v>
      </c>
      <c r="B2778" s="14" t="s">
        <v>130</v>
      </c>
      <c r="C2778" s="14" t="s">
        <v>375</v>
      </c>
      <c r="D2778" s="14" t="s">
        <v>376</v>
      </c>
      <c r="E2778" s="14" t="s">
        <v>342</v>
      </c>
      <c r="F2778" s="14" t="s">
        <v>343</v>
      </c>
      <c r="G2778" s="14" t="s">
        <v>343</v>
      </c>
      <c r="H2778" s="14" t="s">
        <v>343</v>
      </c>
      <c r="U2778" s="14">
        <v>0.11</v>
      </c>
      <c r="V2778" s="14">
        <v>0.11</v>
      </c>
      <c r="W2778" s="14">
        <v>0.11</v>
      </c>
      <c r="X2778" s="14">
        <v>0.11</v>
      </c>
    </row>
    <row r="2779" spans="1:24" hidden="1" x14ac:dyDescent="0.3">
      <c r="A2779" s="14" t="s">
        <v>458</v>
      </c>
      <c r="B2779" s="14" t="s">
        <v>130</v>
      </c>
      <c r="C2779" s="14" t="s">
        <v>375</v>
      </c>
      <c r="D2779" s="14" t="s">
        <v>376</v>
      </c>
      <c r="E2779" s="14" t="s">
        <v>344</v>
      </c>
      <c r="F2779" s="14" t="s">
        <v>343</v>
      </c>
      <c r="G2779" s="14" t="s">
        <v>343</v>
      </c>
      <c r="H2779" s="14" t="s">
        <v>343</v>
      </c>
      <c r="U2779" s="14">
        <v>130</v>
      </c>
      <c r="V2779" s="14">
        <v>135</v>
      </c>
      <c r="W2779" s="14">
        <v>140</v>
      </c>
      <c r="X2779" s="14">
        <v>133</v>
      </c>
    </row>
    <row r="2780" spans="1:24" hidden="1" x14ac:dyDescent="0.3">
      <c r="A2780" s="14" t="s">
        <v>459</v>
      </c>
      <c r="B2780" s="14" t="s">
        <v>133</v>
      </c>
      <c r="C2780" s="14" t="s">
        <v>340</v>
      </c>
      <c r="D2780" s="14" t="s">
        <v>341</v>
      </c>
      <c r="E2780" s="14" t="s">
        <v>342</v>
      </c>
      <c r="F2780" s="14" t="s">
        <v>343</v>
      </c>
      <c r="G2780" s="14" t="s">
        <v>343</v>
      </c>
      <c r="H2780" s="14" t="s">
        <v>343</v>
      </c>
      <c r="I2780" s="14">
        <v>0.99</v>
      </c>
      <c r="J2780" s="14">
        <v>0.99</v>
      </c>
      <c r="K2780" s="14">
        <v>1</v>
      </c>
      <c r="L2780" s="14">
        <v>1</v>
      </c>
      <c r="M2780" s="14">
        <v>1</v>
      </c>
      <c r="N2780" s="14">
        <v>1</v>
      </c>
      <c r="O2780" s="14">
        <v>0.99</v>
      </c>
      <c r="P2780" s="14">
        <v>0.99</v>
      </c>
      <c r="Q2780" s="14">
        <v>1</v>
      </c>
      <c r="R2780" s="14">
        <v>1</v>
      </c>
      <c r="S2780" s="14">
        <v>1</v>
      </c>
      <c r="T2780" s="14">
        <v>1</v>
      </c>
      <c r="U2780" s="14">
        <v>1</v>
      </c>
      <c r="V2780" s="14">
        <v>1</v>
      </c>
      <c r="W2780" s="14">
        <v>1</v>
      </c>
      <c r="X2780" s="14">
        <v>1</v>
      </c>
    </row>
    <row r="2781" spans="1:24" hidden="1" x14ac:dyDescent="0.3">
      <c r="A2781" s="14" t="s">
        <v>459</v>
      </c>
      <c r="B2781" s="14" t="s">
        <v>133</v>
      </c>
      <c r="C2781" s="14" t="s">
        <v>340</v>
      </c>
      <c r="D2781" s="14" t="s">
        <v>341</v>
      </c>
      <c r="E2781" s="14" t="s">
        <v>344</v>
      </c>
      <c r="F2781" s="14" t="s">
        <v>343</v>
      </c>
      <c r="G2781" s="14" t="s">
        <v>343</v>
      </c>
      <c r="H2781" s="14" t="s">
        <v>343</v>
      </c>
      <c r="I2781" s="14">
        <v>53</v>
      </c>
      <c r="J2781" s="14">
        <v>65</v>
      </c>
      <c r="K2781" s="14">
        <v>40</v>
      </c>
      <c r="L2781" s="14">
        <v>42</v>
      </c>
      <c r="M2781" s="14">
        <v>25</v>
      </c>
      <c r="N2781" s="14">
        <v>43</v>
      </c>
      <c r="O2781" s="14">
        <v>66</v>
      </c>
      <c r="P2781" s="14">
        <v>69</v>
      </c>
      <c r="Q2781" s="14">
        <v>48</v>
      </c>
      <c r="R2781" s="14">
        <v>28</v>
      </c>
      <c r="S2781" s="14">
        <v>58</v>
      </c>
      <c r="T2781" s="14">
        <v>48</v>
      </c>
      <c r="U2781" s="14">
        <v>30</v>
      </c>
      <c r="V2781" s="14">
        <v>63</v>
      </c>
      <c r="W2781" s="14">
        <v>65</v>
      </c>
      <c r="X2781" s="14">
        <v>27</v>
      </c>
    </row>
    <row r="2782" spans="1:24" hidden="1" x14ac:dyDescent="0.3">
      <c r="A2782" s="14" t="s">
        <v>459</v>
      </c>
      <c r="B2782" s="14" t="s">
        <v>133</v>
      </c>
      <c r="C2782" s="14" t="s">
        <v>345</v>
      </c>
      <c r="D2782" s="14" t="s">
        <v>346</v>
      </c>
      <c r="E2782" s="14" t="s">
        <v>342</v>
      </c>
      <c r="F2782" s="14" t="s">
        <v>343</v>
      </c>
      <c r="G2782" s="14" t="s">
        <v>343</v>
      </c>
      <c r="H2782" s="14" t="s">
        <v>343</v>
      </c>
      <c r="U2782" s="14">
        <v>0.59</v>
      </c>
      <c r="V2782" s="14">
        <v>0.6</v>
      </c>
      <c r="W2782" s="14">
        <v>0.59</v>
      </c>
      <c r="X2782" s="14">
        <v>0.66</v>
      </c>
    </row>
    <row r="2783" spans="1:24" hidden="1" x14ac:dyDescent="0.3">
      <c r="A2783" s="14" t="s">
        <v>459</v>
      </c>
      <c r="B2783" s="14" t="s">
        <v>133</v>
      </c>
      <c r="C2783" s="14" t="s">
        <v>345</v>
      </c>
      <c r="D2783" s="14" t="s">
        <v>346</v>
      </c>
      <c r="E2783" s="14" t="s">
        <v>344</v>
      </c>
      <c r="F2783" s="14" t="s">
        <v>343</v>
      </c>
      <c r="G2783" s="14" t="s">
        <v>343</v>
      </c>
      <c r="H2783" s="14" t="s">
        <v>343</v>
      </c>
      <c r="U2783" s="14">
        <v>83</v>
      </c>
      <c r="V2783" s="14">
        <v>84</v>
      </c>
      <c r="W2783" s="14">
        <v>86</v>
      </c>
      <c r="X2783" s="14">
        <v>67</v>
      </c>
    </row>
    <row r="2784" spans="1:24" hidden="1" x14ac:dyDescent="0.3">
      <c r="A2784" s="14" t="s">
        <v>459</v>
      </c>
      <c r="B2784" s="14" t="s">
        <v>133</v>
      </c>
      <c r="C2784" s="14" t="s">
        <v>347</v>
      </c>
      <c r="D2784" s="14" t="s">
        <v>348</v>
      </c>
      <c r="E2784" s="14" t="s">
        <v>342</v>
      </c>
      <c r="F2784" s="14" t="s">
        <v>343</v>
      </c>
      <c r="G2784" s="14" t="s">
        <v>343</v>
      </c>
      <c r="H2784" s="14" t="s">
        <v>343</v>
      </c>
      <c r="U2784" s="14">
        <v>0.89</v>
      </c>
      <c r="V2784" s="14">
        <v>0.89</v>
      </c>
      <c r="W2784" s="14">
        <v>0.88</v>
      </c>
      <c r="X2784" s="14">
        <v>0.84</v>
      </c>
    </row>
    <row r="2785" spans="1:24" hidden="1" x14ac:dyDescent="0.3">
      <c r="A2785" s="14" t="s">
        <v>459</v>
      </c>
      <c r="B2785" s="14" t="s">
        <v>133</v>
      </c>
      <c r="C2785" s="14" t="s">
        <v>347</v>
      </c>
      <c r="D2785" s="14" t="s">
        <v>348</v>
      </c>
      <c r="E2785" s="14" t="s">
        <v>344</v>
      </c>
      <c r="F2785" s="14" t="s">
        <v>343</v>
      </c>
      <c r="G2785" s="14" t="s">
        <v>343</v>
      </c>
      <c r="H2785" s="14" t="s">
        <v>343</v>
      </c>
      <c r="U2785" s="14">
        <v>46</v>
      </c>
      <c r="V2785" s="14">
        <v>47</v>
      </c>
      <c r="W2785" s="14">
        <v>55</v>
      </c>
      <c r="X2785" s="14">
        <v>51</v>
      </c>
    </row>
    <row r="2786" spans="1:24" hidden="1" x14ac:dyDescent="0.3">
      <c r="A2786" s="14" t="s">
        <v>459</v>
      </c>
      <c r="B2786" s="14" t="s">
        <v>133</v>
      </c>
      <c r="C2786" s="14" t="s">
        <v>349</v>
      </c>
      <c r="D2786" s="14" t="s">
        <v>350</v>
      </c>
      <c r="E2786" s="14" t="s">
        <v>342</v>
      </c>
      <c r="F2786" s="14" t="s">
        <v>343</v>
      </c>
      <c r="G2786" s="14" t="s">
        <v>343</v>
      </c>
      <c r="H2786" s="14" t="s">
        <v>343</v>
      </c>
      <c r="U2786" s="14">
        <v>0.59</v>
      </c>
      <c r="V2786" s="14">
        <v>0.59</v>
      </c>
      <c r="W2786" s="14">
        <v>0.59</v>
      </c>
      <c r="X2786" s="14">
        <v>0.7</v>
      </c>
    </row>
    <row r="2787" spans="1:24" hidden="1" x14ac:dyDescent="0.3">
      <c r="A2787" s="14" t="s">
        <v>459</v>
      </c>
      <c r="B2787" s="14" t="s">
        <v>133</v>
      </c>
      <c r="C2787" s="14" t="s">
        <v>349</v>
      </c>
      <c r="D2787" s="14" t="s">
        <v>350</v>
      </c>
      <c r="E2787" s="14" t="s">
        <v>344</v>
      </c>
      <c r="F2787" s="14" t="s">
        <v>343</v>
      </c>
      <c r="G2787" s="14" t="s">
        <v>343</v>
      </c>
      <c r="H2787" s="14" t="s">
        <v>343</v>
      </c>
      <c r="U2787" s="14">
        <v>40</v>
      </c>
      <c r="V2787" s="14">
        <v>45</v>
      </c>
      <c r="W2787" s="14">
        <v>50</v>
      </c>
      <c r="X2787" s="14">
        <v>31</v>
      </c>
    </row>
    <row r="2788" spans="1:24" hidden="1" x14ac:dyDescent="0.3">
      <c r="A2788" s="14" t="s">
        <v>459</v>
      </c>
      <c r="B2788" s="14" t="s">
        <v>133</v>
      </c>
      <c r="C2788" s="14" t="s">
        <v>351</v>
      </c>
      <c r="D2788" s="14" t="s">
        <v>352</v>
      </c>
      <c r="E2788" s="14" t="s">
        <v>342</v>
      </c>
      <c r="F2788" s="14" t="s">
        <v>343</v>
      </c>
      <c r="G2788" s="14" t="s">
        <v>343</v>
      </c>
      <c r="H2788" s="14" t="s">
        <v>343</v>
      </c>
      <c r="U2788" s="14">
        <v>1</v>
      </c>
      <c r="V2788" s="14">
        <v>1</v>
      </c>
      <c r="W2788" s="14">
        <v>1</v>
      </c>
      <c r="X2788" s="14">
        <v>1</v>
      </c>
    </row>
    <row r="2789" spans="1:24" hidden="1" x14ac:dyDescent="0.3">
      <c r="A2789" s="14" t="s">
        <v>459</v>
      </c>
      <c r="B2789" s="14" t="s">
        <v>133</v>
      </c>
      <c r="C2789" s="14" t="s">
        <v>351</v>
      </c>
      <c r="D2789" s="14" t="s">
        <v>352</v>
      </c>
      <c r="E2789" s="14" t="s">
        <v>344</v>
      </c>
      <c r="F2789" s="14" t="s">
        <v>343</v>
      </c>
      <c r="G2789" s="14" t="s">
        <v>343</v>
      </c>
      <c r="H2789" s="14" t="s">
        <v>343</v>
      </c>
      <c r="U2789" s="14">
        <v>1</v>
      </c>
      <c r="V2789" s="14">
        <v>1</v>
      </c>
      <c r="W2789" s="14">
        <v>1</v>
      </c>
      <c r="X2789" s="14">
        <v>1</v>
      </c>
    </row>
    <row r="2790" spans="1:24" hidden="1" x14ac:dyDescent="0.3">
      <c r="A2790" s="14" t="s">
        <v>459</v>
      </c>
      <c r="B2790" s="14" t="s">
        <v>133</v>
      </c>
      <c r="C2790" s="14" t="s">
        <v>378</v>
      </c>
      <c r="D2790" s="14" t="s">
        <v>379</v>
      </c>
      <c r="E2790" s="14" t="s">
        <v>342</v>
      </c>
      <c r="F2790" s="14" t="s">
        <v>343</v>
      </c>
      <c r="G2790" s="14" t="s">
        <v>343</v>
      </c>
      <c r="H2790" s="14" t="s">
        <v>343</v>
      </c>
      <c r="S2790" s="14">
        <v>0.72</v>
      </c>
      <c r="U2790" s="14">
        <v>0.72</v>
      </c>
      <c r="V2790" s="14">
        <v>0.72</v>
      </c>
      <c r="W2790" s="14">
        <v>0.69</v>
      </c>
      <c r="X2790" s="14">
        <v>0.7</v>
      </c>
    </row>
    <row r="2791" spans="1:24" hidden="1" x14ac:dyDescent="0.3">
      <c r="A2791" s="14" t="s">
        <v>459</v>
      </c>
      <c r="B2791" s="14" t="s">
        <v>133</v>
      </c>
      <c r="C2791" s="14" t="s">
        <v>378</v>
      </c>
      <c r="D2791" s="14" t="s">
        <v>379</v>
      </c>
      <c r="E2791" s="14" t="s">
        <v>344</v>
      </c>
      <c r="F2791" s="14" t="s">
        <v>343</v>
      </c>
      <c r="G2791" s="14" t="s">
        <v>343</v>
      </c>
      <c r="H2791" s="14" t="s">
        <v>343</v>
      </c>
      <c r="S2791" s="14">
        <v>31</v>
      </c>
      <c r="U2791" s="14">
        <v>30</v>
      </c>
      <c r="V2791" s="14">
        <v>30</v>
      </c>
      <c r="W2791" s="14">
        <v>61</v>
      </c>
      <c r="X2791" s="14">
        <v>46</v>
      </c>
    </row>
    <row r="2792" spans="1:24" hidden="1" x14ac:dyDescent="0.3">
      <c r="A2792" s="14" t="s">
        <v>459</v>
      </c>
      <c r="B2792" s="14" t="s">
        <v>133</v>
      </c>
      <c r="C2792" s="14" t="s">
        <v>353</v>
      </c>
      <c r="D2792" s="14" t="s">
        <v>354</v>
      </c>
      <c r="E2792" s="14" t="s">
        <v>342</v>
      </c>
      <c r="F2792" s="14" t="s">
        <v>343</v>
      </c>
      <c r="G2792" s="14" t="s">
        <v>343</v>
      </c>
      <c r="H2792" s="14" t="s">
        <v>343</v>
      </c>
      <c r="U2792" s="14">
        <v>1</v>
      </c>
      <c r="V2792" s="14">
        <v>1</v>
      </c>
      <c r="W2792" s="14">
        <v>1</v>
      </c>
      <c r="X2792" s="14">
        <v>1</v>
      </c>
    </row>
    <row r="2793" spans="1:24" hidden="1" x14ac:dyDescent="0.3">
      <c r="A2793" s="14" t="s">
        <v>459</v>
      </c>
      <c r="B2793" s="14" t="s">
        <v>133</v>
      </c>
      <c r="C2793" s="14" t="s">
        <v>353</v>
      </c>
      <c r="D2793" s="14" t="s">
        <v>354</v>
      </c>
      <c r="E2793" s="14" t="s">
        <v>344</v>
      </c>
      <c r="F2793" s="14" t="s">
        <v>343</v>
      </c>
      <c r="G2793" s="14" t="s">
        <v>343</v>
      </c>
      <c r="H2793" s="14" t="s">
        <v>343</v>
      </c>
      <c r="U2793" s="14">
        <v>48</v>
      </c>
      <c r="V2793" s="14">
        <v>54</v>
      </c>
      <c r="W2793" s="14">
        <v>54</v>
      </c>
      <c r="X2793" s="14">
        <v>52</v>
      </c>
    </row>
    <row r="2794" spans="1:24" hidden="1" x14ac:dyDescent="0.3">
      <c r="A2794" s="14" t="s">
        <v>459</v>
      </c>
      <c r="B2794" s="14" t="s">
        <v>133</v>
      </c>
      <c r="C2794" s="14" t="s">
        <v>380</v>
      </c>
      <c r="D2794" s="14" t="s">
        <v>381</v>
      </c>
      <c r="E2794" s="14" t="s">
        <v>342</v>
      </c>
      <c r="F2794" s="14" t="s">
        <v>343</v>
      </c>
      <c r="G2794" s="14" t="s">
        <v>343</v>
      </c>
      <c r="H2794" s="14" t="s">
        <v>343</v>
      </c>
      <c r="U2794" s="14">
        <v>1</v>
      </c>
      <c r="V2794" s="14">
        <v>0.99</v>
      </c>
      <c r="W2794" s="14">
        <v>0.99</v>
      </c>
      <c r="X2794" s="14">
        <v>1</v>
      </c>
    </row>
    <row r="2795" spans="1:24" hidden="1" x14ac:dyDescent="0.3">
      <c r="A2795" s="14" t="s">
        <v>459</v>
      </c>
      <c r="B2795" s="14" t="s">
        <v>133</v>
      </c>
      <c r="C2795" s="14" t="s">
        <v>380</v>
      </c>
      <c r="D2795" s="14" t="s">
        <v>381</v>
      </c>
      <c r="E2795" s="14" t="s">
        <v>344</v>
      </c>
      <c r="F2795" s="14" t="s">
        <v>343</v>
      </c>
      <c r="G2795" s="14" t="s">
        <v>343</v>
      </c>
      <c r="H2795" s="14" t="s">
        <v>343</v>
      </c>
      <c r="U2795" s="14">
        <v>1</v>
      </c>
      <c r="V2795" s="14">
        <v>112</v>
      </c>
      <c r="W2795" s="14">
        <v>113</v>
      </c>
      <c r="X2795" s="14">
        <v>1</v>
      </c>
    </row>
    <row r="2796" spans="1:24" hidden="1" x14ac:dyDescent="0.3">
      <c r="A2796" s="14" t="s">
        <v>459</v>
      </c>
      <c r="B2796" s="14" t="s">
        <v>133</v>
      </c>
      <c r="C2796" s="14" t="s">
        <v>355</v>
      </c>
      <c r="D2796" s="14" t="s">
        <v>356</v>
      </c>
      <c r="E2796" s="14" t="s">
        <v>342</v>
      </c>
      <c r="F2796" s="14" t="s">
        <v>343</v>
      </c>
      <c r="G2796" s="14" t="s">
        <v>343</v>
      </c>
      <c r="H2796" s="14" t="s">
        <v>343</v>
      </c>
      <c r="U2796" s="14">
        <v>1</v>
      </c>
      <c r="V2796" s="14">
        <v>1</v>
      </c>
      <c r="W2796" s="14">
        <v>1</v>
      </c>
      <c r="X2796" s="14">
        <v>1</v>
      </c>
    </row>
    <row r="2797" spans="1:24" hidden="1" x14ac:dyDescent="0.3">
      <c r="A2797" s="14" t="s">
        <v>459</v>
      </c>
      <c r="B2797" s="14" t="s">
        <v>133</v>
      </c>
      <c r="C2797" s="14" t="s">
        <v>355</v>
      </c>
      <c r="D2797" s="14" t="s">
        <v>356</v>
      </c>
      <c r="E2797" s="14" t="s">
        <v>344</v>
      </c>
      <c r="F2797" s="14" t="s">
        <v>343</v>
      </c>
      <c r="G2797" s="14" t="s">
        <v>343</v>
      </c>
      <c r="H2797" s="14" t="s">
        <v>343</v>
      </c>
      <c r="U2797" s="14">
        <v>1</v>
      </c>
      <c r="V2797" s="14">
        <v>1</v>
      </c>
      <c r="W2797" s="14">
        <v>1</v>
      </c>
      <c r="X2797" s="14">
        <v>1</v>
      </c>
    </row>
    <row r="2798" spans="1:24" hidden="1" x14ac:dyDescent="0.3">
      <c r="A2798" s="14" t="s">
        <v>459</v>
      </c>
      <c r="B2798" s="14" t="s">
        <v>133</v>
      </c>
      <c r="C2798" s="14" t="s">
        <v>357</v>
      </c>
      <c r="D2798" s="14" t="s">
        <v>358</v>
      </c>
      <c r="E2798" s="14" t="s">
        <v>342</v>
      </c>
      <c r="F2798" s="14" t="s">
        <v>343</v>
      </c>
      <c r="G2798" s="14" t="s">
        <v>343</v>
      </c>
      <c r="H2798" s="14" t="s">
        <v>343</v>
      </c>
      <c r="U2798" s="14">
        <v>1</v>
      </c>
      <c r="V2798" s="14">
        <v>1</v>
      </c>
      <c r="W2798" s="14">
        <v>1</v>
      </c>
      <c r="X2798" s="14">
        <v>1</v>
      </c>
    </row>
    <row r="2799" spans="1:24" hidden="1" x14ac:dyDescent="0.3">
      <c r="A2799" s="14" t="s">
        <v>459</v>
      </c>
      <c r="B2799" s="14" t="s">
        <v>133</v>
      </c>
      <c r="C2799" s="14" t="s">
        <v>357</v>
      </c>
      <c r="D2799" s="14" t="s">
        <v>358</v>
      </c>
      <c r="E2799" s="14" t="s">
        <v>344</v>
      </c>
      <c r="F2799" s="14" t="s">
        <v>343</v>
      </c>
      <c r="G2799" s="14" t="s">
        <v>343</v>
      </c>
      <c r="H2799" s="14" t="s">
        <v>343</v>
      </c>
      <c r="U2799" s="14">
        <v>1</v>
      </c>
      <c r="V2799" s="14">
        <v>1</v>
      </c>
      <c r="W2799" s="14">
        <v>1</v>
      </c>
      <c r="X2799" s="14">
        <v>1</v>
      </c>
    </row>
    <row r="2800" spans="1:24" hidden="1" x14ac:dyDescent="0.3">
      <c r="A2800" s="14" t="s">
        <v>459</v>
      </c>
      <c r="B2800" s="14" t="s">
        <v>133</v>
      </c>
      <c r="C2800" s="14" t="s">
        <v>359</v>
      </c>
      <c r="D2800" s="14" t="s">
        <v>360</v>
      </c>
      <c r="E2800" s="14" t="s">
        <v>342</v>
      </c>
      <c r="F2800" s="14" t="s">
        <v>343</v>
      </c>
      <c r="G2800" s="14" t="s">
        <v>343</v>
      </c>
      <c r="H2800" s="14" t="s">
        <v>343</v>
      </c>
      <c r="I2800" s="14">
        <v>0.71</v>
      </c>
      <c r="J2800" s="14">
        <v>0.74</v>
      </c>
      <c r="K2800" s="14">
        <v>0.74</v>
      </c>
      <c r="L2800" s="14">
        <v>0.76</v>
      </c>
      <c r="M2800" s="14">
        <v>0.76</v>
      </c>
      <c r="N2800" s="14">
        <v>0.75</v>
      </c>
      <c r="O2800" s="14">
        <v>0.77</v>
      </c>
      <c r="P2800" s="14">
        <v>0.77</v>
      </c>
      <c r="Q2800" s="14">
        <v>0.74</v>
      </c>
      <c r="R2800" s="14">
        <v>0.75</v>
      </c>
      <c r="S2800" s="14">
        <v>0.74</v>
      </c>
      <c r="T2800" s="14">
        <v>0.74</v>
      </c>
      <c r="U2800" s="14">
        <v>0.74</v>
      </c>
      <c r="V2800" s="14">
        <v>0.74</v>
      </c>
      <c r="W2800" s="14">
        <v>0.73</v>
      </c>
      <c r="X2800" s="14">
        <v>0.76</v>
      </c>
    </row>
    <row r="2801" spans="1:24" hidden="1" x14ac:dyDescent="0.3">
      <c r="A2801" s="14" t="s">
        <v>459</v>
      </c>
      <c r="B2801" s="14" t="s">
        <v>133</v>
      </c>
      <c r="C2801" s="14" t="s">
        <v>359</v>
      </c>
      <c r="D2801" s="14" t="s">
        <v>360</v>
      </c>
      <c r="E2801" s="14" t="s">
        <v>344</v>
      </c>
      <c r="F2801" s="14" t="s">
        <v>343</v>
      </c>
      <c r="G2801" s="14" t="s">
        <v>343</v>
      </c>
      <c r="H2801" s="14" t="s">
        <v>343</v>
      </c>
      <c r="I2801" s="14">
        <v>16</v>
      </c>
      <c r="J2801" s="14">
        <v>15</v>
      </c>
      <c r="K2801" s="14">
        <v>18</v>
      </c>
      <c r="L2801" s="14">
        <v>12</v>
      </c>
      <c r="M2801" s="14">
        <v>12</v>
      </c>
      <c r="N2801" s="14">
        <v>23</v>
      </c>
      <c r="O2801" s="14">
        <v>19</v>
      </c>
      <c r="P2801" s="14">
        <v>20</v>
      </c>
      <c r="Q2801" s="14">
        <v>33</v>
      </c>
      <c r="R2801" s="14">
        <v>36</v>
      </c>
      <c r="S2801" s="14">
        <v>31</v>
      </c>
      <c r="T2801" s="14">
        <v>30</v>
      </c>
      <c r="U2801" s="14">
        <v>32</v>
      </c>
      <c r="V2801" s="14">
        <v>37</v>
      </c>
      <c r="W2801" s="14">
        <v>47</v>
      </c>
      <c r="X2801" s="14">
        <v>29</v>
      </c>
    </row>
    <row r="2802" spans="1:24" x14ac:dyDescent="0.3">
      <c r="A2802" s="14" t="s">
        <v>459</v>
      </c>
      <c r="B2802" s="14" t="s">
        <v>133</v>
      </c>
      <c r="C2802" s="14" t="s">
        <v>361</v>
      </c>
      <c r="D2802" s="14" t="s">
        <v>362</v>
      </c>
      <c r="E2802" s="14" t="s">
        <v>342</v>
      </c>
      <c r="F2802" s="14" t="s">
        <v>343</v>
      </c>
      <c r="G2802" s="14" t="s">
        <v>343</v>
      </c>
      <c r="H2802" s="14" t="s">
        <v>343</v>
      </c>
      <c r="I2802" s="14">
        <v>0.98</v>
      </c>
      <c r="J2802" s="14">
        <v>0.98</v>
      </c>
      <c r="K2802" s="14">
        <v>0.98</v>
      </c>
      <c r="L2802" s="14">
        <v>0.98</v>
      </c>
      <c r="M2802" s="14">
        <v>0.98</v>
      </c>
      <c r="N2802" s="14">
        <v>0.98</v>
      </c>
      <c r="O2802" s="14">
        <v>0.98</v>
      </c>
      <c r="P2802" s="14">
        <v>0.98</v>
      </c>
      <c r="Q2802" s="14">
        <v>0.98</v>
      </c>
      <c r="R2802" s="14">
        <v>0.98</v>
      </c>
      <c r="S2802" s="14">
        <v>0.98</v>
      </c>
      <c r="T2802" s="14">
        <v>0.98</v>
      </c>
      <c r="U2802" s="14">
        <v>0.98</v>
      </c>
      <c r="V2802" s="14">
        <v>0.98</v>
      </c>
      <c r="W2802" s="14">
        <v>0.98</v>
      </c>
      <c r="X2802" s="14">
        <v>0.98</v>
      </c>
    </row>
    <row r="2803" spans="1:24" hidden="1" x14ac:dyDescent="0.3">
      <c r="A2803" s="14" t="s">
        <v>459</v>
      </c>
      <c r="B2803" s="14" t="s">
        <v>133</v>
      </c>
      <c r="C2803" s="14" t="s">
        <v>361</v>
      </c>
      <c r="D2803" s="14" t="s">
        <v>362</v>
      </c>
      <c r="E2803" s="14" t="s">
        <v>344</v>
      </c>
      <c r="F2803" s="14" t="s">
        <v>343</v>
      </c>
      <c r="G2803" s="14" t="s">
        <v>343</v>
      </c>
      <c r="H2803" s="14" t="s">
        <v>343</v>
      </c>
      <c r="I2803" s="14">
        <v>36</v>
      </c>
      <c r="J2803" s="14">
        <v>37</v>
      </c>
      <c r="K2803" s="14">
        <v>38</v>
      </c>
      <c r="L2803" s="14">
        <v>41</v>
      </c>
      <c r="M2803" s="14">
        <v>1</v>
      </c>
      <c r="N2803" s="14">
        <v>1</v>
      </c>
      <c r="O2803" s="14">
        <v>1</v>
      </c>
      <c r="P2803" s="14">
        <v>1</v>
      </c>
      <c r="Q2803" s="14">
        <v>1</v>
      </c>
      <c r="R2803" s="14">
        <v>1</v>
      </c>
      <c r="S2803" s="14">
        <v>1</v>
      </c>
      <c r="T2803" s="14">
        <v>36</v>
      </c>
      <c r="U2803" s="14">
        <v>42</v>
      </c>
      <c r="V2803" s="14">
        <v>74</v>
      </c>
      <c r="W2803" s="14">
        <v>55</v>
      </c>
      <c r="X2803" s="14">
        <v>44</v>
      </c>
    </row>
    <row r="2804" spans="1:24" hidden="1" x14ac:dyDescent="0.3">
      <c r="A2804" s="14" t="s">
        <v>459</v>
      </c>
      <c r="B2804" s="14" t="s">
        <v>133</v>
      </c>
      <c r="C2804" s="14" t="s">
        <v>363</v>
      </c>
      <c r="D2804" s="14" t="s">
        <v>364</v>
      </c>
      <c r="E2804" s="14" t="s">
        <v>342</v>
      </c>
      <c r="F2804" s="14" t="s">
        <v>343</v>
      </c>
      <c r="G2804" s="14" t="s">
        <v>343</v>
      </c>
      <c r="H2804" s="14" t="s">
        <v>343</v>
      </c>
      <c r="U2804" s="14">
        <v>1.06</v>
      </c>
      <c r="V2804" s="14">
        <v>1.06</v>
      </c>
      <c r="W2804" s="14">
        <v>1.06</v>
      </c>
      <c r="X2804" s="14">
        <v>1.06</v>
      </c>
    </row>
    <row r="2805" spans="1:24" hidden="1" x14ac:dyDescent="0.3">
      <c r="A2805" s="14" t="s">
        <v>459</v>
      </c>
      <c r="B2805" s="14" t="s">
        <v>133</v>
      </c>
      <c r="C2805" s="14" t="s">
        <v>363</v>
      </c>
      <c r="D2805" s="14" t="s">
        <v>364</v>
      </c>
      <c r="E2805" s="14" t="s">
        <v>344</v>
      </c>
      <c r="F2805" s="14" t="s">
        <v>343</v>
      </c>
      <c r="G2805" s="14" t="s">
        <v>343</v>
      </c>
      <c r="H2805" s="14" t="s">
        <v>343</v>
      </c>
      <c r="U2805" s="14">
        <v>1</v>
      </c>
      <c r="V2805" s="14">
        <v>1</v>
      </c>
      <c r="W2805" s="14">
        <v>1</v>
      </c>
      <c r="X2805" s="14">
        <v>1</v>
      </c>
    </row>
    <row r="2806" spans="1:24" hidden="1" x14ac:dyDescent="0.3">
      <c r="A2806" s="14" t="s">
        <v>459</v>
      </c>
      <c r="B2806" s="14" t="s">
        <v>133</v>
      </c>
      <c r="C2806" s="14" t="s">
        <v>365</v>
      </c>
      <c r="D2806" s="14" t="s">
        <v>366</v>
      </c>
      <c r="E2806" s="14" t="s">
        <v>342</v>
      </c>
      <c r="F2806" s="14" t="s">
        <v>343</v>
      </c>
      <c r="G2806" s="14" t="s">
        <v>343</v>
      </c>
      <c r="H2806" s="14" t="s">
        <v>343</v>
      </c>
      <c r="U2806" s="14">
        <v>0.94</v>
      </c>
      <c r="V2806" s="14">
        <v>0.94</v>
      </c>
      <c r="W2806" s="14">
        <v>0.94</v>
      </c>
      <c r="X2806" s="14">
        <v>0.94</v>
      </c>
    </row>
    <row r="2807" spans="1:24" hidden="1" x14ac:dyDescent="0.3">
      <c r="A2807" s="14" t="s">
        <v>459</v>
      </c>
      <c r="B2807" s="14" t="s">
        <v>133</v>
      </c>
      <c r="C2807" s="14" t="s">
        <v>365</v>
      </c>
      <c r="D2807" s="14" t="s">
        <v>366</v>
      </c>
      <c r="E2807" s="14" t="s">
        <v>344</v>
      </c>
      <c r="F2807" s="14" t="s">
        <v>343</v>
      </c>
      <c r="G2807" s="14" t="s">
        <v>343</v>
      </c>
      <c r="H2807" s="14" t="s">
        <v>343</v>
      </c>
      <c r="U2807" s="14">
        <v>114</v>
      </c>
      <c r="V2807" s="14">
        <v>137</v>
      </c>
      <c r="W2807" s="14">
        <v>141</v>
      </c>
      <c r="X2807" s="14">
        <v>126</v>
      </c>
    </row>
    <row r="2808" spans="1:24" hidden="1" x14ac:dyDescent="0.3">
      <c r="A2808" s="14" t="s">
        <v>459</v>
      </c>
      <c r="B2808" s="14" t="s">
        <v>133</v>
      </c>
      <c r="C2808" s="14" t="s">
        <v>367</v>
      </c>
      <c r="D2808" s="14" t="s">
        <v>368</v>
      </c>
      <c r="E2808" s="14" t="s">
        <v>342</v>
      </c>
      <c r="F2808" s="14" t="s">
        <v>343</v>
      </c>
      <c r="G2808" s="14" t="s">
        <v>343</v>
      </c>
      <c r="H2808" s="14" t="s">
        <v>343</v>
      </c>
      <c r="I2808" s="14">
        <v>0.69</v>
      </c>
      <c r="J2808" s="14">
        <v>0.7</v>
      </c>
      <c r="K2808" s="14">
        <v>0.7</v>
      </c>
      <c r="L2808" s="14">
        <v>0.7</v>
      </c>
      <c r="M2808" s="14">
        <v>0.71</v>
      </c>
      <c r="N2808" s="14">
        <v>0.7</v>
      </c>
      <c r="O2808" s="14">
        <v>0.72</v>
      </c>
      <c r="P2808" s="14">
        <v>0.72</v>
      </c>
      <c r="Q2808" s="14">
        <v>0.72</v>
      </c>
      <c r="R2808" s="14">
        <v>0.72</v>
      </c>
      <c r="S2808" s="14">
        <v>0.72</v>
      </c>
      <c r="T2808" s="14">
        <v>0.71</v>
      </c>
      <c r="U2808" s="14">
        <v>0.71</v>
      </c>
      <c r="V2808" s="14">
        <v>0.71</v>
      </c>
      <c r="W2808" s="14">
        <v>0.71</v>
      </c>
      <c r="X2808" s="14">
        <v>0.72</v>
      </c>
    </row>
    <row r="2809" spans="1:24" hidden="1" x14ac:dyDescent="0.3">
      <c r="A2809" s="14" t="s">
        <v>459</v>
      </c>
      <c r="B2809" s="14" t="s">
        <v>133</v>
      </c>
      <c r="C2809" s="14" t="s">
        <v>367</v>
      </c>
      <c r="D2809" s="14" t="s">
        <v>368</v>
      </c>
      <c r="E2809" s="14" t="s">
        <v>344</v>
      </c>
      <c r="F2809" s="14" t="s">
        <v>343</v>
      </c>
      <c r="G2809" s="14" t="s">
        <v>343</v>
      </c>
      <c r="H2809" s="14" t="s">
        <v>343</v>
      </c>
      <c r="I2809" s="14">
        <v>32</v>
      </c>
      <c r="J2809" s="14">
        <v>32</v>
      </c>
      <c r="K2809" s="14">
        <v>45</v>
      </c>
      <c r="L2809" s="14">
        <v>47</v>
      </c>
      <c r="M2809" s="14">
        <v>41</v>
      </c>
      <c r="N2809" s="14">
        <v>49</v>
      </c>
      <c r="O2809" s="14">
        <v>31</v>
      </c>
      <c r="P2809" s="14">
        <v>32</v>
      </c>
      <c r="Q2809" s="14">
        <v>43</v>
      </c>
      <c r="R2809" s="14">
        <v>47</v>
      </c>
      <c r="S2809" s="14">
        <v>51</v>
      </c>
      <c r="T2809" s="14">
        <v>52</v>
      </c>
      <c r="U2809" s="14">
        <v>60</v>
      </c>
      <c r="V2809" s="14">
        <v>72</v>
      </c>
      <c r="W2809" s="14">
        <v>80</v>
      </c>
      <c r="X2809" s="14">
        <v>65</v>
      </c>
    </row>
    <row r="2810" spans="1:24" hidden="1" x14ac:dyDescent="0.3">
      <c r="A2810" s="14" t="s">
        <v>459</v>
      </c>
      <c r="B2810" s="14" t="s">
        <v>133</v>
      </c>
      <c r="C2810" s="14" t="s">
        <v>369</v>
      </c>
      <c r="D2810" s="14" t="s">
        <v>370</v>
      </c>
      <c r="E2810" s="14" t="s">
        <v>342</v>
      </c>
      <c r="F2810" s="14" t="s">
        <v>343</v>
      </c>
      <c r="G2810" s="14" t="s">
        <v>343</v>
      </c>
      <c r="H2810" s="14" t="s">
        <v>343</v>
      </c>
      <c r="I2810" s="14">
        <v>0.09</v>
      </c>
      <c r="J2810" s="14">
        <v>0.09</v>
      </c>
      <c r="K2810" s="14">
        <v>7.0000000000000007E-2</v>
      </c>
      <c r="L2810" s="14">
        <v>7.0000000000000007E-2</v>
      </c>
      <c r="M2810" s="14">
        <v>0.08</v>
      </c>
      <c r="N2810" s="14">
        <v>0.08</v>
      </c>
      <c r="O2810" s="14">
        <v>0.15</v>
      </c>
      <c r="P2810" s="14">
        <v>0.15</v>
      </c>
      <c r="Q2810" s="14">
        <v>0.17</v>
      </c>
      <c r="R2810" s="14">
        <v>0.15</v>
      </c>
      <c r="S2810" s="14">
        <v>0.15</v>
      </c>
      <c r="T2810" s="14">
        <v>0.13</v>
      </c>
      <c r="U2810" s="14">
        <v>0.13</v>
      </c>
      <c r="V2810" s="14">
        <v>0.13</v>
      </c>
      <c r="W2810" s="14">
        <v>0.14000000000000001</v>
      </c>
      <c r="X2810" s="14">
        <v>0.14000000000000001</v>
      </c>
    </row>
    <row r="2811" spans="1:24" hidden="1" x14ac:dyDescent="0.3">
      <c r="A2811" s="14" t="s">
        <v>459</v>
      </c>
      <c r="B2811" s="14" t="s">
        <v>133</v>
      </c>
      <c r="C2811" s="14" t="s">
        <v>369</v>
      </c>
      <c r="D2811" s="14" t="s">
        <v>370</v>
      </c>
      <c r="E2811" s="14" t="s">
        <v>344</v>
      </c>
      <c r="F2811" s="14" t="s">
        <v>343</v>
      </c>
      <c r="G2811" s="14" t="s">
        <v>343</v>
      </c>
      <c r="H2811" s="14" t="s">
        <v>343</v>
      </c>
      <c r="I2811" s="14">
        <v>69</v>
      </c>
      <c r="J2811" s="14">
        <v>77</v>
      </c>
      <c r="K2811" s="14">
        <v>101</v>
      </c>
      <c r="L2811" s="14">
        <v>102</v>
      </c>
      <c r="M2811" s="14">
        <v>96</v>
      </c>
      <c r="N2811" s="14">
        <v>98</v>
      </c>
      <c r="O2811" s="14">
        <v>61</v>
      </c>
      <c r="P2811" s="14">
        <v>65</v>
      </c>
      <c r="Q2811" s="14">
        <v>66</v>
      </c>
      <c r="R2811" s="14">
        <v>78</v>
      </c>
      <c r="S2811" s="14">
        <v>77</v>
      </c>
      <c r="T2811" s="14">
        <v>93</v>
      </c>
      <c r="U2811" s="14">
        <v>94</v>
      </c>
      <c r="V2811" s="14">
        <v>106</v>
      </c>
      <c r="W2811" s="14">
        <v>106</v>
      </c>
      <c r="X2811" s="14">
        <v>103</v>
      </c>
    </row>
    <row r="2812" spans="1:24" hidden="1" x14ac:dyDescent="0.3">
      <c r="A2812" s="14" t="s">
        <v>459</v>
      </c>
      <c r="B2812" s="14" t="s">
        <v>133</v>
      </c>
      <c r="C2812" s="14" t="s">
        <v>371</v>
      </c>
      <c r="D2812" s="14" t="s">
        <v>372</v>
      </c>
      <c r="E2812" s="14" t="s">
        <v>342</v>
      </c>
      <c r="F2812" s="14" t="s">
        <v>343</v>
      </c>
      <c r="G2812" s="14" t="s">
        <v>343</v>
      </c>
      <c r="H2812" s="14" t="s">
        <v>343</v>
      </c>
      <c r="U2812" s="14">
        <v>0</v>
      </c>
      <c r="V2812" s="14">
        <v>0</v>
      </c>
      <c r="W2812" s="14">
        <v>0</v>
      </c>
      <c r="X2812" s="14">
        <v>0</v>
      </c>
    </row>
    <row r="2813" spans="1:24" hidden="1" x14ac:dyDescent="0.3">
      <c r="A2813" s="14" t="s">
        <v>459</v>
      </c>
      <c r="B2813" s="14" t="s">
        <v>133</v>
      </c>
      <c r="C2813" s="14" t="s">
        <v>371</v>
      </c>
      <c r="D2813" s="14" t="s">
        <v>372</v>
      </c>
      <c r="E2813" s="14" t="s">
        <v>344</v>
      </c>
      <c r="F2813" s="14" t="s">
        <v>343</v>
      </c>
      <c r="G2813" s="14" t="s">
        <v>343</v>
      </c>
      <c r="H2813" s="14" t="s">
        <v>343</v>
      </c>
      <c r="U2813" s="14">
        <v>71</v>
      </c>
      <c r="V2813" s="14">
        <v>73</v>
      </c>
      <c r="W2813" s="14">
        <v>76</v>
      </c>
      <c r="X2813" s="14">
        <v>78</v>
      </c>
    </row>
    <row r="2814" spans="1:24" hidden="1" x14ac:dyDescent="0.3">
      <c r="A2814" s="14" t="s">
        <v>459</v>
      </c>
      <c r="B2814" s="14" t="s">
        <v>133</v>
      </c>
      <c r="C2814" s="14" t="s">
        <v>373</v>
      </c>
      <c r="D2814" s="14" t="s">
        <v>374</v>
      </c>
      <c r="E2814" s="14" t="s">
        <v>342</v>
      </c>
      <c r="F2814" s="14" t="s">
        <v>343</v>
      </c>
      <c r="G2814" s="14" t="s">
        <v>343</v>
      </c>
      <c r="H2814" s="14" t="s">
        <v>343</v>
      </c>
      <c r="U2814" s="14">
        <v>0.06</v>
      </c>
      <c r="V2814" s="14">
        <v>0.06</v>
      </c>
      <c r="W2814" s="14">
        <v>0.1</v>
      </c>
      <c r="X2814" s="14">
        <v>0.1</v>
      </c>
    </row>
    <row r="2815" spans="1:24" hidden="1" x14ac:dyDescent="0.3">
      <c r="A2815" s="14" t="s">
        <v>459</v>
      </c>
      <c r="B2815" s="14" t="s">
        <v>133</v>
      </c>
      <c r="C2815" s="14" t="s">
        <v>373</v>
      </c>
      <c r="D2815" s="14" t="s">
        <v>374</v>
      </c>
      <c r="E2815" s="14" t="s">
        <v>344</v>
      </c>
      <c r="F2815" s="14" t="s">
        <v>343</v>
      </c>
      <c r="G2815" s="14" t="s">
        <v>343</v>
      </c>
      <c r="H2815" s="14" t="s">
        <v>343</v>
      </c>
      <c r="U2815" s="14">
        <v>132</v>
      </c>
      <c r="V2815" s="14">
        <v>136</v>
      </c>
      <c r="W2815" s="14">
        <v>129</v>
      </c>
      <c r="X2815" s="14">
        <v>123</v>
      </c>
    </row>
    <row r="2816" spans="1:24" hidden="1" x14ac:dyDescent="0.3">
      <c r="A2816" s="14" t="s">
        <v>459</v>
      </c>
      <c r="B2816" s="14" t="s">
        <v>133</v>
      </c>
      <c r="C2816" s="14" t="s">
        <v>375</v>
      </c>
      <c r="D2816" s="14" t="s">
        <v>376</v>
      </c>
      <c r="E2816" s="14" t="s">
        <v>342</v>
      </c>
      <c r="F2816" s="14" t="s">
        <v>343</v>
      </c>
      <c r="G2816" s="14" t="s">
        <v>343</v>
      </c>
      <c r="H2816" s="14" t="s">
        <v>343</v>
      </c>
      <c r="U2816" s="14">
        <v>0.37</v>
      </c>
      <c r="V2816" s="14">
        <v>0.37</v>
      </c>
      <c r="W2816" s="14">
        <v>0.37</v>
      </c>
      <c r="X2816" s="14">
        <v>0.38</v>
      </c>
    </row>
    <row r="2817" spans="1:24" hidden="1" x14ac:dyDescent="0.3">
      <c r="A2817" s="14" t="s">
        <v>459</v>
      </c>
      <c r="B2817" s="14" t="s">
        <v>133</v>
      </c>
      <c r="C2817" s="14" t="s">
        <v>375</v>
      </c>
      <c r="D2817" s="14" t="s">
        <v>376</v>
      </c>
      <c r="E2817" s="14" t="s">
        <v>344</v>
      </c>
      <c r="F2817" s="14" t="s">
        <v>343</v>
      </c>
      <c r="G2817" s="14" t="s">
        <v>343</v>
      </c>
      <c r="H2817" s="14" t="s">
        <v>343</v>
      </c>
      <c r="U2817" s="14">
        <v>51</v>
      </c>
      <c r="V2817" s="14">
        <v>53</v>
      </c>
      <c r="W2817" s="14">
        <v>62</v>
      </c>
      <c r="X2817" s="14">
        <v>65</v>
      </c>
    </row>
    <row r="2818" spans="1:24" hidden="1" x14ac:dyDescent="0.3">
      <c r="A2818" s="14" t="s">
        <v>460</v>
      </c>
      <c r="B2818" s="14" t="s">
        <v>134</v>
      </c>
      <c r="C2818" s="14" t="s">
        <v>340</v>
      </c>
      <c r="D2818" s="14" t="s">
        <v>341</v>
      </c>
      <c r="E2818" s="14" t="s">
        <v>342</v>
      </c>
      <c r="F2818" s="14" t="s">
        <v>343</v>
      </c>
      <c r="G2818" s="14" t="s">
        <v>343</v>
      </c>
      <c r="H2818" s="14" t="s">
        <v>343</v>
      </c>
      <c r="I2818" s="14">
        <v>0.92</v>
      </c>
      <c r="J2818" s="14">
        <v>0.93</v>
      </c>
      <c r="K2818" s="14">
        <v>0.93</v>
      </c>
      <c r="L2818" s="14">
        <v>0.91</v>
      </c>
      <c r="M2818" s="14">
        <v>0.94</v>
      </c>
      <c r="N2818" s="14">
        <v>0.94</v>
      </c>
      <c r="O2818" s="14">
        <v>0.94</v>
      </c>
      <c r="P2818" s="14">
        <v>0.92</v>
      </c>
      <c r="Q2818" s="14">
        <v>0.92</v>
      </c>
      <c r="R2818" s="14">
        <v>0.94</v>
      </c>
      <c r="S2818" s="14">
        <v>0.94</v>
      </c>
      <c r="T2818" s="14">
        <v>0.93</v>
      </c>
      <c r="U2818" s="14">
        <v>0.93</v>
      </c>
      <c r="V2818" s="14">
        <v>0.94</v>
      </c>
      <c r="W2818" s="14">
        <v>0.93</v>
      </c>
      <c r="X2818" s="14">
        <v>0.94</v>
      </c>
    </row>
    <row r="2819" spans="1:24" hidden="1" x14ac:dyDescent="0.3">
      <c r="A2819" s="14" t="s">
        <v>460</v>
      </c>
      <c r="B2819" s="14" t="s">
        <v>134</v>
      </c>
      <c r="C2819" s="14" t="s">
        <v>340</v>
      </c>
      <c r="D2819" s="14" t="s">
        <v>341</v>
      </c>
      <c r="E2819" s="14" t="s">
        <v>344</v>
      </c>
      <c r="F2819" s="14" t="s">
        <v>343</v>
      </c>
      <c r="G2819" s="14" t="s">
        <v>343</v>
      </c>
      <c r="H2819" s="14" t="s">
        <v>343</v>
      </c>
      <c r="I2819" s="14">
        <v>88</v>
      </c>
      <c r="J2819" s="14">
        <v>97</v>
      </c>
      <c r="K2819" s="14">
        <v>102</v>
      </c>
      <c r="L2819" s="14">
        <v>106</v>
      </c>
      <c r="M2819" s="14">
        <v>102</v>
      </c>
      <c r="N2819" s="14">
        <v>101</v>
      </c>
      <c r="O2819" s="14">
        <v>106</v>
      </c>
      <c r="P2819" s="14">
        <v>107</v>
      </c>
      <c r="Q2819" s="14">
        <v>115</v>
      </c>
      <c r="R2819" s="14">
        <v>113</v>
      </c>
      <c r="S2819" s="14">
        <v>116</v>
      </c>
      <c r="T2819" s="14">
        <v>120</v>
      </c>
      <c r="U2819" s="14">
        <v>122</v>
      </c>
      <c r="V2819" s="14">
        <v>126</v>
      </c>
      <c r="W2819" s="14">
        <v>126</v>
      </c>
      <c r="X2819" s="14">
        <v>118</v>
      </c>
    </row>
    <row r="2820" spans="1:24" hidden="1" x14ac:dyDescent="0.3">
      <c r="A2820" s="14" t="s">
        <v>460</v>
      </c>
      <c r="B2820" s="14" t="s">
        <v>134</v>
      </c>
      <c r="C2820" s="14" t="s">
        <v>345</v>
      </c>
      <c r="D2820" s="14" t="s">
        <v>346</v>
      </c>
      <c r="E2820" s="14" t="s">
        <v>342</v>
      </c>
      <c r="F2820" s="14" t="s">
        <v>343</v>
      </c>
      <c r="G2820" s="14" t="s">
        <v>343</v>
      </c>
      <c r="H2820" s="14" t="s">
        <v>343</v>
      </c>
      <c r="U2820" s="14">
        <v>0.65</v>
      </c>
      <c r="V2820" s="14">
        <v>0.7</v>
      </c>
      <c r="W2820" s="14">
        <v>0.72</v>
      </c>
      <c r="X2820" s="14">
        <v>0.83</v>
      </c>
    </row>
    <row r="2821" spans="1:24" hidden="1" x14ac:dyDescent="0.3">
      <c r="A2821" s="14" t="s">
        <v>460</v>
      </c>
      <c r="B2821" s="14" t="s">
        <v>134</v>
      </c>
      <c r="C2821" s="14" t="s">
        <v>345</v>
      </c>
      <c r="D2821" s="14" t="s">
        <v>346</v>
      </c>
      <c r="E2821" s="14" t="s">
        <v>344</v>
      </c>
      <c r="F2821" s="14" t="s">
        <v>343</v>
      </c>
      <c r="G2821" s="14" t="s">
        <v>343</v>
      </c>
      <c r="H2821" s="14" t="s">
        <v>343</v>
      </c>
      <c r="U2821" s="14">
        <v>61</v>
      </c>
      <c r="V2821" s="14">
        <v>38</v>
      </c>
      <c r="W2821" s="14">
        <v>35</v>
      </c>
      <c r="X2821" s="14">
        <v>10</v>
      </c>
    </row>
    <row r="2822" spans="1:24" hidden="1" x14ac:dyDescent="0.3">
      <c r="A2822" s="14" t="s">
        <v>460</v>
      </c>
      <c r="B2822" s="14" t="s">
        <v>134</v>
      </c>
      <c r="C2822" s="14" t="s">
        <v>347</v>
      </c>
      <c r="D2822" s="14" t="s">
        <v>348</v>
      </c>
      <c r="E2822" s="14" t="s">
        <v>342</v>
      </c>
      <c r="F2822" s="14" t="s">
        <v>343</v>
      </c>
      <c r="G2822" s="14" t="s">
        <v>343</v>
      </c>
      <c r="H2822" s="14" t="s">
        <v>343</v>
      </c>
      <c r="U2822" s="14">
        <v>0.91</v>
      </c>
      <c r="V2822" s="14">
        <v>0.92</v>
      </c>
      <c r="W2822" s="14">
        <v>0.94</v>
      </c>
      <c r="X2822" s="14">
        <v>0.94</v>
      </c>
    </row>
    <row r="2823" spans="1:24" hidden="1" x14ac:dyDescent="0.3">
      <c r="A2823" s="14" t="s">
        <v>460</v>
      </c>
      <c r="B2823" s="14" t="s">
        <v>134</v>
      </c>
      <c r="C2823" s="14" t="s">
        <v>347</v>
      </c>
      <c r="D2823" s="14" t="s">
        <v>348</v>
      </c>
      <c r="E2823" s="14" t="s">
        <v>344</v>
      </c>
      <c r="F2823" s="14" t="s">
        <v>343</v>
      </c>
      <c r="G2823" s="14" t="s">
        <v>343</v>
      </c>
      <c r="H2823" s="14" t="s">
        <v>343</v>
      </c>
      <c r="U2823" s="14">
        <v>30</v>
      </c>
      <c r="V2823" s="14">
        <v>26</v>
      </c>
      <c r="W2823" s="14">
        <v>16</v>
      </c>
      <c r="X2823" s="14">
        <v>9</v>
      </c>
    </row>
    <row r="2824" spans="1:24" hidden="1" x14ac:dyDescent="0.3">
      <c r="A2824" s="14" t="s">
        <v>460</v>
      </c>
      <c r="B2824" s="14" t="s">
        <v>134</v>
      </c>
      <c r="C2824" s="14" t="s">
        <v>349</v>
      </c>
      <c r="D2824" s="14" t="s">
        <v>350</v>
      </c>
      <c r="E2824" s="14" t="s">
        <v>342</v>
      </c>
      <c r="F2824" s="14" t="s">
        <v>343</v>
      </c>
      <c r="G2824" s="14" t="s">
        <v>343</v>
      </c>
      <c r="H2824" s="14" t="s">
        <v>343</v>
      </c>
      <c r="V2824" s="14">
        <v>0.33</v>
      </c>
      <c r="W2824" s="14">
        <v>0.33</v>
      </c>
      <c r="X2824" s="14">
        <v>0.98</v>
      </c>
    </row>
    <row r="2825" spans="1:24" hidden="1" x14ac:dyDescent="0.3">
      <c r="A2825" s="14" t="s">
        <v>460</v>
      </c>
      <c r="B2825" s="14" t="s">
        <v>134</v>
      </c>
      <c r="C2825" s="14" t="s">
        <v>349</v>
      </c>
      <c r="D2825" s="14" t="s">
        <v>350</v>
      </c>
      <c r="E2825" s="14" t="s">
        <v>344</v>
      </c>
      <c r="F2825" s="14" t="s">
        <v>343</v>
      </c>
      <c r="G2825" s="14" t="s">
        <v>343</v>
      </c>
      <c r="H2825" s="14" t="s">
        <v>343</v>
      </c>
      <c r="V2825" s="14">
        <v>107</v>
      </c>
      <c r="W2825" s="14">
        <v>109</v>
      </c>
      <c r="X2825" s="14">
        <v>12</v>
      </c>
    </row>
    <row r="2826" spans="1:24" hidden="1" x14ac:dyDescent="0.3">
      <c r="A2826" s="14" t="s">
        <v>460</v>
      </c>
      <c r="B2826" s="14" t="s">
        <v>134</v>
      </c>
      <c r="C2826" s="14" t="s">
        <v>351</v>
      </c>
      <c r="D2826" s="14" t="s">
        <v>352</v>
      </c>
      <c r="E2826" s="14" t="s">
        <v>342</v>
      </c>
      <c r="F2826" s="14" t="s">
        <v>343</v>
      </c>
      <c r="G2826" s="14" t="s">
        <v>343</v>
      </c>
      <c r="H2826" s="14" t="s">
        <v>343</v>
      </c>
      <c r="V2826" s="14">
        <v>0</v>
      </c>
      <c r="W2826" s="14">
        <v>0.56000000000000005</v>
      </c>
      <c r="X2826" s="14">
        <v>0.68</v>
      </c>
    </row>
    <row r="2827" spans="1:24" hidden="1" x14ac:dyDescent="0.3">
      <c r="A2827" s="14" t="s">
        <v>460</v>
      </c>
      <c r="B2827" s="14" t="s">
        <v>134</v>
      </c>
      <c r="C2827" s="14" t="s">
        <v>351</v>
      </c>
      <c r="D2827" s="14" t="s">
        <v>352</v>
      </c>
      <c r="E2827" s="14" t="s">
        <v>344</v>
      </c>
      <c r="F2827" s="14" t="s">
        <v>343</v>
      </c>
      <c r="G2827" s="14" t="s">
        <v>343</v>
      </c>
      <c r="H2827" s="14" t="s">
        <v>343</v>
      </c>
      <c r="V2827" s="14">
        <v>148</v>
      </c>
      <c r="W2827" s="14">
        <v>119</v>
      </c>
      <c r="X2827" s="14">
        <v>101</v>
      </c>
    </row>
    <row r="2828" spans="1:24" hidden="1" x14ac:dyDescent="0.3">
      <c r="A2828" s="14" t="s">
        <v>460</v>
      </c>
      <c r="B2828" s="14" t="s">
        <v>134</v>
      </c>
      <c r="C2828" s="14" t="s">
        <v>378</v>
      </c>
      <c r="D2828" s="14" t="s">
        <v>379</v>
      </c>
      <c r="E2828" s="14" t="s">
        <v>342</v>
      </c>
      <c r="F2828" s="14" t="s">
        <v>343</v>
      </c>
      <c r="G2828" s="14" t="s">
        <v>343</v>
      </c>
      <c r="H2828" s="14" t="s">
        <v>343</v>
      </c>
      <c r="S2828" s="14">
        <v>0.65</v>
      </c>
      <c r="U2828" s="14">
        <v>0.68</v>
      </c>
      <c r="V2828" s="14">
        <v>0.68</v>
      </c>
      <c r="W2828" s="14">
        <v>0.67</v>
      </c>
      <c r="X2828" s="14">
        <v>0.68</v>
      </c>
    </row>
    <row r="2829" spans="1:24" hidden="1" x14ac:dyDescent="0.3">
      <c r="A2829" s="14" t="s">
        <v>460</v>
      </c>
      <c r="B2829" s="14" t="s">
        <v>134</v>
      </c>
      <c r="C2829" s="14" t="s">
        <v>378</v>
      </c>
      <c r="D2829" s="14" t="s">
        <v>379</v>
      </c>
      <c r="E2829" s="14" t="s">
        <v>344</v>
      </c>
      <c r="F2829" s="14" t="s">
        <v>343</v>
      </c>
      <c r="G2829" s="14" t="s">
        <v>343</v>
      </c>
      <c r="H2829" s="14" t="s">
        <v>343</v>
      </c>
      <c r="S2829" s="14">
        <v>67</v>
      </c>
      <c r="U2829" s="14">
        <v>54</v>
      </c>
      <c r="V2829" s="14">
        <v>61</v>
      </c>
      <c r="W2829" s="14">
        <v>72</v>
      </c>
      <c r="X2829" s="14">
        <v>56</v>
      </c>
    </row>
    <row r="2830" spans="1:24" hidden="1" x14ac:dyDescent="0.3">
      <c r="A2830" s="14" t="s">
        <v>460</v>
      </c>
      <c r="B2830" s="14" t="s">
        <v>134</v>
      </c>
      <c r="C2830" s="14" t="s">
        <v>353</v>
      </c>
      <c r="D2830" s="14" t="s">
        <v>354</v>
      </c>
      <c r="E2830" s="14" t="s">
        <v>342</v>
      </c>
      <c r="F2830" s="14" t="s">
        <v>343</v>
      </c>
      <c r="G2830" s="14" t="s">
        <v>343</v>
      </c>
      <c r="H2830" s="14" t="s">
        <v>343</v>
      </c>
      <c r="U2830" s="14">
        <v>0.88</v>
      </c>
      <c r="V2830" s="14">
        <v>0.92</v>
      </c>
      <c r="W2830" s="14">
        <v>0.92</v>
      </c>
      <c r="X2830" s="14">
        <v>0.92</v>
      </c>
    </row>
    <row r="2831" spans="1:24" hidden="1" x14ac:dyDescent="0.3">
      <c r="A2831" s="14" t="s">
        <v>460</v>
      </c>
      <c r="B2831" s="14" t="s">
        <v>134</v>
      </c>
      <c r="C2831" s="14" t="s">
        <v>353</v>
      </c>
      <c r="D2831" s="14" t="s">
        <v>354</v>
      </c>
      <c r="E2831" s="14" t="s">
        <v>344</v>
      </c>
      <c r="F2831" s="14" t="s">
        <v>343</v>
      </c>
      <c r="G2831" s="14" t="s">
        <v>343</v>
      </c>
      <c r="H2831" s="14" t="s">
        <v>343</v>
      </c>
      <c r="U2831" s="14">
        <v>105</v>
      </c>
      <c r="V2831" s="14">
        <v>106</v>
      </c>
      <c r="W2831" s="14">
        <v>107</v>
      </c>
      <c r="X2831" s="14">
        <v>103</v>
      </c>
    </row>
    <row r="2832" spans="1:24" hidden="1" x14ac:dyDescent="0.3">
      <c r="A2832" s="14" t="s">
        <v>460</v>
      </c>
      <c r="B2832" s="14" t="s">
        <v>134</v>
      </c>
      <c r="C2832" s="14" t="s">
        <v>380</v>
      </c>
      <c r="D2832" s="14" t="s">
        <v>381</v>
      </c>
      <c r="E2832" s="14" t="s">
        <v>342</v>
      </c>
      <c r="F2832" s="14" t="s">
        <v>343</v>
      </c>
      <c r="G2832" s="14" t="s">
        <v>343</v>
      </c>
      <c r="H2832" s="14" t="s">
        <v>343</v>
      </c>
      <c r="U2832" s="14">
        <v>1</v>
      </c>
      <c r="V2832" s="14">
        <v>1</v>
      </c>
      <c r="W2832" s="14">
        <v>1</v>
      </c>
      <c r="X2832" s="14">
        <v>1</v>
      </c>
    </row>
    <row r="2833" spans="1:24" hidden="1" x14ac:dyDescent="0.3">
      <c r="A2833" s="14" t="s">
        <v>460</v>
      </c>
      <c r="B2833" s="14" t="s">
        <v>134</v>
      </c>
      <c r="C2833" s="14" t="s">
        <v>380</v>
      </c>
      <c r="D2833" s="14" t="s">
        <v>381</v>
      </c>
      <c r="E2833" s="14" t="s">
        <v>344</v>
      </c>
      <c r="F2833" s="14" t="s">
        <v>343</v>
      </c>
      <c r="G2833" s="14" t="s">
        <v>343</v>
      </c>
      <c r="H2833" s="14" t="s">
        <v>343</v>
      </c>
      <c r="U2833" s="14">
        <v>1</v>
      </c>
      <c r="V2833" s="14">
        <v>1</v>
      </c>
      <c r="W2833" s="14">
        <v>1</v>
      </c>
      <c r="X2833" s="14">
        <v>1</v>
      </c>
    </row>
    <row r="2834" spans="1:24" hidden="1" x14ac:dyDescent="0.3">
      <c r="A2834" s="14" t="s">
        <v>460</v>
      </c>
      <c r="B2834" s="14" t="s">
        <v>134</v>
      </c>
      <c r="C2834" s="14" t="s">
        <v>355</v>
      </c>
      <c r="D2834" s="14" t="s">
        <v>356</v>
      </c>
      <c r="E2834" s="14" t="s">
        <v>342</v>
      </c>
      <c r="F2834" s="14" t="s">
        <v>343</v>
      </c>
      <c r="G2834" s="14" t="s">
        <v>343</v>
      </c>
      <c r="H2834" s="14" t="s">
        <v>343</v>
      </c>
      <c r="U2834" s="14">
        <v>0.94</v>
      </c>
      <c r="V2834" s="14">
        <v>0.93</v>
      </c>
      <c r="W2834" s="14">
        <v>0.9</v>
      </c>
    </row>
    <row r="2835" spans="1:24" hidden="1" x14ac:dyDescent="0.3">
      <c r="A2835" s="14" t="s">
        <v>460</v>
      </c>
      <c r="B2835" s="14" t="s">
        <v>134</v>
      </c>
      <c r="C2835" s="14" t="s">
        <v>355</v>
      </c>
      <c r="D2835" s="14" t="s">
        <v>356</v>
      </c>
      <c r="E2835" s="14" t="s">
        <v>344</v>
      </c>
      <c r="F2835" s="14" t="s">
        <v>343</v>
      </c>
      <c r="G2835" s="14" t="s">
        <v>343</v>
      </c>
      <c r="H2835" s="14" t="s">
        <v>343</v>
      </c>
      <c r="U2835" s="14">
        <v>129</v>
      </c>
      <c r="V2835" s="14">
        <v>132</v>
      </c>
      <c r="W2835" s="14">
        <v>135</v>
      </c>
    </row>
    <row r="2836" spans="1:24" hidden="1" x14ac:dyDescent="0.3">
      <c r="A2836" s="14" t="s">
        <v>460</v>
      </c>
      <c r="B2836" s="14" t="s">
        <v>134</v>
      </c>
      <c r="C2836" s="14" t="s">
        <v>357</v>
      </c>
      <c r="D2836" s="14" t="s">
        <v>358</v>
      </c>
      <c r="E2836" s="14" t="s">
        <v>342</v>
      </c>
      <c r="F2836" s="14" t="s">
        <v>343</v>
      </c>
      <c r="G2836" s="14" t="s">
        <v>343</v>
      </c>
      <c r="H2836" s="14" t="s">
        <v>343</v>
      </c>
      <c r="U2836" s="14">
        <v>0.7</v>
      </c>
      <c r="V2836" s="14">
        <v>0.74</v>
      </c>
      <c r="W2836" s="14">
        <v>0.74</v>
      </c>
      <c r="X2836" s="14">
        <v>0.74</v>
      </c>
    </row>
    <row r="2837" spans="1:24" hidden="1" x14ac:dyDescent="0.3">
      <c r="A2837" s="14" t="s">
        <v>460</v>
      </c>
      <c r="B2837" s="14" t="s">
        <v>134</v>
      </c>
      <c r="C2837" s="14" t="s">
        <v>357</v>
      </c>
      <c r="D2837" s="14" t="s">
        <v>358</v>
      </c>
      <c r="E2837" s="14" t="s">
        <v>344</v>
      </c>
      <c r="F2837" s="14" t="s">
        <v>343</v>
      </c>
      <c r="G2837" s="14" t="s">
        <v>343</v>
      </c>
      <c r="H2837" s="14" t="s">
        <v>343</v>
      </c>
      <c r="U2837" s="14">
        <v>120</v>
      </c>
      <c r="V2837" s="14">
        <v>124</v>
      </c>
      <c r="W2837" s="14">
        <v>125</v>
      </c>
      <c r="X2837" s="14">
        <v>122</v>
      </c>
    </row>
    <row r="2838" spans="1:24" hidden="1" x14ac:dyDescent="0.3">
      <c r="A2838" s="14" t="s">
        <v>460</v>
      </c>
      <c r="B2838" s="14" t="s">
        <v>134</v>
      </c>
      <c r="C2838" s="14" t="s">
        <v>359</v>
      </c>
      <c r="D2838" s="14" t="s">
        <v>360</v>
      </c>
      <c r="E2838" s="14" t="s">
        <v>342</v>
      </c>
      <c r="F2838" s="14" t="s">
        <v>343</v>
      </c>
      <c r="G2838" s="14" t="s">
        <v>343</v>
      </c>
      <c r="H2838" s="14" t="s">
        <v>343</v>
      </c>
      <c r="I2838" s="14">
        <v>0.66</v>
      </c>
      <c r="J2838" s="14">
        <v>0.65</v>
      </c>
      <c r="K2838" s="14">
        <v>0.69</v>
      </c>
      <c r="L2838" s="14">
        <v>0.68</v>
      </c>
      <c r="M2838" s="14">
        <v>0.62</v>
      </c>
      <c r="N2838" s="14">
        <v>0.62</v>
      </c>
      <c r="O2838" s="14">
        <v>0.72</v>
      </c>
      <c r="P2838" s="14">
        <v>0.71</v>
      </c>
      <c r="Q2838" s="14">
        <v>0.81</v>
      </c>
      <c r="R2838" s="14">
        <v>0.78</v>
      </c>
      <c r="S2838" s="14">
        <v>0.71</v>
      </c>
      <c r="T2838" s="14">
        <v>0.72</v>
      </c>
      <c r="U2838" s="14">
        <v>0.73</v>
      </c>
      <c r="V2838" s="14">
        <v>0.6</v>
      </c>
      <c r="W2838" s="14">
        <v>0.67</v>
      </c>
      <c r="X2838" s="14">
        <v>0.81</v>
      </c>
    </row>
    <row r="2839" spans="1:24" hidden="1" x14ac:dyDescent="0.3">
      <c r="A2839" s="14" t="s">
        <v>460</v>
      </c>
      <c r="B2839" s="14" t="s">
        <v>134</v>
      </c>
      <c r="C2839" s="14" t="s">
        <v>359</v>
      </c>
      <c r="D2839" s="14" t="s">
        <v>360</v>
      </c>
      <c r="E2839" s="14" t="s">
        <v>344</v>
      </c>
      <c r="F2839" s="14" t="s">
        <v>343</v>
      </c>
      <c r="G2839" s="14" t="s">
        <v>343</v>
      </c>
      <c r="H2839" s="14" t="s">
        <v>343</v>
      </c>
      <c r="I2839" s="14">
        <v>40</v>
      </c>
      <c r="J2839" s="14">
        <v>59</v>
      </c>
      <c r="K2839" s="14">
        <v>41</v>
      </c>
      <c r="L2839" s="14">
        <v>50</v>
      </c>
      <c r="M2839" s="14">
        <v>82</v>
      </c>
      <c r="N2839" s="14">
        <v>83</v>
      </c>
      <c r="O2839" s="14">
        <v>35</v>
      </c>
      <c r="P2839" s="14">
        <v>44</v>
      </c>
      <c r="Q2839" s="14">
        <v>9</v>
      </c>
      <c r="R2839" s="14">
        <v>25</v>
      </c>
      <c r="S2839" s="14">
        <v>48</v>
      </c>
      <c r="T2839" s="14">
        <v>44</v>
      </c>
      <c r="U2839" s="14">
        <v>37</v>
      </c>
      <c r="V2839" s="14">
        <v>114</v>
      </c>
      <c r="W2839" s="14">
        <v>84</v>
      </c>
      <c r="X2839" s="14">
        <v>6</v>
      </c>
    </row>
    <row r="2840" spans="1:24" x14ac:dyDescent="0.3">
      <c r="A2840" s="14" t="s">
        <v>460</v>
      </c>
      <c r="B2840" s="14" t="s">
        <v>134</v>
      </c>
      <c r="C2840" s="14" t="s">
        <v>361</v>
      </c>
      <c r="D2840" s="14" t="s">
        <v>362</v>
      </c>
      <c r="E2840" s="14" t="s">
        <v>342</v>
      </c>
      <c r="F2840" s="14" t="s">
        <v>343</v>
      </c>
      <c r="G2840" s="14" t="s">
        <v>343</v>
      </c>
      <c r="H2840" s="14" t="s">
        <v>343</v>
      </c>
      <c r="I2840" s="14">
        <v>0.97</v>
      </c>
      <c r="J2840" s="14">
        <v>0.97</v>
      </c>
      <c r="K2840" s="14">
        <v>0.97</v>
      </c>
      <c r="L2840" s="14">
        <v>0.97</v>
      </c>
      <c r="M2840" s="14">
        <v>0.97</v>
      </c>
      <c r="N2840" s="14">
        <v>0.97</v>
      </c>
      <c r="O2840" s="14">
        <v>0.97</v>
      </c>
      <c r="P2840" s="14">
        <v>0.97</v>
      </c>
      <c r="Q2840" s="14">
        <v>0.97</v>
      </c>
      <c r="R2840" s="14">
        <v>0.97</v>
      </c>
      <c r="S2840" s="14">
        <v>0.97</v>
      </c>
      <c r="T2840" s="14">
        <v>0.98</v>
      </c>
      <c r="U2840" s="14">
        <v>0.98</v>
      </c>
      <c r="V2840" s="14">
        <v>0.98</v>
      </c>
      <c r="W2840" s="14">
        <v>0.98</v>
      </c>
      <c r="X2840" s="14">
        <v>0.98</v>
      </c>
    </row>
    <row r="2841" spans="1:24" hidden="1" x14ac:dyDescent="0.3">
      <c r="A2841" s="14" t="s">
        <v>460</v>
      </c>
      <c r="B2841" s="14" t="s">
        <v>134</v>
      </c>
      <c r="C2841" s="14" t="s">
        <v>361</v>
      </c>
      <c r="D2841" s="14" t="s">
        <v>362</v>
      </c>
      <c r="E2841" s="14" t="s">
        <v>344</v>
      </c>
      <c r="F2841" s="14" t="s">
        <v>343</v>
      </c>
      <c r="G2841" s="14" t="s">
        <v>343</v>
      </c>
      <c r="H2841" s="14" t="s">
        <v>343</v>
      </c>
      <c r="I2841" s="14">
        <v>96</v>
      </c>
      <c r="J2841" s="14">
        <v>104</v>
      </c>
      <c r="K2841" s="14">
        <v>105</v>
      </c>
      <c r="L2841" s="14">
        <v>110</v>
      </c>
      <c r="M2841" s="14">
        <v>101</v>
      </c>
      <c r="N2841" s="14">
        <v>102</v>
      </c>
      <c r="O2841" s="14">
        <v>103</v>
      </c>
      <c r="P2841" s="14">
        <v>102</v>
      </c>
      <c r="Q2841" s="14">
        <v>80</v>
      </c>
      <c r="R2841" s="14">
        <v>85</v>
      </c>
      <c r="S2841" s="14">
        <v>83</v>
      </c>
      <c r="T2841" s="14">
        <v>1</v>
      </c>
      <c r="U2841" s="14">
        <v>1</v>
      </c>
      <c r="V2841" s="14">
        <v>1</v>
      </c>
      <c r="W2841" s="14">
        <v>60</v>
      </c>
      <c r="X2841" s="14">
        <v>57</v>
      </c>
    </row>
    <row r="2842" spans="1:24" hidden="1" x14ac:dyDescent="0.3">
      <c r="A2842" s="14" t="s">
        <v>460</v>
      </c>
      <c r="B2842" s="14" t="s">
        <v>134</v>
      </c>
      <c r="C2842" s="14" t="s">
        <v>363</v>
      </c>
      <c r="D2842" s="14" t="s">
        <v>364</v>
      </c>
      <c r="E2842" s="14" t="s">
        <v>342</v>
      </c>
      <c r="F2842" s="14" t="s">
        <v>343</v>
      </c>
      <c r="G2842" s="14" t="s">
        <v>343</v>
      </c>
      <c r="H2842" s="14" t="s">
        <v>343</v>
      </c>
      <c r="U2842" s="14">
        <v>1.06</v>
      </c>
      <c r="V2842" s="14">
        <v>1.06</v>
      </c>
      <c r="W2842" s="14">
        <v>1.04</v>
      </c>
      <c r="X2842" s="14">
        <v>1.04</v>
      </c>
    </row>
    <row r="2843" spans="1:24" hidden="1" x14ac:dyDescent="0.3">
      <c r="A2843" s="14" t="s">
        <v>460</v>
      </c>
      <c r="B2843" s="14" t="s">
        <v>134</v>
      </c>
      <c r="C2843" s="14" t="s">
        <v>363</v>
      </c>
      <c r="D2843" s="14" t="s">
        <v>364</v>
      </c>
      <c r="E2843" s="14" t="s">
        <v>344</v>
      </c>
      <c r="F2843" s="14" t="s">
        <v>343</v>
      </c>
      <c r="G2843" s="14" t="s">
        <v>343</v>
      </c>
      <c r="H2843" s="14" t="s">
        <v>343</v>
      </c>
      <c r="U2843" s="14">
        <v>1</v>
      </c>
      <c r="V2843" s="14">
        <v>1</v>
      </c>
      <c r="W2843" s="14">
        <v>68</v>
      </c>
      <c r="X2843" s="14">
        <v>63</v>
      </c>
    </row>
    <row r="2844" spans="1:24" hidden="1" x14ac:dyDescent="0.3">
      <c r="A2844" s="14" t="s">
        <v>460</v>
      </c>
      <c r="B2844" s="14" t="s">
        <v>134</v>
      </c>
      <c r="C2844" s="14" t="s">
        <v>365</v>
      </c>
      <c r="D2844" s="14" t="s">
        <v>366</v>
      </c>
      <c r="E2844" s="14" t="s">
        <v>342</v>
      </c>
      <c r="F2844" s="14" t="s">
        <v>343</v>
      </c>
      <c r="G2844" s="14" t="s">
        <v>343</v>
      </c>
      <c r="H2844" s="14" t="s">
        <v>343</v>
      </c>
      <c r="U2844" s="14">
        <v>0.94</v>
      </c>
      <c r="V2844" s="14">
        <v>0.94</v>
      </c>
      <c r="W2844" s="14">
        <v>0.94</v>
      </c>
      <c r="X2844" s="14">
        <v>0.94</v>
      </c>
    </row>
    <row r="2845" spans="1:24" hidden="1" x14ac:dyDescent="0.3">
      <c r="A2845" s="14" t="s">
        <v>460</v>
      </c>
      <c r="B2845" s="14" t="s">
        <v>134</v>
      </c>
      <c r="C2845" s="14" t="s">
        <v>365</v>
      </c>
      <c r="D2845" s="14" t="s">
        <v>366</v>
      </c>
      <c r="E2845" s="14" t="s">
        <v>344</v>
      </c>
      <c r="F2845" s="14" t="s">
        <v>343</v>
      </c>
      <c r="G2845" s="14" t="s">
        <v>343</v>
      </c>
      <c r="H2845" s="14" t="s">
        <v>343</v>
      </c>
      <c r="U2845" s="14">
        <v>1</v>
      </c>
      <c r="V2845" s="14">
        <v>1</v>
      </c>
      <c r="W2845" s="14">
        <v>1</v>
      </c>
      <c r="X2845" s="14">
        <v>1</v>
      </c>
    </row>
    <row r="2846" spans="1:24" hidden="1" x14ac:dyDescent="0.3">
      <c r="A2846" s="14" t="s">
        <v>460</v>
      </c>
      <c r="B2846" s="14" t="s">
        <v>134</v>
      </c>
      <c r="C2846" s="14" t="s">
        <v>367</v>
      </c>
      <c r="D2846" s="14" t="s">
        <v>368</v>
      </c>
      <c r="E2846" s="14" t="s">
        <v>342</v>
      </c>
      <c r="F2846" s="14" t="s">
        <v>343</v>
      </c>
      <c r="G2846" s="14" t="s">
        <v>343</v>
      </c>
      <c r="H2846" s="14" t="s">
        <v>343</v>
      </c>
      <c r="I2846" s="14">
        <v>0.65</v>
      </c>
      <c r="J2846" s="14">
        <v>0.65</v>
      </c>
      <c r="K2846" s="14">
        <v>0.65</v>
      </c>
      <c r="L2846" s="14">
        <v>0.65</v>
      </c>
      <c r="M2846" s="14">
        <v>0.65</v>
      </c>
      <c r="N2846" s="14">
        <v>0.65</v>
      </c>
      <c r="O2846" s="14">
        <v>0.68</v>
      </c>
      <c r="P2846" s="14">
        <v>0.68</v>
      </c>
      <c r="Q2846" s="14">
        <v>0.73</v>
      </c>
      <c r="R2846" s="14">
        <v>0.72</v>
      </c>
      <c r="S2846" s="14">
        <v>0.7</v>
      </c>
      <c r="T2846" s="14">
        <v>0.69</v>
      </c>
      <c r="U2846" s="14">
        <v>0.7</v>
      </c>
      <c r="V2846" s="14">
        <v>0.67</v>
      </c>
      <c r="W2846" s="14">
        <v>0.69</v>
      </c>
      <c r="X2846" s="14">
        <v>0.73</v>
      </c>
    </row>
    <row r="2847" spans="1:24" hidden="1" x14ac:dyDescent="0.3">
      <c r="A2847" s="14" t="s">
        <v>460</v>
      </c>
      <c r="B2847" s="14" t="s">
        <v>134</v>
      </c>
      <c r="C2847" s="14" t="s">
        <v>367</v>
      </c>
      <c r="D2847" s="14" t="s">
        <v>368</v>
      </c>
      <c r="E2847" s="14" t="s">
        <v>344</v>
      </c>
      <c r="F2847" s="14" t="s">
        <v>343</v>
      </c>
      <c r="G2847" s="14" t="s">
        <v>343</v>
      </c>
      <c r="H2847" s="14" t="s">
        <v>343</v>
      </c>
      <c r="I2847" s="14">
        <v>73</v>
      </c>
      <c r="J2847" s="14">
        <v>83</v>
      </c>
      <c r="K2847" s="14">
        <v>88</v>
      </c>
      <c r="L2847" s="14">
        <v>97</v>
      </c>
      <c r="M2847" s="14">
        <v>96</v>
      </c>
      <c r="N2847" s="14">
        <v>99</v>
      </c>
      <c r="O2847" s="14">
        <v>72</v>
      </c>
      <c r="P2847" s="14">
        <v>78</v>
      </c>
      <c r="Q2847" s="14">
        <v>37</v>
      </c>
      <c r="R2847" s="14">
        <v>48</v>
      </c>
      <c r="S2847" s="14">
        <v>63</v>
      </c>
      <c r="T2847" s="14">
        <v>76</v>
      </c>
      <c r="U2847" s="14">
        <v>76</v>
      </c>
      <c r="V2847" s="14">
        <v>109</v>
      </c>
      <c r="W2847" s="14">
        <v>95</v>
      </c>
      <c r="X2847" s="14">
        <v>57</v>
      </c>
    </row>
    <row r="2848" spans="1:24" hidden="1" x14ac:dyDescent="0.3">
      <c r="A2848" s="14" t="s">
        <v>460</v>
      </c>
      <c r="B2848" s="14" t="s">
        <v>134</v>
      </c>
      <c r="C2848" s="14" t="s">
        <v>369</v>
      </c>
      <c r="D2848" s="14" t="s">
        <v>370</v>
      </c>
      <c r="E2848" s="14" t="s">
        <v>342</v>
      </c>
      <c r="F2848" s="14" t="s">
        <v>343</v>
      </c>
      <c r="G2848" s="14" t="s">
        <v>343</v>
      </c>
      <c r="H2848" s="14" t="s">
        <v>343</v>
      </c>
      <c r="I2848" s="14">
        <v>0.05</v>
      </c>
      <c r="J2848" s="14">
        <v>0.05</v>
      </c>
      <c r="K2848" s="14">
        <v>0.03</v>
      </c>
      <c r="L2848" s="14">
        <v>0.04</v>
      </c>
      <c r="M2848" s="14">
        <v>0.08</v>
      </c>
      <c r="N2848" s="14">
        <v>0.08</v>
      </c>
      <c r="O2848" s="14">
        <v>0.08</v>
      </c>
      <c r="P2848" s="14">
        <v>0.12</v>
      </c>
      <c r="Q2848" s="14">
        <v>0.2</v>
      </c>
      <c r="R2848" s="14">
        <v>0.18</v>
      </c>
      <c r="S2848" s="14">
        <v>0.18</v>
      </c>
      <c r="T2848" s="14">
        <v>0.15</v>
      </c>
      <c r="U2848" s="14">
        <v>0.16</v>
      </c>
      <c r="V2848" s="14">
        <v>0.17</v>
      </c>
      <c r="W2848" s="14">
        <v>0.19</v>
      </c>
      <c r="X2848" s="14">
        <v>0.19</v>
      </c>
    </row>
    <row r="2849" spans="1:24" hidden="1" x14ac:dyDescent="0.3">
      <c r="A2849" s="14" t="s">
        <v>460</v>
      </c>
      <c r="B2849" s="14" t="s">
        <v>134</v>
      </c>
      <c r="C2849" s="14" t="s">
        <v>369</v>
      </c>
      <c r="D2849" s="14" t="s">
        <v>370</v>
      </c>
      <c r="E2849" s="14" t="s">
        <v>344</v>
      </c>
      <c r="F2849" s="14" t="s">
        <v>343</v>
      </c>
      <c r="G2849" s="14" t="s">
        <v>343</v>
      </c>
      <c r="H2849" s="14" t="s">
        <v>343</v>
      </c>
      <c r="I2849" s="14">
        <v>93</v>
      </c>
      <c r="J2849" s="14">
        <v>104</v>
      </c>
      <c r="K2849" s="14">
        <v>121</v>
      </c>
      <c r="L2849" s="14">
        <v>122</v>
      </c>
      <c r="M2849" s="14">
        <v>98</v>
      </c>
      <c r="N2849" s="14">
        <v>100</v>
      </c>
      <c r="O2849" s="14">
        <v>103</v>
      </c>
      <c r="P2849" s="14">
        <v>85</v>
      </c>
      <c r="Q2849" s="14">
        <v>48</v>
      </c>
      <c r="R2849" s="14">
        <v>62</v>
      </c>
      <c r="S2849" s="14">
        <v>64</v>
      </c>
      <c r="T2849" s="14">
        <v>83</v>
      </c>
      <c r="U2849" s="14">
        <v>82</v>
      </c>
      <c r="V2849" s="14">
        <v>85</v>
      </c>
      <c r="W2849" s="14">
        <v>79</v>
      </c>
      <c r="X2849" s="14">
        <v>81</v>
      </c>
    </row>
    <row r="2850" spans="1:24" hidden="1" x14ac:dyDescent="0.3">
      <c r="A2850" s="14" t="s">
        <v>460</v>
      </c>
      <c r="B2850" s="14" t="s">
        <v>134</v>
      </c>
      <c r="C2850" s="14" t="s">
        <v>371</v>
      </c>
      <c r="D2850" s="14" t="s">
        <v>372</v>
      </c>
      <c r="E2850" s="14" t="s">
        <v>342</v>
      </c>
      <c r="F2850" s="14" t="s">
        <v>343</v>
      </c>
      <c r="G2850" s="14" t="s">
        <v>343</v>
      </c>
      <c r="H2850" s="14" t="s">
        <v>343</v>
      </c>
      <c r="U2850" s="14">
        <v>0</v>
      </c>
      <c r="V2850" s="14">
        <v>0</v>
      </c>
      <c r="W2850" s="14">
        <v>0</v>
      </c>
      <c r="X2850" s="14">
        <v>0</v>
      </c>
    </row>
    <row r="2851" spans="1:24" hidden="1" x14ac:dyDescent="0.3">
      <c r="A2851" s="14" t="s">
        <v>460</v>
      </c>
      <c r="B2851" s="14" t="s">
        <v>134</v>
      </c>
      <c r="C2851" s="14" t="s">
        <v>371</v>
      </c>
      <c r="D2851" s="14" t="s">
        <v>372</v>
      </c>
      <c r="E2851" s="14" t="s">
        <v>344</v>
      </c>
      <c r="F2851" s="14" t="s">
        <v>343</v>
      </c>
      <c r="G2851" s="14" t="s">
        <v>343</v>
      </c>
      <c r="H2851" s="14" t="s">
        <v>343</v>
      </c>
      <c r="U2851" s="14">
        <v>71</v>
      </c>
      <c r="V2851" s="14">
        <v>73</v>
      </c>
      <c r="W2851" s="14">
        <v>76</v>
      </c>
      <c r="X2851" s="14">
        <v>78</v>
      </c>
    </row>
    <row r="2852" spans="1:24" hidden="1" x14ac:dyDescent="0.3">
      <c r="A2852" s="14" t="s">
        <v>460</v>
      </c>
      <c r="B2852" s="14" t="s">
        <v>134</v>
      </c>
      <c r="C2852" s="14" t="s">
        <v>373</v>
      </c>
      <c r="D2852" s="14" t="s">
        <v>374</v>
      </c>
      <c r="E2852" s="14" t="s">
        <v>342</v>
      </c>
      <c r="F2852" s="14" t="s">
        <v>343</v>
      </c>
      <c r="G2852" s="14" t="s">
        <v>343</v>
      </c>
      <c r="H2852" s="14" t="s">
        <v>343</v>
      </c>
      <c r="U2852" s="14">
        <v>0.28999999999999998</v>
      </c>
      <c r="V2852" s="14">
        <v>0.33</v>
      </c>
      <c r="W2852" s="14">
        <v>0.44</v>
      </c>
      <c r="X2852" s="14">
        <v>0.44</v>
      </c>
    </row>
    <row r="2853" spans="1:24" hidden="1" x14ac:dyDescent="0.3">
      <c r="A2853" s="14" t="s">
        <v>460</v>
      </c>
      <c r="B2853" s="14" t="s">
        <v>134</v>
      </c>
      <c r="C2853" s="14" t="s">
        <v>373</v>
      </c>
      <c r="D2853" s="14" t="s">
        <v>374</v>
      </c>
      <c r="E2853" s="14" t="s">
        <v>344</v>
      </c>
      <c r="F2853" s="14" t="s">
        <v>343</v>
      </c>
      <c r="G2853" s="14" t="s">
        <v>343</v>
      </c>
      <c r="H2853" s="14" t="s">
        <v>343</v>
      </c>
      <c r="U2853" s="14">
        <v>53</v>
      </c>
      <c r="V2853" s="14">
        <v>57</v>
      </c>
      <c r="W2853" s="14">
        <v>53</v>
      </c>
      <c r="X2853" s="14">
        <v>51</v>
      </c>
    </row>
    <row r="2854" spans="1:24" hidden="1" x14ac:dyDescent="0.3">
      <c r="A2854" s="14" t="s">
        <v>460</v>
      </c>
      <c r="B2854" s="14" t="s">
        <v>134</v>
      </c>
      <c r="C2854" s="14" t="s">
        <v>375</v>
      </c>
      <c r="D2854" s="14" t="s">
        <v>376</v>
      </c>
      <c r="E2854" s="14" t="s">
        <v>342</v>
      </c>
      <c r="F2854" s="14" t="s">
        <v>343</v>
      </c>
      <c r="G2854" s="14" t="s">
        <v>343</v>
      </c>
      <c r="H2854" s="14" t="s">
        <v>343</v>
      </c>
      <c r="U2854" s="14">
        <v>0.28000000000000003</v>
      </c>
      <c r="V2854" s="14">
        <v>0.28000000000000003</v>
      </c>
      <c r="W2854" s="14">
        <v>0.28000000000000003</v>
      </c>
      <c r="X2854" s="14">
        <v>0.27</v>
      </c>
    </row>
    <row r="2855" spans="1:24" hidden="1" x14ac:dyDescent="0.3">
      <c r="A2855" s="14" t="s">
        <v>460</v>
      </c>
      <c r="B2855" s="14" t="s">
        <v>134</v>
      </c>
      <c r="C2855" s="14" t="s">
        <v>375</v>
      </c>
      <c r="D2855" s="14" t="s">
        <v>376</v>
      </c>
      <c r="E2855" s="14" t="s">
        <v>344</v>
      </c>
      <c r="F2855" s="14" t="s">
        <v>343</v>
      </c>
      <c r="G2855" s="14" t="s">
        <v>343</v>
      </c>
      <c r="H2855" s="14" t="s">
        <v>343</v>
      </c>
      <c r="U2855" s="14">
        <v>73</v>
      </c>
      <c r="V2855" s="14">
        <v>79</v>
      </c>
      <c r="W2855" s="14">
        <v>91</v>
      </c>
      <c r="X2855" s="14">
        <v>89</v>
      </c>
    </row>
    <row r="2856" spans="1:24" hidden="1" x14ac:dyDescent="0.3">
      <c r="A2856" s="14" t="s">
        <v>461</v>
      </c>
      <c r="B2856" s="14" t="s">
        <v>462</v>
      </c>
      <c r="C2856" s="14" t="s">
        <v>340</v>
      </c>
      <c r="D2856" s="14" t="s">
        <v>341</v>
      </c>
      <c r="E2856" s="14" t="s">
        <v>342</v>
      </c>
      <c r="F2856" s="14" t="s">
        <v>343</v>
      </c>
      <c r="G2856" s="14" t="s">
        <v>343</v>
      </c>
      <c r="H2856" s="14" t="s">
        <v>343</v>
      </c>
      <c r="I2856" s="14">
        <v>1</v>
      </c>
      <c r="J2856" s="14">
        <v>0.99</v>
      </c>
      <c r="K2856" s="14">
        <v>0.99</v>
      </c>
      <c r="L2856" s="14">
        <v>0.99</v>
      </c>
      <c r="M2856" s="14">
        <v>1</v>
      </c>
      <c r="N2856" s="14">
        <v>1</v>
      </c>
      <c r="O2856" s="14">
        <v>0.99</v>
      </c>
      <c r="P2856" s="14">
        <v>0.99</v>
      </c>
      <c r="Q2856" s="14">
        <v>0.99</v>
      </c>
      <c r="R2856" s="14">
        <v>0.99</v>
      </c>
      <c r="S2856" s="14">
        <v>0.99</v>
      </c>
      <c r="T2856" s="14">
        <v>0.99</v>
      </c>
      <c r="U2856" s="14">
        <v>0.99</v>
      </c>
      <c r="V2856" s="14">
        <v>0.99</v>
      </c>
      <c r="W2856" s="14">
        <v>0.99</v>
      </c>
      <c r="X2856" s="14">
        <v>1</v>
      </c>
    </row>
    <row r="2857" spans="1:24" hidden="1" x14ac:dyDescent="0.3">
      <c r="A2857" s="14" t="s">
        <v>461</v>
      </c>
      <c r="B2857" s="14" t="s">
        <v>462</v>
      </c>
      <c r="C2857" s="14" t="s">
        <v>340</v>
      </c>
      <c r="D2857" s="14" t="s">
        <v>341</v>
      </c>
      <c r="E2857" s="14" t="s">
        <v>344</v>
      </c>
      <c r="F2857" s="14" t="s">
        <v>343</v>
      </c>
      <c r="G2857" s="14" t="s">
        <v>343</v>
      </c>
      <c r="H2857" s="14" t="s">
        <v>343</v>
      </c>
      <c r="I2857" s="14">
        <v>32</v>
      </c>
      <c r="J2857" s="14">
        <v>43</v>
      </c>
      <c r="K2857" s="14">
        <v>63</v>
      </c>
      <c r="L2857" s="14">
        <v>59</v>
      </c>
      <c r="M2857" s="14">
        <v>48</v>
      </c>
      <c r="N2857" s="14">
        <v>39</v>
      </c>
      <c r="O2857" s="14">
        <v>74</v>
      </c>
      <c r="P2857" s="14">
        <v>77</v>
      </c>
      <c r="Q2857" s="14">
        <v>87</v>
      </c>
      <c r="R2857" s="14">
        <v>81</v>
      </c>
      <c r="S2857" s="14">
        <v>72</v>
      </c>
      <c r="T2857" s="14">
        <v>79</v>
      </c>
      <c r="U2857" s="14">
        <v>79</v>
      </c>
      <c r="V2857" s="14">
        <v>82</v>
      </c>
      <c r="W2857" s="14">
        <v>85</v>
      </c>
      <c r="X2857" s="14">
        <v>50</v>
      </c>
    </row>
    <row r="2858" spans="1:24" hidden="1" x14ac:dyDescent="0.3">
      <c r="A2858" s="14" t="s">
        <v>461</v>
      </c>
      <c r="B2858" s="14" t="s">
        <v>462</v>
      </c>
      <c r="C2858" s="14" t="s">
        <v>345</v>
      </c>
      <c r="D2858" s="14" t="s">
        <v>346</v>
      </c>
      <c r="E2858" s="14" t="s">
        <v>342</v>
      </c>
      <c r="F2858" s="14" t="s">
        <v>343</v>
      </c>
      <c r="G2858" s="14" t="s">
        <v>343</v>
      </c>
      <c r="H2858" s="14" t="s">
        <v>343</v>
      </c>
      <c r="U2858" s="14">
        <v>0.48</v>
      </c>
      <c r="V2858" s="14">
        <v>0.47</v>
      </c>
      <c r="W2858" s="14">
        <v>0.47</v>
      </c>
      <c r="X2858" s="14">
        <v>0.46</v>
      </c>
    </row>
    <row r="2859" spans="1:24" hidden="1" x14ac:dyDescent="0.3">
      <c r="A2859" s="14" t="s">
        <v>461</v>
      </c>
      <c r="B2859" s="14" t="s">
        <v>462</v>
      </c>
      <c r="C2859" s="14" t="s">
        <v>345</v>
      </c>
      <c r="D2859" s="14" t="s">
        <v>346</v>
      </c>
      <c r="E2859" s="14" t="s">
        <v>344</v>
      </c>
      <c r="F2859" s="14" t="s">
        <v>343</v>
      </c>
      <c r="G2859" s="14" t="s">
        <v>343</v>
      </c>
      <c r="H2859" s="14" t="s">
        <v>343</v>
      </c>
      <c r="U2859" s="14">
        <v>116</v>
      </c>
      <c r="V2859" s="14">
        <v>125</v>
      </c>
      <c r="W2859" s="14">
        <v>122</v>
      </c>
      <c r="X2859" s="14">
        <v>125</v>
      </c>
    </row>
    <row r="2860" spans="1:24" hidden="1" x14ac:dyDescent="0.3">
      <c r="A2860" s="14" t="s">
        <v>461</v>
      </c>
      <c r="B2860" s="14" t="s">
        <v>462</v>
      </c>
      <c r="C2860" s="14" t="s">
        <v>347</v>
      </c>
      <c r="D2860" s="14" t="s">
        <v>348</v>
      </c>
      <c r="E2860" s="14" t="s">
        <v>342</v>
      </c>
      <c r="F2860" s="14" t="s">
        <v>343</v>
      </c>
      <c r="G2860" s="14" t="s">
        <v>343</v>
      </c>
      <c r="H2860" s="14" t="s">
        <v>343</v>
      </c>
      <c r="U2860" s="14">
        <v>0.65</v>
      </c>
      <c r="V2860" s="14">
        <v>0.65</v>
      </c>
      <c r="W2860" s="14">
        <v>0.61</v>
      </c>
      <c r="X2860" s="14">
        <v>0.59</v>
      </c>
    </row>
    <row r="2861" spans="1:24" hidden="1" x14ac:dyDescent="0.3">
      <c r="A2861" s="14" t="s">
        <v>461</v>
      </c>
      <c r="B2861" s="14" t="s">
        <v>462</v>
      </c>
      <c r="C2861" s="14" t="s">
        <v>347</v>
      </c>
      <c r="D2861" s="14" t="s">
        <v>348</v>
      </c>
      <c r="E2861" s="14" t="s">
        <v>344</v>
      </c>
      <c r="F2861" s="14" t="s">
        <v>343</v>
      </c>
      <c r="G2861" s="14" t="s">
        <v>343</v>
      </c>
      <c r="H2861" s="14" t="s">
        <v>343</v>
      </c>
      <c r="U2861" s="14">
        <v>112</v>
      </c>
      <c r="V2861" s="14">
        <v>114</v>
      </c>
      <c r="W2861" s="14">
        <v>126</v>
      </c>
      <c r="X2861" s="14">
        <v>121</v>
      </c>
    </row>
    <row r="2862" spans="1:24" hidden="1" x14ac:dyDescent="0.3">
      <c r="A2862" s="14" t="s">
        <v>461</v>
      </c>
      <c r="B2862" s="14" t="s">
        <v>462</v>
      </c>
      <c r="C2862" s="14" t="s">
        <v>349</v>
      </c>
      <c r="D2862" s="14" t="s">
        <v>350</v>
      </c>
      <c r="E2862" s="14" t="s">
        <v>342</v>
      </c>
      <c r="F2862" s="14" t="s">
        <v>343</v>
      </c>
      <c r="G2862" s="14" t="s">
        <v>343</v>
      </c>
      <c r="H2862" s="14" t="s">
        <v>343</v>
      </c>
      <c r="U2862" s="14">
        <v>0.56999999999999995</v>
      </c>
      <c r="V2862" s="14">
        <v>0.61</v>
      </c>
      <c r="W2862" s="14">
        <v>0.61</v>
      </c>
      <c r="X2862" s="14">
        <v>0.9</v>
      </c>
    </row>
    <row r="2863" spans="1:24" hidden="1" x14ac:dyDescent="0.3">
      <c r="A2863" s="14" t="s">
        <v>461</v>
      </c>
      <c r="B2863" s="14" t="s">
        <v>462</v>
      </c>
      <c r="C2863" s="14" t="s">
        <v>349</v>
      </c>
      <c r="D2863" s="14" t="s">
        <v>350</v>
      </c>
      <c r="E2863" s="14" t="s">
        <v>344</v>
      </c>
      <c r="F2863" s="14" t="s">
        <v>343</v>
      </c>
      <c r="G2863" s="14" t="s">
        <v>343</v>
      </c>
      <c r="H2863" s="14" t="s">
        <v>343</v>
      </c>
      <c r="U2863" s="14">
        <v>45</v>
      </c>
      <c r="V2863" s="14">
        <v>42</v>
      </c>
      <c r="W2863" s="14">
        <v>47</v>
      </c>
      <c r="X2863" s="14">
        <v>15</v>
      </c>
    </row>
    <row r="2864" spans="1:24" hidden="1" x14ac:dyDescent="0.3">
      <c r="A2864" s="14" t="s">
        <v>461</v>
      </c>
      <c r="B2864" s="14" t="s">
        <v>462</v>
      </c>
      <c r="C2864" s="14" t="s">
        <v>351</v>
      </c>
      <c r="D2864" s="14" t="s">
        <v>352</v>
      </c>
      <c r="E2864" s="14" t="s">
        <v>342</v>
      </c>
      <c r="F2864" s="14" t="s">
        <v>343</v>
      </c>
      <c r="G2864" s="14" t="s">
        <v>343</v>
      </c>
      <c r="H2864" s="14" t="s">
        <v>343</v>
      </c>
      <c r="U2864" s="14">
        <v>1</v>
      </c>
      <c r="V2864" s="14">
        <v>1</v>
      </c>
      <c r="W2864" s="14">
        <v>1</v>
      </c>
      <c r="X2864" s="14">
        <v>1</v>
      </c>
    </row>
    <row r="2865" spans="1:24" hidden="1" x14ac:dyDescent="0.3">
      <c r="A2865" s="14" t="s">
        <v>461</v>
      </c>
      <c r="B2865" s="14" t="s">
        <v>462</v>
      </c>
      <c r="C2865" s="14" t="s">
        <v>351</v>
      </c>
      <c r="D2865" s="14" t="s">
        <v>352</v>
      </c>
      <c r="E2865" s="14" t="s">
        <v>344</v>
      </c>
      <c r="F2865" s="14" t="s">
        <v>343</v>
      </c>
      <c r="G2865" s="14" t="s">
        <v>343</v>
      </c>
      <c r="H2865" s="14" t="s">
        <v>343</v>
      </c>
      <c r="U2865" s="14">
        <v>1</v>
      </c>
      <c r="V2865" s="14">
        <v>1</v>
      </c>
      <c r="W2865" s="14">
        <v>1</v>
      </c>
      <c r="X2865" s="14">
        <v>1</v>
      </c>
    </row>
    <row r="2866" spans="1:24" hidden="1" x14ac:dyDescent="0.3">
      <c r="A2866" s="14" t="s">
        <v>461</v>
      </c>
      <c r="B2866" s="14" t="s">
        <v>462</v>
      </c>
      <c r="C2866" s="14" t="s">
        <v>378</v>
      </c>
      <c r="D2866" s="14" t="s">
        <v>379</v>
      </c>
      <c r="E2866" s="14" t="s">
        <v>342</v>
      </c>
      <c r="F2866" s="14" t="s">
        <v>343</v>
      </c>
      <c r="G2866" s="14" t="s">
        <v>343</v>
      </c>
      <c r="H2866" s="14" t="s">
        <v>343</v>
      </c>
      <c r="S2866" s="14">
        <v>0.71</v>
      </c>
      <c r="U2866" s="14">
        <v>0.71</v>
      </c>
      <c r="V2866" s="14">
        <v>0.68</v>
      </c>
      <c r="W2866" s="14">
        <v>0.68</v>
      </c>
      <c r="X2866" s="14">
        <v>0.74</v>
      </c>
    </row>
    <row r="2867" spans="1:24" hidden="1" x14ac:dyDescent="0.3">
      <c r="A2867" s="14" t="s">
        <v>461</v>
      </c>
      <c r="B2867" s="14" t="s">
        <v>462</v>
      </c>
      <c r="C2867" s="14" t="s">
        <v>378</v>
      </c>
      <c r="D2867" s="14" t="s">
        <v>379</v>
      </c>
      <c r="E2867" s="14" t="s">
        <v>344</v>
      </c>
      <c r="F2867" s="14" t="s">
        <v>343</v>
      </c>
      <c r="G2867" s="14" t="s">
        <v>343</v>
      </c>
      <c r="H2867" s="14" t="s">
        <v>343</v>
      </c>
      <c r="S2867" s="14">
        <v>40</v>
      </c>
      <c r="U2867" s="14">
        <v>37</v>
      </c>
      <c r="V2867" s="14">
        <v>63</v>
      </c>
      <c r="W2867" s="14">
        <v>70</v>
      </c>
      <c r="X2867" s="14">
        <v>30</v>
      </c>
    </row>
    <row r="2868" spans="1:24" hidden="1" x14ac:dyDescent="0.3">
      <c r="A2868" s="14" t="s">
        <v>461</v>
      </c>
      <c r="B2868" s="14" t="s">
        <v>462</v>
      </c>
      <c r="C2868" s="14" t="s">
        <v>353</v>
      </c>
      <c r="D2868" s="14" t="s">
        <v>354</v>
      </c>
      <c r="E2868" s="14" t="s">
        <v>342</v>
      </c>
      <c r="F2868" s="14" t="s">
        <v>343</v>
      </c>
      <c r="G2868" s="14" t="s">
        <v>343</v>
      </c>
      <c r="H2868" s="14" t="s">
        <v>343</v>
      </c>
      <c r="U2868" s="14">
        <v>0.99</v>
      </c>
      <c r="V2868" s="14">
        <v>1</v>
      </c>
      <c r="W2868" s="14">
        <v>1</v>
      </c>
      <c r="X2868" s="14">
        <v>1</v>
      </c>
    </row>
    <row r="2869" spans="1:24" hidden="1" x14ac:dyDescent="0.3">
      <c r="A2869" s="14" t="s">
        <v>461</v>
      </c>
      <c r="B2869" s="14" t="s">
        <v>462</v>
      </c>
      <c r="C2869" s="14" t="s">
        <v>353</v>
      </c>
      <c r="D2869" s="14" t="s">
        <v>354</v>
      </c>
      <c r="E2869" s="14" t="s">
        <v>344</v>
      </c>
      <c r="F2869" s="14" t="s">
        <v>343</v>
      </c>
      <c r="G2869" s="14" t="s">
        <v>343</v>
      </c>
      <c r="H2869" s="14" t="s">
        <v>343</v>
      </c>
      <c r="U2869" s="14">
        <v>58</v>
      </c>
      <c r="V2869" s="14">
        <v>60</v>
      </c>
      <c r="W2869" s="14">
        <v>60</v>
      </c>
      <c r="X2869" s="14">
        <v>57</v>
      </c>
    </row>
    <row r="2870" spans="1:24" hidden="1" x14ac:dyDescent="0.3">
      <c r="A2870" s="14" t="s">
        <v>461</v>
      </c>
      <c r="B2870" s="14" t="s">
        <v>462</v>
      </c>
      <c r="C2870" s="14" t="s">
        <v>380</v>
      </c>
      <c r="D2870" s="14" t="s">
        <v>381</v>
      </c>
      <c r="E2870" s="14" t="s">
        <v>342</v>
      </c>
      <c r="F2870" s="14" t="s">
        <v>343</v>
      </c>
      <c r="G2870" s="14" t="s">
        <v>343</v>
      </c>
      <c r="H2870" s="14" t="s">
        <v>343</v>
      </c>
      <c r="U2870" s="14">
        <v>0.98</v>
      </c>
      <c r="V2870" s="14">
        <v>0.98</v>
      </c>
      <c r="W2870" s="14">
        <v>0.98</v>
      </c>
      <c r="X2870" s="14">
        <v>0.99</v>
      </c>
    </row>
    <row r="2871" spans="1:24" hidden="1" x14ac:dyDescent="0.3">
      <c r="A2871" s="14" t="s">
        <v>461</v>
      </c>
      <c r="B2871" s="14" t="s">
        <v>462</v>
      </c>
      <c r="C2871" s="14" t="s">
        <v>380</v>
      </c>
      <c r="D2871" s="14" t="s">
        <v>381</v>
      </c>
      <c r="E2871" s="14" t="s">
        <v>344</v>
      </c>
      <c r="F2871" s="14" t="s">
        <v>343</v>
      </c>
      <c r="G2871" s="14" t="s">
        <v>343</v>
      </c>
      <c r="H2871" s="14" t="s">
        <v>343</v>
      </c>
      <c r="U2871" s="14">
        <v>111</v>
      </c>
      <c r="V2871" s="14">
        <v>122</v>
      </c>
      <c r="W2871" s="14">
        <v>122</v>
      </c>
      <c r="X2871" s="14">
        <v>88</v>
      </c>
    </row>
    <row r="2872" spans="1:24" hidden="1" x14ac:dyDescent="0.3">
      <c r="A2872" s="14" t="s">
        <v>461</v>
      </c>
      <c r="B2872" s="14" t="s">
        <v>462</v>
      </c>
      <c r="C2872" s="14" t="s">
        <v>355</v>
      </c>
      <c r="D2872" s="14" t="s">
        <v>356</v>
      </c>
      <c r="E2872" s="14" t="s">
        <v>342</v>
      </c>
      <c r="F2872" s="14" t="s">
        <v>343</v>
      </c>
      <c r="G2872" s="14" t="s">
        <v>343</v>
      </c>
      <c r="H2872" s="14" t="s">
        <v>343</v>
      </c>
      <c r="U2872" s="14">
        <v>1</v>
      </c>
      <c r="V2872" s="14">
        <v>0.99</v>
      </c>
      <c r="W2872" s="14">
        <v>0.99</v>
      </c>
      <c r="X2872" s="14">
        <v>1</v>
      </c>
    </row>
    <row r="2873" spans="1:24" hidden="1" x14ac:dyDescent="0.3">
      <c r="A2873" s="14" t="s">
        <v>461</v>
      </c>
      <c r="B2873" s="14" t="s">
        <v>462</v>
      </c>
      <c r="C2873" s="14" t="s">
        <v>355</v>
      </c>
      <c r="D2873" s="14" t="s">
        <v>356</v>
      </c>
      <c r="E2873" s="14" t="s">
        <v>344</v>
      </c>
      <c r="F2873" s="14" t="s">
        <v>343</v>
      </c>
      <c r="G2873" s="14" t="s">
        <v>343</v>
      </c>
      <c r="H2873" s="14" t="s">
        <v>343</v>
      </c>
      <c r="U2873" s="14">
        <v>108</v>
      </c>
      <c r="V2873" s="14">
        <v>108</v>
      </c>
      <c r="W2873" s="14">
        <v>109</v>
      </c>
      <c r="X2873" s="14">
        <v>76</v>
      </c>
    </row>
    <row r="2874" spans="1:24" hidden="1" x14ac:dyDescent="0.3">
      <c r="A2874" s="14" t="s">
        <v>461</v>
      </c>
      <c r="B2874" s="14" t="s">
        <v>462</v>
      </c>
      <c r="C2874" s="14" t="s">
        <v>357</v>
      </c>
      <c r="D2874" s="14" t="s">
        <v>358</v>
      </c>
      <c r="E2874" s="14" t="s">
        <v>342</v>
      </c>
      <c r="F2874" s="14" t="s">
        <v>343</v>
      </c>
      <c r="G2874" s="14" t="s">
        <v>343</v>
      </c>
      <c r="H2874" s="14" t="s">
        <v>343</v>
      </c>
      <c r="U2874" s="14">
        <v>1</v>
      </c>
      <c r="V2874" s="14">
        <v>1</v>
      </c>
      <c r="W2874" s="14">
        <v>1</v>
      </c>
      <c r="X2874" s="14">
        <v>1</v>
      </c>
    </row>
    <row r="2875" spans="1:24" hidden="1" x14ac:dyDescent="0.3">
      <c r="A2875" s="14" t="s">
        <v>461</v>
      </c>
      <c r="B2875" s="14" t="s">
        <v>462</v>
      </c>
      <c r="C2875" s="14" t="s">
        <v>357</v>
      </c>
      <c r="D2875" s="14" t="s">
        <v>358</v>
      </c>
      <c r="E2875" s="14" t="s">
        <v>344</v>
      </c>
      <c r="F2875" s="14" t="s">
        <v>343</v>
      </c>
      <c r="G2875" s="14" t="s">
        <v>343</v>
      </c>
      <c r="H2875" s="14" t="s">
        <v>343</v>
      </c>
      <c r="U2875" s="14">
        <v>1</v>
      </c>
      <c r="V2875" s="14">
        <v>1</v>
      </c>
      <c r="W2875" s="14">
        <v>1</v>
      </c>
      <c r="X2875" s="14">
        <v>1</v>
      </c>
    </row>
    <row r="2876" spans="1:24" hidden="1" x14ac:dyDescent="0.3">
      <c r="A2876" s="14" t="s">
        <v>461</v>
      </c>
      <c r="B2876" s="14" t="s">
        <v>462</v>
      </c>
      <c r="C2876" s="14" t="s">
        <v>359</v>
      </c>
      <c r="D2876" s="14" t="s">
        <v>360</v>
      </c>
      <c r="E2876" s="14" t="s">
        <v>342</v>
      </c>
      <c r="F2876" s="14" t="s">
        <v>343</v>
      </c>
      <c r="G2876" s="14" t="s">
        <v>343</v>
      </c>
      <c r="H2876" s="14" t="s">
        <v>343</v>
      </c>
      <c r="I2876" s="14">
        <v>0.69</v>
      </c>
      <c r="J2876" s="14">
        <v>0.65</v>
      </c>
      <c r="K2876" s="14">
        <v>0.68</v>
      </c>
      <c r="L2876" s="14">
        <v>0.69</v>
      </c>
      <c r="M2876" s="14">
        <v>0.68</v>
      </c>
      <c r="N2876" s="14">
        <v>0.71</v>
      </c>
      <c r="O2876" s="14">
        <v>0.7</v>
      </c>
      <c r="P2876" s="14">
        <v>0.68</v>
      </c>
      <c r="Q2876" s="14">
        <v>0.68</v>
      </c>
      <c r="R2876" s="14">
        <v>0.66</v>
      </c>
      <c r="S2876" s="14">
        <v>0.65</v>
      </c>
      <c r="T2876" s="14">
        <v>0.66</v>
      </c>
      <c r="U2876" s="14">
        <v>0.66</v>
      </c>
      <c r="V2876" s="14">
        <v>0.65</v>
      </c>
      <c r="W2876" s="14">
        <v>0.65</v>
      </c>
      <c r="X2876" s="14">
        <v>0.7</v>
      </c>
    </row>
    <row r="2877" spans="1:24" hidden="1" x14ac:dyDescent="0.3">
      <c r="A2877" s="14" t="s">
        <v>461</v>
      </c>
      <c r="B2877" s="14" t="s">
        <v>462</v>
      </c>
      <c r="C2877" s="14" t="s">
        <v>359</v>
      </c>
      <c r="D2877" s="14" t="s">
        <v>360</v>
      </c>
      <c r="E2877" s="14" t="s">
        <v>344</v>
      </c>
      <c r="F2877" s="14" t="s">
        <v>343</v>
      </c>
      <c r="G2877" s="14" t="s">
        <v>343</v>
      </c>
      <c r="H2877" s="14" t="s">
        <v>343</v>
      </c>
      <c r="I2877" s="14">
        <v>26</v>
      </c>
      <c r="J2877" s="14">
        <v>57</v>
      </c>
      <c r="K2877" s="14">
        <v>47</v>
      </c>
      <c r="L2877" s="14">
        <v>46</v>
      </c>
      <c r="M2877" s="14">
        <v>52</v>
      </c>
      <c r="N2877" s="14">
        <v>43</v>
      </c>
      <c r="O2877" s="14">
        <v>46</v>
      </c>
      <c r="P2877" s="14">
        <v>60</v>
      </c>
      <c r="Q2877" s="14">
        <v>62</v>
      </c>
      <c r="R2877" s="14">
        <v>80</v>
      </c>
      <c r="S2877" s="14">
        <v>83</v>
      </c>
      <c r="T2877" s="14">
        <v>78</v>
      </c>
      <c r="U2877" s="14">
        <v>78</v>
      </c>
      <c r="V2877" s="14">
        <v>88</v>
      </c>
      <c r="W2877" s="14">
        <v>100</v>
      </c>
      <c r="X2877" s="14">
        <v>68</v>
      </c>
    </row>
    <row r="2878" spans="1:24" x14ac:dyDescent="0.3">
      <c r="A2878" s="14" t="s">
        <v>461</v>
      </c>
      <c r="B2878" s="14" t="s">
        <v>462</v>
      </c>
      <c r="C2878" s="14" t="s">
        <v>361</v>
      </c>
      <c r="D2878" s="14" t="s">
        <v>362</v>
      </c>
      <c r="E2878" s="14" t="s">
        <v>342</v>
      </c>
      <c r="F2878" s="14" t="s">
        <v>343</v>
      </c>
      <c r="G2878" s="14" t="s">
        <v>343</v>
      </c>
      <c r="H2878" s="14" t="s">
        <v>343</v>
      </c>
      <c r="I2878" s="14">
        <v>0.98</v>
      </c>
      <c r="J2878" s="14">
        <v>0.98</v>
      </c>
      <c r="K2878" s="14">
        <v>0.98</v>
      </c>
      <c r="L2878" s="14">
        <v>0.98</v>
      </c>
      <c r="M2878" s="14">
        <v>0.98</v>
      </c>
      <c r="N2878" s="14">
        <v>0.98</v>
      </c>
      <c r="O2878" s="14">
        <v>0.97</v>
      </c>
      <c r="P2878" s="14">
        <v>0.97</v>
      </c>
      <c r="Q2878" s="14">
        <v>0.97</v>
      </c>
      <c r="R2878" s="14">
        <v>0.97</v>
      </c>
      <c r="S2878" s="14">
        <v>0.97</v>
      </c>
      <c r="T2878" s="14">
        <v>0.98</v>
      </c>
      <c r="U2878" s="14">
        <v>0.98</v>
      </c>
      <c r="V2878" s="14">
        <v>0.98</v>
      </c>
      <c r="W2878" s="14">
        <v>0.98</v>
      </c>
      <c r="X2878" s="14">
        <v>0.98</v>
      </c>
    </row>
    <row r="2879" spans="1:24" hidden="1" x14ac:dyDescent="0.3">
      <c r="A2879" s="14" t="s">
        <v>461</v>
      </c>
      <c r="B2879" s="14" t="s">
        <v>462</v>
      </c>
      <c r="C2879" s="14" t="s">
        <v>361</v>
      </c>
      <c r="D2879" s="14" t="s">
        <v>362</v>
      </c>
      <c r="E2879" s="14" t="s">
        <v>344</v>
      </c>
      <c r="F2879" s="14" t="s">
        <v>343</v>
      </c>
      <c r="G2879" s="14" t="s">
        <v>343</v>
      </c>
      <c r="H2879" s="14" t="s">
        <v>343</v>
      </c>
      <c r="I2879" s="14">
        <v>1</v>
      </c>
      <c r="J2879" s="14">
        <v>1</v>
      </c>
      <c r="K2879" s="14">
        <v>1</v>
      </c>
      <c r="L2879" s="14">
        <v>1</v>
      </c>
      <c r="M2879" s="14">
        <v>1</v>
      </c>
      <c r="N2879" s="14">
        <v>1</v>
      </c>
      <c r="O2879" s="14">
        <v>78</v>
      </c>
      <c r="P2879" s="14">
        <v>75</v>
      </c>
      <c r="Q2879" s="14">
        <v>74</v>
      </c>
      <c r="R2879" s="14">
        <v>79</v>
      </c>
      <c r="S2879" s="14">
        <v>76</v>
      </c>
      <c r="T2879" s="14">
        <v>1</v>
      </c>
      <c r="U2879" s="14">
        <v>1</v>
      </c>
      <c r="V2879" s="14">
        <v>1</v>
      </c>
      <c r="W2879" s="14">
        <v>1</v>
      </c>
      <c r="X2879" s="14">
        <v>1</v>
      </c>
    </row>
    <row r="2880" spans="1:24" hidden="1" x14ac:dyDescent="0.3">
      <c r="A2880" s="14" t="s">
        <v>461</v>
      </c>
      <c r="B2880" s="14" t="s">
        <v>462</v>
      </c>
      <c r="C2880" s="14" t="s">
        <v>363</v>
      </c>
      <c r="D2880" s="14" t="s">
        <v>364</v>
      </c>
      <c r="E2880" s="14" t="s">
        <v>342</v>
      </c>
      <c r="F2880" s="14" t="s">
        <v>343</v>
      </c>
      <c r="G2880" s="14" t="s">
        <v>343</v>
      </c>
      <c r="H2880" s="14" t="s">
        <v>343</v>
      </c>
      <c r="U2880" s="14">
        <v>1.06</v>
      </c>
      <c r="V2880" s="14">
        <v>1.06</v>
      </c>
      <c r="W2880" s="14">
        <v>1.06</v>
      </c>
      <c r="X2880" s="14">
        <v>1.06</v>
      </c>
    </row>
    <row r="2881" spans="1:24" hidden="1" x14ac:dyDescent="0.3">
      <c r="A2881" s="14" t="s">
        <v>461</v>
      </c>
      <c r="B2881" s="14" t="s">
        <v>462</v>
      </c>
      <c r="C2881" s="14" t="s">
        <v>363</v>
      </c>
      <c r="D2881" s="14" t="s">
        <v>364</v>
      </c>
      <c r="E2881" s="14" t="s">
        <v>344</v>
      </c>
      <c r="F2881" s="14" t="s">
        <v>343</v>
      </c>
      <c r="G2881" s="14" t="s">
        <v>343</v>
      </c>
      <c r="H2881" s="14" t="s">
        <v>343</v>
      </c>
      <c r="U2881" s="14">
        <v>1</v>
      </c>
      <c r="V2881" s="14">
        <v>1</v>
      </c>
      <c r="W2881" s="14">
        <v>1</v>
      </c>
      <c r="X2881" s="14">
        <v>1</v>
      </c>
    </row>
    <row r="2882" spans="1:24" hidden="1" x14ac:dyDescent="0.3">
      <c r="A2882" s="14" t="s">
        <v>461</v>
      </c>
      <c r="B2882" s="14" t="s">
        <v>462</v>
      </c>
      <c r="C2882" s="14" t="s">
        <v>365</v>
      </c>
      <c r="D2882" s="14" t="s">
        <v>366</v>
      </c>
      <c r="E2882" s="14" t="s">
        <v>342</v>
      </c>
      <c r="F2882" s="14" t="s">
        <v>343</v>
      </c>
      <c r="G2882" s="14" t="s">
        <v>343</v>
      </c>
      <c r="H2882" s="14" t="s">
        <v>343</v>
      </c>
      <c r="U2882" s="14">
        <v>0.94</v>
      </c>
      <c r="V2882" s="14">
        <v>0.94</v>
      </c>
      <c r="W2882" s="14">
        <v>0.94</v>
      </c>
      <c r="X2882" s="14">
        <v>0.94</v>
      </c>
    </row>
    <row r="2883" spans="1:24" hidden="1" x14ac:dyDescent="0.3">
      <c r="A2883" s="14" t="s">
        <v>461</v>
      </c>
      <c r="B2883" s="14" t="s">
        <v>462</v>
      </c>
      <c r="C2883" s="14" t="s">
        <v>365</v>
      </c>
      <c r="D2883" s="14" t="s">
        <v>366</v>
      </c>
      <c r="E2883" s="14" t="s">
        <v>344</v>
      </c>
      <c r="F2883" s="14" t="s">
        <v>343</v>
      </c>
      <c r="G2883" s="14" t="s">
        <v>343</v>
      </c>
      <c r="H2883" s="14" t="s">
        <v>343</v>
      </c>
      <c r="U2883" s="14">
        <v>1</v>
      </c>
      <c r="V2883" s="14">
        <v>1</v>
      </c>
      <c r="W2883" s="14">
        <v>1</v>
      </c>
      <c r="X2883" s="14">
        <v>1</v>
      </c>
    </row>
    <row r="2884" spans="1:24" hidden="1" x14ac:dyDescent="0.3">
      <c r="A2884" s="14" t="s">
        <v>461</v>
      </c>
      <c r="B2884" s="14" t="s">
        <v>462</v>
      </c>
      <c r="C2884" s="14" t="s">
        <v>367</v>
      </c>
      <c r="D2884" s="14" t="s">
        <v>368</v>
      </c>
      <c r="E2884" s="14" t="s">
        <v>342</v>
      </c>
      <c r="F2884" s="14" t="s">
        <v>343</v>
      </c>
      <c r="G2884" s="14" t="s">
        <v>343</v>
      </c>
      <c r="H2884" s="14" t="s">
        <v>343</v>
      </c>
      <c r="I2884" s="14">
        <v>0.67</v>
      </c>
      <c r="J2884" s="14">
        <v>0.67</v>
      </c>
      <c r="K2884" s="14">
        <v>0.7</v>
      </c>
      <c r="L2884" s="14">
        <v>0.71</v>
      </c>
      <c r="M2884" s="14">
        <v>0.7</v>
      </c>
      <c r="N2884" s="14">
        <v>0.7</v>
      </c>
      <c r="O2884" s="14">
        <v>0.7</v>
      </c>
      <c r="P2884" s="14">
        <v>0.69</v>
      </c>
      <c r="Q2884" s="14">
        <v>0.7</v>
      </c>
      <c r="R2884" s="14">
        <v>0.69</v>
      </c>
      <c r="S2884" s="14">
        <v>0.69</v>
      </c>
      <c r="T2884" s="14">
        <v>0.69</v>
      </c>
      <c r="U2884" s="14">
        <v>0.69</v>
      </c>
      <c r="V2884" s="14">
        <v>0.69</v>
      </c>
      <c r="W2884" s="14">
        <v>0.68</v>
      </c>
      <c r="X2884" s="14">
        <v>0.7</v>
      </c>
    </row>
    <row r="2885" spans="1:24" hidden="1" x14ac:dyDescent="0.3">
      <c r="A2885" s="14" t="s">
        <v>461</v>
      </c>
      <c r="B2885" s="14" t="s">
        <v>462</v>
      </c>
      <c r="C2885" s="14" t="s">
        <v>367</v>
      </c>
      <c r="D2885" s="14" t="s">
        <v>368</v>
      </c>
      <c r="E2885" s="14" t="s">
        <v>344</v>
      </c>
      <c r="F2885" s="14" t="s">
        <v>343</v>
      </c>
      <c r="G2885" s="14" t="s">
        <v>343</v>
      </c>
      <c r="H2885" s="14" t="s">
        <v>343</v>
      </c>
      <c r="I2885" s="14">
        <v>52</v>
      </c>
      <c r="J2885" s="14">
        <v>70</v>
      </c>
      <c r="K2885" s="14">
        <v>41</v>
      </c>
      <c r="L2885" s="14">
        <v>41</v>
      </c>
      <c r="M2885" s="14">
        <v>51</v>
      </c>
      <c r="N2885" s="14">
        <v>44</v>
      </c>
      <c r="O2885" s="14">
        <v>54</v>
      </c>
      <c r="P2885" s="14">
        <v>63</v>
      </c>
      <c r="Q2885" s="14">
        <v>67</v>
      </c>
      <c r="R2885" s="14">
        <v>76</v>
      </c>
      <c r="S2885" s="14">
        <v>81</v>
      </c>
      <c r="T2885" s="14">
        <v>85</v>
      </c>
      <c r="U2885" s="14">
        <v>86</v>
      </c>
      <c r="V2885" s="14">
        <v>93</v>
      </c>
      <c r="W2885" s="14">
        <v>108</v>
      </c>
      <c r="X2885" s="14">
        <v>86</v>
      </c>
    </row>
    <row r="2886" spans="1:24" hidden="1" x14ac:dyDescent="0.3">
      <c r="A2886" s="14" t="s">
        <v>461</v>
      </c>
      <c r="B2886" s="14" t="s">
        <v>462</v>
      </c>
      <c r="C2886" s="14" t="s">
        <v>369</v>
      </c>
      <c r="D2886" s="14" t="s">
        <v>370</v>
      </c>
      <c r="E2886" s="14" t="s">
        <v>342</v>
      </c>
      <c r="F2886" s="14" t="s">
        <v>343</v>
      </c>
      <c r="G2886" s="14" t="s">
        <v>343</v>
      </c>
      <c r="H2886" s="14" t="s">
        <v>343</v>
      </c>
      <c r="I2886" s="14">
        <v>0.04</v>
      </c>
      <c r="J2886" s="14">
        <v>0.04</v>
      </c>
      <c r="K2886" s="14">
        <v>0.16</v>
      </c>
      <c r="L2886" s="14">
        <v>0.16</v>
      </c>
      <c r="M2886" s="14">
        <v>0.13</v>
      </c>
      <c r="N2886" s="14">
        <v>0.13</v>
      </c>
      <c r="O2886" s="14">
        <v>0.14000000000000001</v>
      </c>
      <c r="P2886" s="14">
        <v>0.14000000000000001</v>
      </c>
      <c r="Q2886" s="14">
        <v>0.15</v>
      </c>
      <c r="R2886" s="14">
        <v>0.15</v>
      </c>
      <c r="S2886" s="14">
        <v>0.13</v>
      </c>
      <c r="T2886" s="14">
        <v>0.13</v>
      </c>
      <c r="U2886" s="14">
        <v>0.13</v>
      </c>
      <c r="V2886" s="14">
        <v>0.13</v>
      </c>
      <c r="W2886" s="14">
        <v>0.11</v>
      </c>
      <c r="X2886" s="14">
        <v>0.12</v>
      </c>
    </row>
    <row r="2887" spans="1:24" hidden="1" x14ac:dyDescent="0.3">
      <c r="A2887" s="14" t="s">
        <v>461</v>
      </c>
      <c r="B2887" s="14" t="s">
        <v>462</v>
      </c>
      <c r="C2887" s="14" t="s">
        <v>369</v>
      </c>
      <c r="D2887" s="14" t="s">
        <v>370</v>
      </c>
      <c r="E2887" s="14" t="s">
        <v>344</v>
      </c>
      <c r="F2887" s="14" t="s">
        <v>343</v>
      </c>
      <c r="G2887" s="14" t="s">
        <v>343</v>
      </c>
      <c r="H2887" s="14" t="s">
        <v>343</v>
      </c>
      <c r="I2887" s="14">
        <v>107</v>
      </c>
      <c r="J2887" s="14">
        <v>118</v>
      </c>
      <c r="K2887" s="14">
        <v>44</v>
      </c>
      <c r="L2887" s="14">
        <v>43</v>
      </c>
      <c r="M2887" s="14">
        <v>65</v>
      </c>
      <c r="N2887" s="14">
        <v>68</v>
      </c>
      <c r="O2887" s="14">
        <v>68</v>
      </c>
      <c r="P2887" s="14">
        <v>71</v>
      </c>
      <c r="Q2887" s="14">
        <v>71</v>
      </c>
      <c r="R2887" s="14">
        <v>76</v>
      </c>
      <c r="S2887" s="14">
        <v>87</v>
      </c>
      <c r="T2887" s="14">
        <v>92</v>
      </c>
      <c r="U2887" s="14">
        <v>93</v>
      </c>
      <c r="V2887" s="14">
        <v>105</v>
      </c>
      <c r="W2887" s="14">
        <v>127</v>
      </c>
      <c r="X2887" s="14">
        <v>111</v>
      </c>
    </row>
    <row r="2888" spans="1:24" hidden="1" x14ac:dyDescent="0.3">
      <c r="A2888" s="14" t="s">
        <v>461</v>
      </c>
      <c r="B2888" s="14" t="s">
        <v>462</v>
      </c>
      <c r="C2888" s="14" t="s">
        <v>371</v>
      </c>
      <c r="D2888" s="14" t="s">
        <v>372</v>
      </c>
      <c r="E2888" s="14" t="s">
        <v>342</v>
      </c>
      <c r="F2888" s="14" t="s">
        <v>343</v>
      </c>
      <c r="G2888" s="14" t="s">
        <v>343</v>
      </c>
      <c r="H2888" s="14" t="s">
        <v>343</v>
      </c>
      <c r="U2888" s="14">
        <v>0.03</v>
      </c>
      <c r="V2888" s="14">
        <v>0.03</v>
      </c>
      <c r="W2888" s="14">
        <v>0.03</v>
      </c>
      <c r="X2888" s="14">
        <v>0.03</v>
      </c>
    </row>
    <row r="2889" spans="1:24" hidden="1" x14ac:dyDescent="0.3">
      <c r="A2889" s="14" t="s">
        <v>461</v>
      </c>
      <c r="B2889" s="14" t="s">
        <v>462</v>
      </c>
      <c r="C2889" s="14" t="s">
        <v>371</v>
      </c>
      <c r="D2889" s="14" t="s">
        <v>372</v>
      </c>
      <c r="E2889" s="14" t="s">
        <v>344</v>
      </c>
      <c r="F2889" s="14" t="s">
        <v>343</v>
      </c>
      <c r="G2889" s="14" t="s">
        <v>343</v>
      </c>
      <c r="H2889" s="14" t="s">
        <v>343</v>
      </c>
      <c r="U2889" s="14">
        <v>49</v>
      </c>
      <c r="V2889" s="14">
        <v>51</v>
      </c>
      <c r="W2889" s="14">
        <v>57</v>
      </c>
      <c r="X2889" s="14">
        <v>56</v>
      </c>
    </row>
    <row r="2890" spans="1:24" hidden="1" x14ac:dyDescent="0.3">
      <c r="A2890" s="14" t="s">
        <v>461</v>
      </c>
      <c r="B2890" s="14" t="s">
        <v>462</v>
      </c>
      <c r="C2890" s="14" t="s">
        <v>373</v>
      </c>
      <c r="D2890" s="14" t="s">
        <v>374</v>
      </c>
      <c r="E2890" s="14" t="s">
        <v>342</v>
      </c>
      <c r="F2890" s="14" t="s">
        <v>343</v>
      </c>
      <c r="G2890" s="14" t="s">
        <v>343</v>
      </c>
      <c r="H2890" s="14" t="s">
        <v>343</v>
      </c>
      <c r="U2890" s="14">
        <v>0.17</v>
      </c>
      <c r="V2890" s="14">
        <v>0.17</v>
      </c>
      <c r="W2890" s="14">
        <v>0.12</v>
      </c>
      <c r="X2890" s="14">
        <v>0.12</v>
      </c>
    </row>
    <row r="2891" spans="1:24" hidden="1" x14ac:dyDescent="0.3">
      <c r="A2891" s="14" t="s">
        <v>461</v>
      </c>
      <c r="B2891" s="14" t="s">
        <v>462</v>
      </c>
      <c r="C2891" s="14" t="s">
        <v>373</v>
      </c>
      <c r="D2891" s="14" t="s">
        <v>374</v>
      </c>
      <c r="E2891" s="14" t="s">
        <v>344</v>
      </c>
      <c r="F2891" s="14" t="s">
        <v>343</v>
      </c>
      <c r="G2891" s="14" t="s">
        <v>343</v>
      </c>
      <c r="H2891" s="14" t="s">
        <v>343</v>
      </c>
      <c r="U2891" s="14">
        <v>95</v>
      </c>
      <c r="V2891" s="14">
        <v>102</v>
      </c>
      <c r="W2891" s="14">
        <v>120</v>
      </c>
      <c r="X2891" s="14">
        <v>115</v>
      </c>
    </row>
    <row r="2892" spans="1:24" hidden="1" x14ac:dyDescent="0.3">
      <c r="A2892" s="14" t="s">
        <v>461</v>
      </c>
      <c r="B2892" s="14" t="s">
        <v>462</v>
      </c>
      <c r="C2892" s="14" t="s">
        <v>375</v>
      </c>
      <c r="D2892" s="14" t="s">
        <v>376</v>
      </c>
      <c r="E2892" s="14" t="s">
        <v>342</v>
      </c>
      <c r="F2892" s="14" t="s">
        <v>343</v>
      </c>
      <c r="G2892" s="14" t="s">
        <v>343</v>
      </c>
      <c r="H2892" s="14" t="s">
        <v>343</v>
      </c>
      <c r="U2892" s="14">
        <v>0.24</v>
      </c>
      <c r="V2892" s="14">
        <v>0.24</v>
      </c>
      <c r="W2892" s="14">
        <v>0.21</v>
      </c>
      <c r="X2892" s="14">
        <v>0.26</v>
      </c>
    </row>
    <row r="2893" spans="1:24" hidden="1" x14ac:dyDescent="0.3">
      <c r="A2893" s="14" t="s">
        <v>461</v>
      </c>
      <c r="B2893" s="14" t="s">
        <v>462</v>
      </c>
      <c r="C2893" s="14" t="s">
        <v>375</v>
      </c>
      <c r="D2893" s="14" t="s">
        <v>376</v>
      </c>
      <c r="E2893" s="14" t="s">
        <v>344</v>
      </c>
      <c r="F2893" s="14" t="s">
        <v>343</v>
      </c>
      <c r="G2893" s="14" t="s">
        <v>343</v>
      </c>
      <c r="H2893" s="14" t="s">
        <v>343</v>
      </c>
      <c r="U2893" s="14">
        <v>90</v>
      </c>
      <c r="V2893" s="14">
        <v>98</v>
      </c>
      <c r="W2893" s="14">
        <v>115</v>
      </c>
      <c r="X2893" s="14">
        <v>94</v>
      </c>
    </row>
    <row r="2894" spans="1:24" hidden="1" x14ac:dyDescent="0.3">
      <c r="A2894" s="14" t="s">
        <v>463</v>
      </c>
      <c r="B2894" s="14" t="s">
        <v>59</v>
      </c>
      <c r="C2894" s="14" t="s">
        <v>340</v>
      </c>
      <c r="D2894" s="14" t="s">
        <v>341</v>
      </c>
      <c r="E2894" s="14" t="s">
        <v>342</v>
      </c>
      <c r="F2894" s="14" t="s">
        <v>343</v>
      </c>
      <c r="G2894" s="14" t="s">
        <v>343</v>
      </c>
      <c r="H2894" s="14" t="s">
        <v>343</v>
      </c>
      <c r="I2894" s="14">
        <v>0.81</v>
      </c>
      <c r="J2894" s="14">
        <v>0.85</v>
      </c>
      <c r="K2894" s="14">
        <v>0.86</v>
      </c>
      <c r="L2894" s="14">
        <v>0.86</v>
      </c>
      <c r="M2894" s="14">
        <v>0.87</v>
      </c>
      <c r="N2894" s="14">
        <v>0.87</v>
      </c>
      <c r="O2894" s="14">
        <v>0.87</v>
      </c>
      <c r="P2894" s="14">
        <v>0.88</v>
      </c>
      <c r="Q2894" s="14">
        <v>0.88</v>
      </c>
      <c r="R2894" s="14">
        <v>0.89</v>
      </c>
      <c r="S2894" s="14">
        <v>0.9</v>
      </c>
      <c r="T2894" s="14">
        <v>0.92</v>
      </c>
      <c r="U2894" s="14">
        <v>0.94</v>
      </c>
      <c r="V2894" s="14">
        <v>0.94</v>
      </c>
      <c r="W2894" s="14">
        <v>0.92</v>
      </c>
      <c r="X2894" s="14">
        <v>0.98</v>
      </c>
    </row>
    <row r="2895" spans="1:24" hidden="1" x14ac:dyDescent="0.3">
      <c r="A2895" s="14" t="s">
        <v>463</v>
      </c>
      <c r="B2895" s="14" t="s">
        <v>59</v>
      </c>
      <c r="C2895" s="14" t="s">
        <v>340</v>
      </c>
      <c r="D2895" s="14" t="s">
        <v>341</v>
      </c>
      <c r="E2895" s="14" t="s">
        <v>344</v>
      </c>
      <c r="F2895" s="14" t="s">
        <v>343</v>
      </c>
      <c r="G2895" s="14" t="s">
        <v>343</v>
      </c>
      <c r="H2895" s="14" t="s">
        <v>343</v>
      </c>
      <c r="I2895" s="14">
        <v>105</v>
      </c>
      <c r="J2895" s="14">
        <v>112</v>
      </c>
      <c r="K2895" s="14">
        <v>114</v>
      </c>
      <c r="L2895" s="14">
        <v>117</v>
      </c>
      <c r="M2895" s="14">
        <v>115</v>
      </c>
      <c r="N2895" s="14">
        <v>116</v>
      </c>
      <c r="O2895" s="14">
        <v>116</v>
      </c>
      <c r="P2895" s="14">
        <v>117</v>
      </c>
      <c r="Q2895" s="14">
        <v>124</v>
      </c>
      <c r="R2895" s="14">
        <v>127</v>
      </c>
      <c r="S2895" s="14">
        <v>128</v>
      </c>
      <c r="T2895" s="14">
        <v>121</v>
      </c>
      <c r="U2895" s="14">
        <v>119</v>
      </c>
      <c r="V2895" s="14">
        <v>124</v>
      </c>
      <c r="W2895" s="14">
        <v>128</v>
      </c>
      <c r="X2895" s="14">
        <v>99</v>
      </c>
    </row>
    <row r="2896" spans="1:24" hidden="1" x14ac:dyDescent="0.3">
      <c r="A2896" s="14" t="s">
        <v>463</v>
      </c>
      <c r="B2896" s="14" t="s">
        <v>59</v>
      </c>
      <c r="C2896" s="14" t="s">
        <v>345</v>
      </c>
      <c r="D2896" s="14" t="s">
        <v>346</v>
      </c>
      <c r="E2896" s="14" t="s">
        <v>342</v>
      </c>
      <c r="F2896" s="14" t="s">
        <v>343</v>
      </c>
      <c r="G2896" s="14" t="s">
        <v>343</v>
      </c>
      <c r="H2896" s="14" t="s">
        <v>343</v>
      </c>
      <c r="U2896" s="14">
        <v>0.73</v>
      </c>
      <c r="V2896" s="14">
        <v>0.77</v>
      </c>
      <c r="W2896" s="14">
        <v>0.8</v>
      </c>
      <c r="X2896" s="14">
        <v>0.71</v>
      </c>
    </row>
    <row r="2897" spans="1:24" hidden="1" x14ac:dyDescent="0.3">
      <c r="A2897" s="14" t="s">
        <v>463</v>
      </c>
      <c r="B2897" s="14" t="s">
        <v>59</v>
      </c>
      <c r="C2897" s="14" t="s">
        <v>345</v>
      </c>
      <c r="D2897" s="14" t="s">
        <v>346</v>
      </c>
      <c r="E2897" s="14" t="s">
        <v>344</v>
      </c>
      <c r="F2897" s="14" t="s">
        <v>343</v>
      </c>
      <c r="G2897" s="14" t="s">
        <v>343</v>
      </c>
      <c r="H2897" s="14" t="s">
        <v>343</v>
      </c>
      <c r="U2897" s="14">
        <v>20</v>
      </c>
      <c r="V2897" s="14">
        <v>17</v>
      </c>
      <c r="W2897" s="14">
        <v>13</v>
      </c>
      <c r="X2897" s="14">
        <v>46</v>
      </c>
    </row>
    <row r="2898" spans="1:24" hidden="1" x14ac:dyDescent="0.3">
      <c r="A2898" s="14" t="s">
        <v>463</v>
      </c>
      <c r="B2898" s="14" t="s">
        <v>59</v>
      </c>
      <c r="C2898" s="14" t="s">
        <v>347</v>
      </c>
      <c r="D2898" s="14" t="s">
        <v>348</v>
      </c>
      <c r="E2898" s="14" t="s">
        <v>342</v>
      </c>
      <c r="F2898" s="14" t="s">
        <v>343</v>
      </c>
      <c r="G2898" s="14" t="s">
        <v>343</v>
      </c>
      <c r="H2898" s="14" t="s">
        <v>343</v>
      </c>
      <c r="U2898" s="14">
        <v>0.93</v>
      </c>
      <c r="V2898" s="14">
        <v>0.87</v>
      </c>
      <c r="W2898" s="14">
        <v>0.9</v>
      </c>
      <c r="X2898" s="14">
        <v>0.76</v>
      </c>
    </row>
    <row r="2899" spans="1:24" hidden="1" x14ac:dyDescent="0.3">
      <c r="A2899" s="14" t="s">
        <v>463</v>
      </c>
      <c r="B2899" s="14" t="s">
        <v>59</v>
      </c>
      <c r="C2899" s="14" t="s">
        <v>347</v>
      </c>
      <c r="D2899" s="14" t="s">
        <v>348</v>
      </c>
      <c r="E2899" s="14" t="s">
        <v>344</v>
      </c>
      <c r="F2899" s="14" t="s">
        <v>343</v>
      </c>
      <c r="G2899" s="14" t="s">
        <v>343</v>
      </c>
      <c r="H2899" s="14" t="s">
        <v>343</v>
      </c>
      <c r="U2899" s="14">
        <v>23</v>
      </c>
      <c r="V2899" s="14">
        <v>57</v>
      </c>
      <c r="W2899" s="14">
        <v>41</v>
      </c>
      <c r="X2899" s="14">
        <v>79</v>
      </c>
    </row>
    <row r="2900" spans="1:24" hidden="1" x14ac:dyDescent="0.3">
      <c r="A2900" s="14" t="s">
        <v>463</v>
      </c>
      <c r="B2900" s="14" t="s">
        <v>59</v>
      </c>
      <c r="C2900" s="14" t="s">
        <v>349</v>
      </c>
      <c r="D2900" s="14" t="s">
        <v>350</v>
      </c>
      <c r="E2900" s="14" t="s">
        <v>342</v>
      </c>
      <c r="F2900" s="14" t="s">
        <v>343</v>
      </c>
      <c r="G2900" s="14" t="s">
        <v>343</v>
      </c>
      <c r="H2900" s="14" t="s">
        <v>343</v>
      </c>
      <c r="U2900" s="14">
        <v>0.47</v>
      </c>
      <c r="V2900" s="14">
        <v>0.52</v>
      </c>
      <c r="W2900" s="14">
        <v>0.32</v>
      </c>
      <c r="X2900" s="14">
        <v>0.85</v>
      </c>
    </row>
    <row r="2901" spans="1:24" hidden="1" x14ac:dyDescent="0.3">
      <c r="A2901" s="14" t="s">
        <v>463</v>
      </c>
      <c r="B2901" s="14" t="s">
        <v>59</v>
      </c>
      <c r="C2901" s="14" t="s">
        <v>349</v>
      </c>
      <c r="D2901" s="14" t="s">
        <v>350</v>
      </c>
      <c r="E2901" s="14" t="s">
        <v>344</v>
      </c>
      <c r="F2901" s="14" t="s">
        <v>343</v>
      </c>
      <c r="G2901" s="14" t="s">
        <v>343</v>
      </c>
      <c r="H2901" s="14" t="s">
        <v>343</v>
      </c>
      <c r="U2901" s="14">
        <v>73</v>
      </c>
      <c r="V2901" s="14">
        <v>61</v>
      </c>
      <c r="W2901" s="14">
        <v>113</v>
      </c>
      <c r="X2901" s="14">
        <v>20</v>
      </c>
    </row>
    <row r="2902" spans="1:24" hidden="1" x14ac:dyDescent="0.3">
      <c r="A2902" s="14" t="s">
        <v>463</v>
      </c>
      <c r="B2902" s="14" t="s">
        <v>59</v>
      </c>
      <c r="C2902" s="14" t="s">
        <v>351</v>
      </c>
      <c r="D2902" s="14" t="s">
        <v>352</v>
      </c>
      <c r="E2902" s="14" t="s">
        <v>342</v>
      </c>
      <c r="F2902" s="14" t="s">
        <v>343</v>
      </c>
      <c r="G2902" s="14" t="s">
        <v>343</v>
      </c>
      <c r="H2902" s="14" t="s">
        <v>343</v>
      </c>
      <c r="U2902" s="14">
        <v>0.75</v>
      </c>
      <c r="V2902" s="14">
        <v>1</v>
      </c>
      <c r="W2902" s="14">
        <v>0.85</v>
      </c>
      <c r="X2902" s="14">
        <v>0.94</v>
      </c>
    </row>
    <row r="2903" spans="1:24" hidden="1" x14ac:dyDescent="0.3">
      <c r="A2903" s="14" t="s">
        <v>463</v>
      </c>
      <c r="B2903" s="14" t="s">
        <v>59</v>
      </c>
      <c r="C2903" s="14" t="s">
        <v>351</v>
      </c>
      <c r="D2903" s="14" t="s">
        <v>352</v>
      </c>
      <c r="E2903" s="14" t="s">
        <v>344</v>
      </c>
      <c r="F2903" s="14" t="s">
        <v>343</v>
      </c>
      <c r="G2903" s="14" t="s">
        <v>343</v>
      </c>
      <c r="H2903" s="14" t="s">
        <v>343</v>
      </c>
      <c r="U2903" s="14">
        <v>102</v>
      </c>
      <c r="V2903" s="14">
        <v>1</v>
      </c>
      <c r="W2903" s="14">
        <v>92</v>
      </c>
      <c r="X2903" s="14">
        <v>77</v>
      </c>
    </row>
    <row r="2904" spans="1:24" hidden="1" x14ac:dyDescent="0.3">
      <c r="A2904" s="14" t="s">
        <v>463</v>
      </c>
      <c r="B2904" s="14" t="s">
        <v>59</v>
      </c>
      <c r="C2904" s="14" t="s">
        <v>378</v>
      </c>
      <c r="D2904" s="14" t="s">
        <v>379</v>
      </c>
      <c r="E2904" s="14" t="s">
        <v>342</v>
      </c>
      <c r="F2904" s="14" t="s">
        <v>343</v>
      </c>
      <c r="G2904" s="14" t="s">
        <v>343</v>
      </c>
      <c r="H2904" s="14" t="s">
        <v>343</v>
      </c>
      <c r="S2904" s="14">
        <v>0.76</v>
      </c>
      <c r="U2904" s="14">
        <v>0.69</v>
      </c>
      <c r="V2904" s="14">
        <v>0.7</v>
      </c>
      <c r="W2904" s="14">
        <v>0.72</v>
      </c>
      <c r="X2904" s="14">
        <v>0.66</v>
      </c>
    </row>
    <row r="2905" spans="1:24" hidden="1" x14ac:dyDescent="0.3">
      <c r="A2905" s="14" t="s">
        <v>463</v>
      </c>
      <c r="B2905" s="14" t="s">
        <v>59</v>
      </c>
      <c r="C2905" s="14" t="s">
        <v>378</v>
      </c>
      <c r="D2905" s="14" t="s">
        <v>379</v>
      </c>
      <c r="E2905" s="14" t="s">
        <v>344</v>
      </c>
      <c r="F2905" s="14" t="s">
        <v>343</v>
      </c>
      <c r="G2905" s="14" t="s">
        <v>343</v>
      </c>
      <c r="H2905" s="14" t="s">
        <v>343</v>
      </c>
      <c r="S2905" s="14">
        <v>20</v>
      </c>
      <c r="U2905" s="14">
        <v>53</v>
      </c>
      <c r="V2905" s="14">
        <v>44</v>
      </c>
      <c r="W2905" s="14">
        <v>37</v>
      </c>
      <c r="X2905" s="14">
        <v>70</v>
      </c>
    </row>
    <row r="2906" spans="1:24" hidden="1" x14ac:dyDescent="0.3">
      <c r="A2906" s="14" t="s">
        <v>463</v>
      </c>
      <c r="B2906" s="14" t="s">
        <v>59</v>
      </c>
      <c r="C2906" s="14" t="s">
        <v>353</v>
      </c>
      <c r="D2906" s="14" t="s">
        <v>354</v>
      </c>
      <c r="E2906" s="14" t="s">
        <v>342</v>
      </c>
      <c r="F2906" s="14" t="s">
        <v>343</v>
      </c>
      <c r="G2906" s="14" t="s">
        <v>343</v>
      </c>
      <c r="H2906" s="14" t="s">
        <v>343</v>
      </c>
      <c r="U2906" s="14">
        <v>0.87</v>
      </c>
      <c r="V2906" s="14">
        <v>0.87</v>
      </c>
      <c r="W2906" s="14">
        <v>0.87</v>
      </c>
      <c r="X2906" s="14">
        <v>0.9</v>
      </c>
    </row>
    <row r="2907" spans="1:24" hidden="1" x14ac:dyDescent="0.3">
      <c r="A2907" s="14" t="s">
        <v>463</v>
      </c>
      <c r="B2907" s="14" t="s">
        <v>59</v>
      </c>
      <c r="C2907" s="14" t="s">
        <v>353</v>
      </c>
      <c r="D2907" s="14" t="s">
        <v>354</v>
      </c>
      <c r="E2907" s="14" t="s">
        <v>344</v>
      </c>
      <c r="F2907" s="14" t="s">
        <v>343</v>
      </c>
      <c r="G2907" s="14" t="s">
        <v>343</v>
      </c>
      <c r="H2907" s="14" t="s">
        <v>343</v>
      </c>
      <c r="U2907" s="14">
        <v>111</v>
      </c>
      <c r="V2907" s="14">
        <v>119</v>
      </c>
      <c r="W2907" s="14">
        <v>121</v>
      </c>
      <c r="X2907" s="14">
        <v>106</v>
      </c>
    </row>
    <row r="2908" spans="1:24" hidden="1" x14ac:dyDescent="0.3">
      <c r="A2908" s="14" t="s">
        <v>463</v>
      </c>
      <c r="B2908" s="14" t="s">
        <v>59</v>
      </c>
      <c r="C2908" s="14" t="s">
        <v>380</v>
      </c>
      <c r="D2908" s="14" t="s">
        <v>381</v>
      </c>
      <c r="E2908" s="14" t="s">
        <v>342</v>
      </c>
      <c r="F2908" s="14" t="s">
        <v>343</v>
      </c>
      <c r="G2908" s="14" t="s">
        <v>343</v>
      </c>
      <c r="H2908" s="14" t="s">
        <v>343</v>
      </c>
      <c r="U2908" s="14">
        <v>1</v>
      </c>
      <c r="V2908" s="14">
        <v>1</v>
      </c>
      <c r="W2908" s="14">
        <v>1</v>
      </c>
      <c r="X2908" s="14">
        <v>0.99</v>
      </c>
    </row>
    <row r="2909" spans="1:24" hidden="1" x14ac:dyDescent="0.3">
      <c r="A2909" s="14" t="s">
        <v>463</v>
      </c>
      <c r="B2909" s="14" t="s">
        <v>59</v>
      </c>
      <c r="C2909" s="14" t="s">
        <v>380</v>
      </c>
      <c r="D2909" s="14" t="s">
        <v>381</v>
      </c>
      <c r="E2909" s="14" t="s">
        <v>344</v>
      </c>
      <c r="F2909" s="14" t="s">
        <v>343</v>
      </c>
      <c r="G2909" s="14" t="s">
        <v>343</v>
      </c>
      <c r="H2909" s="14" t="s">
        <v>343</v>
      </c>
      <c r="U2909" s="14">
        <v>84</v>
      </c>
      <c r="V2909" s="14">
        <v>80</v>
      </c>
      <c r="W2909" s="14">
        <v>81</v>
      </c>
      <c r="X2909" s="14">
        <v>94</v>
      </c>
    </row>
    <row r="2910" spans="1:24" hidden="1" x14ac:dyDescent="0.3">
      <c r="A2910" s="14" t="s">
        <v>463</v>
      </c>
      <c r="B2910" s="14" t="s">
        <v>59</v>
      </c>
      <c r="C2910" s="14" t="s">
        <v>355</v>
      </c>
      <c r="D2910" s="14" t="s">
        <v>356</v>
      </c>
      <c r="E2910" s="14" t="s">
        <v>342</v>
      </c>
      <c r="F2910" s="14" t="s">
        <v>343</v>
      </c>
      <c r="G2910" s="14" t="s">
        <v>343</v>
      </c>
      <c r="H2910" s="14" t="s">
        <v>343</v>
      </c>
      <c r="U2910" s="14">
        <v>0.92</v>
      </c>
      <c r="V2910" s="14">
        <v>0.92</v>
      </c>
      <c r="W2910" s="14">
        <v>0.82</v>
      </c>
      <c r="X2910" s="14">
        <v>1</v>
      </c>
    </row>
    <row r="2911" spans="1:24" hidden="1" x14ac:dyDescent="0.3">
      <c r="A2911" s="14" t="s">
        <v>463</v>
      </c>
      <c r="B2911" s="14" t="s">
        <v>59</v>
      </c>
      <c r="C2911" s="14" t="s">
        <v>355</v>
      </c>
      <c r="D2911" s="14" t="s">
        <v>356</v>
      </c>
      <c r="E2911" s="14" t="s">
        <v>344</v>
      </c>
      <c r="F2911" s="14" t="s">
        <v>343</v>
      </c>
      <c r="G2911" s="14" t="s">
        <v>343</v>
      </c>
      <c r="H2911" s="14" t="s">
        <v>343</v>
      </c>
      <c r="U2911" s="14">
        <v>132</v>
      </c>
      <c r="V2911" s="14">
        <v>133</v>
      </c>
      <c r="W2911" s="14">
        <v>141</v>
      </c>
      <c r="X2911" s="14">
        <v>1</v>
      </c>
    </row>
    <row r="2912" spans="1:24" hidden="1" x14ac:dyDescent="0.3">
      <c r="A2912" s="14" t="s">
        <v>463</v>
      </c>
      <c r="B2912" s="14" t="s">
        <v>59</v>
      </c>
      <c r="C2912" s="14" t="s">
        <v>357</v>
      </c>
      <c r="D2912" s="14" t="s">
        <v>358</v>
      </c>
      <c r="E2912" s="14" t="s">
        <v>342</v>
      </c>
      <c r="F2912" s="14" t="s">
        <v>343</v>
      </c>
      <c r="G2912" s="14" t="s">
        <v>343</v>
      </c>
      <c r="H2912" s="14" t="s">
        <v>343</v>
      </c>
      <c r="U2912" s="14">
        <v>0.87</v>
      </c>
      <c r="V2912" s="14">
        <v>0.86</v>
      </c>
      <c r="W2912" s="14">
        <v>0.9</v>
      </c>
      <c r="X2912" s="14">
        <v>1</v>
      </c>
    </row>
    <row r="2913" spans="1:24" hidden="1" x14ac:dyDescent="0.3">
      <c r="A2913" s="14" t="s">
        <v>463</v>
      </c>
      <c r="B2913" s="14" t="s">
        <v>59</v>
      </c>
      <c r="C2913" s="14" t="s">
        <v>357</v>
      </c>
      <c r="D2913" s="14" t="s">
        <v>358</v>
      </c>
      <c r="E2913" s="14" t="s">
        <v>344</v>
      </c>
      <c r="F2913" s="14" t="s">
        <v>343</v>
      </c>
      <c r="G2913" s="14" t="s">
        <v>343</v>
      </c>
      <c r="H2913" s="14" t="s">
        <v>343</v>
      </c>
      <c r="U2913" s="14">
        <v>110</v>
      </c>
      <c r="V2913" s="14">
        <v>113</v>
      </c>
      <c r="W2913" s="14">
        <v>113</v>
      </c>
      <c r="X2913" s="14">
        <v>1</v>
      </c>
    </row>
    <row r="2914" spans="1:24" hidden="1" x14ac:dyDescent="0.3">
      <c r="A2914" s="14" t="s">
        <v>463</v>
      </c>
      <c r="B2914" s="14" t="s">
        <v>59</v>
      </c>
      <c r="C2914" s="14" t="s">
        <v>359</v>
      </c>
      <c r="D2914" s="14" t="s">
        <v>360</v>
      </c>
      <c r="E2914" s="14" t="s">
        <v>342</v>
      </c>
      <c r="F2914" s="14" t="s">
        <v>343</v>
      </c>
      <c r="G2914" s="14" t="s">
        <v>343</v>
      </c>
      <c r="H2914" s="14" t="s">
        <v>343</v>
      </c>
      <c r="I2914" s="14">
        <v>0.68</v>
      </c>
      <c r="J2914" s="14">
        <v>0.66</v>
      </c>
      <c r="K2914" s="14">
        <v>0.66</v>
      </c>
      <c r="L2914" s="14">
        <v>0.65</v>
      </c>
      <c r="M2914" s="14">
        <v>0.64</v>
      </c>
      <c r="N2914" s="14">
        <v>0.63</v>
      </c>
      <c r="O2914" s="14">
        <v>0.64</v>
      </c>
      <c r="P2914" s="14">
        <v>0.65</v>
      </c>
      <c r="Q2914" s="14">
        <v>0.65</v>
      </c>
      <c r="R2914" s="14">
        <v>0.68</v>
      </c>
      <c r="S2914" s="14">
        <v>0.66</v>
      </c>
      <c r="T2914" s="14">
        <v>0.7</v>
      </c>
      <c r="U2914" s="14">
        <v>0.72</v>
      </c>
      <c r="V2914" s="14">
        <v>0.76</v>
      </c>
      <c r="W2914" s="14">
        <v>0.73</v>
      </c>
      <c r="X2914" s="14">
        <v>0.75</v>
      </c>
    </row>
    <row r="2915" spans="1:24" hidden="1" x14ac:dyDescent="0.3">
      <c r="A2915" s="14" t="s">
        <v>463</v>
      </c>
      <c r="B2915" s="14" t="s">
        <v>59</v>
      </c>
      <c r="C2915" s="14" t="s">
        <v>359</v>
      </c>
      <c r="D2915" s="14" t="s">
        <v>360</v>
      </c>
      <c r="E2915" s="14" t="s">
        <v>344</v>
      </c>
      <c r="F2915" s="14" t="s">
        <v>343</v>
      </c>
      <c r="G2915" s="14" t="s">
        <v>343</v>
      </c>
      <c r="H2915" s="14" t="s">
        <v>343</v>
      </c>
      <c r="I2915" s="14">
        <v>29</v>
      </c>
      <c r="J2915" s="14">
        <v>52</v>
      </c>
      <c r="K2915" s="14">
        <v>56</v>
      </c>
      <c r="L2915" s="14">
        <v>65</v>
      </c>
      <c r="M2915" s="14">
        <v>68</v>
      </c>
      <c r="N2915" s="14">
        <v>75</v>
      </c>
      <c r="O2915" s="14">
        <v>78</v>
      </c>
      <c r="P2915" s="14">
        <v>77</v>
      </c>
      <c r="Q2915" s="14">
        <v>77</v>
      </c>
      <c r="R2915" s="14">
        <v>63</v>
      </c>
      <c r="S2915" s="14">
        <v>77</v>
      </c>
      <c r="T2915" s="14">
        <v>56</v>
      </c>
      <c r="U2915" s="14">
        <v>45</v>
      </c>
      <c r="V2915" s="14">
        <v>25</v>
      </c>
      <c r="W2915" s="14">
        <v>46</v>
      </c>
      <c r="X2915" s="14">
        <v>30</v>
      </c>
    </row>
    <row r="2916" spans="1:24" x14ac:dyDescent="0.3">
      <c r="A2916" s="14" t="s">
        <v>463</v>
      </c>
      <c r="B2916" s="14" t="s">
        <v>59</v>
      </c>
      <c r="C2916" s="14" t="s">
        <v>361</v>
      </c>
      <c r="D2916" s="14" t="s">
        <v>362</v>
      </c>
      <c r="E2916" s="14" t="s">
        <v>342</v>
      </c>
      <c r="F2916" s="14" t="s">
        <v>343</v>
      </c>
      <c r="G2916" s="14" t="s">
        <v>343</v>
      </c>
      <c r="H2916" s="14" t="s">
        <v>343</v>
      </c>
      <c r="I2916" s="14">
        <v>0.98</v>
      </c>
      <c r="J2916" s="14">
        <v>0.98</v>
      </c>
      <c r="K2916" s="14">
        <v>0.98</v>
      </c>
      <c r="L2916" s="14">
        <v>0.98</v>
      </c>
      <c r="M2916" s="14">
        <v>0.98</v>
      </c>
      <c r="N2916" s="14">
        <v>0.98</v>
      </c>
      <c r="O2916" s="14">
        <v>0.98</v>
      </c>
      <c r="P2916" s="14">
        <v>0.98</v>
      </c>
      <c r="Q2916" s="14">
        <v>0.98</v>
      </c>
      <c r="R2916" s="14">
        <v>0.98</v>
      </c>
      <c r="S2916" s="14">
        <v>0.98</v>
      </c>
      <c r="T2916" s="14">
        <v>0.98</v>
      </c>
      <c r="U2916" s="14">
        <v>0.98</v>
      </c>
      <c r="V2916" s="14">
        <v>0.98</v>
      </c>
      <c r="W2916" s="14">
        <v>0.98</v>
      </c>
      <c r="X2916" s="14">
        <v>0.98</v>
      </c>
    </row>
    <row r="2917" spans="1:24" hidden="1" x14ac:dyDescent="0.3">
      <c r="A2917" s="14" t="s">
        <v>463</v>
      </c>
      <c r="B2917" s="14" t="s">
        <v>59</v>
      </c>
      <c r="C2917" s="14" t="s">
        <v>361</v>
      </c>
      <c r="D2917" s="14" t="s">
        <v>362</v>
      </c>
      <c r="E2917" s="14" t="s">
        <v>344</v>
      </c>
      <c r="F2917" s="14" t="s">
        <v>343</v>
      </c>
      <c r="G2917" s="14" t="s">
        <v>343</v>
      </c>
      <c r="H2917" s="14" t="s">
        <v>343</v>
      </c>
      <c r="I2917" s="14">
        <v>1</v>
      </c>
      <c r="J2917" s="14">
        <v>1</v>
      </c>
      <c r="K2917" s="14">
        <v>1</v>
      </c>
      <c r="L2917" s="14">
        <v>1</v>
      </c>
      <c r="M2917" s="14">
        <v>1</v>
      </c>
      <c r="N2917" s="14">
        <v>1</v>
      </c>
      <c r="O2917" s="14">
        <v>1</v>
      </c>
      <c r="P2917" s="14">
        <v>1</v>
      </c>
      <c r="Q2917" s="14">
        <v>1</v>
      </c>
      <c r="R2917" s="14">
        <v>1</v>
      </c>
      <c r="S2917" s="14">
        <v>1</v>
      </c>
      <c r="T2917" s="14">
        <v>1</v>
      </c>
      <c r="U2917" s="14">
        <v>75</v>
      </c>
      <c r="V2917" s="14">
        <v>73</v>
      </c>
      <c r="W2917" s="14">
        <v>46</v>
      </c>
      <c r="X2917" s="14">
        <v>1</v>
      </c>
    </row>
    <row r="2918" spans="1:24" hidden="1" x14ac:dyDescent="0.3">
      <c r="A2918" s="14" t="s">
        <v>463</v>
      </c>
      <c r="B2918" s="14" t="s">
        <v>59</v>
      </c>
      <c r="C2918" s="14" t="s">
        <v>363</v>
      </c>
      <c r="D2918" s="14" t="s">
        <v>364</v>
      </c>
      <c r="E2918" s="14" t="s">
        <v>342</v>
      </c>
      <c r="F2918" s="14" t="s">
        <v>343</v>
      </c>
      <c r="G2918" s="14" t="s">
        <v>343</v>
      </c>
      <c r="H2918" s="14" t="s">
        <v>343</v>
      </c>
      <c r="U2918" s="14">
        <v>1.05</v>
      </c>
      <c r="V2918" s="14">
        <v>1.04</v>
      </c>
      <c r="W2918" s="14">
        <v>1.05</v>
      </c>
      <c r="X2918" s="14">
        <v>1.06</v>
      </c>
    </row>
    <row r="2919" spans="1:24" hidden="1" x14ac:dyDescent="0.3">
      <c r="A2919" s="14" t="s">
        <v>463</v>
      </c>
      <c r="B2919" s="14" t="s">
        <v>59</v>
      </c>
      <c r="C2919" s="14" t="s">
        <v>363</v>
      </c>
      <c r="D2919" s="14" t="s">
        <v>364</v>
      </c>
      <c r="E2919" s="14" t="s">
        <v>344</v>
      </c>
      <c r="F2919" s="14" t="s">
        <v>343</v>
      </c>
      <c r="G2919" s="14" t="s">
        <v>343</v>
      </c>
      <c r="H2919" s="14" t="s">
        <v>343</v>
      </c>
      <c r="U2919" s="14">
        <v>82</v>
      </c>
      <c r="V2919" s="14">
        <v>85</v>
      </c>
      <c r="W2919" s="14">
        <v>55</v>
      </c>
      <c r="X2919" s="14">
        <v>1</v>
      </c>
    </row>
    <row r="2920" spans="1:24" hidden="1" x14ac:dyDescent="0.3">
      <c r="A2920" s="14" t="s">
        <v>463</v>
      </c>
      <c r="B2920" s="14" t="s">
        <v>59</v>
      </c>
      <c r="C2920" s="14" t="s">
        <v>365</v>
      </c>
      <c r="D2920" s="14" t="s">
        <v>366</v>
      </c>
      <c r="E2920" s="14" t="s">
        <v>342</v>
      </c>
      <c r="F2920" s="14" t="s">
        <v>343</v>
      </c>
      <c r="G2920" s="14" t="s">
        <v>343</v>
      </c>
      <c r="H2920" s="14" t="s">
        <v>343</v>
      </c>
      <c r="U2920" s="14">
        <v>0.94</v>
      </c>
      <c r="V2920" s="14">
        <v>0.94</v>
      </c>
      <c r="W2920" s="14">
        <v>0.94</v>
      </c>
      <c r="X2920" s="14">
        <v>0.94</v>
      </c>
    </row>
    <row r="2921" spans="1:24" hidden="1" x14ac:dyDescent="0.3">
      <c r="A2921" s="14" t="s">
        <v>463</v>
      </c>
      <c r="B2921" s="14" t="s">
        <v>59</v>
      </c>
      <c r="C2921" s="14" t="s">
        <v>365</v>
      </c>
      <c r="D2921" s="14" t="s">
        <v>366</v>
      </c>
      <c r="E2921" s="14" t="s">
        <v>344</v>
      </c>
      <c r="F2921" s="14" t="s">
        <v>343</v>
      </c>
      <c r="G2921" s="14" t="s">
        <v>343</v>
      </c>
      <c r="H2921" s="14" t="s">
        <v>343</v>
      </c>
      <c r="U2921" s="14">
        <v>1</v>
      </c>
      <c r="V2921" s="14">
        <v>1</v>
      </c>
      <c r="W2921" s="14">
        <v>1</v>
      </c>
      <c r="X2921" s="14">
        <v>1</v>
      </c>
    </row>
    <row r="2922" spans="1:24" hidden="1" x14ac:dyDescent="0.3">
      <c r="A2922" s="14" t="s">
        <v>463</v>
      </c>
      <c r="B2922" s="14" t="s">
        <v>59</v>
      </c>
      <c r="C2922" s="14" t="s">
        <v>367</v>
      </c>
      <c r="D2922" s="14" t="s">
        <v>368</v>
      </c>
      <c r="E2922" s="14" t="s">
        <v>342</v>
      </c>
      <c r="F2922" s="14" t="s">
        <v>343</v>
      </c>
      <c r="G2922" s="14" t="s">
        <v>343</v>
      </c>
      <c r="H2922" s="14" t="s">
        <v>343</v>
      </c>
      <c r="I2922" s="14">
        <v>0.63</v>
      </c>
      <c r="J2922" s="14">
        <v>0.64</v>
      </c>
      <c r="K2922" s="14">
        <v>0.65</v>
      </c>
      <c r="L2922" s="14">
        <v>0.64</v>
      </c>
      <c r="M2922" s="14">
        <v>0.65</v>
      </c>
      <c r="N2922" s="14">
        <v>0.65</v>
      </c>
      <c r="O2922" s="14">
        <v>0.65</v>
      </c>
      <c r="P2922" s="14">
        <v>0.65</v>
      </c>
      <c r="Q2922" s="14">
        <v>0.65</v>
      </c>
      <c r="R2922" s="14">
        <v>0.66</v>
      </c>
      <c r="S2922" s="14">
        <v>0.66</v>
      </c>
      <c r="T2922" s="14">
        <v>0.68</v>
      </c>
      <c r="U2922" s="14">
        <v>0.68</v>
      </c>
      <c r="V2922" s="14">
        <v>0.69</v>
      </c>
      <c r="W2922" s="14">
        <v>0.68</v>
      </c>
      <c r="X2922" s="14">
        <v>0.74</v>
      </c>
    </row>
    <row r="2923" spans="1:24" hidden="1" x14ac:dyDescent="0.3">
      <c r="A2923" s="14" t="s">
        <v>463</v>
      </c>
      <c r="B2923" s="14" t="s">
        <v>59</v>
      </c>
      <c r="C2923" s="14" t="s">
        <v>367</v>
      </c>
      <c r="D2923" s="14" t="s">
        <v>368</v>
      </c>
      <c r="E2923" s="14" t="s">
        <v>344</v>
      </c>
      <c r="F2923" s="14" t="s">
        <v>343</v>
      </c>
      <c r="G2923" s="14" t="s">
        <v>343</v>
      </c>
      <c r="H2923" s="14" t="s">
        <v>343</v>
      </c>
      <c r="I2923" s="14">
        <v>89</v>
      </c>
      <c r="J2923" s="14">
        <v>98</v>
      </c>
      <c r="K2923" s="14">
        <v>94</v>
      </c>
      <c r="L2923" s="14">
        <v>104</v>
      </c>
      <c r="M2923" s="14">
        <v>97</v>
      </c>
      <c r="N2923" s="14">
        <v>102</v>
      </c>
      <c r="O2923" s="14">
        <v>103</v>
      </c>
      <c r="P2923" s="14">
        <v>104</v>
      </c>
      <c r="Q2923" s="14">
        <v>108</v>
      </c>
      <c r="R2923" s="14">
        <v>109</v>
      </c>
      <c r="S2923" s="14">
        <v>112</v>
      </c>
      <c r="T2923" s="14">
        <v>99</v>
      </c>
      <c r="U2923" s="14">
        <v>93</v>
      </c>
      <c r="V2923" s="14">
        <v>89</v>
      </c>
      <c r="W2923" s="14">
        <v>103</v>
      </c>
      <c r="X2923" s="14">
        <v>45</v>
      </c>
    </row>
    <row r="2924" spans="1:24" hidden="1" x14ac:dyDescent="0.3">
      <c r="A2924" s="14" t="s">
        <v>463</v>
      </c>
      <c r="B2924" s="14" t="s">
        <v>59</v>
      </c>
      <c r="C2924" s="14" t="s">
        <v>369</v>
      </c>
      <c r="D2924" s="14" t="s">
        <v>370</v>
      </c>
      <c r="E2924" s="14" t="s">
        <v>342</v>
      </c>
      <c r="F2924" s="14" t="s">
        <v>343</v>
      </c>
      <c r="G2924" s="14" t="s">
        <v>343</v>
      </c>
      <c r="H2924" s="14" t="s">
        <v>343</v>
      </c>
      <c r="I2924" s="14">
        <v>0.05</v>
      </c>
      <c r="J2924" s="14">
        <v>0.05</v>
      </c>
      <c r="K2924" s="14">
        <v>0.09</v>
      </c>
      <c r="L2924" s="14">
        <v>0.08</v>
      </c>
      <c r="M2924" s="14">
        <v>0.11</v>
      </c>
      <c r="N2924" s="14">
        <v>0.11</v>
      </c>
      <c r="O2924" s="14">
        <v>0.09</v>
      </c>
      <c r="P2924" s="14">
        <v>0.09</v>
      </c>
      <c r="Q2924" s="14">
        <v>0.09</v>
      </c>
      <c r="R2924" s="14">
        <v>0.1</v>
      </c>
      <c r="S2924" s="14">
        <v>0.1</v>
      </c>
      <c r="T2924" s="14">
        <v>0.1</v>
      </c>
      <c r="U2924" s="14">
        <v>0.1</v>
      </c>
      <c r="V2924" s="14">
        <v>0.1</v>
      </c>
      <c r="W2924" s="14">
        <v>0.11</v>
      </c>
      <c r="X2924" s="14">
        <v>0.24</v>
      </c>
    </row>
    <row r="2925" spans="1:24" hidden="1" x14ac:dyDescent="0.3">
      <c r="A2925" s="14" t="s">
        <v>463</v>
      </c>
      <c r="B2925" s="14" t="s">
        <v>59</v>
      </c>
      <c r="C2925" s="14" t="s">
        <v>369</v>
      </c>
      <c r="D2925" s="14" t="s">
        <v>370</v>
      </c>
      <c r="E2925" s="14" t="s">
        <v>344</v>
      </c>
      <c r="F2925" s="14" t="s">
        <v>343</v>
      </c>
      <c r="G2925" s="14" t="s">
        <v>343</v>
      </c>
      <c r="H2925" s="14" t="s">
        <v>343</v>
      </c>
      <c r="I2925" s="14">
        <v>94</v>
      </c>
      <c r="J2925" s="14">
        <v>105</v>
      </c>
      <c r="K2925" s="14">
        <v>87</v>
      </c>
      <c r="L2925" s="14">
        <v>98</v>
      </c>
      <c r="M2925" s="14">
        <v>78</v>
      </c>
      <c r="N2925" s="14">
        <v>78</v>
      </c>
      <c r="O2925" s="14">
        <v>91</v>
      </c>
      <c r="P2925" s="14">
        <v>96</v>
      </c>
      <c r="Q2925" s="14">
        <v>110</v>
      </c>
      <c r="R2925" s="14">
        <v>109</v>
      </c>
      <c r="S2925" s="14">
        <v>108</v>
      </c>
      <c r="T2925" s="14">
        <v>106</v>
      </c>
      <c r="U2925" s="14">
        <v>108</v>
      </c>
      <c r="V2925" s="14">
        <v>119</v>
      </c>
      <c r="W2925" s="14">
        <v>126</v>
      </c>
      <c r="X2925" s="14">
        <v>62</v>
      </c>
    </row>
    <row r="2926" spans="1:24" hidden="1" x14ac:dyDescent="0.3">
      <c r="A2926" s="14" t="s">
        <v>463</v>
      </c>
      <c r="B2926" s="14" t="s">
        <v>59</v>
      </c>
      <c r="C2926" s="14" t="s">
        <v>371</v>
      </c>
      <c r="D2926" s="14" t="s">
        <v>372</v>
      </c>
      <c r="E2926" s="14" t="s">
        <v>342</v>
      </c>
      <c r="F2926" s="14" t="s">
        <v>343</v>
      </c>
      <c r="G2926" s="14" t="s">
        <v>343</v>
      </c>
      <c r="H2926" s="14" t="s">
        <v>343</v>
      </c>
      <c r="U2926" s="14">
        <v>0</v>
      </c>
      <c r="V2926" s="14">
        <v>0</v>
      </c>
      <c r="W2926" s="14">
        <v>0</v>
      </c>
      <c r="X2926" s="14">
        <v>0</v>
      </c>
    </row>
    <row r="2927" spans="1:24" hidden="1" x14ac:dyDescent="0.3">
      <c r="A2927" s="14" t="s">
        <v>463</v>
      </c>
      <c r="B2927" s="14" t="s">
        <v>59</v>
      </c>
      <c r="C2927" s="14" t="s">
        <v>371</v>
      </c>
      <c r="D2927" s="14" t="s">
        <v>372</v>
      </c>
      <c r="E2927" s="14" t="s">
        <v>344</v>
      </c>
      <c r="F2927" s="14" t="s">
        <v>343</v>
      </c>
      <c r="G2927" s="14" t="s">
        <v>343</v>
      </c>
      <c r="H2927" s="14" t="s">
        <v>343</v>
      </c>
      <c r="U2927" s="14">
        <v>71</v>
      </c>
      <c r="V2927" s="14">
        <v>73</v>
      </c>
      <c r="W2927" s="14">
        <v>76</v>
      </c>
      <c r="X2927" s="14">
        <v>78</v>
      </c>
    </row>
    <row r="2928" spans="1:24" hidden="1" x14ac:dyDescent="0.3">
      <c r="A2928" s="14" t="s">
        <v>463</v>
      </c>
      <c r="B2928" s="14" t="s">
        <v>59</v>
      </c>
      <c r="C2928" s="14" t="s">
        <v>373</v>
      </c>
      <c r="D2928" s="14" t="s">
        <v>374</v>
      </c>
      <c r="E2928" s="14" t="s">
        <v>342</v>
      </c>
      <c r="F2928" s="14" t="s">
        <v>343</v>
      </c>
      <c r="G2928" s="14" t="s">
        <v>343</v>
      </c>
      <c r="H2928" s="14" t="s">
        <v>343</v>
      </c>
      <c r="U2928" s="14">
        <v>0.1</v>
      </c>
      <c r="V2928" s="14">
        <v>0.1</v>
      </c>
      <c r="W2928" s="14">
        <v>0.1</v>
      </c>
      <c r="X2928" s="14">
        <v>0.17</v>
      </c>
    </row>
    <row r="2929" spans="1:24" hidden="1" x14ac:dyDescent="0.3">
      <c r="A2929" s="14" t="s">
        <v>463</v>
      </c>
      <c r="B2929" s="14" t="s">
        <v>59</v>
      </c>
      <c r="C2929" s="14" t="s">
        <v>373</v>
      </c>
      <c r="D2929" s="14" t="s">
        <v>374</v>
      </c>
      <c r="E2929" s="14" t="s">
        <v>344</v>
      </c>
      <c r="F2929" s="14" t="s">
        <v>343</v>
      </c>
      <c r="G2929" s="14" t="s">
        <v>343</v>
      </c>
      <c r="H2929" s="14" t="s">
        <v>343</v>
      </c>
      <c r="U2929" s="14">
        <v>119</v>
      </c>
      <c r="V2929" s="14">
        <v>121</v>
      </c>
      <c r="W2929" s="14">
        <v>130</v>
      </c>
      <c r="X2929" s="14">
        <v>101</v>
      </c>
    </row>
    <row r="2930" spans="1:24" hidden="1" x14ac:dyDescent="0.3">
      <c r="A2930" s="14" t="s">
        <v>463</v>
      </c>
      <c r="B2930" s="14" t="s">
        <v>59</v>
      </c>
      <c r="C2930" s="14" t="s">
        <v>375</v>
      </c>
      <c r="D2930" s="14" t="s">
        <v>376</v>
      </c>
      <c r="E2930" s="14" t="s">
        <v>342</v>
      </c>
      <c r="F2930" s="14" t="s">
        <v>343</v>
      </c>
      <c r="G2930" s="14" t="s">
        <v>343</v>
      </c>
      <c r="H2930" s="14" t="s">
        <v>343</v>
      </c>
      <c r="U2930" s="14">
        <v>0.25</v>
      </c>
      <c r="V2930" s="14">
        <v>0.25</v>
      </c>
      <c r="W2930" s="14">
        <v>0.28000000000000003</v>
      </c>
      <c r="X2930" s="14">
        <v>0.64</v>
      </c>
    </row>
    <row r="2931" spans="1:24" hidden="1" x14ac:dyDescent="0.3">
      <c r="A2931" s="14" t="s">
        <v>463</v>
      </c>
      <c r="B2931" s="14" t="s">
        <v>59</v>
      </c>
      <c r="C2931" s="14" t="s">
        <v>375</v>
      </c>
      <c r="D2931" s="14" t="s">
        <v>376</v>
      </c>
      <c r="E2931" s="14" t="s">
        <v>344</v>
      </c>
      <c r="F2931" s="14" t="s">
        <v>343</v>
      </c>
      <c r="G2931" s="14" t="s">
        <v>343</v>
      </c>
      <c r="H2931" s="14" t="s">
        <v>343</v>
      </c>
      <c r="U2931" s="14">
        <v>83</v>
      </c>
      <c r="V2931" s="14">
        <v>92</v>
      </c>
      <c r="W2931" s="14">
        <v>91</v>
      </c>
      <c r="X2931" s="14">
        <v>31</v>
      </c>
    </row>
    <row r="2932" spans="1:24" hidden="1" x14ac:dyDescent="0.3">
      <c r="A2932" s="14" t="s">
        <v>464</v>
      </c>
      <c r="B2932" s="14" t="s">
        <v>465</v>
      </c>
      <c r="C2932" s="14" t="s">
        <v>340</v>
      </c>
      <c r="D2932" s="14" t="s">
        <v>341</v>
      </c>
      <c r="E2932" s="14" t="s">
        <v>342</v>
      </c>
      <c r="F2932" s="14" t="s">
        <v>343</v>
      </c>
      <c r="G2932" s="14" t="s">
        <v>343</v>
      </c>
      <c r="H2932" s="14" t="s">
        <v>343</v>
      </c>
      <c r="I2932" s="14">
        <v>0.95</v>
      </c>
      <c r="J2932" s="14">
        <v>0.95</v>
      </c>
      <c r="K2932" s="14">
        <v>0.94</v>
      </c>
      <c r="L2932" s="14">
        <v>0.89</v>
      </c>
      <c r="M2932" s="14">
        <v>0.95</v>
      </c>
      <c r="N2932" s="14">
        <v>0.95</v>
      </c>
      <c r="O2932" s="14">
        <v>0.96</v>
      </c>
      <c r="P2932" s="14">
        <v>0.96</v>
      </c>
      <c r="Q2932" s="14">
        <v>0.96</v>
      </c>
      <c r="R2932" s="14">
        <v>0.96</v>
      </c>
      <c r="S2932" s="14">
        <v>0.96</v>
      </c>
      <c r="T2932" s="14">
        <v>0.96</v>
      </c>
      <c r="U2932" s="14">
        <v>0.97</v>
      </c>
      <c r="V2932" s="14">
        <v>0.97</v>
      </c>
      <c r="W2932" s="14">
        <v>0.97</v>
      </c>
      <c r="X2932" s="14">
        <v>0.98</v>
      </c>
    </row>
    <row r="2933" spans="1:24" hidden="1" x14ac:dyDescent="0.3">
      <c r="A2933" s="14" t="s">
        <v>464</v>
      </c>
      <c r="B2933" s="14" t="s">
        <v>465</v>
      </c>
      <c r="C2933" s="14" t="s">
        <v>340</v>
      </c>
      <c r="D2933" s="14" t="s">
        <v>341</v>
      </c>
      <c r="E2933" s="14" t="s">
        <v>344</v>
      </c>
      <c r="F2933" s="14" t="s">
        <v>343</v>
      </c>
      <c r="G2933" s="14" t="s">
        <v>343</v>
      </c>
      <c r="H2933" s="14" t="s">
        <v>343</v>
      </c>
      <c r="I2933" s="14">
        <v>81</v>
      </c>
      <c r="J2933" s="14">
        <v>94</v>
      </c>
      <c r="K2933" s="14">
        <v>99</v>
      </c>
      <c r="L2933" s="14">
        <v>109</v>
      </c>
      <c r="M2933" s="14">
        <v>100</v>
      </c>
      <c r="N2933" s="14">
        <v>97</v>
      </c>
      <c r="O2933" s="14">
        <v>99</v>
      </c>
      <c r="P2933" s="14">
        <v>100</v>
      </c>
      <c r="Q2933" s="14">
        <v>103</v>
      </c>
      <c r="R2933" s="14">
        <v>102</v>
      </c>
      <c r="S2933" s="14">
        <v>102</v>
      </c>
      <c r="T2933" s="14">
        <v>105</v>
      </c>
      <c r="U2933" s="14">
        <v>100</v>
      </c>
      <c r="V2933" s="14">
        <v>101</v>
      </c>
      <c r="W2933" s="14">
        <v>104</v>
      </c>
      <c r="X2933" s="14">
        <v>97</v>
      </c>
    </row>
    <row r="2934" spans="1:24" hidden="1" x14ac:dyDescent="0.3">
      <c r="A2934" s="14" t="s">
        <v>464</v>
      </c>
      <c r="B2934" s="14" t="s">
        <v>465</v>
      </c>
      <c r="C2934" s="14" t="s">
        <v>345</v>
      </c>
      <c r="D2934" s="14" t="s">
        <v>346</v>
      </c>
      <c r="E2934" s="14" t="s">
        <v>342</v>
      </c>
      <c r="F2934" s="14" t="s">
        <v>343</v>
      </c>
      <c r="G2934" s="14" t="s">
        <v>343</v>
      </c>
      <c r="H2934" s="14" t="s">
        <v>343</v>
      </c>
      <c r="U2934" s="14">
        <v>0.46</v>
      </c>
      <c r="V2934" s="14">
        <v>0.48</v>
      </c>
      <c r="W2934" s="14">
        <v>0.49</v>
      </c>
      <c r="X2934" s="14">
        <v>0.49</v>
      </c>
    </row>
    <row r="2935" spans="1:24" hidden="1" x14ac:dyDescent="0.3">
      <c r="A2935" s="14" t="s">
        <v>464</v>
      </c>
      <c r="B2935" s="14" t="s">
        <v>465</v>
      </c>
      <c r="C2935" s="14" t="s">
        <v>345</v>
      </c>
      <c r="D2935" s="14" t="s">
        <v>346</v>
      </c>
      <c r="E2935" s="14" t="s">
        <v>344</v>
      </c>
      <c r="F2935" s="14" t="s">
        <v>343</v>
      </c>
      <c r="G2935" s="14" t="s">
        <v>343</v>
      </c>
      <c r="H2935" s="14" t="s">
        <v>343</v>
      </c>
      <c r="U2935" s="14">
        <v>121</v>
      </c>
      <c r="V2935" s="14">
        <v>121</v>
      </c>
      <c r="W2935" s="14">
        <v>119</v>
      </c>
      <c r="X2935" s="14">
        <v>120</v>
      </c>
    </row>
    <row r="2936" spans="1:24" hidden="1" x14ac:dyDescent="0.3">
      <c r="A2936" s="14" t="s">
        <v>464</v>
      </c>
      <c r="B2936" s="14" t="s">
        <v>465</v>
      </c>
      <c r="C2936" s="14" t="s">
        <v>347</v>
      </c>
      <c r="D2936" s="14" t="s">
        <v>348</v>
      </c>
      <c r="E2936" s="14" t="s">
        <v>342</v>
      </c>
      <c r="F2936" s="14" t="s">
        <v>343</v>
      </c>
      <c r="G2936" s="14" t="s">
        <v>343</v>
      </c>
      <c r="H2936" s="14" t="s">
        <v>343</v>
      </c>
      <c r="U2936" s="14">
        <v>0.75</v>
      </c>
      <c r="V2936" s="14">
        <v>0.76</v>
      </c>
      <c r="W2936" s="14">
        <v>0.77</v>
      </c>
      <c r="X2936" s="14">
        <v>0.74</v>
      </c>
    </row>
    <row r="2937" spans="1:24" hidden="1" x14ac:dyDescent="0.3">
      <c r="A2937" s="14" t="s">
        <v>464</v>
      </c>
      <c r="B2937" s="14" t="s">
        <v>465</v>
      </c>
      <c r="C2937" s="14" t="s">
        <v>347</v>
      </c>
      <c r="D2937" s="14" t="s">
        <v>348</v>
      </c>
      <c r="E2937" s="14" t="s">
        <v>344</v>
      </c>
      <c r="F2937" s="14" t="s">
        <v>343</v>
      </c>
      <c r="G2937" s="14" t="s">
        <v>343</v>
      </c>
      <c r="H2937" s="14" t="s">
        <v>343</v>
      </c>
      <c r="U2937" s="14">
        <v>88</v>
      </c>
      <c r="V2937" s="14">
        <v>92</v>
      </c>
      <c r="W2937" s="14">
        <v>92</v>
      </c>
      <c r="X2937" s="14">
        <v>90</v>
      </c>
    </row>
    <row r="2938" spans="1:24" hidden="1" x14ac:dyDescent="0.3">
      <c r="A2938" s="14" t="s">
        <v>464</v>
      </c>
      <c r="B2938" s="14" t="s">
        <v>465</v>
      </c>
      <c r="C2938" s="14" t="s">
        <v>349</v>
      </c>
      <c r="D2938" s="14" t="s">
        <v>350</v>
      </c>
      <c r="E2938" s="14" t="s">
        <v>342</v>
      </c>
      <c r="F2938" s="14" t="s">
        <v>343</v>
      </c>
      <c r="G2938" s="14" t="s">
        <v>343</v>
      </c>
      <c r="H2938" s="14" t="s">
        <v>343</v>
      </c>
      <c r="U2938" s="14">
        <v>0.14000000000000001</v>
      </c>
      <c r="V2938" s="14">
        <v>0.11</v>
      </c>
      <c r="W2938" s="14">
        <v>0.18</v>
      </c>
      <c r="X2938" s="14">
        <v>0.19</v>
      </c>
    </row>
    <row r="2939" spans="1:24" hidden="1" x14ac:dyDescent="0.3">
      <c r="A2939" s="14" t="s">
        <v>464</v>
      </c>
      <c r="B2939" s="14" t="s">
        <v>465</v>
      </c>
      <c r="C2939" s="14" t="s">
        <v>349</v>
      </c>
      <c r="D2939" s="14" t="s">
        <v>350</v>
      </c>
      <c r="E2939" s="14" t="s">
        <v>344</v>
      </c>
      <c r="F2939" s="14" t="s">
        <v>343</v>
      </c>
      <c r="G2939" s="14" t="s">
        <v>343</v>
      </c>
      <c r="H2939" s="14" t="s">
        <v>343</v>
      </c>
      <c r="U2939" s="14">
        <v>133</v>
      </c>
      <c r="V2939" s="14">
        <v>142</v>
      </c>
      <c r="W2939" s="14">
        <v>134</v>
      </c>
      <c r="X2939" s="14">
        <v>125</v>
      </c>
    </row>
    <row r="2940" spans="1:24" hidden="1" x14ac:dyDescent="0.3">
      <c r="A2940" s="14" t="s">
        <v>464</v>
      </c>
      <c r="B2940" s="14" t="s">
        <v>465</v>
      </c>
      <c r="C2940" s="14" t="s">
        <v>351</v>
      </c>
      <c r="D2940" s="14" t="s">
        <v>352</v>
      </c>
      <c r="E2940" s="14" t="s">
        <v>342</v>
      </c>
      <c r="F2940" s="14" t="s">
        <v>343</v>
      </c>
      <c r="G2940" s="14" t="s">
        <v>343</v>
      </c>
      <c r="H2940" s="14" t="s">
        <v>343</v>
      </c>
      <c r="U2940" s="14">
        <v>0.93</v>
      </c>
      <c r="V2940" s="14">
        <v>0.93</v>
      </c>
      <c r="W2940" s="14">
        <v>0.97</v>
      </c>
      <c r="X2940" s="14">
        <v>1</v>
      </c>
    </row>
    <row r="2941" spans="1:24" hidden="1" x14ac:dyDescent="0.3">
      <c r="A2941" s="14" t="s">
        <v>464</v>
      </c>
      <c r="B2941" s="14" t="s">
        <v>465</v>
      </c>
      <c r="C2941" s="14" t="s">
        <v>351</v>
      </c>
      <c r="D2941" s="14" t="s">
        <v>352</v>
      </c>
      <c r="E2941" s="14" t="s">
        <v>344</v>
      </c>
      <c r="F2941" s="14" t="s">
        <v>343</v>
      </c>
      <c r="G2941" s="14" t="s">
        <v>343</v>
      </c>
      <c r="H2941" s="14" t="s">
        <v>343</v>
      </c>
      <c r="U2941" s="14">
        <v>86</v>
      </c>
      <c r="V2941" s="14">
        <v>88</v>
      </c>
      <c r="W2941" s="14">
        <v>80</v>
      </c>
      <c r="X2941" s="14">
        <v>68</v>
      </c>
    </row>
    <row r="2942" spans="1:24" hidden="1" x14ac:dyDescent="0.3">
      <c r="A2942" s="14" t="s">
        <v>464</v>
      </c>
      <c r="B2942" s="14" t="s">
        <v>465</v>
      </c>
      <c r="C2942" s="14" t="s">
        <v>378</v>
      </c>
      <c r="D2942" s="14" t="s">
        <v>379</v>
      </c>
      <c r="E2942" s="14" t="s">
        <v>342</v>
      </c>
      <c r="F2942" s="14" t="s">
        <v>343</v>
      </c>
      <c r="G2942" s="14" t="s">
        <v>343</v>
      </c>
      <c r="H2942" s="14" t="s">
        <v>343</v>
      </c>
      <c r="S2942" s="14">
        <v>0.52</v>
      </c>
      <c r="U2942" s="14">
        <v>0.53</v>
      </c>
      <c r="V2942" s="14">
        <v>0.55000000000000004</v>
      </c>
      <c r="W2942" s="14">
        <v>0.56999999999999995</v>
      </c>
      <c r="X2942" s="14">
        <v>0.6</v>
      </c>
    </row>
    <row r="2943" spans="1:24" hidden="1" x14ac:dyDescent="0.3">
      <c r="A2943" s="14" t="s">
        <v>464</v>
      </c>
      <c r="B2943" s="14" t="s">
        <v>465</v>
      </c>
      <c r="C2943" s="14" t="s">
        <v>378</v>
      </c>
      <c r="D2943" s="14" t="s">
        <v>379</v>
      </c>
      <c r="E2943" s="14" t="s">
        <v>344</v>
      </c>
      <c r="F2943" s="14" t="s">
        <v>343</v>
      </c>
      <c r="G2943" s="14" t="s">
        <v>343</v>
      </c>
      <c r="H2943" s="14" t="s">
        <v>343</v>
      </c>
      <c r="S2943" s="14">
        <v>125</v>
      </c>
      <c r="U2943" s="14">
        <v>121</v>
      </c>
      <c r="V2943" s="14">
        <v>119</v>
      </c>
      <c r="W2943" s="14">
        <v>116</v>
      </c>
      <c r="X2943" s="14">
        <v>98</v>
      </c>
    </row>
    <row r="2944" spans="1:24" hidden="1" x14ac:dyDescent="0.3">
      <c r="A2944" s="14" t="s">
        <v>464</v>
      </c>
      <c r="B2944" s="14" t="s">
        <v>465</v>
      </c>
      <c r="C2944" s="14" t="s">
        <v>353</v>
      </c>
      <c r="D2944" s="14" t="s">
        <v>354</v>
      </c>
      <c r="E2944" s="14" t="s">
        <v>342</v>
      </c>
      <c r="F2944" s="14" t="s">
        <v>343</v>
      </c>
      <c r="G2944" s="14" t="s">
        <v>343</v>
      </c>
      <c r="H2944" s="14" t="s">
        <v>343</v>
      </c>
      <c r="U2944" s="14">
        <v>1</v>
      </c>
      <c r="V2944" s="14">
        <v>1</v>
      </c>
      <c r="W2944" s="14">
        <v>1</v>
      </c>
      <c r="X2944" s="14">
        <v>1</v>
      </c>
    </row>
    <row r="2945" spans="1:24" hidden="1" x14ac:dyDescent="0.3">
      <c r="A2945" s="14" t="s">
        <v>464</v>
      </c>
      <c r="B2945" s="14" t="s">
        <v>465</v>
      </c>
      <c r="C2945" s="14" t="s">
        <v>353</v>
      </c>
      <c r="D2945" s="14" t="s">
        <v>354</v>
      </c>
      <c r="E2945" s="14" t="s">
        <v>344</v>
      </c>
      <c r="F2945" s="14" t="s">
        <v>343</v>
      </c>
      <c r="G2945" s="14" t="s">
        <v>343</v>
      </c>
      <c r="H2945" s="14" t="s">
        <v>343</v>
      </c>
      <c r="U2945" s="14">
        <v>1</v>
      </c>
      <c r="V2945" s="14">
        <v>1</v>
      </c>
      <c r="W2945" s="14">
        <v>1</v>
      </c>
      <c r="X2945" s="14">
        <v>1</v>
      </c>
    </row>
    <row r="2946" spans="1:24" hidden="1" x14ac:dyDescent="0.3">
      <c r="A2946" s="14" t="s">
        <v>464</v>
      </c>
      <c r="B2946" s="14" t="s">
        <v>465</v>
      </c>
      <c r="C2946" s="14" t="s">
        <v>380</v>
      </c>
      <c r="D2946" s="14" t="s">
        <v>381</v>
      </c>
      <c r="E2946" s="14" t="s">
        <v>342</v>
      </c>
      <c r="F2946" s="14" t="s">
        <v>343</v>
      </c>
      <c r="G2946" s="14" t="s">
        <v>343</v>
      </c>
      <c r="H2946" s="14" t="s">
        <v>343</v>
      </c>
      <c r="U2946" s="14">
        <v>1</v>
      </c>
      <c r="V2946" s="14">
        <v>1</v>
      </c>
      <c r="W2946" s="14">
        <v>1</v>
      </c>
      <c r="X2946" s="14">
        <v>1</v>
      </c>
    </row>
    <row r="2947" spans="1:24" hidden="1" x14ac:dyDescent="0.3">
      <c r="A2947" s="14" t="s">
        <v>464</v>
      </c>
      <c r="B2947" s="14" t="s">
        <v>465</v>
      </c>
      <c r="C2947" s="14" t="s">
        <v>380</v>
      </c>
      <c r="D2947" s="14" t="s">
        <v>381</v>
      </c>
      <c r="E2947" s="14" t="s">
        <v>344</v>
      </c>
      <c r="F2947" s="14" t="s">
        <v>343</v>
      </c>
      <c r="G2947" s="14" t="s">
        <v>343</v>
      </c>
      <c r="H2947" s="14" t="s">
        <v>343</v>
      </c>
      <c r="U2947" s="14">
        <v>1</v>
      </c>
      <c r="V2947" s="14">
        <v>84</v>
      </c>
      <c r="W2947" s="14">
        <v>85</v>
      </c>
      <c r="X2947" s="14">
        <v>70</v>
      </c>
    </row>
    <row r="2948" spans="1:24" hidden="1" x14ac:dyDescent="0.3">
      <c r="A2948" s="14" t="s">
        <v>464</v>
      </c>
      <c r="B2948" s="14" t="s">
        <v>465</v>
      </c>
      <c r="C2948" s="14" t="s">
        <v>355</v>
      </c>
      <c r="D2948" s="14" t="s">
        <v>356</v>
      </c>
      <c r="E2948" s="14" t="s">
        <v>342</v>
      </c>
      <c r="F2948" s="14" t="s">
        <v>343</v>
      </c>
      <c r="G2948" s="14" t="s">
        <v>343</v>
      </c>
      <c r="H2948" s="14" t="s">
        <v>343</v>
      </c>
      <c r="U2948" s="14">
        <v>1</v>
      </c>
      <c r="V2948" s="14">
        <v>1</v>
      </c>
      <c r="W2948" s="14">
        <v>1</v>
      </c>
      <c r="X2948" s="14">
        <v>0.99</v>
      </c>
    </row>
    <row r="2949" spans="1:24" hidden="1" x14ac:dyDescent="0.3">
      <c r="A2949" s="14" t="s">
        <v>464</v>
      </c>
      <c r="B2949" s="14" t="s">
        <v>465</v>
      </c>
      <c r="C2949" s="14" t="s">
        <v>355</v>
      </c>
      <c r="D2949" s="14" t="s">
        <v>356</v>
      </c>
      <c r="E2949" s="14" t="s">
        <v>344</v>
      </c>
      <c r="F2949" s="14" t="s">
        <v>343</v>
      </c>
      <c r="G2949" s="14" t="s">
        <v>343</v>
      </c>
      <c r="H2949" s="14" t="s">
        <v>343</v>
      </c>
      <c r="U2949" s="14">
        <v>1</v>
      </c>
      <c r="V2949" s="14">
        <v>107</v>
      </c>
      <c r="W2949" s="14">
        <v>108</v>
      </c>
      <c r="X2949" s="14">
        <v>82</v>
      </c>
    </row>
    <row r="2950" spans="1:24" hidden="1" x14ac:dyDescent="0.3">
      <c r="A2950" s="14" t="s">
        <v>464</v>
      </c>
      <c r="B2950" s="14" t="s">
        <v>465</v>
      </c>
      <c r="C2950" s="14" t="s">
        <v>357</v>
      </c>
      <c r="D2950" s="14" t="s">
        <v>358</v>
      </c>
      <c r="E2950" s="14" t="s">
        <v>342</v>
      </c>
      <c r="F2950" s="14" t="s">
        <v>343</v>
      </c>
      <c r="G2950" s="14" t="s">
        <v>343</v>
      </c>
      <c r="H2950" s="14" t="s">
        <v>343</v>
      </c>
      <c r="U2950" s="14">
        <v>0.78</v>
      </c>
      <c r="V2950" s="14">
        <v>0.79</v>
      </c>
      <c r="W2950" s="14">
        <v>0.79</v>
      </c>
      <c r="X2950" s="14">
        <v>0.82</v>
      </c>
    </row>
    <row r="2951" spans="1:24" hidden="1" x14ac:dyDescent="0.3">
      <c r="A2951" s="14" t="s">
        <v>464</v>
      </c>
      <c r="B2951" s="14" t="s">
        <v>465</v>
      </c>
      <c r="C2951" s="14" t="s">
        <v>357</v>
      </c>
      <c r="D2951" s="14" t="s">
        <v>358</v>
      </c>
      <c r="E2951" s="14" t="s">
        <v>344</v>
      </c>
      <c r="F2951" s="14" t="s">
        <v>343</v>
      </c>
      <c r="G2951" s="14" t="s">
        <v>343</v>
      </c>
      <c r="H2951" s="14" t="s">
        <v>343</v>
      </c>
      <c r="U2951" s="14">
        <v>113</v>
      </c>
      <c r="V2951" s="14">
        <v>120</v>
      </c>
      <c r="W2951" s="14">
        <v>121</v>
      </c>
      <c r="X2951" s="14">
        <v>113</v>
      </c>
    </row>
    <row r="2952" spans="1:24" hidden="1" x14ac:dyDescent="0.3">
      <c r="A2952" s="14" t="s">
        <v>464</v>
      </c>
      <c r="B2952" s="14" t="s">
        <v>465</v>
      </c>
      <c r="C2952" s="14" t="s">
        <v>359</v>
      </c>
      <c r="D2952" s="14" t="s">
        <v>360</v>
      </c>
      <c r="E2952" s="14" t="s">
        <v>342</v>
      </c>
      <c r="F2952" s="14" t="s">
        <v>343</v>
      </c>
      <c r="G2952" s="14" t="s">
        <v>343</v>
      </c>
      <c r="H2952" s="14" t="s">
        <v>343</v>
      </c>
      <c r="I2952" s="14">
        <v>0.48</v>
      </c>
      <c r="J2952" s="14">
        <v>0.57999999999999996</v>
      </c>
      <c r="K2952" s="14">
        <v>0.49</v>
      </c>
      <c r="L2952" s="14">
        <v>0.52</v>
      </c>
      <c r="M2952" s="14">
        <v>0.52</v>
      </c>
      <c r="N2952" s="14">
        <v>0.49</v>
      </c>
      <c r="O2952" s="14">
        <v>0.51</v>
      </c>
      <c r="P2952" s="14">
        <v>0.5</v>
      </c>
      <c r="Q2952" s="14">
        <v>0.51</v>
      </c>
      <c r="R2952" s="14">
        <v>0.56000000000000005</v>
      </c>
      <c r="S2952" s="14">
        <v>0.54</v>
      </c>
      <c r="T2952" s="14">
        <v>0.53</v>
      </c>
      <c r="U2952" s="14">
        <v>0.55000000000000004</v>
      </c>
      <c r="V2952" s="14">
        <v>0.56000000000000005</v>
      </c>
      <c r="W2952" s="14">
        <v>0.59</v>
      </c>
      <c r="X2952" s="14">
        <v>0.59</v>
      </c>
    </row>
    <row r="2953" spans="1:24" hidden="1" x14ac:dyDescent="0.3">
      <c r="A2953" s="14" t="s">
        <v>464</v>
      </c>
      <c r="B2953" s="14" t="s">
        <v>465</v>
      </c>
      <c r="C2953" s="14" t="s">
        <v>359</v>
      </c>
      <c r="D2953" s="14" t="s">
        <v>360</v>
      </c>
      <c r="E2953" s="14" t="s">
        <v>344</v>
      </c>
      <c r="F2953" s="14" t="s">
        <v>343</v>
      </c>
      <c r="G2953" s="14" t="s">
        <v>343</v>
      </c>
      <c r="H2953" s="14" t="s">
        <v>343</v>
      </c>
      <c r="I2953" s="14">
        <v>96</v>
      </c>
      <c r="J2953" s="14">
        <v>90</v>
      </c>
      <c r="K2953" s="14">
        <v>110</v>
      </c>
      <c r="L2953" s="14">
        <v>113</v>
      </c>
      <c r="M2953" s="14">
        <v>111</v>
      </c>
      <c r="N2953" s="14">
        <v>117</v>
      </c>
      <c r="O2953" s="14">
        <v>116</v>
      </c>
      <c r="P2953" s="14">
        <v>118</v>
      </c>
      <c r="Q2953" s="14">
        <v>124</v>
      </c>
      <c r="R2953" s="14">
        <v>125</v>
      </c>
      <c r="S2953" s="14">
        <v>123</v>
      </c>
      <c r="T2953" s="14">
        <v>121</v>
      </c>
      <c r="U2953" s="14">
        <v>124</v>
      </c>
      <c r="V2953" s="14">
        <v>127</v>
      </c>
      <c r="W2953" s="14">
        <v>123</v>
      </c>
      <c r="X2953" s="14">
        <v>115</v>
      </c>
    </row>
    <row r="2954" spans="1:24" x14ac:dyDescent="0.3">
      <c r="A2954" s="14" t="s">
        <v>464</v>
      </c>
      <c r="B2954" s="14" t="s">
        <v>465</v>
      </c>
      <c r="C2954" s="14" t="s">
        <v>361</v>
      </c>
      <c r="D2954" s="14" t="s">
        <v>362</v>
      </c>
      <c r="E2954" s="14" t="s">
        <v>342</v>
      </c>
      <c r="F2954" s="14" t="s">
        <v>343</v>
      </c>
      <c r="G2954" s="14" t="s">
        <v>343</v>
      </c>
      <c r="H2954" s="14" t="s">
        <v>343</v>
      </c>
      <c r="I2954" s="14">
        <v>0.97</v>
      </c>
      <c r="J2954" s="14">
        <v>0.97</v>
      </c>
      <c r="K2954" s="14">
        <v>0.97</v>
      </c>
      <c r="L2954" s="14">
        <v>0.97</v>
      </c>
      <c r="M2954" s="14">
        <v>0.97</v>
      </c>
      <c r="N2954" s="14">
        <v>0.97</v>
      </c>
      <c r="O2954" s="14">
        <v>0.97</v>
      </c>
      <c r="P2954" s="14">
        <v>0.97</v>
      </c>
      <c r="Q2954" s="14">
        <v>0.97</v>
      </c>
      <c r="R2954" s="14">
        <v>0.97</v>
      </c>
      <c r="S2954" s="14">
        <v>0.97</v>
      </c>
      <c r="T2954" s="14">
        <v>0.97</v>
      </c>
      <c r="U2954" s="14">
        <v>0.97</v>
      </c>
      <c r="V2954" s="14">
        <v>0.98</v>
      </c>
      <c r="W2954" s="14">
        <v>0.98</v>
      </c>
      <c r="X2954" s="14">
        <v>0.98</v>
      </c>
    </row>
    <row r="2955" spans="1:24" hidden="1" x14ac:dyDescent="0.3">
      <c r="A2955" s="14" t="s">
        <v>464</v>
      </c>
      <c r="B2955" s="14" t="s">
        <v>465</v>
      </c>
      <c r="C2955" s="14" t="s">
        <v>361</v>
      </c>
      <c r="D2955" s="14" t="s">
        <v>362</v>
      </c>
      <c r="E2955" s="14" t="s">
        <v>344</v>
      </c>
      <c r="F2955" s="14" t="s">
        <v>343</v>
      </c>
      <c r="G2955" s="14" t="s">
        <v>343</v>
      </c>
      <c r="H2955" s="14" t="s">
        <v>343</v>
      </c>
      <c r="I2955" s="14">
        <v>94</v>
      </c>
      <c r="J2955" s="14">
        <v>106</v>
      </c>
      <c r="K2955" s="14">
        <v>107</v>
      </c>
      <c r="L2955" s="14">
        <v>80</v>
      </c>
      <c r="M2955" s="14">
        <v>79</v>
      </c>
      <c r="N2955" s="14">
        <v>78</v>
      </c>
      <c r="O2955" s="14">
        <v>78</v>
      </c>
      <c r="P2955" s="14">
        <v>75</v>
      </c>
      <c r="Q2955" s="14">
        <v>74</v>
      </c>
      <c r="R2955" s="14">
        <v>79</v>
      </c>
      <c r="S2955" s="14">
        <v>76</v>
      </c>
      <c r="T2955" s="14">
        <v>84</v>
      </c>
      <c r="U2955" s="14">
        <v>87</v>
      </c>
      <c r="V2955" s="14">
        <v>1</v>
      </c>
      <c r="W2955" s="14">
        <v>54</v>
      </c>
      <c r="X2955" s="14">
        <v>52</v>
      </c>
    </row>
    <row r="2956" spans="1:24" hidden="1" x14ac:dyDescent="0.3">
      <c r="A2956" s="14" t="s">
        <v>464</v>
      </c>
      <c r="B2956" s="14" t="s">
        <v>465</v>
      </c>
      <c r="C2956" s="14" t="s">
        <v>363</v>
      </c>
      <c r="D2956" s="14" t="s">
        <v>364</v>
      </c>
      <c r="E2956" s="14" t="s">
        <v>342</v>
      </c>
      <c r="F2956" s="14" t="s">
        <v>343</v>
      </c>
      <c r="G2956" s="14" t="s">
        <v>343</v>
      </c>
      <c r="H2956" s="14" t="s">
        <v>343</v>
      </c>
      <c r="U2956" s="14">
        <v>1.06</v>
      </c>
      <c r="V2956" s="14">
        <v>1.06</v>
      </c>
      <c r="W2956" s="14">
        <v>1.05</v>
      </c>
      <c r="X2956" s="14">
        <v>1.05</v>
      </c>
    </row>
    <row r="2957" spans="1:24" hidden="1" x14ac:dyDescent="0.3">
      <c r="A2957" s="14" t="s">
        <v>464</v>
      </c>
      <c r="B2957" s="14" t="s">
        <v>465</v>
      </c>
      <c r="C2957" s="14" t="s">
        <v>363</v>
      </c>
      <c r="D2957" s="14" t="s">
        <v>364</v>
      </c>
      <c r="E2957" s="14" t="s">
        <v>344</v>
      </c>
      <c r="F2957" s="14" t="s">
        <v>343</v>
      </c>
      <c r="G2957" s="14" t="s">
        <v>343</v>
      </c>
      <c r="H2957" s="14" t="s">
        <v>343</v>
      </c>
      <c r="U2957" s="14">
        <v>1</v>
      </c>
      <c r="V2957" s="14">
        <v>1</v>
      </c>
      <c r="W2957" s="14">
        <v>62</v>
      </c>
      <c r="X2957" s="14">
        <v>57</v>
      </c>
    </row>
    <row r="2958" spans="1:24" hidden="1" x14ac:dyDescent="0.3">
      <c r="A2958" s="14" t="s">
        <v>464</v>
      </c>
      <c r="B2958" s="14" t="s">
        <v>465</v>
      </c>
      <c r="C2958" s="14" t="s">
        <v>365</v>
      </c>
      <c r="D2958" s="14" t="s">
        <v>366</v>
      </c>
      <c r="E2958" s="14" t="s">
        <v>342</v>
      </c>
      <c r="F2958" s="14" t="s">
        <v>343</v>
      </c>
      <c r="G2958" s="14" t="s">
        <v>343</v>
      </c>
      <c r="H2958" s="14" t="s">
        <v>343</v>
      </c>
      <c r="U2958" s="14">
        <v>0.93</v>
      </c>
      <c r="V2958" s="14">
        <v>0.94</v>
      </c>
      <c r="W2958" s="14">
        <v>0.94</v>
      </c>
      <c r="X2958" s="14">
        <v>0.94</v>
      </c>
    </row>
    <row r="2959" spans="1:24" hidden="1" x14ac:dyDescent="0.3">
      <c r="A2959" s="14" t="s">
        <v>464</v>
      </c>
      <c r="B2959" s="14" t="s">
        <v>465</v>
      </c>
      <c r="C2959" s="14" t="s">
        <v>365</v>
      </c>
      <c r="D2959" s="14" t="s">
        <v>366</v>
      </c>
      <c r="E2959" s="14" t="s">
        <v>344</v>
      </c>
      <c r="F2959" s="14" t="s">
        <v>343</v>
      </c>
      <c r="G2959" s="14" t="s">
        <v>343</v>
      </c>
      <c r="H2959" s="14" t="s">
        <v>343</v>
      </c>
      <c r="U2959" s="14">
        <v>137</v>
      </c>
      <c r="V2959" s="14">
        <v>1</v>
      </c>
      <c r="W2959" s="14">
        <v>1</v>
      </c>
      <c r="X2959" s="14">
        <v>1</v>
      </c>
    </row>
    <row r="2960" spans="1:24" hidden="1" x14ac:dyDescent="0.3">
      <c r="A2960" s="14" t="s">
        <v>464</v>
      </c>
      <c r="B2960" s="14" t="s">
        <v>465</v>
      </c>
      <c r="C2960" s="14" t="s">
        <v>367</v>
      </c>
      <c r="D2960" s="14" t="s">
        <v>368</v>
      </c>
      <c r="E2960" s="14" t="s">
        <v>342</v>
      </c>
      <c r="F2960" s="14" t="s">
        <v>343</v>
      </c>
      <c r="G2960" s="14" t="s">
        <v>343</v>
      </c>
      <c r="H2960" s="14" t="s">
        <v>343</v>
      </c>
      <c r="I2960" s="14">
        <v>0.62</v>
      </c>
      <c r="J2960" s="14">
        <v>0.64</v>
      </c>
      <c r="K2960" s="14">
        <v>0.62</v>
      </c>
      <c r="L2960" s="14">
        <v>0.61</v>
      </c>
      <c r="M2960" s="14">
        <v>0.63</v>
      </c>
      <c r="N2960" s="14">
        <v>0.63</v>
      </c>
      <c r="O2960" s="14">
        <v>0.64</v>
      </c>
      <c r="P2960" s="14">
        <v>0.64</v>
      </c>
      <c r="Q2960" s="14">
        <v>0.64</v>
      </c>
      <c r="R2960" s="14">
        <v>0.65</v>
      </c>
      <c r="S2960" s="14">
        <v>0.65</v>
      </c>
      <c r="T2960" s="14">
        <v>0.65</v>
      </c>
      <c r="U2960" s="14">
        <v>0.66</v>
      </c>
      <c r="V2960" s="14">
        <v>0.67</v>
      </c>
      <c r="W2960" s="14">
        <v>0.69</v>
      </c>
      <c r="X2960" s="14">
        <v>0.69</v>
      </c>
    </row>
    <row r="2961" spans="1:24" hidden="1" x14ac:dyDescent="0.3">
      <c r="A2961" s="14" t="s">
        <v>464</v>
      </c>
      <c r="B2961" s="14" t="s">
        <v>465</v>
      </c>
      <c r="C2961" s="14" t="s">
        <v>367</v>
      </c>
      <c r="D2961" s="14" t="s">
        <v>368</v>
      </c>
      <c r="E2961" s="14" t="s">
        <v>344</v>
      </c>
      <c r="F2961" s="14" t="s">
        <v>343</v>
      </c>
      <c r="G2961" s="14" t="s">
        <v>343</v>
      </c>
      <c r="H2961" s="14" t="s">
        <v>343</v>
      </c>
      <c r="I2961" s="14">
        <v>92</v>
      </c>
      <c r="J2961" s="14">
        <v>97</v>
      </c>
      <c r="K2961" s="14">
        <v>108</v>
      </c>
      <c r="L2961" s="14">
        <v>115</v>
      </c>
      <c r="M2961" s="14">
        <v>104</v>
      </c>
      <c r="N2961" s="14">
        <v>107</v>
      </c>
      <c r="O2961" s="14">
        <v>108</v>
      </c>
      <c r="P2961" s="14">
        <v>111</v>
      </c>
      <c r="Q2961" s="14">
        <v>117</v>
      </c>
      <c r="R2961" s="14">
        <v>115</v>
      </c>
      <c r="S2961" s="14">
        <v>116</v>
      </c>
      <c r="T2961" s="14">
        <v>118</v>
      </c>
      <c r="U2961" s="14">
        <v>115</v>
      </c>
      <c r="V2961" s="14">
        <v>108</v>
      </c>
      <c r="W2961" s="14">
        <v>102</v>
      </c>
      <c r="X2961" s="14">
        <v>99</v>
      </c>
    </row>
    <row r="2962" spans="1:24" hidden="1" x14ac:dyDescent="0.3">
      <c r="A2962" s="14" t="s">
        <v>464</v>
      </c>
      <c r="B2962" s="14" t="s">
        <v>465</v>
      </c>
      <c r="C2962" s="14" t="s">
        <v>369</v>
      </c>
      <c r="D2962" s="14" t="s">
        <v>370</v>
      </c>
      <c r="E2962" s="14" t="s">
        <v>342</v>
      </c>
      <c r="F2962" s="14" t="s">
        <v>343</v>
      </c>
      <c r="G2962" s="14" t="s">
        <v>343</v>
      </c>
      <c r="H2962" s="14" t="s">
        <v>343</v>
      </c>
      <c r="I2962" s="14">
        <v>7.0000000000000007E-2</v>
      </c>
      <c r="J2962" s="14">
        <v>7.0000000000000007E-2</v>
      </c>
      <c r="K2962" s="14">
        <v>7.0000000000000007E-2</v>
      </c>
      <c r="L2962" s="14">
        <v>7.0000000000000007E-2</v>
      </c>
      <c r="M2962" s="14">
        <v>0.1</v>
      </c>
      <c r="N2962" s="14">
        <v>0.1</v>
      </c>
      <c r="O2962" s="14">
        <v>0.1</v>
      </c>
      <c r="P2962" s="14">
        <v>0.1</v>
      </c>
      <c r="Q2962" s="14">
        <v>0.11</v>
      </c>
      <c r="R2962" s="14">
        <v>0.11</v>
      </c>
      <c r="S2962" s="14">
        <v>0.12</v>
      </c>
      <c r="T2962" s="14">
        <v>0.13</v>
      </c>
      <c r="U2962" s="14">
        <v>0.13</v>
      </c>
      <c r="V2962" s="14">
        <v>0.18</v>
      </c>
      <c r="W2962" s="14">
        <v>0.21</v>
      </c>
      <c r="X2962" s="14">
        <v>0.21</v>
      </c>
    </row>
    <row r="2963" spans="1:24" hidden="1" x14ac:dyDescent="0.3">
      <c r="A2963" s="14" t="s">
        <v>464</v>
      </c>
      <c r="B2963" s="14" t="s">
        <v>465</v>
      </c>
      <c r="C2963" s="14" t="s">
        <v>369</v>
      </c>
      <c r="D2963" s="14" t="s">
        <v>370</v>
      </c>
      <c r="E2963" s="14" t="s">
        <v>344</v>
      </c>
      <c r="F2963" s="14" t="s">
        <v>343</v>
      </c>
      <c r="G2963" s="14" t="s">
        <v>343</v>
      </c>
      <c r="H2963" s="14" t="s">
        <v>343</v>
      </c>
      <c r="I2963" s="14">
        <v>84</v>
      </c>
      <c r="J2963" s="14">
        <v>95</v>
      </c>
      <c r="K2963" s="14">
        <v>102</v>
      </c>
      <c r="L2963" s="14">
        <v>104</v>
      </c>
      <c r="M2963" s="14">
        <v>86</v>
      </c>
      <c r="N2963" s="14">
        <v>90</v>
      </c>
      <c r="O2963" s="14">
        <v>86</v>
      </c>
      <c r="P2963" s="14">
        <v>86</v>
      </c>
      <c r="Q2963" s="14">
        <v>93</v>
      </c>
      <c r="R2963" s="14">
        <v>101</v>
      </c>
      <c r="S2963" s="14">
        <v>92</v>
      </c>
      <c r="T2963" s="14">
        <v>90</v>
      </c>
      <c r="U2963" s="14">
        <v>92</v>
      </c>
      <c r="V2963" s="14">
        <v>79</v>
      </c>
      <c r="W2963" s="14">
        <v>68</v>
      </c>
      <c r="X2963" s="14">
        <v>72</v>
      </c>
    </row>
    <row r="2964" spans="1:24" hidden="1" x14ac:dyDescent="0.3">
      <c r="A2964" s="14" t="s">
        <v>464</v>
      </c>
      <c r="B2964" s="14" t="s">
        <v>465</v>
      </c>
      <c r="C2964" s="14" t="s">
        <v>371</v>
      </c>
      <c r="D2964" s="14" t="s">
        <v>372</v>
      </c>
      <c r="E2964" s="14" t="s">
        <v>342</v>
      </c>
      <c r="F2964" s="14" t="s">
        <v>343</v>
      </c>
      <c r="G2964" s="14" t="s">
        <v>343</v>
      </c>
      <c r="H2964" s="14" t="s">
        <v>343</v>
      </c>
      <c r="U2964" s="14">
        <v>0.1</v>
      </c>
      <c r="V2964" s="14">
        <v>0.1</v>
      </c>
      <c r="W2964" s="14">
        <v>0.1</v>
      </c>
      <c r="X2964" s="14">
        <v>0.1</v>
      </c>
    </row>
    <row r="2965" spans="1:24" hidden="1" x14ac:dyDescent="0.3">
      <c r="A2965" s="14" t="s">
        <v>464</v>
      </c>
      <c r="B2965" s="14" t="s">
        <v>465</v>
      </c>
      <c r="C2965" s="14" t="s">
        <v>371</v>
      </c>
      <c r="D2965" s="14" t="s">
        <v>372</v>
      </c>
      <c r="E2965" s="14" t="s">
        <v>344</v>
      </c>
      <c r="F2965" s="14" t="s">
        <v>343</v>
      </c>
      <c r="G2965" s="14" t="s">
        <v>343</v>
      </c>
      <c r="H2965" s="14" t="s">
        <v>343</v>
      </c>
      <c r="U2965" s="14">
        <v>28</v>
      </c>
      <c r="V2965" s="14">
        <v>29</v>
      </c>
      <c r="W2965" s="14">
        <v>33</v>
      </c>
      <c r="X2965" s="14">
        <v>31</v>
      </c>
    </row>
    <row r="2966" spans="1:24" hidden="1" x14ac:dyDescent="0.3">
      <c r="A2966" s="14" t="s">
        <v>464</v>
      </c>
      <c r="B2966" s="14" t="s">
        <v>465</v>
      </c>
      <c r="C2966" s="14" t="s">
        <v>373</v>
      </c>
      <c r="D2966" s="14" t="s">
        <v>374</v>
      </c>
      <c r="E2966" s="14" t="s">
        <v>342</v>
      </c>
      <c r="F2966" s="14" t="s">
        <v>343</v>
      </c>
      <c r="G2966" s="14" t="s">
        <v>343</v>
      </c>
      <c r="H2966" s="14" t="s">
        <v>343</v>
      </c>
      <c r="U2966" s="14">
        <v>0.1</v>
      </c>
      <c r="V2966" s="14">
        <v>0.28000000000000003</v>
      </c>
      <c r="W2966" s="14">
        <v>0.38</v>
      </c>
      <c r="X2966" s="14">
        <v>0.38</v>
      </c>
    </row>
    <row r="2967" spans="1:24" hidden="1" x14ac:dyDescent="0.3">
      <c r="A2967" s="14" t="s">
        <v>464</v>
      </c>
      <c r="B2967" s="14" t="s">
        <v>465</v>
      </c>
      <c r="C2967" s="14" t="s">
        <v>373</v>
      </c>
      <c r="D2967" s="14" t="s">
        <v>374</v>
      </c>
      <c r="E2967" s="14" t="s">
        <v>344</v>
      </c>
      <c r="F2967" s="14" t="s">
        <v>343</v>
      </c>
      <c r="G2967" s="14" t="s">
        <v>343</v>
      </c>
      <c r="H2967" s="14" t="s">
        <v>343</v>
      </c>
      <c r="U2967" s="14">
        <v>119</v>
      </c>
      <c r="V2967" s="14">
        <v>73</v>
      </c>
      <c r="W2967" s="14">
        <v>60</v>
      </c>
      <c r="X2967" s="14">
        <v>58</v>
      </c>
    </row>
    <row r="2968" spans="1:24" hidden="1" x14ac:dyDescent="0.3">
      <c r="A2968" s="14" t="s">
        <v>464</v>
      </c>
      <c r="B2968" s="14" t="s">
        <v>465</v>
      </c>
      <c r="C2968" s="14" t="s">
        <v>375</v>
      </c>
      <c r="D2968" s="14" t="s">
        <v>376</v>
      </c>
      <c r="E2968" s="14" t="s">
        <v>342</v>
      </c>
      <c r="F2968" s="14" t="s">
        <v>343</v>
      </c>
      <c r="G2968" s="14" t="s">
        <v>343</v>
      </c>
      <c r="H2968" s="14" t="s">
        <v>343</v>
      </c>
      <c r="U2968" s="14">
        <v>0.2</v>
      </c>
      <c r="V2968" s="14">
        <v>0.2</v>
      </c>
      <c r="W2968" s="14">
        <v>0.24</v>
      </c>
      <c r="X2968" s="14">
        <v>0.23</v>
      </c>
    </row>
    <row r="2969" spans="1:24" hidden="1" x14ac:dyDescent="0.3">
      <c r="A2969" s="14" t="s">
        <v>464</v>
      </c>
      <c r="B2969" s="14" t="s">
        <v>465</v>
      </c>
      <c r="C2969" s="14" t="s">
        <v>375</v>
      </c>
      <c r="D2969" s="14" t="s">
        <v>376</v>
      </c>
      <c r="E2969" s="14" t="s">
        <v>344</v>
      </c>
      <c r="F2969" s="14" t="s">
        <v>343</v>
      </c>
      <c r="G2969" s="14" t="s">
        <v>343</v>
      </c>
      <c r="H2969" s="14" t="s">
        <v>343</v>
      </c>
      <c r="U2969" s="14">
        <v>102</v>
      </c>
      <c r="V2969" s="14">
        <v>108</v>
      </c>
      <c r="W2969" s="14">
        <v>107</v>
      </c>
      <c r="X2969" s="14">
        <v>104</v>
      </c>
    </row>
    <row r="2970" spans="1:24" hidden="1" x14ac:dyDescent="0.3">
      <c r="A2970" s="14" t="s">
        <v>466</v>
      </c>
      <c r="B2970" s="14" t="s">
        <v>136</v>
      </c>
      <c r="C2970" s="14" t="s">
        <v>340</v>
      </c>
      <c r="D2970" s="14" t="s">
        <v>341</v>
      </c>
      <c r="E2970" s="14" t="s">
        <v>342</v>
      </c>
      <c r="F2970" s="14" t="s">
        <v>343</v>
      </c>
      <c r="G2970" s="14" t="s">
        <v>343</v>
      </c>
      <c r="H2970" s="14" t="s">
        <v>343</v>
      </c>
      <c r="I2970" s="14">
        <v>0.99</v>
      </c>
      <c r="J2970" s="14">
        <v>0.99</v>
      </c>
      <c r="K2970" s="14">
        <v>0.99</v>
      </c>
      <c r="L2970" s="14">
        <v>0.98</v>
      </c>
      <c r="M2970" s="14">
        <v>0.99</v>
      </c>
      <c r="N2970" s="14">
        <v>0.98</v>
      </c>
      <c r="O2970" s="14">
        <v>0.99</v>
      </c>
      <c r="P2970" s="14">
        <v>0.99</v>
      </c>
      <c r="Q2970" s="14">
        <v>0.99</v>
      </c>
      <c r="R2970" s="14">
        <v>0.99</v>
      </c>
      <c r="S2970" s="14">
        <v>1</v>
      </c>
      <c r="T2970" s="14">
        <v>1</v>
      </c>
      <c r="U2970" s="14">
        <v>0.99</v>
      </c>
      <c r="V2970" s="14">
        <v>1</v>
      </c>
      <c r="W2970" s="14">
        <v>1</v>
      </c>
      <c r="X2970" s="14">
        <v>1</v>
      </c>
    </row>
    <row r="2971" spans="1:24" hidden="1" x14ac:dyDescent="0.3">
      <c r="A2971" s="14" t="s">
        <v>466</v>
      </c>
      <c r="B2971" s="14" t="s">
        <v>136</v>
      </c>
      <c r="C2971" s="14" t="s">
        <v>340</v>
      </c>
      <c r="D2971" s="14" t="s">
        <v>341</v>
      </c>
      <c r="E2971" s="14" t="s">
        <v>344</v>
      </c>
      <c r="F2971" s="14" t="s">
        <v>343</v>
      </c>
      <c r="G2971" s="14" t="s">
        <v>343</v>
      </c>
      <c r="H2971" s="14" t="s">
        <v>343</v>
      </c>
      <c r="I2971" s="14">
        <v>40</v>
      </c>
      <c r="J2971" s="14">
        <v>63</v>
      </c>
      <c r="K2971" s="14">
        <v>74</v>
      </c>
      <c r="L2971" s="14">
        <v>86</v>
      </c>
      <c r="M2971" s="14">
        <v>83</v>
      </c>
      <c r="N2971" s="14">
        <v>84</v>
      </c>
      <c r="O2971" s="14">
        <v>60</v>
      </c>
      <c r="P2971" s="14">
        <v>57</v>
      </c>
      <c r="Q2971" s="14">
        <v>76</v>
      </c>
      <c r="R2971" s="14">
        <v>77</v>
      </c>
      <c r="S2971" s="14">
        <v>47</v>
      </c>
      <c r="T2971" s="14">
        <v>52</v>
      </c>
      <c r="U2971" s="14">
        <v>74</v>
      </c>
      <c r="V2971" s="14">
        <v>57</v>
      </c>
      <c r="W2971" s="14">
        <v>59</v>
      </c>
      <c r="X2971" s="14">
        <v>47</v>
      </c>
    </row>
    <row r="2972" spans="1:24" hidden="1" x14ac:dyDescent="0.3">
      <c r="A2972" s="14" t="s">
        <v>466</v>
      </c>
      <c r="B2972" s="14" t="s">
        <v>136</v>
      </c>
      <c r="C2972" s="14" t="s">
        <v>345</v>
      </c>
      <c r="D2972" s="14" t="s">
        <v>346</v>
      </c>
      <c r="E2972" s="14" t="s">
        <v>342</v>
      </c>
      <c r="F2972" s="14" t="s">
        <v>343</v>
      </c>
      <c r="G2972" s="14" t="s">
        <v>343</v>
      </c>
      <c r="H2972" s="14" t="s">
        <v>343</v>
      </c>
      <c r="U2972" s="14">
        <v>0.43</v>
      </c>
      <c r="V2972" s="14">
        <v>0.54</v>
      </c>
      <c r="W2972" s="14">
        <v>0.39</v>
      </c>
      <c r="X2972" s="14">
        <v>0.39</v>
      </c>
    </row>
    <row r="2973" spans="1:24" hidden="1" x14ac:dyDescent="0.3">
      <c r="A2973" s="14" t="s">
        <v>466</v>
      </c>
      <c r="B2973" s="14" t="s">
        <v>136</v>
      </c>
      <c r="C2973" s="14" t="s">
        <v>345</v>
      </c>
      <c r="D2973" s="14" t="s">
        <v>346</v>
      </c>
      <c r="E2973" s="14" t="s">
        <v>344</v>
      </c>
      <c r="F2973" s="14" t="s">
        <v>343</v>
      </c>
      <c r="G2973" s="14" t="s">
        <v>343</v>
      </c>
      <c r="H2973" s="14" t="s">
        <v>343</v>
      </c>
      <c r="U2973" s="14">
        <v>124</v>
      </c>
      <c r="V2973" s="14">
        <v>110</v>
      </c>
      <c r="W2973" s="14">
        <v>133</v>
      </c>
      <c r="X2973" s="14">
        <v>129</v>
      </c>
    </row>
    <row r="2974" spans="1:24" hidden="1" x14ac:dyDescent="0.3">
      <c r="A2974" s="14" t="s">
        <v>466</v>
      </c>
      <c r="B2974" s="14" t="s">
        <v>136</v>
      </c>
      <c r="C2974" s="14" t="s">
        <v>347</v>
      </c>
      <c r="D2974" s="14" t="s">
        <v>348</v>
      </c>
      <c r="E2974" s="14" t="s">
        <v>342</v>
      </c>
      <c r="F2974" s="14" t="s">
        <v>343</v>
      </c>
      <c r="G2974" s="14" t="s">
        <v>343</v>
      </c>
      <c r="H2974" s="14" t="s">
        <v>343</v>
      </c>
      <c r="U2974" s="14">
        <v>0.56999999999999995</v>
      </c>
      <c r="V2974" s="14">
        <v>0.68</v>
      </c>
      <c r="W2974" s="14">
        <v>0.57999999999999996</v>
      </c>
      <c r="X2974" s="14">
        <v>0.56999999999999995</v>
      </c>
    </row>
    <row r="2975" spans="1:24" hidden="1" x14ac:dyDescent="0.3">
      <c r="A2975" s="14" t="s">
        <v>466</v>
      </c>
      <c r="B2975" s="14" t="s">
        <v>136</v>
      </c>
      <c r="C2975" s="14" t="s">
        <v>347</v>
      </c>
      <c r="D2975" s="14" t="s">
        <v>348</v>
      </c>
      <c r="E2975" s="14" t="s">
        <v>344</v>
      </c>
      <c r="F2975" s="14" t="s">
        <v>343</v>
      </c>
      <c r="G2975" s="14" t="s">
        <v>343</v>
      </c>
      <c r="H2975" s="14" t="s">
        <v>343</v>
      </c>
      <c r="U2975" s="14">
        <v>125</v>
      </c>
      <c r="V2975" s="14">
        <v>106</v>
      </c>
      <c r="W2975" s="14">
        <v>132</v>
      </c>
      <c r="X2975" s="14">
        <v>125</v>
      </c>
    </row>
    <row r="2976" spans="1:24" hidden="1" x14ac:dyDescent="0.3">
      <c r="A2976" s="14" t="s">
        <v>466</v>
      </c>
      <c r="B2976" s="14" t="s">
        <v>136</v>
      </c>
      <c r="C2976" s="14" t="s">
        <v>349</v>
      </c>
      <c r="D2976" s="14" t="s">
        <v>350</v>
      </c>
      <c r="E2976" s="14" t="s">
        <v>342</v>
      </c>
      <c r="F2976" s="14" t="s">
        <v>343</v>
      </c>
      <c r="G2976" s="14" t="s">
        <v>343</v>
      </c>
      <c r="H2976" s="14" t="s">
        <v>343</v>
      </c>
      <c r="U2976" s="14">
        <v>0.16</v>
      </c>
      <c r="V2976" s="14">
        <v>0.16</v>
      </c>
      <c r="W2976" s="14">
        <v>0.16</v>
      </c>
      <c r="X2976" s="14">
        <v>0.16</v>
      </c>
    </row>
    <row r="2977" spans="1:24" hidden="1" x14ac:dyDescent="0.3">
      <c r="A2977" s="14" t="s">
        <v>466</v>
      </c>
      <c r="B2977" s="14" t="s">
        <v>136</v>
      </c>
      <c r="C2977" s="14" t="s">
        <v>349</v>
      </c>
      <c r="D2977" s="14" t="s">
        <v>350</v>
      </c>
      <c r="E2977" s="14" t="s">
        <v>344</v>
      </c>
      <c r="F2977" s="14" t="s">
        <v>343</v>
      </c>
      <c r="G2977" s="14" t="s">
        <v>343</v>
      </c>
      <c r="H2977" s="14" t="s">
        <v>343</v>
      </c>
      <c r="U2977" s="14">
        <v>128</v>
      </c>
      <c r="V2977" s="14">
        <v>137</v>
      </c>
      <c r="W2977" s="14">
        <v>141</v>
      </c>
      <c r="X2977" s="14">
        <v>129</v>
      </c>
    </row>
    <row r="2978" spans="1:24" hidden="1" x14ac:dyDescent="0.3">
      <c r="A2978" s="14" t="s">
        <v>466</v>
      </c>
      <c r="B2978" s="14" t="s">
        <v>136</v>
      </c>
      <c r="C2978" s="14" t="s">
        <v>351</v>
      </c>
      <c r="D2978" s="14" t="s">
        <v>352</v>
      </c>
      <c r="E2978" s="14" t="s">
        <v>342</v>
      </c>
      <c r="F2978" s="14" t="s">
        <v>343</v>
      </c>
      <c r="G2978" s="14" t="s">
        <v>343</v>
      </c>
      <c r="H2978" s="14" t="s">
        <v>343</v>
      </c>
      <c r="U2978" s="14">
        <v>0.93</v>
      </c>
      <c r="V2978" s="14">
        <v>0.93</v>
      </c>
      <c r="W2978" s="14">
        <v>0.52</v>
      </c>
      <c r="X2978" s="14">
        <v>0.93</v>
      </c>
    </row>
    <row r="2979" spans="1:24" hidden="1" x14ac:dyDescent="0.3">
      <c r="A2979" s="14" t="s">
        <v>466</v>
      </c>
      <c r="B2979" s="14" t="s">
        <v>136</v>
      </c>
      <c r="C2979" s="14" t="s">
        <v>351</v>
      </c>
      <c r="D2979" s="14" t="s">
        <v>352</v>
      </c>
      <c r="E2979" s="14" t="s">
        <v>344</v>
      </c>
      <c r="F2979" s="14" t="s">
        <v>343</v>
      </c>
      <c r="G2979" s="14" t="s">
        <v>343</v>
      </c>
      <c r="H2979" s="14" t="s">
        <v>343</v>
      </c>
      <c r="U2979" s="14">
        <v>82</v>
      </c>
      <c r="V2979" s="14">
        <v>87</v>
      </c>
      <c r="W2979" s="14">
        <v>125</v>
      </c>
      <c r="X2979" s="14">
        <v>78</v>
      </c>
    </row>
    <row r="2980" spans="1:24" hidden="1" x14ac:dyDescent="0.3">
      <c r="A2980" s="14" t="s">
        <v>466</v>
      </c>
      <c r="B2980" s="14" t="s">
        <v>136</v>
      </c>
      <c r="C2980" s="14" t="s">
        <v>378</v>
      </c>
      <c r="D2980" s="14" t="s">
        <v>379</v>
      </c>
      <c r="E2980" s="14" t="s">
        <v>342</v>
      </c>
      <c r="F2980" s="14" t="s">
        <v>343</v>
      </c>
      <c r="G2980" s="14" t="s">
        <v>343</v>
      </c>
      <c r="H2980" s="14" t="s">
        <v>343</v>
      </c>
      <c r="S2980" s="14">
        <v>0.65</v>
      </c>
      <c r="U2980" s="14">
        <v>0.64</v>
      </c>
      <c r="V2980" s="14">
        <v>0.64</v>
      </c>
      <c r="W2980" s="14">
        <v>0.68</v>
      </c>
      <c r="X2980" s="14">
        <v>0.67</v>
      </c>
    </row>
    <row r="2981" spans="1:24" hidden="1" x14ac:dyDescent="0.3">
      <c r="A2981" s="14" t="s">
        <v>466</v>
      </c>
      <c r="B2981" s="14" t="s">
        <v>136</v>
      </c>
      <c r="C2981" s="14" t="s">
        <v>378</v>
      </c>
      <c r="D2981" s="14" t="s">
        <v>379</v>
      </c>
      <c r="E2981" s="14" t="s">
        <v>344</v>
      </c>
      <c r="F2981" s="14" t="s">
        <v>343</v>
      </c>
      <c r="G2981" s="14" t="s">
        <v>343</v>
      </c>
      <c r="H2981" s="14" t="s">
        <v>343</v>
      </c>
      <c r="S2981" s="14">
        <v>72</v>
      </c>
      <c r="U2981" s="14">
        <v>79</v>
      </c>
      <c r="V2981" s="14">
        <v>79</v>
      </c>
      <c r="W2981" s="14">
        <v>69</v>
      </c>
      <c r="X2981" s="14">
        <v>66</v>
      </c>
    </row>
    <row r="2982" spans="1:24" hidden="1" x14ac:dyDescent="0.3">
      <c r="A2982" s="14" t="s">
        <v>466</v>
      </c>
      <c r="B2982" s="14" t="s">
        <v>136</v>
      </c>
      <c r="C2982" s="14" t="s">
        <v>353</v>
      </c>
      <c r="D2982" s="14" t="s">
        <v>354</v>
      </c>
      <c r="E2982" s="14" t="s">
        <v>342</v>
      </c>
      <c r="F2982" s="14" t="s">
        <v>343</v>
      </c>
      <c r="G2982" s="14" t="s">
        <v>343</v>
      </c>
      <c r="H2982" s="14" t="s">
        <v>343</v>
      </c>
      <c r="U2982" s="14">
        <v>0.98</v>
      </c>
      <c r="V2982" s="14">
        <v>0.98</v>
      </c>
      <c r="W2982" s="14">
        <v>0.98</v>
      </c>
      <c r="X2982" s="14">
        <v>0.98</v>
      </c>
    </row>
    <row r="2983" spans="1:24" hidden="1" x14ac:dyDescent="0.3">
      <c r="A2983" s="14" t="s">
        <v>466</v>
      </c>
      <c r="B2983" s="14" t="s">
        <v>136</v>
      </c>
      <c r="C2983" s="14" t="s">
        <v>353</v>
      </c>
      <c r="D2983" s="14" t="s">
        <v>354</v>
      </c>
      <c r="E2983" s="14" t="s">
        <v>344</v>
      </c>
      <c r="F2983" s="14" t="s">
        <v>343</v>
      </c>
      <c r="G2983" s="14" t="s">
        <v>343</v>
      </c>
      <c r="H2983" s="14" t="s">
        <v>343</v>
      </c>
      <c r="U2983" s="14">
        <v>75</v>
      </c>
      <c r="V2983" s="14">
        <v>84</v>
      </c>
      <c r="W2983" s="14">
        <v>85</v>
      </c>
      <c r="X2983" s="14">
        <v>75</v>
      </c>
    </row>
    <row r="2984" spans="1:24" hidden="1" x14ac:dyDescent="0.3">
      <c r="A2984" s="14" t="s">
        <v>466</v>
      </c>
      <c r="B2984" s="14" t="s">
        <v>136</v>
      </c>
      <c r="C2984" s="14" t="s">
        <v>380</v>
      </c>
      <c r="D2984" s="14" t="s">
        <v>381</v>
      </c>
      <c r="E2984" s="14" t="s">
        <v>342</v>
      </c>
      <c r="F2984" s="14" t="s">
        <v>343</v>
      </c>
      <c r="G2984" s="14" t="s">
        <v>343</v>
      </c>
      <c r="H2984" s="14" t="s">
        <v>343</v>
      </c>
      <c r="U2984" s="14">
        <v>0.99</v>
      </c>
      <c r="V2984" s="14">
        <v>1</v>
      </c>
      <c r="W2984" s="14">
        <v>1</v>
      </c>
      <c r="X2984" s="14">
        <v>1</v>
      </c>
    </row>
    <row r="2985" spans="1:24" hidden="1" x14ac:dyDescent="0.3">
      <c r="A2985" s="14" t="s">
        <v>466</v>
      </c>
      <c r="B2985" s="14" t="s">
        <v>136</v>
      </c>
      <c r="C2985" s="14" t="s">
        <v>380</v>
      </c>
      <c r="D2985" s="14" t="s">
        <v>381</v>
      </c>
      <c r="E2985" s="14" t="s">
        <v>344</v>
      </c>
      <c r="F2985" s="14" t="s">
        <v>343</v>
      </c>
      <c r="G2985" s="14" t="s">
        <v>343</v>
      </c>
      <c r="H2985" s="14" t="s">
        <v>343</v>
      </c>
      <c r="U2985" s="14">
        <v>101</v>
      </c>
      <c r="V2985" s="14">
        <v>1</v>
      </c>
      <c r="W2985" s="14">
        <v>1</v>
      </c>
      <c r="X2985" s="14">
        <v>1</v>
      </c>
    </row>
    <row r="2986" spans="1:24" hidden="1" x14ac:dyDescent="0.3">
      <c r="A2986" s="14" t="s">
        <v>466</v>
      </c>
      <c r="B2986" s="14" t="s">
        <v>136</v>
      </c>
      <c r="C2986" s="14" t="s">
        <v>355</v>
      </c>
      <c r="D2986" s="14" t="s">
        <v>356</v>
      </c>
      <c r="E2986" s="14" t="s">
        <v>342</v>
      </c>
      <c r="F2986" s="14" t="s">
        <v>343</v>
      </c>
      <c r="G2986" s="14" t="s">
        <v>343</v>
      </c>
      <c r="H2986" s="14" t="s">
        <v>343</v>
      </c>
      <c r="U2986" s="14">
        <v>1</v>
      </c>
      <c r="V2986" s="14">
        <v>1</v>
      </c>
      <c r="W2986" s="14">
        <v>1</v>
      </c>
      <c r="X2986" s="14">
        <v>1</v>
      </c>
    </row>
    <row r="2987" spans="1:24" hidden="1" x14ac:dyDescent="0.3">
      <c r="A2987" s="14" t="s">
        <v>466</v>
      </c>
      <c r="B2987" s="14" t="s">
        <v>136</v>
      </c>
      <c r="C2987" s="14" t="s">
        <v>355</v>
      </c>
      <c r="D2987" s="14" t="s">
        <v>356</v>
      </c>
      <c r="E2987" s="14" t="s">
        <v>344</v>
      </c>
      <c r="F2987" s="14" t="s">
        <v>343</v>
      </c>
      <c r="G2987" s="14" t="s">
        <v>343</v>
      </c>
      <c r="H2987" s="14" t="s">
        <v>343</v>
      </c>
      <c r="U2987" s="14">
        <v>1</v>
      </c>
      <c r="V2987" s="14">
        <v>1</v>
      </c>
      <c r="W2987" s="14">
        <v>1</v>
      </c>
      <c r="X2987" s="14">
        <v>1</v>
      </c>
    </row>
    <row r="2988" spans="1:24" hidden="1" x14ac:dyDescent="0.3">
      <c r="A2988" s="14" t="s">
        <v>466</v>
      </c>
      <c r="B2988" s="14" t="s">
        <v>136</v>
      </c>
      <c r="C2988" s="14" t="s">
        <v>357</v>
      </c>
      <c r="D2988" s="14" t="s">
        <v>358</v>
      </c>
      <c r="E2988" s="14" t="s">
        <v>342</v>
      </c>
      <c r="F2988" s="14" t="s">
        <v>343</v>
      </c>
      <c r="G2988" s="14" t="s">
        <v>343</v>
      </c>
      <c r="H2988" s="14" t="s">
        <v>343</v>
      </c>
      <c r="U2988" s="14">
        <v>1</v>
      </c>
      <c r="V2988" s="14">
        <v>1</v>
      </c>
      <c r="W2988" s="14">
        <v>1</v>
      </c>
      <c r="X2988" s="14">
        <v>1</v>
      </c>
    </row>
    <row r="2989" spans="1:24" hidden="1" x14ac:dyDescent="0.3">
      <c r="A2989" s="14" t="s">
        <v>466</v>
      </c>
      <c r="B2989" s="14" t="s">
        <v>136</v>
      </c>
      <c r="C2989" s="14" t="s">
        <v>357</v>
      </c>
      <c r="D2989" s="14" t="s">
        <v>358</v>
      </c>
      <c r="E2989" s="14" t="s">
        <v>344</v>
      </c>
      <c r="F2989" s="14" t="s">
        <v>343</v>
      </c>
      <c r="G2989" s="14" t="s">
        <v>343</v>
      </c>
      <c r="H2989" s="14" t="s">
        <v>343</v>
      </c>
      <c r="U2989" s="14">
        <v>1</v>
      </c>
      <c r="V2989" s="14">
        <v>1</v>
      </c>
      <c r="W2989" s="14">
        <v>1</v>
      </c>
      <c r="X2989" s="14">
        <v>1</v>
      </c>
    </row>
    <row r="2990" spans="1:24" hidden="1" x14ac:dyDescent="0.3">
      <c r="A2990" s="14" t="s">
        <v>466</v>
      </c>
      <c r="B2990" s="14" t="s">
        <v>136</v>
      </c>
      <c r="C2990" s="14" t="s">
        <v>359</v>
      </c>
      <c r="D2990" s="14" t="s">
        <v>360</v>
      </c>
      <c r="E2990" s="14" t="s">
        <v>342</v>
      </c>
      <c r="F2990" s="14" t="s">
        <v>343</v>
      </c>
      <c r="G2990" s="14" t="s">
        <v>343</v>
      </c>
      <c r="H2990" s="14" t="s">
        <v>343</v>
      </c>
      <c r="I2990" s="14">
        <v>0.57999999999999996</v>
      </c>
      <c r="J2990" s="14">
        <v>0.6</v>
      </c>
      <c r="K2990" s="14">
        <v>0.56999999999999995</v>
      </c>
      <c r="L2990" s="14">
        <v>0.56000000000000005</v>
      </c>
      <c r="M2990" s="14">
        <v>0.54</v>
      </c>
      <c r="N2990" s="14">
        <v>0.54</v>
      </c>
      <c r="O2990" s="14">
        <v>0.56000000000000005</v>
      </c>
      <c r="P2990" s="14">
        <v>0.53</v>
      </c>
      <c r="Q2990" s="14">
        <v>0.61</v>
      </c>
      <c r="R2990" s="14">
        <v>0.62</v>
      </c>
      <c r="S2990" s="14">
        <v>0.52</v>
      </c>
      <c r="T2990" s="14">
        <v>0.52</v>
      </c>
      <c r="U2990" s="14">
        <v>0.54</v>
      </c>
      <c r="V2990" s="14">
        <v>0.59</v>
      </c>
      <c r="W2990" s="14">
        <v>0.5</v>
      </c>
      <c r="X2990" s="14">
        <v>0.54</v>
      </c>
    </row>
    <row r="2991" spans="1:24" hidden="1" x14ac:dyDescent="0.3">
      <c r="A2991" s="14" t="s">
        <v>466</v>
      </c>
      <c r="B2991" s="14" t="s">
        <v>136</v>
      </c>
      <c r="C2991" s="14" t="s">
        <v>359</v>
      </c>
      <c r="D2991" s="14" t="s">
        <v>360</v>
      </c>
      <c r="E2991" s="14" t="s">
        <v>344</v>
      </c>
      <c r="F2991" s="14" t="s">
        <v>343</v>
      </c>
      <c r="G2991" s="14" t="s">
        <v>343</v>
      </c>
      <c r="H2991" s="14" t="s">
        <v>343</v>
      </c>
      <c r="I2991" s="14">
        <v>72</v>
      </c>
      <c r="J2991" s="14">
        <v>80</v>
      </c>
      <c r="K2991" s="14">
        <v>92</v>
      </c>
      <c r="L2991" s="14">
        <v>106</v>
      </c>
      <c r="M2991" s="14">
        <v>107</v>
      </c>
      <c r="N2991" s="14">
        <v>107</v>
      </c>
      <c r="O2991" s="14">
        <v>106</v>
      </c>
      <c r="P2991" s="14">
        <v>115</v>
      </c>
      <c r="Q2991" s="14">
        <v>106</v>
      </c>
      <c r="R2991" s="14">
        <v>104</v>
      </c>
      <c r="S2991" s="14">
        <v>125</v>
      </c>
      <c r="T2991" s="14">
        <v>125</v>
      </c>
      <c r="U2991" s="14">
        <v>127</v>
      </c>
      <c r="V2991" s="14">
        <v>120</v>
      </c>
      <c r="W2991" s="14">
        <v>137</v>
      </c>
      <c r="X2991" s="14">
        <v>123</v>
      </c>
    </row>
    <row r="2992" spans="1:24" x14ac:dyDescent="0.3">
      <c r="A2992" s="14" t="s">
        <v>466</v>
      </c>
      <c r="B2992" s="14" t="s">
        <v>136</v>
      </c>
      <c r="C2992" s="14" t="s">
        <v>361</v>
      </c>
      <c r="D2992" s="14" t="s">
        <v>362</v>
      </c>
      <c r="E2992" s="14" t="s">
        <v>342</v>
      </c>
      <c r="F2992" s="14" t="s">
        <v>343</v>
      </c>
      <c r="G2992" s="14" t="s">
        <v>343</v>
      </c>
      <c r="H2992" s="14" t="s">
        <v>343</v>
      </c>
      <c r="I2992" s="14">
        <v>0.96</v>
      </c>
      <c r="J2992" s="14">
        <v>0.96</v>
      </c>
      <c r="K2992" s="14">
        <v>0.96</v>
      </c>
      <c r="L2992" s="14">
        <v>0.96</v>
      </c>
      <c r="M2992" s="14">
        <v>0.96</v>
      </c>
      <c r="N2992" s="14">
        <v>0.96</v>
      </c>
      <c r="O2992" s="14">
        <v>0.96</v>
      </c>
      <c r="P2992" s="14">
        <v>0.96</v>
      </c>
      <c r="Q2992" s="14">
        <v>0.96</v>
      </c>
      <c r="R2992" s="14">
        <v>0.96</v>
      </c>
      <c r="S2992" s="14">
        <v>0.96</v>
      </c>
      <c r="T2992" s="14">
        <v>0.97</v>
      </c>
      <c r="U2992" s="14">
        <v>0.96</v>
      </c>
      <c r="V2992" s="14">
        <v>0.96</v>
      </c>
      <c r="W2992" s="14">
        <v>0.97</v>
      </c>
      <c r="X2992" s="14">
        <v>0.97</v>
      </c>
    </row>
    <row r="2993" spans="1:24" hidden="1" x14ac:dyDescent="0.3">
      <c r="A2993" s="14" t="s">
        <v>466</v>
      </c>
      <c r="B2993" s="14" t="s">
        <v>136</v>
      </c>
      <c r="C2993" s="14" t="s">
        <v>361</v>
      </c>
      <c r="D2993" s="14" t="s">
        <v>362</v>
      </c>
      <c r="E2993" s="14" t="s">
        <v>344</v>
      </c>
      <c r="F2993" s="14" t="s">
        <v>343</v>
      </c>
      <c r="G2993" s="14" t="s">
        <v>343</v>
      </c>
      <c r="H2993" s="14" t="s">
        <v>343</v>
      </c>
      <c r="I2993" s="14">
        <v>105</v>
      </c>
      <c r="J2993" s="14">
        <v>110</v>
      </c>
      <c r="K2993" s="14">
        <v>112</v>
      </c>
      <c r="L2993" s="14">
        <v>116</v>
      </c>
      <c r="M2993" s="14">
        <v>110</v>
      </c>
      <c r="N2993" s="14">
        <v>111</v>
      </c>
      <c r="O2993" s="14">
        <v>111</v>
      </c>
      <c r="P2993" s="14">
        <v>112</v>
      </c>
      <c r="Q2993" s="14">
        <v>134</v>
      </c>
      <c r="R2993" s="14">
        <v>137</v>
      </c>
      <c r="S2993" s="14">
        <v>136</v>
      </c>
      <c r="T2993" s="14">
        <v>117</v>
      </c>
      <c r="U2993" s="14">
        <v>140</v>
      </c>
      <c r="V2993" s="14">
        <v>143</v>
      </c>
      <c r="W2993" s="14">
        <v>94</v>
      </c>
      <c r="X2993" s="14">
        <v>89</v>
      </c>
    </row>
    <row r="2994" spans="1:24" hidden="1" x14ac:dyDescent="0.3">
      <c r="A2994" s="14" t="s">
        <v>466</v>
      </c>
      <c r="B2994" s="14" t="s">
        <v>136</v>
      </c>
      <c r="C2994" s="14" t="s">
        <v>363</v>
      </c>
      <c r="D2994" s="14" t="s">
        <v>364</v>
      </c>
      <c r="E2994" s="14" t="s">
        <v>342</v>
      </c>
      <c r="F2994" s="14" t="s">
        <v>343</v>
      </c>
      <c r="G2994" s="14" t="s">
        <v>343</v>
      </c>
      <c r="H2994" s="14" t="s">
        <v>343</v>
      </c>
      <c r="U2994" s="14">
        <v>1</v>
      </c>
      <c r="V2994" s="14">
        <v>1</v>
      </c>
      <c r="W2994" s="14">
        <v>1.02</v>
      </c>
      <c r="X2994" s="14">
        <v>1.02</v>
      </c>
    </row>
    <row r="2995" spans="1:24" hidden="1" x14ac:dyDescent="0.3">
      <c r="A2995" s="14" t="s">
        <v>466</v>
      </c>
      <c r="B2995" s="14" t="s">
        <v>136</v>
      </c>
      <c r="C2995" s="14" t="s">
        <v>363</v>
      </c>
      <c r="D2995" s="14" t="s">
        <v>364</v>
      </c>
      <c r="E2995" s="14" t="s">
        <v>344</v>
      </c>
      <c r="F2995" s="14" t="s">
        <v>343</v>
      </c>
      <c r="G2995" s="14" t="s">
        <v>343</v>
      </c>
      <c r="H2995" s="14" t="s">
        <v>343</v>
      </c>
      <c r="U2995" s="14">
        <v>147</v>
      </c>
      <c r="V2995" s="14">
        <v>151</v>
      </c>
      <c r="W2995" s="14">
        <v>104</v>
      </c>
      <c r="X2995" s="14">
        <v>97</v>
      </c>
    </row>
    <row r="2996" spans="1:24" hidden="1" x14ac:dyDescent="0.3">
      <c r="A2996" s="14" t="s">
        <v>466</v>
      </c>
      <c r="B2996" s="14" t="s">
        <v>136</v>
      </c>
      <c r="C2996" s="14" t="s">
        <v>365</v>
      </c>
      <c r="D2996" s="14" t="s">
        <v>366</v>
      </c>
      <c r="E2996" s="14" t="s">
        <v>342</v>
      </c>
      <c r="F2996" s="14" t="s">
        <v>343</v>
      </c>
      <c r="G2996" s="14" t="s">
        <v>343</v>
      </c>
      <c r="H2996" s="14" t="s">
        <v>343</v>
      </c>
      <c r="U2996" s="14">
        <v>0.94</v>
      </c>
      <c r="V2996" s="14">
        <v>0.94</v>
      </c>
      <c r="W2996" s="14">
        <v>0.94</v>
      </c>
      <c r="X2996" s="14">
        <v>0.94</v>
      </c>
    </row>
    <row r="2997" spans="1:24" hidden="1" x14ac:dyDescent="0.3">
      <c r="A2997" s="14" t="s">
        <v>466</v>
      </c>
      <c r="B2997" s="14" t="s">
        <v>136</v>
      </c>
      <c r="C2997" s="14" t="s">
        <v>365</v>
      </c>
      <c r="D2997" s="14" t="s">
        <v>366</v>
      </c>
      <c r="E2997" s="14" t="s">
        <v>344</v>
      </c>
      <c r="F2997" s="14" t="s">
        <v>343</v>
      </c>
      <c r="G2997" s="14" t="s">
        <v>343</v>
      </c>
      <c r="H2997" s="14" t="s">
        <v>343</v>
      </c>
      <c r="U2997" s="14">
        <v>1</v>
      </c>
      <c r="V2997" s="14">
        <v>1</v>
      </c>
      <c r="W2997" s="14">
        <v>1</v>
      </c>
      <c r="X2997" s="14">
        <v>1</v>
      </c>
    </row>
    <row r="2998" spans="1:24" hidden="1" x14ac:dyDescent="0.3">
      <c r="A2998" s="14" t="s">
        <v>466</v>
      </c>
      <c r="B2998" s="14" t="s">
        <v>136</v>
      </c>
      <c r="C2998" s="14" t="s">
        <v>367</v>
      </c>
      <c r="D2998" s="14" t="s">
        <v>368</v>
      </c>
      <c r="E2998" s="14" t="s">
        <v>342</v>
      </c>
      <c r="F2998" s="14" t="s">
        <v>343</v>
      </c>
      <c r="G2998" s="14" t="s">
        <v>343</v>
      </c>
      <c r="H2998" s="14" t="s">
        <v>343</v>
      </c>
      <c r="I2998" s="14">
        <v>0.63</v>
      </c>
      <c r="J2998" s="14">
        <v>0.64</v>
      </c>
      <c r="K2998" s="14">
        <v>0.64</v>
      </c>
      <c r="L2998" s="14">
        <v>0.64</v>
      </c>
      <c r="M2998" s="14">
        <v>0.63</v>
      </c>
      <c r="N2998" s="14">
        <v>0.63</v>
      </c>
      <c r="O2998" s="14">
        <v>0.63</v>
      </c>
      <c r="P2998" s="14">
        <v>0.63</v>
      </c>
      <c r="Q2998" s="14">
        <v>0.65</v>
      </c>
      <c r="R2998" s="14">
        <v>0.65</v>
      </c>
      <c r="S2998" s="14">
        <v>0.62</v>
      </c>
      <c r="T2998" s="14">
        <v>0.63</v>
      </c>
      <c r="U2998" s="14">
        <v>0.63</v>
      </c>
      <c r="V2998" s="14">
        <v>0.65</v>
      </c>
      <c r="W2998" s="14">
        <v>0.62</v>
      </c>
      <c r="X2998" s="14">
        <v>0.63</v>
      </c>
    </row>
    <row r="2999" spans="1:24" hidden="1" x14ac:dyDescent="0.3">
      <c r="A2999" s="14" t="s">
        <v>466</v>
      </c>
      <c r="B2999" s="14" t="s">
        <v>136</v>
      </c>
      <c r="C2999" s="14" t="s">
        <v>367</v>
      </c>
      <c r="D2999" s="14" t="s">
        <v>368</v>
      </c>
      <c r="E2999" s="14" t="s">
        <v>344</v>
      </c>
      <c r="F2999" s="14" t="s">
        <v>343</v>
      </c>
      <c r="G2999" s="14" t="s">
        <v>343</v>
      </c>
      <c r="H2999" s="14" t="s">
        <v>343</v>
      </c>
      <c r="I2999" s="14">
        <v>86</v>
      </c>
      <c r="J2999" s="14">
        <v>96</v>
      </c>
      <c r="K2999" s="14">
        <v>101</v>
      </c>
      <c r="L2999" s="14">
        <v>105</v>
      </c>
      <c r="M2999" s="14">
        <v>105</v>
      </c>
      <c r="N2999" s="14">
        <v>105</v>
      </c>
      <c r="O2999" s="14">
        <v>109</v>
      </c>
      <c r="P2999" s="14">
        <v>116</v>
      </c>
      <c r="Q2999" s="14">
        <v>113</v>
      </c>
      <c r="R2999" s="14">
        <v>117</v>
      </c>
      <c r="S2999" s="14">
        <v>128</v>
      </c>
      <c r="T2999" s="14">
        <v>129</v>
      </c>
      <c r="U2999" s="14">
        <v>126</v>
      </c>
      <c r="V2999" s="14">
        <v>122</v>
      </c>
      <c r="W2999" s="14">
        <v>143</v>
      </c>
      <c r="X2999" s="14">
        <v>130</v>
      </c>
    </row>
    <row r="3000" spans="1:24" hidden="1" x14ac:dyDescent="0.3">
      <c r="A3000" s="14" t="s">
        <v>466</v>
      </c>
      <c r="B3000" s="14" t="s">
        <v>136</v>
      </c>
      <c r="C3000" s="14" t="s">
        <v>369</v>
      </c>
      <c r="D3000" s="14" t="s">
        <v>370</v>
      </c>
      <c r="E3000" s="14" t="s">
        <v>342</v>
      </c>
      <c r="F3000" s="14" t="s">
        <v>343</v>
      </c>
      <c r="G3000" s="14" t="s">
        <v>343</v>
      </c>
      <c r="H3000" s="14" t="s">
        <v>343</v>
      </c>
      <c r="I3000" s="14">
        <v>0</v>
      </c>
      <c r="J3000" s="14">
        <v>0.01</v>
      </c>
      <c r="K3000" s="14">
        <v>0.02</v>
      </c>
      <c r="L3000" s="14">
        <v>0.04</v>
      </c>
      <c r="M3000" s="14">
        <v>0.04</v>
      </c>
      <c r="N3000" s="14">
        <v>0.04</v>
      </c>
      <c r="O3000" s="14">
        <v>0.02</v>
      </c>
      <c r="P3000" s="14">
        <v>0.04</v>
      </c>
      <c r="Q3000" s="14">
        <v>0.03</v>
      </c>
      <c r="R3000" s="14">
        <v>0.02</v>
      </c>
      <c r="S3000" s="14">
        <v>0.02</v>
      </c>
      <c r="T3000" s="14">
        <v>0.03</v>
      </c>
      <c r="U3000" s="14">
        <v>0.03</v>
      </c>
      <c r="V3000" s="14">
        <v>0.05</v>
      </c>
      <c r="W3000" s="14">
        <v>0.02</v>
      </c>
      <c r="X3000" s="14">
        <v>0.02</v>
      </c>
    </row>
    <row r="3001" spans="1:24" hidden="1" x14ac:dyDescent="0.3">
      <c r="A3001" s="14" t="s">
        <v>466</v>
      </c>
      <c r="B3001" s="14" t="s">
        <v>136</v>
      </c>
      <c r="C3001" s="14" t="s">
        <v>369</v>
      </c>
      <c r="D3001" s="14" t="s">
        <v>370</v>
      </c>
      <c r="E3001" s="14" t="s">
        <v>344</v>
      </c>
      <c r="F3001" s="14" t="s">
        <v>343</v>
      </c>
      <c r="G3001" s="14" t="s">
        <v>343</v>
      </c>
      <c r="H3001" s="14" t="s">
        <v>343</v>
      </c>
      <c r="I3001" s="14">
        <v>114</v>
      </c>
      <c r="J3001" s="14">
        <v>126</v>
      </c>
      <c r="K3001" s="14">
        <v>125</v>
      </c>
      <c r="L3001" s="14">
        <v>124</v>
      </c>
      <c r="M3001" s="14">
        <v>114</v>
      </c>
      <c r="N3001" s="14">
        <v>116</v>
      </c>
      <c r="O3001" s="14">
        <v>130</v>
      </c>
      <c r="P3001" s="14">
        <v>126</v>
      </c>
      <c r="Q3001" s="14">
        <v>137</v>
      </c>
      <c r="R3001" s="14">
        <v>141</v>
      </c>
      <c r="S3001" s="14">
        <v>140</v>
      </c>
      <c r="T3001" s="14">
        <v>141</v>
      </c>
      <c r="U3001" s="14">
        <v>146</v>
      </c>
      <c r="V3001" s="14">
        <v>142</v>
      </c>
      <c r="W3001" s="14">
        <v>153</v>
      </c>
      <c r="X3001" s="14">
        <v>145</v>
      </c>
    </row>
    <row r="3002" spans="1:24" hidden="1" x14ac:dyDescent="0.3">
      <c r="A3002" s="14" t="s">
        <v>466</v>
      </c>
      <c r="B3002" s="14" t="s">
        <v>136</v>
      </c>
      <c r="C3002" s="14" t="s">
        <v>371</v>
      </c>
      <c r="D3002" s="14" t="s">
        <v>372</v>
      </c>
      <c r="E3002" s="14" t="s">
        <v>342</v>
      </c>
      <c r="F3002" s="14" t="s">
        <v>343</v>
      </c>
      <c r="G3002" s="14" t="s">
        <v>343</v>
      </c>
      <c r="H3002" s="14" t="s">
        <v>343</v>
      </c>
      <c r="U3002" s="14">
        <v>0</v>
      </c>
      <c r="V3002" s="14">
        <v>0</v>
      </c>
      <c r="W3002" s="14">
        <v>0</v>
      </c>
      <c r="X3002" s="14">
        <v>0</v>
      </c>
    </row>
    <row r="3003" spans="1:24" hidden="1" x14ac:dyDescent="0.3">
      <c r="A3003" s="14" t="s">
        <v>466</v>
      </c>
      <c r="B3003" s="14" t="s">
        <v>136</v>
      </c>
      <c r="C3003" s="14" t="s">
        <v>371</v>
      </c>
      <c r="D3003" s="14" t="s">
        <v>372</v>
      </c>
      <c r="E3003" s="14" t="s">
        <v>344</v>
      </c>
      <c r="F3003" s="14" t="s">
        <v>343</v>
      </c>
      <c r="G3003" s="14" t="s">
        <v>343</v>
      </c>
      <c r="H3003" s="14" t="s">
        <v>343</v>
      </c>
      <c r="U3003" s="14">
        <v>71</v>
      </c>
      <c r="V3003" s="14">
        <v>73</v>
      </c>
      <c r="W3003" s="14">
        <v>76</v>
      </c>
      <c r="X3003" s="14">
        <v>78</v>
      </c>
    </row>
    <row r="3004" spans="1:24" hidden="1" x14ac:dyDescent="0.3">
      <c r="A3004" s="14" t="s">
        <v>466</v>
      </c>
      <c r="B3004" s="14" t="s">
        <v>136</v>
      </c>
      <c r="C3004" s="14" t="s">
        <v>373</v>
      </c>
      <c r="D3004" s="14" t="s">
        <v>374</v>
      </c>
      <c r="E3004" s="14" t="s">
        <v>342</v>
      </c>
      <c r="F3004" s="14" t="s">
        <v>343</v>
      </c>
      <c r="G3004" s="14" t="s">
        <v>343</v>
      </c>
      <c r="H3004" s="14" t="s">
        <v>343</v>
      </c>
      <c r="U3004" s="14">
        <v>7.0000000000000007E-2</v>
      </c>
      <c r="V3004" s="14">
        <v>0.15</v>
      </c>
      <c r="W3004" s="14">
        <v>7.0000000000000007E-2</v>
      </c>
      <c r="X3004" s="14">
        <v>7.0000000000000007E-2</v>
      </c>
    </row>
    <row r="3005" spans="1:24" hidden="1" x14ac:dyDescent="0.3">
      <c r="A3005" s="14" t="s">
        <v>466</v>
      </c>
      <c r="B3005" s="14" t="s">
        <v>136</v>
      </c>
      <c r="C3005" s="14" t="s">
        <v>373</v>
      </c>
      <c r="D3005" s="14" t="s">
        <v>374</v>
      </c>
      <c r="E3005" s="14" t="s">
        <v>344</v>
      </c>
      <c r="F3005" s="14" t="s">
        <v>343</v>
      </c>
      <c r="G3005" s="14" t="s">
        <v>343</v>
      </c>
      <c r="H3005" s="14" t="s">
        <v>343</v>
      </c>
      <c r="U3005" s="14">
        <v>125</v>
      </c>
      <c r="V3005" s="14">
        <v>107</v>
      </c>
      <c r="W3005" s="14">
        <v>136</v>
      </c>
      <c r="X3005" s="14">
        <v>129</v>
      </c>
    </row>
    <row r="3006" spans="1:24" hidden="1" x14ac:dyDescent="0.3">
      <c r="A3006" s="14" t="s">
        <v>466</v>
      </c>
      <c r="B3006" s="14" t="s">
        <v>136</v>
      </c>
      <c r="C3006" s="14" t="s">
        <v>375</v>
      </c>
      <c r="D3006" s="14" t="s">
        <v>376</v>
      </c>
      <c r="E3006" s="14" t="s">
        <v>342</v>
      </c>
      <c r="F3006" s="14" t="s">
        <v>343</v>
      </c>
      <c r="G3006" s="14" t="s">
        <v>343</v>
      </c>
      <c r="H3006" s="14" t="s">
        <v>343</v>
      </c>
      <c r="U3006" s="14">
        <v>0.03</v>
      </c>
      <c r="V3006" s="14">
        <v>0.05</v>
      </c>
      <c r="W3006" s="14">
        <v>0.02</v>
      </c>
      <c r="X3006" s="14">
        <v>0.02</v>
      </c>
    </row>
    <row r="3007" spans="1:24" hidden="1" x14ac:dyDescent="0.3">
      <c r="A3007" s="14" t="s">
        <v>466</v>
      </c>
      <c r="B3007" s="14" t="s">
        <v>136</v>
      </c>
      <c r="C3007" s="14" t="s">
        <v>375</v>
      </c>
      <c r="D3007" s="14" t="s">
        <v>376</v>
      </c>
      <c r="E3007" s="14" t="s">
        <v>344</v>
      </c>
      <c r="F3007" s="14" t="s">
        <v>343</v>
      </c>
      <c r="G3007" s="14" t="s">
        <v>343</v>
      </c>
      <c r="H3007" s="14" t="s">
        <v>343</v>
      </c>
      <c r="U3007" s="14">
        <v>147</v>
      </c>
      <c r="V3007" s="14">
        <v>147</v>
      </c>
      <c r="W3007" s="14">
        <v>153</v>
      </c>
      <c r="X3007" s="14">
        <v>145</v>
      </c>
    </row>
    <row r="3008" spans="1:24" hidden="1" x14ac:dyDescent="0.3">
      <c r="A3008" s="14" t="s">
        <v>467</v>
      </c>
      <c r="B3008" s="14" t="s">
        <v>468</v>
      </c>
      <c r="C3008" s="14" t="s">
        <v>340</v>
      </c>
      <c r="D3008" s="14" t="s">
        <v>341</v>
      </c>
      <c r="E3008" s="14" t="s">
        <v>342</v>
      </c>
      <c r="F3008" s="14" t="s">
        <v>343</v>
      </c>
      <c r="G3008" s="14" t="s">
        <v>343</v>
      </c>
      <c r="H3008" s="14" t="s">
        <v>343</v>
      </c>
      <c r="P3008" s="14">
        <v>0.89</v>
      </c>
      <c r="Q3008" s="14">
        <v>0.91</v>
      </c>
      <c r="R3008" s="14">
        <v>0.94</v>
      </c>
      <c r="S3008" s="14">
        <v>0.94</v>
      </c>
      <c r="T3008" s="14">
        <v>0.93</v>
      </c>
      <c r="U3008" s="14">
        <v>0.97</v>
      </c>
      <c r="V3008" s="14">
        <v>0.96</v>
      </c>
      <c r="W3008" s="14">
        <v>0.96</v>
      </c>
      <c r="X3008" s="14">
        <v>0.96</v>
      </c>
    </row>
    <row r="3009" spans="1:24" hidden="1" x14ac:dyDescent="0.3">
      <c r="A3009" s="14" t="s">
        <v>467</v>
      </c>
      <c r="B3009" s="14" t="s">
        <v>468</v>
      </c>
      <c r="C3009" s="14" t="s">
        <v>340</v>
      </c>
      <c r="D3009" s="14" t="s">
        <v>341</v>
      </c>
      <c r="E3009" s="14" t="s">
        <v>344</v>
      </c>
      <c r="F3009" s="14" t="s">
        <v>343</v>
      </c>
      <c r="G3009" s="14" t="s">
        <v>343</v>
      </c>
      <c r="H3009" s="14" t="s">
        <v>343</v>
      </c>
      <c r="P3009" s="14">
        <v>113</v>
      </c>
      <c r="Q3009" s="14">
        <v>118</v>
      </c>
      <c r="R3009" s="14">
        <v>116</v>
      </c>
      <c r="S3009" s="14">
        <v>115</v>
      </c>
      <c r="T3009" s="14">
        <v>118</v>
      </c>
      <c r="U3009" s="14">
        <v>105</v>
      </c>
      <c r="V3009" s="14">
        <v>110</v>
      </c>
      <c r="W3009" s="14">
        <v>112</v>
      </c>
      <c r="X3009" s="14">
        <v>109</v>
      </c>
    </row>
    <row r="3010" spans="1:24" hidden="1" x14ac:dyDescent="0.3">
      <c r="A3010" s="14" t="s">
        <v>467</v>
      </c>
      <c r="B3010" s="14" t="s">
        <v>468</v>
      </c>
      <c r="C3010" s="14" t="s">
        <v>345</v>
      </c>
      <c r="D3010" s="14" t="s">
        <v>346</v>
      </c>
      <c r="E3010" s="14" t="s">
        <v>342</v>
      </c>
      <c r="F3010" s="14" t="s">
        <v>343</v>
      </c>
      <c r="G3010" s="14" t="s">
        <v>343</v>
      </c>
      <c r="H3010" s="14" t="s">
        <v>343</v>
      </c>
      <c r="U3010" s="14">
        <v>1</v>
      </c>
      <c r="V3010" s="14">
        <v>1</v>
      </c>
      <c r="W3010" s="14">
        <v>0.98</v>
      </c>
      <c r="X3010" s="14">
        <v>0.85</v>
      </c>
    </row>
    <row r="3011" spans="1:24" hidden="1" x14ac:dyDescent="0.3">
      <c r="A3011" s="14" t="s">
        <v>467</v>
      </c>
      <c r="B3011" s="14" t="s">
        <v>468</v>
      </c>
      <c r="C3011" s="14" t="s">
        <v>345</v>
      </c>
      <c r="D3011" s="14" t="s">
        <v>346</v>
      </c>
      <c r="E3011" s="14" t="s">
        <v>344</v>
      </c>
      <c r="F3011" s="14" t="s">
        <v>343</v>
      </c>
      <c r="G3011" s="14" t="s">
        <v>343</v>
      </c>
      <c r="H3011" s="14" t="s">
        <v>343</v>
      </c>
      <c r="U3011" s="14">
        <v>1</v>
      </c>
      <c r="V3011" s="14">
        <v>1</v>
      </c>
      <c r="W3011" s="14">
        <v>4</v>
      </c>
      <c r="X3011" s="14">
        <v>6</v>
      </c>
    </row>
    <row r="3012" spans="1:24" hidden="1" x14ac:dyDescent="0.3">
      <c r="A3012" s="14" t="s">
        <v>467</v>
      </c>
      <c r="B3012" s="14" t="s">
        <v>468</v>
      </c>
      <c r="C3012" s="14" t="s">
        <v>347</v>
      </c>
      <c r="D3012" s="14" t="s">
        <v>348</v>
      </c>
      <c r="E3012" s="14" t="s">
        <v>342</v>
      </c>
      <c r="F3012" s="14" t="s">
        <v>343</v>
      </c>
      <c r="G3012" s="14" t="s">
        <v>343</v>
      </c>
      <c r="H3012" s="14" t="s">
        <v>343</v>
      </c>
      <c r="U3012" s="14">
        <v>0.98</v>
      </c>
      <c r="V3012" s="14">
        <v>0.98</v>
      </c>
      <c r="W3012" s="14">
        <v>0.98</v>
      </c>
      <c r="X3012" s="14">
        <v>0.96</v>
      </c>
    </row>
    <row r="3013" spans="1:24" hidden="1" x14ac:dyDescent="0.3">
      <c r="A3013" s="14" t="s">
        <v>467</v>
      </c>
      <c r="B3013" s="14" t="s">
        <v>468</v>
      </c>
      <c r="C3013" s="14" t="s">
        <v>347</v>
      </c>
      <c r="D3013" s="14" t="s">
        <v>348</v>
      </c>
      <c r="E3013" s="14" t="s">
        <v>344</v>
      </c>
      <c r="F3013" s="14" t="s">
        <v>343</v>
      </c>
      <c r="G3013" s="14" t="s">
        <v>343</v>
      </c>
      <c r="H3013" s="14" t="s">
        <v>343</v>
      </c>
      <c r="U3013" s="14">
        <v>5</v>
      </c>
      <c r="V3013" s="14">
        <v>5</v>
      </c>
      <c r="W3013" s="14">
        <v>8</v>
      </c>
      <c r="X3013" s="14">
        <v>7</v>
      </c>
    </row>
    <row r="3014" spans="1:24" hidden="1" x14ac:dyDescent="0.3">
      <c r="A3014" s="14" t="s">
        <v>467</v>
      </c>
      <c r="B3014" s="14" t="s">
        <v>468</v>
      </c>
      <c r="C3014" s="14" t="s">
        <v>349</v>
      </c>
      <c r="D3014" s="14" t="s">
        <v>350</v>
      </c>
      <c r="E3014" s="14" t="s">
        <v>342</v>
      </c>
      <c r="F3014" s="14" t="s">
        <v>343</v>
      </c>
      <c r="G3014" s="14" t="s">
        <v>343</v>
      </c>
      <c r="H3014" s="14" t="s">
        <v>343</v>
      </c>
      <c r="U3014" s="14">
        <v>1</v>
      </c>
      <c r="V3014" s="14">
        <v>0.46</v>
      </c>
      <c r="W3014" s="14">
        <v>1</v>
      </c>
      <c r="X3014" s="14">
        <v>1</v>
      </c>
    </row>
    <row r="3015" spans="1:24" hidden="1" x14ac:dyDescent="0.3">
      <c r="A3015" s="14" t="s">
        <v>467</v>
      </c>
      <c r="B3015" s="14" t="s">
        <v>468</v>
      </c>
      <c r="C3015" s="14" t="s">
        <v>349</v>
      </c>
      <c r="D3015" s="14" t="s">
        <v>350</v>
      </c>
      <c r="E3015" s="14" t="s">
        <v>344</v>
      </c>
      <c r="F3015" s="14" t="s">
        <v>343</v>
      </c>
      <c r="G3015" s="14" t="s">
        <v>343</v>
      </c>
      <c r="H3015" s="14" t="s">
        <v>343</v>
      </c>
      <c r="U3015" s="14">
        <v>1</v>
      </c>
      <c r="V3015" s="14">
        <v>79</v>
      </c>
      <c r="W3015" s="14">
        <v>1</v>
      </c>
      <c r="X3015" s="14">
        <v>1</v>
      </c>
    </row>
    <row r="3016" spans="1:24" hidden="1" x14ac:dyDescent="0.3">
      <c r="A3016" s="14" t="s">
        <v>467</v>
      </c>
      <c r="B3016" s="14" t="s">
        <v>468</v>
      </c>
      <c r="C3016" s="14" t="s">
        <v>351</v>
      </c>
      <c r="D3016" s="14" t="s">
        <v>352</v>
      </c>
      <c r="E3016" s="14" t="s">
        <v>342</v>
      </c>
      <c r="F3016" s="14" t="s">
        <v>343</v>
      </c>
      <c r="G3016" s="14" t="s">
        <v>343</v>
      </c>
      <c r="H3016" s="14" t="s">
        <v>343</v>
      </c>
      <c r="U3016" s="14">
        <v>1</v>
      </c>
      <c r="V3016" s="14">
        <v>1</v>
      </c>
      <c r="W3016" s="14">
        <v>1</v>
      </c>
      <c r="X3016" s="14">
        <v>1</v>
      </c>
    </row>
    <row r="3017" spans="1:24" hidden="1" x14ac:dyDescent="0.3">
      <c r="A3017" s="14" t="s">
        <v>467</v>
      </c>
      <c r="B3017" s="14" t="s">
        <v>468</v>
      </c>
      <c r="C3017" s="14" t="s">
        <v>351</v>
      </c>
      <c r="D3017" s="14" t="s">
        <v>352</v>
      </c>
      <c r="E3017" s="14" t="s">
        <v>344</v>
      </c>
      <c r="F3017" s="14" t="s">
        <v>343</v>
      </c>
      <c r="G3017" s="14" t="s">
        <v>343</v>
      </c>
      <c r="H3017" s="14" t="s">
        <v>343</v>
      </c>
      <c r="U3017" s="14">
        <v>1</v>
      </c>
      <c r="V3017" s="14">
        <v>1</v>
      </c>
      <c r="W3017" s="14">
        <v>1</v>
      </c>
      <c r="X3017" s="14">
        <v>1</v>
      </c>
    </row>
    <row r="3018" spans="1:24" hidden="1" x14ac:dyDescent="0.3">
      <c r="A3018" s="14" t="s">
        <v>467</v>
      </c>
      <c r="B3018" s="14" t="s">
        <v>468</v>
      </c>
      <c r="C3018" s="14" t="s">
        <v>378</v>
      </c>
      <c r="D3018" s="14" t="s">
        <v>379</v>
      </c>
      <c r="E3018" s="14" t="s">
        <v>342</v>
      </c>
      <c r="F3018" s="14" t="s">
        <v>343</v>
      </c>
      <c r="G3018" s="14" t="s">
        <v>343</v>
      </c>
      <c r="H3018" s="14" t="s">
        <v>343</v>
      </c>
      <c r="S3018" s="14">
        <v>0.77</v>
      </c>
      <c r="U3018" s="14">
        <v>0.74</v>
      </c>
      <c r="V3018" s="14">
        <v>0.75</v>
      </c>
      <c r="W3018" s="14">
        <v>0.76</v>
      </c>
      <c r="X3018" s="14">
        <v>0.76</v>
      </c>
    </row>
    <row r="3019" spans="1:24" hidden="1" x14ac:dyDescent="0.3">
      <c r="A3019" s="14" t="s">
        <v>467</v>
      </c>
      <c r="B3019" s="14" t="s">
        <v>468</v>
      </c>
      <c r="C3019" s="14" t="s">
        <v>378</v>
      </c>
      <c r="D3019" s="14" t="s">
        <v>379</v>
      </c>
      <c r="E3019" s="14" t="s">
        <v>344</v>
      </c>
      <c r="F3019" s="14" t="s">
        <v>343</v>
      </c>
      <c r="G3019" s="14" t="s">
        <v>343</v>
      </c>
      <c r="H3019" s="14" t="s">
        <v>343</v>
      </c>
      <c r="S3019" s="14">
        <v>18</v>
      </c>
      <c r="U3019" s="14">
        <v>24</v>
      </c>
      <c r="V3019" s="14">
        <v>17</v>
      </c>
      <c r="W3019" s="14">
        <v>21</v>
      </c>
      <c r="X3019" s="14">
        <v>18</v>
      </c>
    </row>
    <row r="3020" spans="1:24" hidden="1" x14ac:dyDescent="0.3">
      <c r="A3020" s="14" t="s">
        <v>467</v>
      </c>
      <c r="B3020" s="14" t="s">
        <v>468</v>
      </c>
      <c r="C3020" s="14" t="s">
        <v>353</v>
      </c>
      <c r="D3020" s="14" t="s">
        <v>354</v>
      </c>
      <c r="E3020" s="14" t="s">
        <v>342</v>
      </c>
      <c r="F3020" s="14" t="s">
        <v>343</v>
      </c>
      <c r="G3020" s="14" t="s">
        <v>343</v>
      </c>
      <c r="H3020" s="14" t="s">
        <v>343</v>
      </c>
      <c r="U3020" s="14">
        <v>0.88</v>
      </c>
      <c r="V3020" s="14">
        <v>0.88</v>
      </c>
      <c r="W3020" s="14">
        <v>0.88</v>
      </c>
      <c r="X3020" s="14">
        <v>0.88</v>
      </c>
    </row>
    <row r="3021" spans="1:24" hidden="1" x14ac:dyDescent="0.3">
      <c r="A3021" s="14" t="s">
        <v>467</v>
      </c>
      <c r="B3021" s="14" t="s">
        <v>468</v>
      </c>
      <c r="C3021" s="14" t="s">
        <v>353</v>
      </c>
      <c r="D3021" s="14" t="s">
        <v>354</v>
      </c>
      <c r="E3021" s="14" t="s">
        <v>344</v>
      </c>
      <c r="F3021" s="14" t="s">
        <v>343</v>
      </c>
      <c r="G3021" s="14" t="s">
        <v>343</v>
      </c>
      <c r="H3021" s="14" t="s">
        <v>343</v>
      </c>
      <c r="U3021" s="14">
        <v>106</v>
      </c>
      <c r="V3021" s="14">
        <v>116</v>
      </c>
      <c r="W3021" s="14">
        <v>117</v>
      </c>
      <c r="X3021" s="14">
        <v>111</v>
      </c>
    </row>
    <row r="3022" spans="1:24" hidden="1" x14ac:dyDescent="0.3">
      <c r="A3022" s="14" t="s">
        <v>467</v>
      </c>
      <c r="B3022" s="14" t="s">
        <v>468</v>
      </c>
      <c r="C3022" s="14" t="s">
        <v>380</v>
      </c>
      <c r="D3022" s="14" t="s">
        <v>381</v>
      </c>
      <c r="E3022" s="14" t="s">
        <v>342</v>
      </c>
      <c r="F3022" s="14" t="s">
        <v>343</v>
      </c>
      <c r="G3022" s="14" t="s">
        <v>343</v>
      </c>
      <c r="H3022" s="14" t="s">
        <v>343</v>
      </c>
      <c r="U3022" s="14">
        <v>0.99</v>
      </c>
      <c r="V3022" s="14">
        <v>0.98</v>
      </c>
      <c r="W3022" s="14">
        <v>0.98</v>
      </c>
      <c r="X3022" s="14">
        <v>0.98</v>
      </c>
    </row>
    <row r="3023" spans="1:24" hidden="1" x14ac:dyDescent="0.3">
      <c r="A3023" s="14" t="s">
        <v>467</v>
      </c>
      <c r="B3023" s="14" t="s">
        <v>468</v>
      </c>
      <c r="C3023" s="14" t="s">
        <v>380</v>
      </c>
      <c r="D3023" s="14" t="s">
        <v>381</v>
      </c>
      <c r="E3023" s="14" t="s">
        <v>344</v>
      </c>
      <c r="F3023" s="14" t="s">
        <v>343</v>
      </c>
      <c r="G3023" s="14" t="s">
        <v>343</v>
      </c>
      <c r="H3023" s="14" t="s">
        <v>343</v>
      </c>
      <c r="U3023" s="14">
        <v>102</v>
      </c>
      <c r="V3023" s="14">
        <v>123</v>
      </c>
      <c r="W3023" s="14">
        <v>123</v>
      </c>
      <c r="X3023" s="14">
        <v>102</v>
      </c>
    </row>
    <row r="3024" spans="1:24" hidden="1" x14ac:dyDescent="0.3">
      <c r="A3024" s="14" t="s">
        <v>467</v>
      </c>
      <c r="B3024" s="14" t="s">
        <v>468</v>
      </c>
      <c r="C3024" s="14" t="s">
        <v>355</v>
      </c>
      <c r="D3024" s="14" t="s">
        <v>356</v>
      </c>
      <c r="E3024" s="14" t="s">
        <v>342</v>
      </c>
      <c r="F3024" s="14" t="s">
        <v>343</v>
      </c>
      <c r="G3024" s="14" t="s">
        <v>343</v>
      </c>
      <c r="H3024" s="14" t="s">
        <v>343</v>
      </c>
      <c r="U3024" s="14">
        <v>0.98</v>
      </c>
      <c r="V3024" s="14">
        <v>0.98</v>
      </c>
      <c r="W3024" s="14">
        <v>0.98</v>
      </c>
      <c r="X3024" s="14">
        <v>0.94</v>
      </c>
    </row>
    <row r="3025" spans="1:24" hidden="1" x14ac:dyDescent="0.3">
      <c r="A3025" s="14" t="s">
        <v>467</v>
      </c>
      <c r="B3025" s="14" t="s">
        <v>468</v>
      </c>
      <c r="C3025" s="14" t="s">
        <v>355</v>
      </c>
      <c r="D3025" s="14" t="s">
        <v>356</v>
      </c>
      <c r="E3025" s="14" t="s">
        <v>344</v>
      </c>
      <c r="F3025" s="14" t="s">
        <v>343</v>
      </c>
      <c r="G3025" s="14" t="s">
        <v>343</v>
      </c>
      <c r="H3025" s="14" t="s">
        <v>343</v>
      </c>
      <c r="U3025" s="14">
        <v>118</v>
      </c>
      <c r="V3025" s="14">
        <v>114</v>
      </c>
      <c r="W3025" s="14">
        <v>116</v>
      </c>
      <c r="X3025" s="14">
        <v>114</v>
      </c>
    </row>
    <row r="3026" spans="1:24" hidden="1" x14ac:dyDescent="0.3">
      <c r="A3026" s="14" t="s">
        <v>467</v>
      </c>
      <c r="B3026" s="14" t="s">
        <v>468</v>
      </c>
      <c r="C3026" s="14" t="s">
        <v>357</v>
      </c>
      <c r="D3026" s="14" t="s">
        <v>358</v>
      </c>
      <c r="E3026" s="14" t="s">
        <v>342</v>
      </c>
      <c r="F3026" s="14" t="s">
        <v>343</v>
      </c>
      <c r="G3026" s="14" t="s">
        <v>343</v>
      </c>
      <c r="H3026" s="14" t="s">
        <v>343</v>
      </c>
      <c r="U3026" s="14">
        <v>1</v>
      </c>
      <c r="V3026" s="14">
        <v>1</v>
      </c>
      <c r="W3026" s="14">
        <v>1</v>
      </c>
      <c r="X3026" s="14">
        <v>1</v>
      </c>
    </row>
    <row r="3027" spans="1:24" hidden="1" x14ac:dyDescent="0.3">
      <c r="A3027" s="14" t="s">
        <v>467</v>
      </c>
      <c r="B3027" s="14" t="s">
        <v>468</v>
      </c>
      <c r="C3027" s="14" t="s">
        <v>357</v>
      </c>
      <c r="D3027" s="14" t="s">
        <v>358</v>
      </c>
      <c r="E3027" s="14" t="s">
        <v>344</v>
      </c>
      <c r="F3027" s="14" t="s">
        <v>343</v>
      </c>
      <c r="G3027" s="14" t="s">
        <v>343</v>
      </c>
      <c r="H3027" s="14" t="s">
        <v>343</v>
      </c>
      <c r="U3027" s="14">
        <v>1</v>
      </c>
      <c r="V3027" s="14">
        <v>1</v>
      </c>
      <c r="W3027" s="14">
        <v>1</v>
      </c>
      <c r="X3027" s="14">
        <v>1</v>
      </c>
    </row>
    <row r="3028" spans="1:24" hidden="1" x14ac:dyDescent="0.3">
      <c r="A3028" s="14" t="s">
        <v>467</v>
      </c>
      <c r="B3028" s="14" t="s">
        <v>468</v>
      </c>
      <c r="C3028" s="14" t="s">
        <v>359</v>
      </c>
      <c r="D3028" s="14" t="s">
        <v>360</v>
      </c>
      <c r="E3028" s="14" t="s">
        <v>342</v>
      </c>
      <c r="F3028" s="14" t="s">
        <v>343</v>
      </c>
      <c r="G3028" s="14" t="s">
        <v>343</v>
      </c>
      <c r="H3028" s="14" t="s">
        <v>343</v>
      </c>
      <c r="P3028" s="14">
        <v>0.8</v>
      </c>
      <c r="Q3028" s="14">
        <v>0.8</v>
      </c>
      <c r="R3028" s="14">
        <v>0.81</v>
      </c>
      <c r="S3028" s="14">
        <v>0.83</v>
      </c>
      <c r="T3028" s="14">
        <v>0.77</v>
      </c>
      <c r="U3028" s="14">
        <v>0.92</v>
      </c>
      <c r="V3028" s="14">
        <v>0.84</v>
      </c>
      <c r="W3028" s="14">
        <v>0.92</v>
      </c>
      <c r="X3028" s="14">
        <v>0.88</v>
      </c>
    </row>
    <row r="3029" spans="1:24" hidden="1" x14ac:dyDescent="0.3">
      <c r="A3029" s="14" t="s">
        <v>467</v>
      </c>
      <c r="B3029" s="14" t="s">
        <v>468</v>
      </c>
      <c r="C3029" s="14" t="s">
        <v>359</v>
      </c>
      <c r="D3029" s="14" t="s">
        <v>360</v>
      </c>
      <c r="E3029" s="14" t="s">
        <v>344</v>
      </c>
      <c r="F3029" s="14" t="s">
        <v>343</v>
      </c>
      <c r="G3029" s="14" t="s">
        <v>343</v>
      </c>
      <c r="H3029" s="14" t="s">
        <v>343</v>
      </c>
      <c r="P3029" s="14">
        <v>8</v>
      </c>
      <c r="Q3029" s="14">
        <v>13</v>
      </c>
      <c r="R3029" s="14">
        <v>11</v>
      </c>
      <c r="S3029" s="14">
        <v>2</v>
      </c>
      <c r="T3029" s="14">
        <v>22</v>
      </c>
      <c r="U3029" s="14">
        <v>1</v>
      </c>
      <c r="V3029" s="14">
        <v>3</v>
      </c>
      <c r="W3029" s="14">
        <v>1</v>
      </c>
      <c r="X3029" s="14">
        <v>1</v>
      </c>
    </row>
    <row r="3030" spans="1:24" x14ac:dyDescent="0.3">
      <c r="A3030" s="14" t="s">
        <v>467</v>
      </c>
      <c r="B3030" s="14" t="s">
        <v>468</v>
      </c>
      <c r="C3030" s="14" t="s">
        <v>361</v>
      </c>
      <c r="D3030" s="14" t="s">
        <v>362</v>
      </c>
      <c r="E3030" s="14" t="s">
        <v>342</v>
      </c>
      <c r="F3030" s="14" t="s">
        <v>343</v>
      </c>
      <c r="G3030" s="14" t="s">
        <v>343</v>
      </c>
      <c r="H3030" s="14" t="s">
        <v>343</v>
      </c>
      <c r="P3030" s="14">
        <v>0.97</v>
      </c>
      <c r="Q3030" s="14">
        <v>0.97</v>
      </c>
      <c r="R3030" s="14">
        <v>0.97</v>
      </c>
      <c r="S3030" s="14">
        <v>0.97</v>
      </c>
      <c r="T3030" s="14">
        <v>0.97</v>
      </c>
      <c r="U3030" s="14">
        <v>0.97</v>
      </c>
      <c r="V3030" s="14">
        <v>0.97</v>
      </c>
      <c r="W3030" s="14">
        <v>0.98</v>
      </c>
      <c r="X3030" s="14">
        <v>0.98</v>
      </c>
    </row>
    <row r="3031" spans="1:24" hidden="1" x14ac:dyDescent="0.3">
      <c r="A3031" s="14" t="s">
        <v>467</v>
      </c>
      <c r="B3031" s="14" t="s">
        <v>468</v>
      </c>
      <c r="C3031" s="14" t="s">
        <v>361</v>
      </c>
      <c r="D3031" s="14" t="s">
        <v>362</v>
      </c>
      <c r="E3031" s="14" t="s">
        <v>344</v>
      </c>
      <c r="F3031" s="14" t="s">
        <v>343</v>
      </c>
      <c r="G3031" s="14" t="s">
        <v>343</v>
      </c>
      <c r="H3031" s="14" t="s">
        <v>343</v>
      </c>
      <c r="P3031" s="14">
        <v>106</v>
      </c>
      <c r="Q3031" s="14">
        <v>86</v>
      </c>
      <c r="R3031" s="14">
        <v>92</v>
      </c>
      <c r="S3031" s="14">
        <v>90</v>
      </c>
      <c r="T3031" s="14">
        <v>74</v>
      </c>
      <c r="U3031" s="14">
        <v>98</v>
      </c>
      <c r="V3031" s="14">
        <v>98</v>
      </c>
      <c r="W3031" s="14">
        <v>57</v>
      </c>
      <c r="X3031" s="14">
        <v>55</v>
      </c>
    </row>
    <row r="3032" spans="1:24" hidden="1" x14ac:dyDescent="0.3">
      <c r="A3032" s="14" t="s">
        <v>467</v>
      </c>
      <c r="B3032" s="14" t="s">
        <v>468</v>
      </c>
      <c r="C3032" s="14" t="s">
        <v>363</v>
      </c>
      <c r="D3032" s="14" t="s">
        <v>364</v>
      </c>
      <c r="E3032" s="14" t="s">
        <v>342</v>
      </c>
      <c r="F3032" s="14" t="s">
        <v>343</v>
      </c>
      <c r="G3032" s="14" t="s">
        <v>343</v>
      </c>
      <c r="H3032" s="14" t="s">
        <v>343</v>
      </c>
      <c r="U3032" s="14">
        <v>1.03</v>
      </c>
      <c r="V3032" s="14">
        <v>1.03</v>
      </c>
      <c r="W3032" s="14">
        <v>1.05</v>
      </c>
      <c r="X3032" s="14">
        <v>1.04</v>
      </c>
    </row>
    <row r="3033" spans="1:24" hidden="1" x14ac:dyDescent="0.3">
      <c r="A3033" s="14" t="s">
        <v>467</v>
      </c>
      <c r="B3033" s="14" t="s">
        <v>468</v>
      </c>
      <c r="C3033" s="14" t="s">
        <v>363</v>
      </c>
      <c r="D3033" s="14" t="s">
        <v>364</v>
      </c>
      <c r="E3033" s="14" t="s">
        <v>344</v>
      </c>
      <c r="F3033" s="14" t="s">
        <v>343</v>
      </c>
      <c r="G3033" s="14" t="s">
        <v>343</v>
      </c>
      <c r="H3033" s="14" t="s">
        <v>343</v>
      </c>
      <c r="U3033" s="14">
        <v>106</v>
      </c>
      <c r="V3033" s="14">
        <v>109</v>
      </c>
      <c r="W3033" s="14">
        <v>66</v>
      </c>
      <c r="X3033" s="14">
        <v>61</v>
      </c>
    </row>
    <row r="3034" spans="1:24" hidden="1" x14ac:dyDescent="0.3">
      <c r="A3034" s="14" t="s">
        <v>467</v>
      </c>
      <c r="B3034" s="14" t="s">
        <v>468</v>
      </c>
      <c r="C3034" s="14" t="s">
        <v>365</v>
      </c>
      <c r="D3034" s="14" t="s">
        <v>366</v>
      </c>
      <c r="E3034" s="14" t="s">
        <v>342</v>
      </c>
      <c r="F3034" s="14" t="s">
        <v>343</v>
      </c>
      <c r="G3034" s="14" t="s">
        <v>343</v>
      </c>
      <c r="H3034" s="14" t="s">
        <v>343</v>
      </c>
      <c r="U3034" s="14">
        <v>0.94</v>
      </c>
      <c r="V3034" s="14">
        <v>0.94</v>
      </c>
      <c r="W3034" s="14">
        <v>0.94</v>
      </c>
      <c r="X3034" s="14">
        <v>0.94</v>
      </c>
    </row>
    <row r="3035" spans="1:24" hidden="1" x14ac:dyDescent="0.3">
      <c r="A3035" s="14" t="s">
        <v>467</v>
      </c>
      <c r="B3035" s="14" t="s">
        <v>468</v>
      </c>
      <c r="C3035" s="14" t="s">
        <v>365</v>
      </c>
      <c r="D3035" s="14" t="s">
        <v>366</v>
      </c>
      <c r="E3035" s="14" t="s">
        <v>344</v>
      </c>
      <c r="F3035" s="14" t="s">
        <v>343</v>
      </c>
      <c r="G3035" s="14" t="s">
        <v>343</v>
      </c>
      <c r="H3035" s="14" t="s">
        <v>343</v>
      </c>
      <c r="U3035" s="14">
        <v>1</v>
      </c>
      <c r="V3035" s="14">
        <v>1</v>
      </c>
      <c r="W3035" s="14">
        <v>1</v>
      </c>
      <c r="X3035" s="14">
        <v>1</v>
      </c>
    </row>
    <row r="3036" spans="1:24" hidden="1" x14ac:dyDescent="0.3">
      <c r="A3036" s="14" t="s">
        <v>467</v>
      </c>
      <c r="B3036" s="14" t="s">
        <v>468</v>
      </c>
      <c r="C3036" s="14" t="s">
        <v>367</v>
      </c>
      <c r="D3036" s="14" t="s">
        <v>368</v>
      </c>
      <c r="E3036" s="14" t="s">
        <v>342</v>
      </c>
      <c r="F3036" s="14" t="s">
        <v>343</v>
      </c>
      <c r="G3036" s="14" t="s">
        <v>343</v>
      </c>
      <c r="H3036" s="14" t="s">
        <v>343</v>
      </c>
      <c r="P3036" s="14">
        <v>0.7</v>
      </c>
      <c r="Q3036" s="14">
        <v>0.7</v>
      </c>
      <c r="R3036" s="14">
        <v>0.71</v>
      </c>
      <c r="S3036" s="14">
        <v>0.72</v>
      </c>
      <c r="T3036" s="14">
        <v>0.7</v>
      </c>
      <c r="U3036" s="14">
        <v>0.75</v>
      </c>
      <c r="V3036" s="14">
        <v>0.73</v>
      </c>
      <c r="W3036" s="14">
        <v>0.75</v>
      </c>
      <c r="X3036" s="14">
        <v>0.73</v>
      </c>
    </row>
    <row r="3037" spans="1:24" hidden="1" x14ac:dyDescent="0.3">
      <c r="A3037" s="14" t="s">
        <v>467</v>
      </c>
      <c r="B3037" s="14" t="s">
        <v>468</v>
      </c>
      <c r="C3037" s="14" t="s">
        <v>367</v>
      </c>
      <c r="D3037" s="14" t="s">
        <v>368</v>
      </c>
      <c r="E3037" s="14" t="s">
        <v>344</v>
      </c>
      <c r="F3037" s="14" t="s">
        <v>343</v>
      </c>
      <c r="G3037" s="14" t="s">
        <v>343</v>
      </c>
      <c r="H3037" s="14" t="s">
        <v>343</v>
      </c>
      <c r="P3037" s="14">
        <v>60</v>
      </c>
      <c r="Q3037" s="14">
        <v>60</v>
      </c>
      <c r="R3037" s="14">
        <v>52</v>
      </c>
      <c r="S3037" s="14">
        <v>43</v>
      </c>
      <c r="T3037" s="14">
        <v>64</v>
      </c>
      <c r="U3037" s="14">
        <v>26</v>
      </c>
      <c r="V3037" s="14">
        <v>43</v>
      </c>
      <c r="W3037" s="14">
        <v>36</v>
      </c>
      <c r="X3037" s="14">
        <v>53</v>
      </c>
    </row>
    <row r="3038" spans="1:24" hidden="1" x14ac:dyDescent="0.3">
      <c r="A3038" s="14" t="s">
        <v>467</v>
      </c>
      <c r="B3038" s="14" t="s">
        <v>468</v>
      </c>
      <c r="C3038" s="14" t="s">
        <v>369</v>
      </c>
      <c r="D3038" s="14" t="s">
        <v>370</v>
      </c>
      <c r="E3038" s="14" t="s">
        <v>342</v>
      </c>
      <c r="F3038" s="14" t="s">
        <v>343</v>
      </c>
      <c r="G3038" s="14" t="s">
        <v>343</v>
      </c>
      <c r="H3038" s="14" t="s">
        <v>343</v>
      </c>
      <c r="P3038" s="14">
        <v>0.14000000000000001</v>
      </c>
      <c r="Q3038" s="14">
        <v>0.14000000000000001</v>
      </c>
      <c r="R3038" s="14">
        <v>0.13</v>
      </c>
      <c r="S3038" s="14">
        <v>0.15</v>
      </c>
      <c r="T3038" s="14">
        <v>0.14000000000000001</v>
      </c>
      <c r="U3038" s="14">
        <v>0.14000000000000001</v>
      </c>
      <c r="V3038" s="14">
        <v>0.15</v>
      </c>
      <c r="W3038" s="14">
        <v>0.15</v>
      </c>
      <c r="X3038" s="14">
        <v>0.12</v>
      </c>
    </row>
    <row r="3039" spans="1:24" hidden="1" x14ac:dyDescent="0.3">
      <c r="A3039" s="14" t="s">
        <v>467</v>
      </c>
      <c r="B3039" s="14" t="s">
        <v>468</v>
      </c>
      <c r="C3039" s="14" t="s">
        <v>369</v>
      </c>
      <c r="D3039" s="14" t="s">
        <v>370</v>
      </c>
      <c r="E3039" s="14" t="s">
        <v>344</v>
      </c>
      <c r="F3039" s="14" t="s">
        <v>343</v>
      </c>
      <c r="G3039" s="14" t="s">
        <v>343</v>
      </c>
      <c r="H3039" s="14" t="s">
        <v>343</v>
      </c>
      <c r="P3039" s="14">
        <v>73</v>
      </c>
      <c r="Q3039" s="14">
        <v>81</v>
      </c>
      <c r="R3039" s="14">
        <v>84</v>
      </c>
      <c r="S3039" s="14">
        <v>79</v>
      </c>
      <c r="T3039" s="14">
        <v>87</v>
      </c>
      <c r="U3039" s="14">
        <v>89</v>
      </c>
      <c r="V3039" s="14">
        <v>98</v>
      </c>
      <c r="W3039" s="14">
        <v>104</v>
      </c>
      <c r="X3039" s="14">
        <v>116</v>
      </c>
    </row>
    <row r="3040" spans="1:24" hidden="1" x14ac:dyDescent="0.3">
      <c r="A3040" s="14" t="s">
        <v>467</v>
      </c>
      <c r="B3040" s="14" t="s">
        <v>468</v>
      </c>
      <c r="C3040" s="14" t="s">
        <v>371</v>
      </c>
      <c r="D3040" s="14" t="s">
        <v>372</v>
      </c>
      <c r="E3040" s="14" t="s">
        <v>342</v>
      </c>
      <c r="F3040" s="14" t="s">
        <v>343</v>
      </c>
      <c r="G3040" s="14" t="s">
        <v>343</v>
      </c>
      <c r="H3040" s="14" t="s">
        <v>343</v>
      </c>
      <c r="U3040" s="14">
        <v>0</v>
      </c>
      <c r="V3040" s="14">
        <v>0</v>
      </c>
      <c r="W3040" s="14">
        <v>0</v>
      </c>
      <c r="X3040" s="14">
        <v>0</v>
      </c>
    </row>
    <row r="3041" spans="1:24" hidden="1" x14ac:dyDescent="0.3">
      <c r="A3041" s="14" t="s">
        <v>467</v>
      </c>
      <c r="B3041" s="14" t="s">
        <v>468</v>
      </c>
      <c r="C3041" s="14" t="s">
        <v>371</v>
      </c>
      <c r="D3041" s="14" t="s">
        <v>372</v>
      </c>
      <c r="E3041" s="14" t="s">
        <v>344</v>
      </c>
      <c r="F3041" s="14" t="s">
        <v>343</v>
      </c>
      <c r="G3041" s="14" t="s">
        <v>343</v>
      </c>
      <c r="H3041" s="14" t="s">
        <v>343</v>
      </c>
      <c r="U3041" s="14">
        <v>71</v>
      </c>
      <c r="V3041" s="14">
        <v>73</v>
      </c>
      <c r="W3041" s="14">
        <v>76</v>
      </c>
      <c r="X3041" s="14">
        <v>78</v>
      </c>
    </row>
    <row r="3042" spans="1:24" hidden="1" x14ac:dyDescent="0.3">
      <c r="A3042" s="14" t="s">
        <v>467</v>
      </c>
      <c r="B3042" s="14" t="s">
        <v>468</v>
      </c>
      <c r="C3042" s="14" t="s">
        <v>373</v>
      </c>
      <c r="D3042" s="14" t="s">
        <v>374</v>
      </c>
      <c r="E3042" s="14" t="s">
        <v>342</v>
      </c>
      <c r="F3042" s="14" t="s">
        <v>343</v>
      </c>
      <c r="G3042" s="14" t="s">
        <v>343</v>
      </c>
      <c r="H3042" s="14" t="s">
        <v>343</v>
      </c>
      <c r="U3042" s="14">
        <v>0.08</v>
      </c>
      <c r="V3042" s="14">
        <v>0.13</v>
      </c>
      <c r="W3042" s="14">
        <v>0.12</v>
      </c>
      <c r="X3042" s="14">
        <v>0.12</v>
      </c>
    </row>
    <row r="3043" spans="1:24" hidden="1" x14ac:dyDescent="0.3">
      <c r="A3043" s="14" t="s">
        <v>467</v>
      </c>
      <c r="B3043" s="14" t="s">
        <v>468</v>
      </c>
      <c r="C3043" s="14" t="s">
        <v>373</v>
      </c>
      <c r="D3043" s="14" t="s">
        <v>374</v>
      </c>
      <c r="E3043" s="14" t="s">
        <v>344</v>
      </c>
      <c r="F3043" s="14" t="s">
        <v>343</v>
      </c>
      <c r="G3043" s="14" t="s">
        <v>343</v>
      </c>
      <c r="H3043" s="14" t="s">
        <v>343</v>
      </c>
      <c r="U3043" s="14">
        <v>123</v>
      </c>
      <c r="V3043" s="14">
        <v>115</v>
      </c>
      <c r="W3043" s="14">
        <v>123</v>
      </c>
      <c r="X3043" s="14">
        <v>118</v>
      </c>
    </row>
    <row r="3044" spans="1:24" hidden="1" x14ac:dyDescent="0.3">
      <c r="A3044" s="14" t="s">
        <v>467</v>
      </c>
      <c r="B3044" s="14" t="s">
        <v>468</v>
      </c>
      <c r="C3044" s="14" t="s">
        <v>375</v>
      </c>
      <c r="D3044" s="14" t="s">
        <v>376</v>
      </c>
      <c r="E3044" s="14" t="s">
        <v>342</v>
      </c>
      <c r="F3044" s="14" t="s">
        <v>343</v>
      </c>
      <c r="G3044" s="14" t="s">
        <v>343</v>
      </c>
      <c r="H3044" s="14" t="s">
        <v>343</v>
      </c>
      <c r="U3044" s="14">
        <v>0.38</v>
      </c>
      <c r="V3044" s="14">
        <v>0.38</v>
      </c>
      <c r="W3044" s="14">
        <v>0.38</v>
      </c>
      <c r="X3044" s="14">
        <v>0.28000000000000003</v>
      </c>
    </row>
    <row r="3045" spans="1:24" hidden="1" x14ac:dyDescent="0.3">
      <c r="A3045" s="14" t="s">
        <v>467</v>
      </c>
      <c r="B3045" s="14" t="s">
        <v>468</v>
      </c>
      <c r="C3045" s="14" t="s">
        <v>375</v>
      </c>
      <c r="D3045" s="14" t="s">
        <v>376</v>
      </c>
      <c r="E3045" s="14" t="s">
        <v>344</v>
      </c>
      <c r="F3045" s="14" t="s">
        <v>343</v>
      </c>
      <c r="G3045" s="14" t="s">
        <v>343</v>
      </c>
      <c r="H3045" s="14" t="s">
        <v>343</v>
      </c>
      <c r="U3045" s="14">
        <v>49</v>
      </c>
      <c r="V3045" s="14">
        <v>52</v>
      </c>
      <c r="W3045" s="14">
        <v>58</v>
      </c>
      <c r="X3045" s="14">
        <v>87</v>
      </c>
    </row>
    <row r="3046" spans="1:24" hidden="1" x14ac:dyDescent="0.3">
      <c r="A3046" s="14" t="s">
        <v>469</v>
      </c>
      <c r="B3046" s="14" t="s">
        <v>140</v>
      </c>
      <c r="C3046" s="14" t="s">
        <v>340</v>
      </c>
      <c r="D3046" s="14" t="s">
        <v>341</v>
      </c>
      <c r="E3046" s="14" t="s">
        <v>342</v>
      </c>
      <c r="F3046" s="14" t="s">
        <v>343</v>
      </c>
      <c r="G3046" s="14" t="s">
        <v>343</v>
      </c>
      <c r="H3046" s="14" t="s">
        <v>343</v>
      </c>
      <c r="M3046" s="14">
        <v>0.98</v>
      </c>
      <c r="N3046" s="14">
        <v>0.98</v>
      </c>
      <c r="O3046" s="14">
        <v>0.98</v>
      </c>
      <c r="P3046" s="14">
        <v>0.98</v>
      </c>
      <c r="Q3046" s="14">
        <v>0.95</v>
      </c>
      <c r="R3046" s="14">
        <v>0.96</v>
      </c>
      <c r="S3046" s="14">
        <v>0.96</v>
      </c>
      <c r="T3046" s="14">
        <v>0.96</v>
      </c>
      <c r="U3046" s="14">
        <v>0.96</v>
      </c>
      <c r="V3046" s="14">
        <v>0.96</v>
      </c>
      <c r="W3046" s="14">
        <v>0.96</v>
      </c>
      <c r="X3046" s="14">
        <v>0.98</v>
      </c>
    </row>
    <row r="3047" spans="1:24" hidden="1" x14ac:dyDescent="0.3">
      <c r="A3047" s="14" t="s">
        <v>469</v>
      </c>
      <c r="B3047" s="14" t="s">
        <v>140</v>
      </c>
      <c r="C3047" s="14" t="s">
        <v>340</v>
      </c>
      <c r="D3047" s="14" t="s">
        <v>341</v>
      </c>
      <c r="E3047" s="14" t="s">
        <v>344</v>
      </c>
      <c r="F3047" s="14" t="s">
        <v>343</v>
      </c>
      <c r="G3047" s="14" t="s">
        <v>343</v>
      </c>
      <c r="H3047" s="14" t="s">
        <v>343</v>
      </c>
      <c r="M3047" s="14">
        <v>91</v>
      </c>
      <c r="N3047" s="14">
        <v>90</v>
      </c>
      <c r="O3047" s="14">
        <v>86</v>
      </c>
      <c r="P3047" s="14">
        <v>87</v>
      </c>
      <c r="Q3047" s="14">
        <v>106</v>
      </c>
      <c r="R3047" s="14">
        <v>104</v>
      </c>
      <c r="S3047" s="14">
        <v>108</v>
      </c>
      <c r="T3047" s="14">
        <v>109</v>
      </c>
      <c r="U3047" s="14">
        <v>110</v>
      </c>
      <c r="V3047" s="14">
        <v>111</v>
      </c>
      <c r="W3047" s="14">
        <v>113</v>
      </c>
      <c r="X3047" s="14">
        <v>90</v>
      </c>
    </row>
    <row r="3048" spans="1:24" hidden="1" x14ac:dyDescent="0.3">
      <c r="A3048" s="14" t="s">
        <v>469</v>
      </c>
      <c r="B3048" s="14" t="s">
        <v>140</v>
      </c>
      <c r="C3048" s="14" t="s">
        <v>345</v>
      </c>
      <c r="D3048" s="14" t="s">
        <v>346</v>
      </c>
      <c r="E3048" s="14" t="s">
        <v>342</v>
      </c>
      <c r="F3048" s="14" t="s">
        <v>343</v>
      </c>
      <c r="G3048" s="14" t="s">
        <v>343</v>
      </c>
      <c r="H3048" s="14" t="s">
        <v>343</v>
      </c>
      <c r="U3048" s="14">
        <v>0.25</v>
      </c>
      <c r="V3048" s="14">
        <v>0.25</v>
      </c>
      <c r="W3048" s="14">
        <v>0.34</v>
      </c>
      <c r="X3048" s="14">
        <v>0.34</v>
      </c>
    </row>
    <row r="3049" spans="1:24" hidden="1" x14ac:dyDescent="0.3">
      <c r="A3049" s="14" t="s">
        <v>469</v>
      </c>
      <c r="B3049" s="14" t="s">
        <v>140</v>
      </c>
      <c r="C3049" s="14" t="s">
        <v>345</v>
      </c>
      <c r="D3049" s="14" t="s">
        <v>346</v>
      </c>
      <c r="E3049" s="14" t="s">
        <v>344</v>
      </c>
      <c r="F3049" s="14" t="s">
        <v>343</v>
      </c>
      <c r="G3049" s="14" t="s">
        <v>343</v>
      </c>
      <c r="H3049" s="14" t="s">
        <v>343</v>
      </c>
      <c r="U3049" s="14">
        <v>137</v>
      </c>
      <c r="V3049" s="14">
        <v>140</v>
      </c>
      <c r="W3049" s="14">
        <v>137</v>
      </c>
      <c r="X3049" s="14">
        <v>132</v>
      </c>
    </row>
    <row r="3050" spans="1:24" hidden="1" x14ac:dyDescent="0.3">
      <c r="A3050" s="14" t="s">
        <v>469</v>
      </c>
      <c r="B3050" s="14" t="s">
        <v>140</v>
      </c>
      <c r="C3050" s="14" t="s">
        <v>347</v>
      </c>
      <c r="D3050" s="14" t="s">
        <v>348</v>
      </c>
      <c r="E3050" s="14" t="s">
        <v>342</v>
      </c>
      <c r="F3050" s="14" t="s">
        <v>343</v>
      </c>
      <c r="G3050" s="14" t="s">
        <v>343</v>
      </c>
      <c r="H3050" s="14" t="s">
        <v>343</v>
      </c>
      <c r="U3050" s="14">
        <v>0.34</v>
      </c>
      <c r="V3050" s="14">
        <v>0.34</v>
      </c>
      <c r="W3050" s="14">
        <v>0.34</v>
      </c>
      <c r="X3050" s="14">
        <v>0.32</v>
      </c>
    </row>
    <row r="3051" spans="1:24" hidden="1" x14ac:dyDescent="0.3">
      <c r="A3051" s="14" t="s">
        <v>469</v>
      </c>
      <c r="B3051" s="14" t="s">
        <v>140</v>
      </c>
      <c r="C3051" s="14" t="s">
        <v>347</v>
      </c>
      <c r="D3051" s="14" t="s">
        <v>348</v>
      </c>
      <c r="E3051" s="14" t="s">
        <v>344</v>
      </c>
      <c r="F3051" s="14" t="s">
        <v>343</v>
      </c>
      <c r="G3051" s="14" t="s">
        <v>343</v>
      </c>
      <c r="H3051" s="14" t="s">
        <v>343</v>
      </c>
      <c r="U3051" s="14">
        <v>139</v>
      </c>
      <c r="V3051" s="14">
        <v>142</v>
      </c>
      <c r="W3051" s="14">
        <v>144</v>
      </c>
      <c r="X3051" s="14">
        <v>139</v>
      </c>
    </row>
    <row r="3052" spans="1:24" hidden="1" x14ac:dyDescent="0.3">
      <c r="A3052" s="14" t="s">
        <v>469</v>
      </c>
      <c r="B3052" s="14" t="s">
        <v>140</v>
      </c>
      <c r="C3052" s="14" t="s">
        <v>349</v>
      </c>
      <c r="D3052" s="14" t="s">
        <v>350</v>
      </c>
      <c r="E3052" s="14" t="s">
        <v>342</v>
      </c>
      <c r="F3052" s="14" t="s">
        <v>343</v>
      </c>
      <c r="G3052" s="14" t="s">
        <v>343</v>
      </c>
      <c r="H3052" s="14" t="s">
        <v>343</v>
      </c>
      <c r="U3052" s="14">
        <v>0.09</v>
      </c>
      <c r="V3052" s="14">
        <v>0.09</v>
      </c>
      <c r="W3052" s="14">
        <v>0.27</v>
      </c>
      <c r="X3052" s="14">
        <v>0.27</v>
      </c>
    </row>
    <row r="3053" spans="1:24" hidden="1" x14ac:dyDescent="0.3">
      <c r="A3053" s="14" t="s">
        <v>469</v>
      </c>
      <c r="B3053" s="14" t="s">
        <v>140</v>
      </c>
      <c r="C3053" s="14" t="s">
        <v>349</v>
      </c>
      <c r="D3053" s="14" t="s">
        <v>350</v>
      </c>
      <c r="E3053" s="14" t="s">
        <v>344</v>
      </c>
      <c r="F3053" s="14" t="s">
        <v>343</v>
      </c>
      <c r="G3053" s="14" t="s">
        <v>343</v>
      </c>
      <c r="H3053" s="14" t="s">
        <v>343</v>
      </c>
      <c r="U3053" s="14">
        <v>137</v>
      </c>
      <c r="V3053" s="14">
        <v>144</v>
      </c>
      <c r="W3053" s="14">
        <v>122</v>
      </c>
      <c r="X3053" s="14">
        <v>113</v>
      </c>
    </row>
    <row r="3054" spans="1:24" hidden="1" x14ac:dyDescent="0.3">
      <c r="A3054" s="14" t="s">
        <v>469</v>
      </c>
      <c r="B3054" s="14" t="s">
        <v>140</v>
      </c>
      <c r="C3054" s="14" t="s">
        <v>351</v>
      </c>
      <c r="D3054" s="14" t="s">
        <v>352</v>
      </c>
      <c r="E3054" s="14" t="s">
        <v>342</v>
      </c>
      <c r="F3054" s="14" t="s">
        <v>343</v>
      </c>
      <c r="G3054" s="14" t="s">
        <v>343</v>
      </c>
      <c r="H3054" s="14" t="s">
        <v>343</v>
      </c>
      <c r="U3054" s="14">
        <v>0.93</v>
      </c>
      <c r="V3054" s="14">
        <v>0.93</v>
      </c>
      <c r="W3054" s="14">
        <v>0.93</v>
      </c>
      <c r="X3054" s="14">
        <v>1</v>
      </c>
    </row>
    <row r="3055" spans="1:24" hidden="1" x14ac:dyDescent="0.3">
      <c r="A3055" s="14" t="s">
        <v>469</v>
      </c>
      <c r="B3055" s="14" t="s">
        <v>140</v>
      </c>
      <c r="C3055" s="14" t="s">
        <v>351</v>
      </c>
      <c r="D3055" s="14" t="s">
        <v>352</v>
      </c>
      <c r="E3055" s="14" t="s">
        <v>344</v>
      </c>
      <c r="F3055" s="14" t="s">
        <v>343</v>
      </c>
      <c r="G3055" s="14" t="s">
        <v>343</v>
      </c>
      <c r="H3055" s="14" t="s">
        <v>343</v>
      </c>
      <c r="U3055" s="14">
        <v>81</v>
      </c>
      <c r="V3055" s="14">
        <v>86</v>
      </c>
      <c r="W3055" s="14">
        <v>84</v>
      </c>
      <c r="X3055" s="14">
        <v>1</v>
      </c>
    </row>
    <row r="3056" spans="1:24" hidden="1" x14ac:dyDescent="0.3">
      <c r="A3056" s="14" t="s">
        <v>469</v>
      </c>
      <c r="B3056" s="14" t="s">
        <v>140</v>
      </c>
      <c r="C3056" s="14" t="s">
        <v>378</v>
      </c>
      <c r="D3056" s="14" t="s">
        <v>379</v>
      </c>
      <c r="E3056" s="14" t="s">
        <v>342</v>
      </c>
      <c r="F3056" s="14" t="s">
        <v>343</v>
      </c>
      <c r="G3056" s="14" t="s">
        <v>343</v>
      </c>
      <c r="H3056" s="14" t="s">
        <v>343</v>
      </c>
      <c r="S3056" s="14">
        <v>0.61</v>
      </c>
      <c r="U3056" s="14">
        <v>0.59</v>
      </c>
      <c r="V3056" s="14">
        <v>0.62</v>
      </c>
      <c r="W3056" s="14">
        <v>0.62</v>
      </c>
      <c r="X3056" s="14">
        <v>0.61</v>
      </c>
    </row>
    <row r="3057" spans="1:24" hidden="1" x14ac:dyDescent="0.3">
      <c r="A3057" s="14" t="s">
        <v>469</v>
      </c>
      <c r="B3057" s="14" t="s">
        <v>140</v>
      </c>
      <c r="C3057" s="14" t="s">
        <v>378</v>
      </c>
      <c r="D3057" s="14" t="s">
        <v>379</v>
      </c>
      <c r="E3057" s="14" t="s">
        <v>344</v>
      </c>
      <c r="F3057" s="14" t="s">
        <v>343</v>
      </c>
      <c r="G3057" s="14" t="s">
        <v>343</v>
      </c>
      <c r="H3057" s="14" t="s">
        <v>343</v>
      </c>
      <c r="S3057" s="14">
        <v>88</v>
      </c>
      <c r="U3057" s="14">
        <v>101</v>
      </c>
      <c r="V3057" s="14">
        <v>90</v>
      </c>
      <c r="W3057" s="14">
        <v>93</v>
      </c>
      <c r="X3057" s="14">
        <v>92</v>
      </c>
    </row>
    <row r="3058" spans="1:24" hidden="1" x14ac:dyDescent="0.3">
      <c r="A3058" s="14" t="s">
        <v>469</v>
      </c>
      <c r="B3058" s="14" t="s">
        <v>140</v>
      </c>
      <c r="C3058" s="14" t="s">
        <v>353</v>
      </c>
      <c r="D3058" s="14" t="s">
        <v>354</v>
      </c>
      <c r="E3058" s="14" t="s">
        <v>342</v>
      </c>
      <c r="F3058" s="14" t="s">
        <v>343</v>
      </c>
      <c r="G3058" s="14" t="s">
        <v>343</v>
      </c>
      <c r="H3058" s="14" t="s">
        <v>343</v>
      </c>
      <c r="U3058" s="14">
        <v>0.93</v>
      </c>
      <c r="V3058" s="14">
        <v>0.96</v>
      </c>
      <c r="W3058" s="14">
        <v>0.96</v>
      </c>
      <c r="X3058" s="14">
        <v>0.96</v>
      </c>
    </row>
    <row r="3059" spans="1:24" hidden="1" x14ac:dyDescent="0.3">
      <c r="A3059" s="14" t="s">
        <v>469</v>
      </c>
      <c r="B3059" s="14" t="s">
        <v>140</v>
      </c>
      <c r="C3059" s="14" t="s">
        <v>353</v>
      </c>
      <c r="D3059" s="14" t="s">
        <v>354</v>
      </c>
      <c r="E3059" s="14" t="s">
        <v>344</v>
      </c>
      <c r="F3059" s="14" t="s">
        <v>343</v>
      </c>
      <c r="G3059" s="14" t="s">
        <v>343</v>
      </c>
      <c r="H3059" s="14" t="s">
        <v>343</v>
      </c>
      <c r="U3059" s="14">
        <v>98</v>
      </c>
      <c r="V3059" s="14">
        <v>94</v>
      </c>
      <c r="W3059" s="14">
        <v>96</v>
      </c>
      <c r="X3059" s="14">
        <v>92</v>
      </c>
    </row>
    <row r="3060" spans="1:24" hidden="1" x14ac:dyDescent="0.3">
      <c r="A3060" s="14" t="s">
        <v>469</v>
      </c>
      <c r="B3060" s="14" t="s">
        <v>140</v>
      </c>
      <c r="C3060" s="14" t="s">
        <v>380</v>
      </c>
      <c r="D3060" s="14" t="s">
        <v>381</v>
      </c>
      <c r="E3060" s="14" t="s">
        <v>342</v>
      </c>
      <c r="F3060" s="14" t="s">
        <v>343</v>
      </c>
      <c r="G3060" s="14" t="s">
        <v>343</v>
      </c>
      <c r="H3060" s="14" t="s">
        <v>343</v>
      </c>
      <c r="U3060" s="14">
        <v>0.94</v>
      </c>
      <c r="V3060" s="14">
        <v>0.94</v>
      </c>
      <c r="W3060" s="14">
        <v>0.94</v>
      </c>
    </row>
    <row r="3061" spans="1:24" hidden="1" x14ac:dyDescent="0.3">
      <c r="A3061" s="14" t="s">
        <v>469</v>
      </c>
      <c r="B3061" s="14" t="s">
        <v>140</v>
      </c>
      <c r="C3061" s="14" t="s">
        <v>380</v>
      </c>
      <c r="D3061" s="14" t="s">
        <v>381</v>
      </c>
      <c r="E3061" s="14" t="s">
        <v>344</v>
      </c>
      <c r="F3061" s="14" t="s">
        <v>343</v>
      </c>
      <c r="G3061" s="14" t="s">
        <v>343</v>
      </c>
      <c r="H3061" s="14" t="s">
        <v>343</v>
      </c>
      <c r="U3061" s="14">
        <v>124</v>
      </c>
      <c r="V3061" s="14">
        <v>133</v>
      </c>
      <c r="W3061" s="14">
        <v>134</v>
      </c>
    </row>
    <row r="3062" spans="1:24" hidden="1" x14ac:dyDescent="0.3">
      <c r="A3062" s="14" t="s">
        <v>469</v>
      </c>
      <c r="B3062" s="14" t="s">
        <v>140</v>
      </c>
      <c r="C3062" s="14" t="s">
        <v>355</v>
      </c>
      <c r="D3062" s="14" t="s">
        <v>356</v>
      </c>
      <c r="E3062" s="14" t="s">
        <v>342</v>
      </c>
      <c r="F3062" s="14" t="s">
        <v>343</v>
      </c>
      <c r="G3062" s="14" t="s">
        <v>343</v>
      </c>
      <c r="H3062" s="14" t="s">
        <v>343</v>
      </c>
      <c r="U3062" s="14">
        <v>1</v>
      </c>
      <c r="V3062" s="14">
        <v>1</v>
      </c>
      <c r="W3062" s="14">
        <v>1</v>
      </c>
      <c r="X3062" s="14">
        <v>1</v>
      </c>
    </row>
    <row r="3063" spans="1:24" hidden="1" x14ac:dyDescent="0.3">
      <c r="A3063" s="14" t="s">
        <v>469</v>
      </c>
      <c r="B3063" s="14" t="s">
        <v>140</v>
      </c>
      <c r="C3063" s="14" t="s">
        <v>355</v>
      </c>
      <c r="D3063" s="14" t="s">
        <v>356</v>
      </c>
      <c r="E3063" s="14" t="s">
        <v>344</v>
      </c>
      <c r="F3063" s="14" t="s">
        <v>343</v>
      </c>
      <c r="G3063" s="14" t="s">
        <v>343</v>
      </c>
      <c r="H3063" s="14" t="s">
        <v>343</v>
      </c>
      <c r="U3063" s="14">
        <v>1</v>
      </c>
      <c r="V3063" s="14">
        <v>1</v>
      </c>
      <c r="W3063" s="14">
        <v>1</v>
      </c>
      <c r="X3063" s="14">
        <v>1</v>
      </c>
    </row>
    <row r="3064" spans="1:24" hidden="1" x14ac:dyDescent="0.3">
      <c r="A3064" s="14" t="s">
        <v>469</v>
      </c>
      <c r="B3064" s="14" t="s">
        <v>140</v>
      </c>
      <c r="C3064" s="14" t="s">
        <v>357</v>
      </c>
      <c r="D3064" s="14" t="s">
        <v>358</v>
      </c>
      <c r="E3064" s="14" t="s">
        <v>342</v>
      </c>
      <c r="F3064" s="14" t="s">
        <v>343</v>
      </c>
      <c r="G3064" s="14" t="s">
        <v>343</v>
      </c>
      <c r="H3064" s="14" t="s">
        <v>343</v>
      </c>
      <c r="U3064" s="14">
        <v>1</v>
      </c>
      <c r="V3064" s="14">
        <v>1</v>
      </c>
      <c r="W3064" s="14">
        <v>1</v>
      </c>
    </row>
    <row r="3065" spans="1:24" hidden="1" x14ac:dyDescent="0.3">
      <c r="A3065" s="14" t="s">
        <v>469</v>
      </c>
      <c r="B3065" s="14" t="s">
        <v>140</v>
      </c>
      <c r="C3065" s="14" t="s">
        <v>357</v>
      </c>
      <c r="D3065" s="14" t="s">
        <v>358</v>
      </c>
      <c r="E3065" s="14" t="s">
        <v>344</v>
      </c>
      <c r="F3065" s="14" t="s">
        <v>343</v>
      </c>
      <c r="G3065" s="14" t="s">
        <v>343</v>
      </c>
      <c r="H3065" s="14" t="s">
        <v>343</v>
      </c>
      <c r="U3065" s="14">
        <v>1</v>
      </c>
      <c r="V3065" s="14">
        <v>1</v>
      </c>
      <c r="W3065" s="14">
        <v>1</v>
      </c>
    </row>
    <row r="3066" spans="1:24" hidden="1" x14ac:dyDescent="0.3">
      <c r="A3066" s="14" t="s">
        <v>469</v>
      </c>
      <c r="B3066" s="14" t="s">
        <v>140</v>
      </c>
      <c r="C3066" s="14" t="s">
        <v>359</v>
      </c>
      <c r="D3066" s="14" t="s">
        <v>360</v>
      </c>
      <c r="E3066" s="14" t="s">
        <v>342</v>
      </c>
      <c r="F3066" s="14" t="s">
        <v>343</v>
      </c>
      <c r="G3066" s="14" t="s">
        <v>343</v>
      </c>
      <c r="H3066" s="14" t="s">
        <v>343</v>
      </c>
      <c r="M3066" s="14">
        <v>0.45</v>
      </c>
      <c r="N3066" s="14">
        <v>0.45</v>
      </c>
      <c r="O3066" s="14">
        <v>0.44</v>
      </c>
      <c r="P3066" s="14">
        <v>0.44</v>
      </c>
      <c r="Q3066" s="14">
        <v>0.43</v>
      </c>
      <c r="R3066" s="14">
        <v>0.44</v>
      </c>
      <c r="S3066" s="14">
        <v>0.44</v>
      </c>
      <c r="T3066" s="14">
        <v>0.44</v>
      </c>
      <c r="U3066" s="14">
        <v>0.43</v>
      </c>
      <c r="V3066" s="14">
        <v>0.44</v>
      </c>
      <c r="W3066" s="14">
        <v>0.49</v>
      </c>
      <c r="X3066" s="14">
        <v>0.49</v>
      </c>
    </row>
    <row r="3067" spans="1:24" hidden="1" x14ac:dyDescent="0.3">
      <c r="A3067" s="14" t="s">
        <v>469</v>
      </c>
      <c r="B3067" s="14" t="s">
        <v>140</v>
      </c>
      <c r="C3067" s="14" t="s">
        <v>359</v>
      </c>
      <c r="D3067" s="14" t="s">
        <v>360</v>
      </c>
      <c r="E3067" s="14" t="s">
        <v>344</v>
      </c>
      <c r="F3067" s="14" t="s">
        <v>343</v>
      </c>
      <c r="G3067" s="14" t="s">
        <v>343</v>
      </c>
      <c r="H3067" s="14" t="s">
        <v>343</v>
      </c>
      <c r="M3067" s="14">
        <v>124</v>
      </c>
      <c r="N3067" s="14">
        <v>123</v>
      </c>
      <c r="O3067" s="14">
        <v>125</v>
      </c>
      <c r="P3067" s="14">
        <v>126</v>
      </c>
      <c r="Q3067" s="14">
        <v>133</v>
      </c>
      <c r="R3067" s="14">
        <v>136</v>
      </c>
      <c r="S3067" s="14">
        <v>133</v>
      </c>
      <c r="T3067" s="14">
        <v>133</v>
      </c>
      <c r="U3067" s="14">
        <v>136</v>
      </c>
      <c r="V3067" s="14">
        <v>139</v>
      </c>
      <c r="W3067" s="14">
        <v>139</v>
      </c>
      <c r="X3067" s="14">
        <v>135</v>
      </c>
    </row>
    <row r="3068" spans="1:24" x14ac:dyDescent="0.3">
      <c r="A3068" s="14" t="s">
        <v>469</v>
      </c>
      <c r="B3068" s="14" t="s">
        <v>140</v>
      </c>
      <c r="C3068" s="14" t="s">
        <v>361</v>
      </c>
      <c r="D3068" s="14" t="s">
        <v>362</v>
      </c>
      <c r="E3068" s="14" t="s">
        <v>342</v>
      </c>
      <c r="F3068" s="14" t="s">
        <v>343</v>
      </c>
      <c r="G3068" s="14" t="s">
        <v>343</v>
      </c>
      <c r="H3068" s="14" t="s">
        <v>343</v>
      </c>
      <c r="M3068" s="14">
        <v>0.98</v>
      </c>
      <c r="N3068" s="14">
        <v>0.98</v>
      </c>
      <c r="O3068" s="14">
        <v>0.98</v>
      </c>
      <c r="P3068" s="14">
        <v>0.98</v>
      </c>
      <c r="Q3068" s="14">
        <v>0.97</v>
      </c>
      <c r="R3068" s="14">
        <v>0.97</v>
      </c>
      <c r="S3068" s="14">
        <v>0.97</v>
      </c>
      <c r="T3068" s="14">
        <v>0.97</v>
      </c>
      <c r="U3068" s="14">
        <v>0.97</v>
      </c>
      <c r="V3068" s="14">
        <v>0.97</v>
      </c>
      <c r="W3068" s="14">
        <v>0.97</v>
      </c>
      <c r="X3068" s="14">
        <v>0.97</v>
      </c>
    </row>
    <row r="3069" spans="1:24" hidden="1" x14ac:dyDescent="0.3">
      <c r="A3069" s="14" t="s">
        <v>469</v>
      </c>
      <c r="B3069" s="14" t="s">
        <v>140</v>
      </c>
      <c r="C3069" s="14" t="s">
        <v>361</v>
      </c>
      <c r="D3069" s="14" t="s">
        <v>362</v>
      </c>
      <c r="E3069" s="14" t="s">
        <v>344</v>
      </c>
      <c r="F3069" s="14" t="s">
        <v>343</v>
      </c>
      <c r="G3069" s="14" t="s">
        <v>343</v>
      </c>
      <c r="H3069" s="14" t="s">
        <v>343</v>
      </c>
      <c r="M3069" s="14">
        <v>1</v>
      </c>
      <c r="N3069" s="14">
        <v>1</v>
      </c>
      <c r="O3069" s="14">
        <v>1</v>
      </c>
      <c r="P3069" s="14">
        <v>1</v>
      </c>
      <c r="Q3069" s="14">
        <v>62</v>
      </c>
      <c r="R3069" s="14">
        <v>103</v>
      </c>
      <c r="S3069" s="14">
        <v>102</v>
      </c>
      <c r="T3069" s="14">
        <v>109</v>
      </c>
      <c r="U3069" s="14">
        <v>122</v>
      </c>
      <c r="V3069" s="14">
        <v>124</v>
      </c>
      <c r="W3069" s="14">
        <v>82</v>
      </c>
      <c r="X3069" s="14">
        <v>75</v>
      </c>
    </row>
    <row r="3070" spans="1:24" hidden="1" x14ac:dyDescent="0.3">
      <c r="A3070" s="14" t="s">
        <v>469</v>
      </c>
      <c r="B3070" s="14" t="s">
        <v>140</v>
      </c>
      <c r="C3070" s="14" t="s">
        <v>363</v>
      </c>
      <c r="D3070" s="14" t="s">
        <v>364</v>
      </c>
      <c r="E3070" s="14" t="s">
        <v>342</v>
      </c>
      <c r="F3070" s="14" t="s">
        <v>343</v>
      </c>
      <c r="G3070" s="14" t="s">
        <v>343</v>
      </c>
      <c r="H3070" s="14" t="s">
        <v>343</v>
      </c>
      <c r="U3070" s="14">
        <v>1.02</v>
      </c>
      <c r="V3070" s="14">
        <v>1.02</v>
      </c>
      <c r="W3070" s="14">
        <v>1.03</v>
      </c>
      <c r="X3070" s="14">
        <v>1.03</v>
      </c>
    </row>
    <row r="3071" spans="1:24" hidden="1" x14ac:dyDescent="0.3">
      <c r="A3071" s="14" t="s">
        <v>469</v>
      </c>
      <c r="B3071" s="14" t="s">
        <v>140</v>
      </c>
      <c r="C3071" s="14" t="s">
        <v>363</v>
      </c>
      <c r="D3071" s="14" t="s">
        <v>364</v>
      </c>
      <c r="E3071" s="14" t="s">
        <v>344</v>
      </c>
      <c r="F3071" s="14" t="s">
        <v>343</v>
      </c>
      <c r="G3071" s="14" t="s">
        <v>343</v>
      </c>
      <c r="H3071" s="14" t="s">
        <v>343</v>
      </c>
      <c r="U3071" s="14">
        <v>131</v>
      </c>
      <c r="V3071" s="14">
        <v>135</v>
      </c>
      <c r="W3071" s="14">
        <v>95</v>
      </c>
      <c r="X3071" s="14">
        <v>82</v>
      </c>
    </row>
    <row r="3072" spans="1:24" hidden="1" x14ac:dyDescent="0.3">
      <c r="A3072" s="14" t="s">
        <v>469</v>
      </c>
      <c r="B3072" s="14" t="s">
        <v>140</v>
      </c>
      <c r="C3072" s="14" t="s">
        <v>365</v>
      </c>
      <c r="D3072" s="14" t="s">
        <v>366</v>
      </c>
      <c r="E3072" s="14" t="s">
        <v>342</v>
      </c>
      <c r="F3072" s="14" t="s">
        <v>343</v>
      </c>
      <c r="G3072" s="14" t="s">
        <v>343</v>
      </c>
      <c r="H3072" s="14" t="s">
        <v>343</v>
      </c>
      <c r="U3072" s="14">
        <v>0.94</v>
      </c>
      <c r="V3072" s="14">
        <v>0.94</v>
      </c>
      <c r="W3072" s="14">
        <v>0.94</v>
      </c>
      <c r="X3072" s="14">
        <v>0.94</v>
      </c>
    </row>
    <row r="3073" spans="1:24" hidden="1" x14ac:dyDescent="0.3">
      <c r="A3073" s="14" t="s">
        <v>469</v>
      </c>
      <c r="B3073" s="14" t="s">
        <v>140</v>
      </c>
      <c r="C3073" s="14" t="s">
        <v>365</v>
      </c>
      <c r="D3073" s="14" t="s">
        <v>366</v>
      </c>
      <c r="E3073" s="14" t="s">
        <v>344</v>
      </c>
      <c r="F3073" s="14" t="s">
        <v>343</v>
      </c>
      <c r="G3073" s="14" t="s">
        <v>343</v>
      </c>
      <c r="H3073" s="14" t="s">
        <v>343</v>
      </c>
      <c r="U3073" s="14">
        <v>1</v>
      </c>
      <c r="V3073" s="14">
        <v>1</v>
      </c>
      <c r="W3073" s="14">
        <v>1</v>
      </c>
      <c r="X3073" s="14">
        <v>1</v>
      </c>
    </row>
    <row r="3074" spans="1:24" hidden="1" x14ac:dyDescent="0.3">
      <c r="A3074" s="14" t="s">
        <v>469</v>
      </c>
      <c r="B3074" s="14" t="s">
        <v>140</v>
      </c>
      <c r="C3074" s="14" t="s">
        <v>367</v>
      </c>
      <c r="D3074" s="14" t="s">
        <v>368</v>
      </c>
      <c r="E3074" s="14" t="s">
        <v>342</v>
      </c>
      <c r="F3074" s="14" t="s">
        <v>343</v>
      </c>
      <c r="G3074" s="14" t="s">
        <v>343</v>
      </c>
      <c r="H3074" s="14" t="s">
        <v>343</v>
      </c>
      <c r="M3074" s="14">
        <v>0.61</v>
      </c>
      <c r="N3074" s="14">
        <v>0.61</v>
      </c>
      <c r="O3074" s="14">
        <v>0.6</v>
      </c>
      <c r="P3074" s="14">
        <v>0.6</v>
      </c>
      <c r="Q3074" s="14">
        <v>0.59</v>
      </c>
      <c r="R3074" s="14">
        <v>0.6</v>
      </c>
      <c r="S3074" s="14">
        <v>0.6</v>
      </c>
      <c r="T3074" s="14">
        <v>0.6</v>
      </c>
      <c r="U3074" s="14">
        <v>0.6</v>
      </c>
      <c r="V3074" s="14">
        <v>0.6</v>
      </c>
      <c r="W3074" s="14">
        <v>0.64</v>
      </c>
      <c r="X3074" s="14">
        <v>0.64</v>
      </c>
    </row>
    <row r="3075" spans="1:24" hidden="1" x14ac:dyDescent="0.3">
      <c r="A3075" s="14" t="s">
        <v>469</v>
      </c>
      <c r="B3075" s="14" t="s">
        <v>140</v>
      </c>
      <c r="C3075" s="14" t="s">
        <v>367</v>
      </c>
      <c r="D3075" s="14" t="s">
        <v>368</v>
      </c>
      <c r="E3075" s="14" t="s">
        <v>344</v>
      </c>
      <c r="F3075" s="14" t="s">
        <v>343</v>
      </c>
      <c r="G3075" s="14" t="s">
        <v>343</v>
      </c>
      <c r="H3075" s="14" t="s">
        <v>343</v>
      </c>
      <c r="M3075" s="14">
        <v>116</v>
      </c>
      <c r="N3075" s="14">
        <v>118</v>
      </c>
      <c r="O3075" s="14">
        <v>122</v>
      </c>
      <c r="P3075" s="14">
        <v>123</v>
      </c>
      <c r="Q3075" s="14">
        <v>135</v>
      </c>
      <c r="R3075" s="14">
        <v>138</v>
      </c>
      <c r="S3075" s="14">
        <v>135</v>
      </c>
      <c r="T3075" s="14">
        <v>137</v>
      </c>
      <c r="U3075" s="14">
        <v>140</v>
      </c>
      <c r="V3075" s="14">
        <v>145</v>
      </c>
      <c r="W3075" s="14">
        <v>132</v>
      </c>
      <c r="X3075" s="14">
        <v>119</v>
      </c>
    </row>
    <row r="3076" spans="1:24" hidden="1" x14ac:dyDescent="0.3">
      <c r="A3076" s="14" t="s">
        <v>469</v>
      </c>
      <c r="B3076" s="14" t="s">
        <v>140</v>
      </c>
      <c r="C3076" s="14" t="s">
        <v>369</v>
      </c>
      <c r="D3076" s="14" t="s">
        <v>370</v>
      </c>
      <c r="E3076" s="14" t="s">
        <v>342</v>
      </c>
      <c r="F3076" s="14" t="s">
        <v>343</v>
      </c>
      <c r="G3076" s="14" t="s">
        <v>343</v>
      </c>
      <c r="H3076" s="14" t="s">
        <v>343</v>
      </c>
      <c r="M3076" s="14">
        <v>0.03</v>
      </c>
      <c r="N3076" s="14">
        <v>0.03</v>
      </c>
      <c r="O3076" s="14">
        <v>0.01</v>
      </c>
      <c r="P3076" s="14">
        <v>0.01</v>
      </c>
      <c r="Q3076" s="14">
        <v>0.01</v>
      </c>
      <c r="R3076" s="14">
        <v>0.02</v>
      </c>
      <c r="S3076" s="14">
        <v>0.02</v>
      </c>
      <c r="T3076" s="14">
        <v>0.02</v>
      </c>
      <c r="U3076" s="14">
        <v>0.02</v>
      </c>
      <c r="V3076" s="14">
        <v>0.02</v>
      </c>
      <c r="W3076" s="14">
        <v>0.13</v>
      </c>
      <c r="X3076" s="14">
        <v>0.13</v>
      </c>
    </row>
    <row r="3077" spans="1:24" hidden="1" x14ac:dyDescent="0.3">
      <c r="A3077" s="14" t="s">
        <v>469</v>
      </c>
      <c r="B3077" s="14" t="s">
        <v>140</v>
      </c>
      <c r="C3077" s="14" t="s">
        <v>369</v>
      </c>
      <c r="D3077" s="14" t="s">
        <v>370</v>
      </c>
      <c r="E3077" s="14" t="s">
        <v>344</v>
      </c>
      <c r="F3077" s="14" t="s">
        <v>343</v>
      </c>
      <c r="G3077" s="14" t="s">
        <v>343</v>
      </c>
      <c r="H3077" s="14" t="s">
        <v>343</v>
      </c>
      <c r="M3077" s="14">
        <v>127</v>
      </c>
      <c r="N3077" s="14">
        <v>128</v>
      </c>
      <c r="O3077" s="14">
        <v>131</v>
      </c>
      <c r="P3077" s="14">
        <v>133</v>
      </c>
      <c r="Q3077" s="14">
        <v>141</v>
      </c>
      <c r="R3077" s="14">
        <v>143</v>
      </c>
      <c r="S3077" s="14">
        <v>143</v>
      </c>
      <c r="T3077" s="14">
        <v>142</v>
      </c>
      <c r="U3077" s="14">
        <v>147</v>
      </c>
      <c r="V3077" s="14">
        <v>149</v>
      </c>
      <c r="W3077" s="14">
        <v>112</v>
      </c>
      <c r="X3077" s="14">
        <v>110</v>
      </c>
    </row>
    <row r="3078" spans="1:24" hidden="1" x14ac:dyDescent="0.3">
      <c r="A3078" s="14" t="s">
        <v>469</v>
      </c>
      <c r="B3078" s="14" t="s">
        <v>140</v>
      </c>
      <c r="C3078" s="14" t="s">
        <v>371</v>
      </c>
      <c r="D3078" s="14" t="s">
        <v>372</v>
      </c>
      <c r="E3078" s="14" t="s">
        <v>342</v>
      </c>
      <c r="F3078" s="14" t="s">
        <v>343</v>
      </c>
      <c r="G3078" s="14" t="s">
        <v>343</v>
      </c>
      <c r="H3078" s="14" t="s">
        <v>343</v>
      </c>
      <c r="U3078" s="14">
        <v>0</v>
      </c>
      <c r="V3078" s="14">
        <v>0</v>
      </c>
      <c r="W3078" s="14">
        <v>0</v>
      </c>
      <c r="X3078" s="14">
        <v>0</v>
      </c>
    </row>
    <row r="3079" spans="1:24" hidden="1" x14ac:dyDescent="0.3">
      <c r="A3079" s="14" t="s">
        <v>469</v>
      </c>
      <c r="B3079" s="14" t="s">
        <v>140</v>
      </c>
      <c r="C3079" s="14" t="s">
        <v>371</v>
      </c>
      <c r="D3079" s="14" t="s">
        <v>372</v>
      </c>
      <c r="E3079" s="14" t="s">
        <v>344</v>
      </c>
      <c r="F3079" s="14" t="s">
        <v>343</v>
      </c>
      <c r="G3079" s="14" t="s">
        <v>343</v>
      </c>
      <c r="H3079" s="14" t="s">
        <v>343</v>
      </c>
      <c r="U3079" s="14">
        <v>71</v>
      </c>
      <c r="V3079" s="14">
        <v>73</v>
      </c>
      <c r="W3079" s="14">
        <v>76</v>
      </c>
      <c r="X3079" s="14">
        <v>78</v>
      </c>
    </row>
    <row r="3080" spans="1:24" hidden="1" x14ac:dyDescent="0.3">
      <c r="A3080" s="14" t="s">
        <v>469</v>
      </c>
      <c r="B3080" s="14" t="s">
        <v>140</v>
      </c>
      <c r="C3080" s="14" t="s">
        <v>373</v>
      </c>
      <c r="D3080" s="14" t="s">
        <v>374</v>
      </c>
      <c r="E3080" s="14" t="s">
        <v>342</v>
      </c>
      <c r="F3080" s="14" t="s">
        <v>343</v>
      </c>
      <c r="G3080" s="14" t="s">
        <v>343</v>
      </c>
      <c r="H3080" s="14" t="s">
        <v>343</v>
      </c>
      <c r="U3080" s="14">
        <v>0.04</v>
      </c>
      <c r="V3080" s="14">
        <v>0.04</v>
      </c>
      <c r="W3080" s="14">
        <v>0.46</v>
      </c>
      <c r="X3080" s="14">
        <v>0.46</v>
      </c>
    </row>
    <row r="3081" spans="1:24" hidden="1" x14ac:dyDescent="0.3">
      <c r="A3081" s="14" t="s">
        <v>469</v>
      </c>
      <c r="B3081" s="14" t="s">
        <v>140</v>
      </c>
      <c r="C3081" s="14" t="s">
        <v>373</v>
      </c>
      <c r="D3081" s="14" t="s">
        <v>374</v>
      </c>
      <c r="E3081" s="14" t="s">
        <v>344</v>
      </c>
      <c r="F3081" s="14" t="s">
        <v>343</v>
      </c>
      <c r="G3081" s="14" t="s">
        <v>343</v>
      </c>
      <c r="H3081" s="14" t="s">
        <v>343</v>
      </c>
      <c r="U3081" s="14">
        <v>143</v>
      </c>
      <c r="V3081" s="14">
        <v>143</v>
      </c>
      <c r="W3081" s="14">
        <v>43</v>
      </c>
      <c r="X3081" s="14">
        <v>42</v>
      </c>
    </row>
    <row r="3082" spans="1:24" hidden="1" x14ac:dyDescent="0.3">
      <c r="A3082" s="14" t="s">
        <v>469</v>
      </c>
      <c r="B3082" s="14" t="s">
        <v>140</v>
      </c>
      <c r="C3082" s="14" t="s">
        <v>375</v>
      </c>
      <c r="D3082" s="14" t="s">
        <v>376</v>
      </c>
      <c r="E3082" s="14" t="s">
        <v>342</v>
      </c>
      <c r="F3082" s="14" t="s">
        <v>343</v>
      </c>
      <c r="G3082" s="14" t="s">
        <v>343</v>
      </c>
      <c r="H3082" s="14" t="s">
        <v>343</v>
      </c>
      <c r="U3082" s="14">
        <v>0.05</v>
      </c>
      <c r="V3082" s="14">
        <v>0.05</v>
      </c>
      <c r="W3082" s="14">
        <v>0.05</v>
      </c>
      <c r="X3082" s="14">
        <v>0.05</v>
      </c>
    </row>
    <row r="3083" spans="1:24" hidden="1" x14ac:dyDescent="0.3">
      <c r="A3083" s="14" t="s">
        <v>469</v>
      </c>
      <c r="B3083" s="14" t="s">
        <v>140</v>
      </c>
      <c r="C3083" s="14" t="s">
        <v>375</v>
      </c>
      <c r="D3083" s="14" t="s">
        <v>376</v>
      </c>
      <c r="E3083" s="14" t="s">
        <v>344</v>
      </c>
      <c r="F3083" s="14" t="s">
        <v>343</v>
      </c>
      <c r="G3083" s="14" t="s">
        <v>343</v>
      </c>
      <c r="H3083" s="14" t="s">
        <v>343</v>
      </c>
      <c r="U3083" s="14">
        <v>146</v>
      </c>
      <c r="V3083" s="14">
        <v>146</v>
      </c>
      <c r="W3083" s="14">
        <v>150</v>
      </c>
      <c r="X3083" s="14">
        <v>140</v>
      </c>
    </row>
    <row r="3084" spans="1:24" hidden="1" x14ac:dyDescent="0.3">
      <c r="A3084" s="14" t="s">
        <v>470</v>
      </c>
      <c r="B3084" s="14" t="s">
        <v>142</v>
      </c>
      <c r="C3084" s="14" t="s">
        <v>340</v>
      </c>
      <c r="D3084" s="14" t="s">
        <v>341</v>
      </c>
      <c r="E3084" s="14" t="s">
        <v>342</v>
      </c>
      <c r="F3084" s="14" t="s">
        <v>343</v>
      </c>
      <c r="G3084" s="14" t="s">
        <v>343</v>
      </c>
      <c r="H3084" s="14" t="s">
        <v>343</v>
      </c>
      <c r="Q3084" s="14">
        <v>0.77</v>
      </c>
      <c r="R3084" s="14">
        <v>0.81</v>
      </c>
      <c r="S3084" s="14">
        <v>0.8</v>
      </c>
      <c r="T3084" s="14">
        <v>0.77</v>
      </c>
      <c r="U3084" s="14">
        <v>0.79</v>
      </c>
      <c r="V3084" s="14">
        <v>0.84</v>
      </c>
      <c r="W3084" s="14">
        <v>0.84</v>
      </c>
      <c r="X3084" s="14">
        <v>0.82</v>
      </c>
    </row>
    <row r="3085" spans="1:24" hidden="1" x14ac:dyDescent="0.3">
      <c r="A3085" s="14" t="s">
        <v>470</v>
      </c>
      <c r="B3085" s="14" t="s">
        <v>142</v>
      </c>
      <c r="C3085" s="14" t="s">
        <v>340</v>
      </c>
      <c r="D3085" s="14" t="s">
        <v>341</v>
      </c>
      <c r="E3085" s="14" t="s">
        <v>344</v>
      </c>
      <c r="F3085" s="14" t="s">
        <v>343</v>
      </c>
      <c r="G3085" s="14" t="s">
        <v>343</v>
      </c>
      <c r="H3085" s="14" t="s">
        <v>343</v>
      </c>
      <c r="Q3085" s="14">
        <v>135</v>
      </c>
      <c r="R3085" s="14">
        <v>136</v>
      </c>
      <c r="S3085" s="14">
        <v>137</v>
      </c>
      <c r="T3085" s="14">
        <v>138</v>
      </c>
      <c r="U3085" s="14">
        <v>141</v>
      </c>
      <c r="V3085" s="14">
        <v>141</v>
      </c>
      <c r="W3085" s="14">
        <v>142</v>
      </c>
      <c r="X3085" s="14">
        <v>137</v>
      </c>
    </row>
    <row r="3086" spans="1:24" hidden="1" x14ac:dyDescent="0.3">
      <c r="A3086" s="14" t="s">
        <v>470</v>
      </c>
      <c r="B3086" s="14" t="s">
        <v>142</v>
      </c>
      <c r="C3086" s="14" t="s">
        <v>345</v>
      </c>
      <c r="D3086" s="14" t="s">
        <v>346</v>
      </c>
      <c r="E3086" s="14" t="s">
        <v>342</v>
      </c>
      <c r="F3086" s="14" t="s">
        <v>343</v>
      </c>
      <c r="G3086" s="14" t="s">
        <v>343</v>
      </c>
      <c r="H3086" s="14" t="s">
        <v>343</v>
      </c>
      <c r="U3086" s="14">
        <v>0.98</v>
      </c>
      <c r="V3086" s="14">
        <v>1</v>
      </c>
      <c r="W3086" s="14">
        <v>1</v>
      </c>
      <c r="X3086" s="14">
        <v>1</v>
      </c>
    </row>
    <row r="3087" spans="1:24" hidden="1" x14ac:dyDescent="0.3">
      <c r="A3087" s="14" t="s">
        <v>470</v>
      </c>
      <c r="B3087" s="14" t="s">
        <v>142</v>
      </c>
      <c r="C3087" s="14" t="s">
        <v>345</v>
      </c>
      <c r="D3087" s="14" t="s">
        <v>346</v>
      </c>
      <c r="E3087" s="14" t="s">
        <v>344</v>
      </c>
      <c r="F3087" s="14" t="s">
        <v>343</v>
      </c>
      <c r="G3087" s="14" t="s">
        <v>343</v>
      </c>
      <c r="H3087" s="14" t="s">
        <v>343</v>
      </c>
      <c r="U3087" s="14">
        <v>4</v>
      </c>
      <c r="V3087" s="14">
        <v>1</v>
      </c>
      <c r="W3087" s="14">
        <v>1</v>
      </c>
      <c r="X3087" s="14">
        <v>1</v>
      </c>
    </row>
    <row r="3088" spans="1:24" hidden="1" x14ac:dyDescent="0.3">
      <c r="A3088" s="14" t="s">
        <v>470</v>
      </c>
      <c r="B3088" s="14" t="s">
        <v>142</v>
      </c>
      <c r="C3088" s="14" t="s">
        <v>347</v>
      </c>
      <c r="D3088" s="14" t="s">
        <v>348</v>
      </c>
      <c r="E3088" s="14" t="s">
        <v>342</v>
      </c>
      <c r="F3088" s="14" t="s">
        <v>343</v>
      </c>
      <c r="G3088" s="14" t="s">
        <v>343</v>
      </c>
      <c r="H3088" s="14" t="s">
        <v>343</v>
      </c>
      <c r="U3088" s="14">
        <v>0.96</v>
      </c>
      <c r="V3088" s="14">
        <v>0.97</v>
      </c>
      <c r="W3088" s="14">
        <v>0.91</v>
      </c>
      <c r="X3088" s="14">
        <v>0.88</v>
      </c>
    </row>
    <row r="3089" spans="1:24" hidden="1" x14ac:dyDescent="0.3">
      <c r="A3089" s="14" t="s">
        <v>470</v>
      </c>
      <c r="B3089" s="14" t="s">
        <v>142</v>
      </c>
      <c r="C3089" s="14" t="s">
        <v>347</v>
      </c>
      <c r="D3089" s="14" t="s">
        <v>348</v>
      </c>
      <c r="E3089" s="14" t="s">
        <v>344</v>
      </c>
      <c r="F3089" s="14" t="s">
        <v>343</v>
      </c>
      <c r="G3089" s="14" t="s">
        <v>343</v>
      </c>
      <c r="H3089" s="14" t="s">
        <v>343</v>
      </c>
      <c r="U3089" s="14">
        <v>12</v>
      </c>
      <c r="V3089" s="14">
        <v>10</v>
      </c>
      <c r="W3089" s="14">
        <v>33</v>
      </c>
      <c r="X3089" s="14">
        <v>29</v>
      </c>
    </row>
    <row r="3090" spans="1:24" hidden="1" x14ac:dyDescent="0.3">
      <c r="A3090" s="14" t="s">
        <v>470</v>
      </c>
      <c r="B3090" s="14" t="s">
        <v>142</v>
      </c>
      <c r="C3090" s="14" t="s">
        <v>349</v>
      </c>
      <c r="D3090" s="14" t="s">
        <v>350</v>
      </c>
      <c r="E3090" s="14" t="s">
        <v>342</v>
      </c>
      <c r="F3090" s="14" t="s">
        <v>343</v>
      </c>
      <c r="G3090" s="14" t="s">
        <v>343</v>
      </c>
      <c r="H3090" s="14" t="s">
        <v>343</v>
      </c>
      <c r="U3090" s="14">
        <v>0.25</v>
      </c>
      <c r="V3090" s="14">
        <v>0.25</v>
      </c>
      <c r="W3090" s="14">
        <v>0.25</v>
      </c>
      <c r="X3090" s="14">
        <v>0.69</v>
      </c>
    </row>
    <row r="3091" spans="1:24" hidden="1" x14ac:dyDescent="0.3">
      <c r="A3091" s="14" t="s">
        <v>470</v>
      </c>
      <c r="B3091" s="14" t="s">
        <v>142</v>
      </c>
      <c r="C3091" s="14" t="s">
        <v>349</v>
      </c>
      <c r="D3091" s="14" t="s">
        <v>350</v>
      </c>
      <c r="E3091" s="14" t="s">
        <v>344</v>
      </c>
      <c r="F3091" s="14" t="s">
        <v>343</v>
      </c>
      <c r="G3091" s="14" t="s">
        <v>343</v>
      </c>
      <c r="H3091" s="14" t="s">
        <v>343</v>
      </c>
      <c r="U3091" s="14">
        <v>114</v>
      </c>
      <c r="V3091" s="14">
        <v>118</v>
      </c>
      <c r="W3091" s="14">
        <v>125</v>
      </c>
      <c r="X3091" s="14">
        <v>32</v>
      </c>
    </row>
    <row r="3092" spans="1:24" hidden="1" x14ac:dyDescent="0.3">
      <c r="A3092" s="14" t="s">
        <v>470</v>
      </c>
      <c r="B3092" s="14" t="s">
        <v>142</v>
      </c>
      <c r="C3092" s="14" t="s">
        <v>351</v>
      </c>
      <c r="D3092" s="14" t="s">
        <v>352</v>
      </c>
      <c r="E3092" s="14" t="s">
        <v>342</v>
      </c>
      <c r="F3092" s="14" t="s">
        <v>343</v>
      </c>
      <c r="G3092" s="14" t="s">
        <v>343</v>
      </c>
      <c r="H3092" s="14" t="s">
        <v>343</v>
      </c>
      <c r="U3092" s="14">
        <v>0.55000000000000004</v>
      </c>
      <c r="V3092" s="14">
        <v>0.35</v>
      </c>
      <c r="W3092" s="14">
        <v>0.35</v>
      </c>
      <c r="X3092" s="14">
        <v>0.47</v>
      </c>
    </row>
    <row r="3093" spans="1:24" hidden="1" x14ac:dyDescent="0.3">
      <c r="A3093" s="14" t="s">
        <v>470</v>
      </c>
      <c r="B3093" s="14" t="s">
        <v>142</v>
      </c>
      <c r="C3093" s="14" t="s">
        <v>351</v>
      </c>
      <c r="D3093" s="14" t="s">
        <v>352</v>
      </c>
      <c r="E3093" s="14" t="s">
        <v>344</v>
      </c>
      <c r="F3093" s="14" t="s">
        <v>343</v>
      </c>
      <c r="G3093" s="14" t="s">
        <v>343</v>
      </c>
      <c r="H3093" s="14" t="s">
        <v>343</v>
      </c>
      <c r="U3093" s="14">
        <v>118</v>
      </c>
      <c r="V3093" s="14">
        <v>137</v>
      </c>
      <c r="W3093" s="14">
        <v>139</v>
      </c>
      <c r="X3093" s="14">
        <v>122</v>
      </c>
    </row>
    <row r="3094" spans="1:24" hidden="1" x14ac:dyDescent="0.3">
      <c r="A3094" s="14" t="s">
        <v>470</v>
      </c>
      <c r="B3094" s="14" t="s">
        <v>142</v>
      </c>
      <c r="C3094" s="14" t="s">
        <v>378</v>
      </c>
      <c r="D3094" s="14" t="s">
        <v>379</v>
      </c>
      <c r="E3094" s="14" t="s">
        <v>342</v>
      </c>
      <c r="F3094" s="14" t="s">
        <v>343</v>
      </c>
      <c r="G3094" s="14" t="s">
        <v>343</v>
      </c>
      <c r="H3094" s="14" t="s">
        <v>343</v>
      </c>
      <c r="S3094" s="14">
        <v>0.55000000000000004</v>
      </c>
      <c r="U3094" s="14">
        <v>0.7</v>
      </c>
      <c r="W3094" s="14">
        <v>0.76</v>
      </c>
    </row>
    <row r="3095" spans="1:24" hidden="1" x14ac:dyDescent="0.3">
      <c r="A3095" s="14" t="s">
        <v>470</v>
      </c>
      <c r="B3095" s="14" t="s">
        <v>142</v>
      </c>
      <c r="C3095" s="14" t="s">
        <v>378</v>
      </c>
      <c r="D3095" s="14" t="s">
        <v>379</v>
      </c>
      <c r="E3095" s="14" t="s">
        <v>344</v>
      </c>
      <c r="F3095" s="14" t="s">
        <v>343</v>
      </c>
      <c r="G3095" s="14" t="s">
        <v>343</v>
      </c>
      <c r="H3095" s="14" t="s">
        <v>343</v>
      </c>
      <c r="S3095" s="14">
        <v>119</v>
      </c>
      <c r="U3095" s="14">
        <v>40</v>
      </c>
      <c r="W3095" s="14">
        <v>19</v>
      </c>
    </row>
    <row r="3096" spans="1:24" hidden="1" x14ac:dyDescent="0.3">
      <c r="A3096" s="14" t="s">
        <v>470</v>
      </c>
      <c r="B3096" s="14" t="s">
        <v>142</v>
      </c>
      <c r="C3096" s="14" t="s">
        <v>353</v>
      </c>
      <c r="D3096" s="14" t="s">
        <v>354</v>
      </c>
      <c r="E3096" s="14" t="s">
        <v>342</v>
      </c>
      <c r="F3096" s="14" t="s">
        <v>343</v>
      </c>
      <c r="G3096" s="14" t="s">
        <v>343</v>
      </c>
      <c r="H3096" s="14" t="s">
        <v>343</v>
      </c>
      <c r="U3096" s="14">
        <v>0.44</v>
      </c>
      <c r="V3096" s="14">
        <v>0.54</v>
      </c>
      <c r="W3096" s="14">
        <v>0.54</v>
      </c>
      <c r="X3096" s="14">
        <v>0.54</v>
      </c>
    </row>
    <row r="3097" spans="1:24" hidden="1" x14ac:dyDescent="0.3">
      <c r="A3097" s="14" t="s">
        <v>470</v>
      </c>
      <c r="B3097" s="14" t="s">
        <v>142</v>
      </c>
      <c r="C3097" s="14" t="s">
        <v>353</v>
      </c>
      <c r="D3097" s="14" t="s">
        <v>354</v>
      </c>
      <c r="E3097" s="14" t="s">
        <v>344</v>
      </c>
      <c r="F3097" s="14" t="s">
        <v>343</v>
      </c>
      <c r="G3097" s="14" t="s">
        <v>343</v>
      </c>
      <c r="H3097" s="14" t="s">
        <v>343</v>
      </c>
      <c r="U3097" s="14">
        <v>144</v>
      </c>
      <c r="V3097" s="14">
        <v>148</v>
      </c>
      <c r="W3097" s="14">
        <v>150</v>
      </c>
      <c r="X3097" s="14">
        <v>140</v>
      </c>
    </row>
    <row r="3098" spans="1:24" hidden="1" x14ac:dyDescent="0.3">
      <c r="A3098" s="14" t="s">
        <v>470</v>
      </c>
      <c r="B3098" s="14" t="s">
        <v>142</v>
      </c>
      <c r="C3098" s="14" t="s">
        <v>380</v>
      </c>
      <c r="D3098" s="14" t="s">
        <v>381</v>
      </c>
      <c r="E3098" s="14" t="s">
        <v>342</v>
      </c>
      <c r="F3098" s="14" t="s">
        <v>343</v>
      </c>
      <c r="G3098" s="14" t="s">
        <v>343</v>
      </c>
      <c r="H3098" s="14" t="s">
        <v>343</v>
      </c>
      <c r="U3098" s="14">
        <v>0.93</v>
      </c>
      <c r="V3098" s="14">
        <v>1</v>
      </c>
      <c r="W3098" s="14">
        <v>1</v>
      </c>
      <c r="X3098" s="14">
        <v>1</v>
      </c>
    </row>
    <row r="3099" spans="1:24" hidden="1" x14ac:dyDescent="0.3">
      <c r="A3099" s="14" t="s">
        <v>470</v>
      </c>
      <c r="B3099" s="14" t="s">
        <v>142</v>
      </c>
      <c r="C3099" s="14" t="s">
        <v>380</v>
      </c>
      <c r="D3099" s="14" t="s">
        <v>381</v>
      </c>
      <c r="E3099" s="14" t="s">
        <v>344</v>
      </c>
      <c r="F3099" s="14" t="s">
        <v>343</v>
      </c>
      <c r="G3099" s="14" t="s">
        <v>343</v>
      </c>
      <c r="H3099" s="14" t="s">
        <v>343</v>
      </c>
      <c r="U3099" s="14">
        <v>125</v>
      </c>
      <c r="V3099" s="14">
        <v>1</v>
      </c>
      <c r="W3099" s="14">
        <v>1</v>
      </c>
      <c r="X3099" s="14">
        <v>1</v>
      </c>
    </row>
    <row r="3100" spans="1:24" hidden="1" x14ac:dyDescent="0.3">
      <c r="A3100" s="14" t="s">
        <v>470</v>
      </c>
      <c r="B3100" s="14" t="s">
        <v>142</v>
      </c>
      <c r="C3100" s="14" t="s">
        <v>355</v>
      </c>
      <c r="D3100" s="14" t="s">
        <v>356</v>
      </c>
      <c r="E3100" s="14" t="s">
        <v>342</v>
      </c>
      <c r="F3100" s="14" t="s">
        <v>343</v>
      </c>
      <c r="G3100" s="14" t="s">
        <v>343</v>
      </c>
      <c r="H3100" s="14" t="s">
        <v>343</v>
      </c>
      <c r="U3100" s="14">
        <v>0.88</v>
      </c>
      <c r="V3100" s="14">
        <v>0.87</v>
      </c>
      <c r="W3100" s="14">
        <v>0.87</v>
      </c>
      <c r="X3100" s="14">
        <v>0.77</v>
      </c>
    </row>
    <row r="3101" spans="1:24" hidden="1" x14ac:dyDescent="0.3">
      <c r="A3101" s="14" t="s">
        <v>470</v>
      </c>
      <c r="B3101" s="14" t="s">
        <v>142</v>
      </c>
      <c r="C3101" s="14" t="s">
        <v>355</v>
      </c>
      <c r="D3101" s="14" t="s">
        <v>356</v>
      </c>
      <c r="E3101" s="14" t="s">
        <v>344</v>
      </c>
      <c r="F3101" s="14" t="s">
        <v>343</v>
      </c>
      <c r="G3101" s="14" t="s">
        <v>343</v>
      </c>
      <c r="H3101" s="14" t="s">
        <v>343</v>
      </c>
      <c r="U3101" s="14">
        <v>136</v>
      </c>
      <c r="V3101" s="14">
        <v>139</v>
      </c>
      <c r="W3101" s="14">
        <v>137</v>
      </c>
      <c r="X3101" s="14">
        <v>130</v>
      </c>
    </row>
    <row r="3102" spans="1:24" hidden="1" x14ac:dyDescent="0.3">
      <c r="A3102" s="14" t="s">
        <v>470</v>
      </c>
      <c r="B3102" s="14" t="s">
        <v>142</v>
      </c>
      <c r="C3102" s="14" t="s">
        <v>357</v>
      </c>
      <c r="D3102" s="14" t="s">
        <v>358</v>
      </c>
      <c r="E3102" s="14" t="s">
        <v>342</v>
      </c>
      <c r="F3102" s="14" t="s">
        <v>343</v>
      </c>
      <c r="G3102" s="14" t="s">
        <v>343</v>
      </c>
      <c r="H3102" s="14" t="s">
        <v>343</v>
      </c>
      <c r="U3102" s="14">
        <v>0.63</v>
      </c>
      <c r="V3102" s="14">
        <v>0.62</v>
      </c>
      <c r="W3102" s="14">
        <v>0.62</v>
      </c>
      <c r="X3102" s="14">
        <v>0.62</v>
      </c>
    </row>
    <row r="3103" spans="1:24" hidden="1" x14ac:dyDescent="0.3">
      <c r="A3103" s="14" t="s">
        <v>470</v>
      </c>
      <c r="B3103" s="14" t="s">
        <v>142</v>
      </c>
      <c r="C3103" s="14" t="s">
        <v>357</v>
      </c>
      <c r="D3103" s="14" t="s">
        <v>358</v>
      </c>
      <c r="E3103" s="14" t="s">
        <v>344</v>
      </c>
      <c r="F3103" s="14" t="s">
        <v>343</v>
      </c>
      <c r="G3103" s="14" t="s">
        <v>343</v>
      </c>
      <c r="H3103" s="14" t="s">
        <v>343</v>
      </c>
      <c r="U3103" s="14">
        <v>126</v>
      </c>
      <c r="V3103" s="14">
        <v>132</v>
      </c>
      <c r="W3103" s="14">
        <v>133</v>
      </c>
      <c r="X3103" s="14">
        <v>126</v>
      </c>
    </row>
    <row r="3104" spans="1:24" hidden="1" x14ac:dyDescent="0.3">
      <c r="A3104" s="14" t="s">
        <v>470</v>
      </c>
      <c r="B3104" s="14" t="s">
        <v>142</v>
      </c>
      <c r="C3104" s="14" t="s">
        <v>359</v>
      </c>
      <c r="D3104" s="14" t="s">
        <v>360</v>
      </c>
      <c r="E3104" s="14" t="s">
        <v>342</v>
      </c>
      <c r="F3104" s="14" t="s">
        <v>343</v>
      </c>
      <c r="G3104" s="14" t="s">
        <v>343</v>
      </c>
      <c r="H3104" s="14" t="s">
        <v>343</v>
      </c>
      <c r="Q3104" s="14">
        <v>0.64</v>
      </c>
      <c r="R3104" s="14">
        <v>0.62</v>
      </c>
      <c r="S3104" s="14">
        <v>0.61</v>
      </c>
      <c r="T3104" s="14">
        <v>0.7</v>
      </c>
      <c r="U3104" s="14">
        <v>0.73</v>
      </c>
      <c r="V3104" s="14">
        <v>0.71</v>
      </c>
      <c r="W3104" s="14">
        <v>0.72</v>
      </c>
      <c r="X3104" s="14">
        <v>0.8</v>
      </c>
    </row>
    <row r="3105" spans="1:24" hidden="1" x14ac:dyDescent="0.3">
      <c r="A3105" s="14" t="s">
        <v>470</v>
      </c>
      <c r="B3105" s="14" t="s">
        <v>142</v>
      </c>
      <c r="C3105" s="14" t="s">
        <v>359</v>
      </c>
      <c r="D3105" s="14" t="s">
        <v>360</v>
      </c>
      <c r="E3105" s="14" t="s">
        <v>344</v>
      </c>
      <c r="F3105" s="14" t="s">
        <v>343</v>
      </c>
      <c r="G3105" s="14" t="s">
        <v>343</v>
      </c>
      <c r="H3105" s="14" t="s">
        <v>343</v>
      </c>
      <c r="Q3105" s="14">
        <v>94</v>
      </c>
      <c r="R3105" s="14">
        <v>99</v>
      </c>
      <c r="S3105" s="14">
        <v>103</v>
      </c>
      <c r="T3105" s="14">
        <v>58</v>
      </c>
      <c r="U3105" s="14">
        <v>41</v>
      </c>
      <c r="V3105" s="14">
        <v>53</v>
      </c>
      <c r="W3105" s="14">
        <v>53</v>
      </c>
      <c r="X3105" s="14">
        <v>8</v>
      </c>
    </row>
    <row r="3106" spans="1:24" hidden="1" x14ac:dyDescent="0.3">
      <c r="A3106" s="14" t="s">
        <v>470</v>
      </c>
      <c r="B3106" s="14" t="s">
        <v>142</v>
      </c>
      <c r="C3106" s="14" t="s">
        <v>361</v>
      </c>
      <c r="D3106" s="14" t="s">
        <v>362</v>
      </c>
      <c r="E3106" s="14" t="s">
        <v>342</v>
      </c>
      <c r="F3106" s="14" t="s">
        <v>343</v>
      </c>
      <c r="G3106" s="14" t="s">
        <v>343</v>
      </c>
      <c r="H3106" s="14" t="s">
        <v>343</v>
      </c>
      <c r="Q3106" s="14">
        <v>0.97</v>
      </c>
      <c r="R3106" s="14">
        <v>0.97</v>
      </c>
      <c r="S3106" s="14">
        <v>0.97</v>
      </c>
      <c r="T3106" s="14">
        <v>0.97</v>
      </c>
      <c r="U3106" s="14">
        <v>0.97</v>
      </c>
      <c r="V3106" s="14">
        <v>0.97</v>
      </c>
      <c r="W3106" s="14">
        <v>0.96</v>
      </c>
      <c r="X3106" s="14">
        <v>0.96</v>
      </c>
    </row>
    <row r="3107" spans="1:24" hidden="1" x14ac:dyDescent="0.3">
      <c r="A3107" s="14" t="s">
        <v>470</v>
      </c>
      <c r="B3107" s="14" t="s">
        <v>142</v>
      </c>
      <c r="C3107" s="14" t="s">
        <v>361</v>
      </c>
      <c r="D3107" s="14" t="s">
        <v>362</v>
      </c>
      <c r="E3107" s="14" t="s">
        <v>344</v>
      </c>
      <c r="F3107" s="14" t="s">
        <v>343</v>
      </c>
      <c r="G3107" s="14" t="s">
        <v>343</v>
      </c>
      <c r="H3107" s="14" t="s">
        <v>343</v>
      </c>
      <c r="Q3107" s="14">
        <v>112</v>
      </c>
      <c r="R3107" s="14">
        <v>119</v>
      </c>
      <c r="S3107" s="14">
        <v>118</v>
      </c>
      <c r="T3107" s="14">
        <v>85</v>
      </c>
      <c r="U3107" s="14">
        <v>118</v>
      </c>
      <c r="V3107" s="14">
        <v>120</v>
      </c>
      <c r="W3107" s="14">
        <v>136</v>
      </c>
      <c r="X3107" s="14">
        <v>126</v>
      </c>
    </row>
    <row r="3108" spans="1:24" hidden="1" x14ac:dyDescent="0.3">
      <c r="A3108" s="14" t="s">
        <v>470</v>
      </c>
      <c r="B3108" s="14" t="s">
        <v>142</v>
      </c>
      <c r="C3108" s="14" t="s">
        <v>363</v>
      </c>
      <c r="D3108" s="14" t="s">
        <v>364</v>
      </c>
      <c r="E3108" s="14" t="s">
        <v>342</v>
      </c>
      <c r="F3108" s="14" t="s">
        <v>343</v>
      </c>
      <c r="G3108" s="14" t="s">
        <v>343</v>
      </c>
      <c r="H3108" s="14" t="s">
        <v>343</v>
      </c>
      <c r="U3108" s="14">
        <v>1.02</v>
      </c>
      <c r="V3108" s="14">
        <v>1.02</v>
      </c>
      <c r="W3108" s="14">
        <v>1</v>
      </c>
      <c r="X3108" s="14">
        <v>1</v>
      </c>
    </row>
    <row r="3109" spans="1:24" hidden="1" x14ac:dyDescent="0.3">
      <c r="A3109" s="14" t="s">
        <v>470</v>
      </c>
      <c r="B3109" s="14" t="s">
        <v>142</v>
      </c>
      <c r="C3109" s="14" t="s">
        <v>363</v>
      </c>
      <c r="D3109" s="14" t="s">
        <v>364</v>
      </c>
      <c r="E3109" s="14" t="s">
        <v>344</v>
      </c>
      <c r="F3109" s="14" t="s">
        <v>343</v>
      </c>
      <c r="G3109" s="14" t="s">
        <v>343</v>
      </c>
      <c r="H3109" s="14" t="s">
        <v>343</v>
      </c>
      <c r="U3109" s="14">
        <v>126</v>
      </c>
      <c r="V3109" s="14">
        <v>130</v>
      </c>
      <c r="W3109" s="14">
        <v>144</v>
      </c>
      <c r="X3109" s="14">
        <v>133</v>
      </c>
    </row>
    <row r="3110" spans="1:24" hidden="1" x14ac:dyDescent="0.3">
      <c r="A3110" s="14" t="s">
        <v>470</v>
      </c>
      <c r="B3110" s="14" t="s">
        <v>142</v>
      </c>
      <c r="C3110" s="14" t="s">
        <v>365</v>
      </c>
      <c r="D3110" s="14" t="s">
        <v>366</v>
      </c>
      <c r="E3110" s="14" t="s">
        <v>342</v>
      </c>
      <c r="F3110" s="14" t="s">
        <v>343</v>
      </c>
      <c r="G3110" s="14" t="s">
        <v>343</v>
      </c>
      <c r="H3110" s="14" t="s">
        <v>343</v>
      </c>
      <c r="U3110" s="14">
        <v>0.94</v>
      </c>
      <c r="V3110" s="14">
        <v>0.94</v>
      </c>
      <c r="W3110" s="14">
        <v>0.94</v>
      </c>
      <c r="X3110" s="14">
        <v>0.94</v>
      </c>
    </row>
    <row r="3111" spans="1:24" hidden="1" x14ac:dyDescent="0.3">
      <c r="A3111" s="14" t="s">
        <v>470</v>
      </c>
      <c r="B3111" s="14" t="s">
        <v>142</v>
      </c>
      <c r="C3111" s="14" t="s">
        <v>365</v>
      </c>
      <c r="D3111" s="14" t="s">
        <v>366</v>
      </c>
      <c r="E3111" s="14" t="s">
        <v>344</v>
      </c>
      <c r="F3111" s="14" t="s">
        <v>343</v>
      </c>
      <c r="G3111" s="14" t="s">
        <v>343</v>
      </c>
      <c r="H3111" s="14" t="s">
        <v>343</v>
      </c>
      <c r="U3111" s="14">
        <v>1</v>
      </c>
      <c r="V3111" s="14">
        <v>1</v>
      </c>
      <c r="W3111" s="14">
        <v>1</v>
      </c>
      <c r="X3111" s="14">
        <v>1</v>
      </c>
    </row>
    <row r="3112" spans="1:24" hidden="1" x14ac:dyDescent="0.3">
      <c r="A3112" s="14" t="s">
        <v>470</v>
      </c>
      <c r="B3112" s="14" t="s">
        <v>142</v>
      </c>
      <c r="C3112" s="14" t="s">
        <v>367</v>
      </c>
      <c r="D3112" s="14" t="s">
        <v>368</v>
      </c>
      <c r="E3112" s="14" t="s">
        <v>342</v>
      </c>
      <c r="F3112" s="14" t="s">
        <v>343</v>
      </c>
      <c r="G3112" s="14" t="s">
        <v>343</v>
      </c>
      <c r="H3112" s="14" t="s">
        <v>343</v>
      </c>
      <c r="Q3112" s="14">
        <v>0.65</v>
      </c>
      <c r="R3112" s="14">
        <v>0.65</v>
      </c>
      <c r="S3112" s="14">
        <v>0.65</v>
      </c>
      <c r="T3112" s="14">
        <v>0.67</v>
      </c>
      <c r="U3112" s="14">
        <v>0.68</v>
      </c>
      <c r="V3112" s="14">
        <v>0.68</v>
      </c>
      <c r="W3112" s="14">
        <v>0.69</v>
      </c>
      <c r="X3112" s="14">
        <v>0.71</v>
      </c>
    </row>
    <row r="3113" spans="1:24" hidden="1" x14ac:dyDescent="0.3">
      <c r="A3113" s="14" t="s">
        <v>470</v>
      </c>
      <c r="B3113" s="14" t="s">
        <v>142</v>
      </c>
      <c r="C3113" s="14" t="s">
        <v>367</v>
      </c>
      <c r="D3113" s="14" t="s">
        <v>368</v>
      </c>
      <c r="E3113" s="14" t="s">
        <v>344</v>
      </c>
      <c r="F3113" s="14" t="s">
        <v>343</v>
      </c>
      <c r="G3113" s="14" t="s">
        <v>343</v>
      </c>
      <c r="H3113" s="14" t="s">
        <v>343</v>
      </c>
      <c r="Q3113" s="14">
        <v>111</v>
      </c>
      <c r="R3113" s="14">
        <v>112</v>
      </c>
      <c r="S3113" s="14">
        <v>114</v>
      </c>
      <c r="T3113" s="14">
        <v>107</v>
      </c>
      <c r="U3113" s="14">
        <v>96</v>
      </c>
      <c r="V3113" s="14">
        <v>97</v>
      </c>
      <c r="W3113" s="14">
        <v>94</v>
      </c>
      <c r="X3113" s="14">
        <v>78</v>
      </c>
    </row>
    <row r="3114" spans="1:24" hidden="1" x14ac:dyDescent="0.3">
      <c r="A3114" s="14" t="s">
        <v>470</v>
      </c>
      <c r="B3114" s="14" t="s">
        <v>142</v>
      </c>
      <c r="C3114" s="14" t="s">
        <v>369</v>
      </c>
      <c r="D3114" s="14" t="s">
        <v>370</v>
      </c>
      <c r="E3114" s="14" t="s">
        <v>342</v>
      </c>
      <c r="F3114" s="14" t="s">
        <v>343</v>
      </c>
      <c r="G3114" s="14" t="s">
        <v>343</v>
      </c>
      <c r="H3114" s="14" t="s">
        <v>343</v>
      </c>
      <c r="Q3114" s="14">
        <v>0.21</v>
      </c>
      <c r="R3114" s="14">
        <v>0.22</v>
      </c>
      <c r="S3114" s="14">
        <v>0.23</v>
      </c>
      <c r="T3114" s="14">
        <v>0.24</v>
      </c>
      <c r="U3114" s="14">
        <v>0.24</v>
      </c>
      <c r="V3114" s="14">
        <v>0.22</v>
      </c>
      <c r="W3114" s="14">
        <v>0.26</v>
      </c>
      <c r="X3114" s="14">
        <v>0.26</v>
      </c>
    </row>
    <row r="3115" spans="1:24" hidden="1" x14ac:dyDescent="0.3">
      <c r="A3115" s="14" t="s">
        <v>470</v>
      </c>
      <c r="B3115" s="14" t="s">
        <v>142</v>
      </c>
      <c r="C3115" s="14" t="s">
        <v>369</v>
      </c>
      <c r="D3115" s="14" t="s">
        <v>370</v>
      </c>
      <c r="E3115" s="14" t="s">
        <v>344</v>
      </c>
      <c r="F3115" s="14" t="s">
        <v>343</v>
      </c>
      <c r="G3115" s="14" t="s">
        <v>343</v>
      </c>
      <c r="H3115" s="14" t="s">
        <v>343</v>
      </c>
      <c r="Q3115" s="14">
        <v>46</v>
      </c>
      <c r="R3115" s="14">
        <v>47</v>
      </c>
      <c r="S3115" s="14">
        <v>46</v>
      </c>
      <c r="T3115" s="14">
        <v>45</v>
      </c>
      <c r="U3115" s="14">
        <v>47</v>
      </c>
      <c r="V3115" s="14">
        <v>63</v>
      </c>
      <c r="W3115" s="14">
        <v>55</v>
      </c>
      <c r="X3115" s="14">
        <v>52</v>
      </c>
    </row>
    <row r="3116" spans="1:24" hidden="1" x14ac:dyDescent="0.3">
      <c r="A3116" s="14" t="s">
        <v>470</v>
      </c>
      <c r="B3116" s="14" t="s">
        <v>142</v>
      </c>
      <c r="C3116" s="14" t="s">
        <v>371</v>
      </c>
      <c r="D3116" s="14" t="s">
        <v>372</v>
      </c>
      <c r="E3116" s="14" t="s">
        <v>342</v>
      </c>
      <c r="F3116" s="14" t="s">
        <v>343</v>
      </c>
      <c r="G3116" s="14" t="s">
        <v>343</v>
      </c>
      <c r="H3116" s="14" t="s">
        <v>343</v>
      </c>
      <c r="U3116" s="14">
        <v>0.33</v>
      </c>
      <c r="V3116" s="14">
        <v>0.33</v>
      </c>
      <c r="W3116" s="14">
        <v>0.33</v>
      </c>
      <c r="X3116" s="14">
        <v>0.33</v>
      </c>
    </row>
    <row r="3117" spans="1:24" hidden="1" x14ac:dyDescent="0.3">
      <c r="A3117" s="14" t="s">
        <v>470</v>
      </c>
      <c r="B3117" s="14" t="s">
        <v>142</v>
      </c>
      <c r="C3117" s="14" t="s">
        <v>371</v>
      </c>
      <c r="D3117" s="14" t="s">
        <v>372</v>
      </c>
      <c r="E3117" s="14" t="s">
        <v>344</v>
      </c>
      <c r="F3117" s="14" t="s">
        <v>343</v>
      </c>
      <c r="G3117" s="14" t="s">
        <v>343</v>
      </c>
      <c r="H3117" s="14" t="s">
        <v>343</v>
      </c>
      <c r="U3117" s="14">
        <v>10</v>
      </c>
      <c r="V3117" s="14">
        <v>11</v>
      </c>
      <c r="W3117" s="14">
        <v>11</v>
      </c>
      <c r="X3117" s="14">
        <v>11</v>
      </c>
    </row>
    <row r="3118" spans="1:24" hidden="1" x14ac:dyDescent="0.3">
      <c r="A3118" s="14" t="s">
        <v>470</v>
      </c>
      <c r="B3118" s="14" t="s">
        <v>142</v>
      </c>
      <c r="C3118" s="14" t="s">
        <v>373</v>
      </c>
      <c r="D3118" s="14" t="s">
        <v>374</v>
      </c>
      <c r="E3118" s="14" t="s">
        <v>342</v>
      </c>
      <c r="F3118" s="14" t="s">
        <v>343</v>
      </c>
      <c r="G3118" s="14" t="s">
        <v>343</v>
      </c>
      <c r="H3118" s="14" t="s">
        <v>343</v>
      </c>
      <c r="U3118" s="14">
        <v>0.19</v>
      </c>
      <c r="V3118" s="14">
        <v>0.12</v>
      </c>
      <c r="W3118" s="14">
        <v>0.28000000000000003</v>
      </c>
      <c r="X3118" s="14">
        <v>0.28999999999999998</v>
      </c>
    </row>
    <row r="3119" spans="1:24" hidden="1" x14ac:dyDescent="0.3">
      <c r="A3119" s="14" t="s">
        <v>470</v>
      </c>
      <c r="B3119" s="14" t="s">
        <v>142</v>
      </c>
      <c r="C3119" s="14" t="s">
        <v>373</v>
      </c>
      <c r="D3119" s="14" t="s">
        <v>374</v>
      </c>
      <c r="E3119" s="14" t="s">
        <v>344</v>
      </c>
      <c r="F3119" s="14" t="s">
        <v>343</v>
      </c>
      <c r="G3119" s="14" t="s">
        <v>343</v>
      </c>
      <c r="H3119" s="14" t="s">
        <v>343</v>
      </c>
      <c r="U3119" s="14">
        <v>89</v>
      </c>
      <c r="V3119" s="14">
        <v>117</v>
      </c>
      <c r="W3119" s="14">
        <v>74</v>
      </c>
      <c r="X3119" s="14">
        <v>70</v>
      </c>
    </row>
    <row r="3120" spans="1:24" hidden="1" x14ac:dyDescent="0.3">
      <c r="A3120" s="14" t="s">
        <v>470</v>
      </c>
      <c r="B3120" s="14" t="s">
        <v>142</v>
      </c>
      <c r="C3120" s="14" t="s">
        <v>375</v>
      </c>
      <c r="D3120" s="14" t="s">
        <v>376</v>
      </c>
      <c r="E3120" s="14" t="s">
        <v>342</v>
      </c>
      <c r="F3120" s="14" t="s">
        <v>343</v>
      </c>
      <c r="G3120" s="14" t="s">
        <v>343</v>
      </c>
      <c r="H3120" s="14" t="s">
        <v>343</v>
      </c>
      <c r="U3120" s="14">
        <v>0.14000000000000001</v>
      </c>
      <c r="V3120" s="14">
        <v>0.14000000000000001</v>
      </c>
      <c r="W3120" s="14">
        <v>0.12</v>
      </c>
      <c r="X3120" s="14">
        <v>0.12</v>
      </c>
    </row>
    <row r="3121" spans="1:24" hidden="1" x14ac:dyDescent="0.3">
      <c r="A3121" s="14" t="s">
        <v>470</v>
      </c>
      <c r="B3121" s="14" t="s">
        <v>142</v>
      </c>
      <c r="C3121" s="14" t="s">
        <v>375</v>
      </c>
      <c r="D3121" s="14" t="s">
        <v>376</v>
      </c>
      <c r="E3121" s="14" t="s">
        <v>344</v>
      </c>
      <c r="F3121" s="14" t="s">
        <v>343</v>
      </c>
      <c r="G3121" s="14" t="s">
        <v>343</v>
      </c>
      <c r="H3121" s="14" t="s">
        <v>343</v>
      </c>
      <c r="U3121" s="14">
        <v>119</v>
      </c>
      <c r="V3121" s="14">
        <v>128</v>
      </c>
      <c r="W3121" s="14">
        <v>138</v>
      </c>
      <c r="X3121" s="14">
        <v>131</v>
      </c>
    </row>
    <row r="3122" spans="1:24" hidden="1" x14ac:dyDescent="0.3">
      <c r="A3122" s="14" t="s">
        <v>471</v>
      </c>
      <c r="B3122" s="14" t="s">
        <v>225</v>
      </c>
      <c r="C3122" s="14" t="s">
        <v>340</v>
      </c>
      <c r="D3122" s="14" t="s">
        <v>341</v>
      </c>
      <c r="E3122" s="14" t="s">
        <v>342</v>
      </c>
      <c r="F3122" s="14" t="s">
        <v>343</v>
      </c>
      <c r="G3122" s="14" t="s">
        <v>343</v>
      </c>
      <c r="H3122" s="14" t="s">
        <v>343</v>
      </c>
      <c r="I3122" s="14">
        <v>0.99</v>
      </c>
      <c r="J3122" s="14">
        <v>0.99</v>
      </c>
      <c r="K3122" s="14">
        <v>0.99</v>
      </c>
      <c r="L3122" s="14">
        <v>0.99</v>
      </c>
      <c r="M3122" s="14">
        <v>0.99</v>
      </c>
      <c r="N3122" s="14">
        <v>0.93</v>
      </c>
      <c r="O3122" s="14">
        <v>0.99</v>
      </c>
      <c r="P3122" s="14">
        <v>0.99</v>
      </c>
      <c r="Q3122" s="14">
        <v>0.99</v>
      </c>
      <c r="R3122" s="14">
        <v>1</v>
      </c>
      <c r="S3122" s="14">
        <v>0.99</v>
      </c>
      <c r="T3122" s="14">
        <v>0.99</v>
      </c>
      <c r="U3122" s="14">
        <v>0.99</v>
      </c>
      <c r="V3122" s="14">
        <v>0.99</v>
      </c>
      <c r="W3122" s="14">
        <v>0.99</v>
      </c>
      <c r="X3122" s="14">
        <v>0.99</v>
      </c>
    </row>
    <row r="3123" spans="1:24" hidden="1" x14ac:dyDescent="0.3">
      <c r="A3123" s="14" t="s">
        <v>471</v>
      </c>
      <c r="B3123" s="14" t="s">
        <v>225</v>
      </c>
      <c r="C3123" s="14" t="s">
        <v>340</v>
      </c>
      <c r="D3123" s="14" t="s">
        <v>341</v>
      </c>
      <c r="E3123" s="14" t="s">
        <v>344</v>
      </c>
      <c r="F3123" s="14" t="s">
        <v>343</v>
      </c>
      <c r="G3123" s="14" t="s">
        <v>343</v>
      </c>
      <c r="H3123" s="14" t="s">
        <v>343</v>
      </c>
      <c r="I3123" s="14">
        <v>52</v>
      </c>
      <c r="J3123" s="14">
        <v>56</v>
      </c>
      <c r="K3123" s="14">
        <v>65</v>
      </c>
      <c r="L3123" s="14">
        <v>68</v>
      </c>
      <c r="M3123" s="14">
        <v>57</v>
      </c>
      <c r="N3123" s="14">
        <v>103</v>
      </c>
      <c r="O3123" s="14">
        <v>48</v>
      </c>
      <c r="P3123" s="14">
        <v>48</v>
      </c>
      <c r="Q3123" s="14">
        <v>59</v>
      </c>
      <c r="R3123" s="14">
        <v>57</v>
      </c>
      <c r="S3123" s="14">
        <v>82</v>
      </c>
      <c r="T3123" s="14">
        <v>86</v>
      </c>
      <c r="U3123" s="14">
        <v>90</v>
      </c>
      <c r="V3123" s="14">
        <v>88</v>
      </c>
      <c r="W3123" s="14">
        <v>88</v>
      </c>
      <c r="X3123" s="14">
        <v>80</v>
      </c>
    </row>
    <row r="3124" spans="1:24" hidden="1" x14ac:dyDescent="0.3">
      <c r="A3124" s="14" t="s">
        <v>471</v>
      </c>
      <c r="B3124" s="14" t="s">
        <v>225</v>
      </c>
      <c r="C3124" s="14" t="s">
        <v>345</v>
      </c>
      <c r="D3124" s="14" t="s">
        <v>346</v>
      </c>
      <c r="E3124" s="14" t="s">
        <v>342</v>
      </c>
      <c r="F3124" s="14" t="s">
        <v>343</v>
      </c>
      <c r="G3124" s="14" t="s">
        <v>343</v>
      </c>
      <c r="H3124" s="14" t="s">
        <v>343</v>
      </c>
      <c r="U3124" s="14">
        <v>0.35</v>
      </c>
      <c r="V3124" s="14">
        <v>0.39</v>
      </c>
      <c r="W3124" s="14">
        <v>0.38</v>
      </c>
      <c r="X3124" s="14">
        <v>0.37</v>
      </c>
    </row>
    <row r="3125" spans="1:24" hidden="1" x14ac:dyDescent="0.3">
      <c r="A3125" s="14" t="s">
        <v>471</v>
      </c>
      <c r="B3125" s="14" t="s">
        <v>225</v>
      </c>
      <c r="C3125" s="14" t="s">
        <v>345</v>
      </c>
      <c r="D3125" s="14" t="s">
        <v>346</v>
      </c>
      <c r="E3125" s="14" t="s">
        <v>344</v>
      </c>
      <c r="F3125" s="14" t="s">
        <v>343</v>
      </c>
      <c r="G3125" s="14" t="s">
        <v>343</v>
      </c>
      <c r="H3125" s="14" t="s">
        <v>343</v>
      </c>
      <c r="U3125" s="14">
        <v>127</v>
      </c>
      <c r="V3125" s="14">
        <v>132</v>
      </c>
      <c r="W3125" s="14">
        <v>134</v>
      </c>
      <c r="X3125" s="14">
        <v>130</v>
      </c>
    </row>
    <row r="3126" spans="1:24" hidden="1" x14ac:dyDescent="0.3">
      <c r="A3126" s="14" t="s">
        <v>471</v>
      </c>
      <c r="B3126" s="14" t="s">
        <v>225</v>
      </c>
      <c r="C3126" s="14" t="s">
        <v>347</v>
      </c>
      <c r="D3126" s="14" t="s">
        <v>348</v>
      </c>
      <c r="E3126" s="14" t="s">
        <v>342</v>
      </c>
      <c r="F3126" s="14" t="s">
        <v>343</v>
      </c>
      <c r="G3126" s="14" t="s">
        <v>343</v>
      </c>
      <c r="H3126" s="14" t="s">
        <v>343</v>
      </c>
      <c r="U3126" s="14">
        <v>0.49</v>
      </c>
      <c r="V3126" s="14">
        <v>0.5</v>
      </c>
      <c r="W3126" s="14">
        <v>0.48</v>
      </c>
      <c r="X3126" s="14">
        <v>0.45</v>
      </c>
    </row>
    <row r="3127" spans="1:24" hidden="1" x14ac:dyDescent="0.3">
      <c r="A3127" s="14" t="s">
        <v>471</v>
      </c>
      <c r="B3127" s="14" t="s">
        <v>225</v>
      </c>
      <c r="C3127" s="14" t="s">
        <v>347</v>
      </c>
      <c r="D3127" s="14" t="s">
        <v>348</v>
      </c>
      <c r="E3127" s="14" t="s">
        <v>344</v>
      </c>
      <c r="F3127" s="14" t="s">
        <v>343</v>
      </c>
      <c r="G3127" s="14" t="s">
        <v>343</v>
      </c>
      <c r="H3127" s="14" t="s">
        <v>343</v>
      </c>
      <c r="U3127" s="14">
        <v>130</v>
      </c>
      <c r="V3127" s="14">
        <v>133</v>
      </c>
      <c r="W3127" s="14">
        <v>139</v>
      </c>
      <c r="X3127" s="14">
        <v>133</v>
      </c>
    </row>
    <row r="3128" spans="1:24" hidden="1" x14ac:dyDescent="0.3">
      <c r="A3128" s="14" t="s">
        <v>471</v>
      </c>
      <c r="B3128" s="14" t="s">
        <v>225</v>
      </c>
      <c r="C3128" s="14" t="s">
        <v>349</v>
      </c>
      <c r="D3128" s="14" t="s">
        <v>350</v>
      </c>
      <c r="E3128" s="14" t="s">
        <v>342</v>
      </c>
      <c r="F3128" s="14" t="s">
        <v>343</v>
      </c>
      <c r="G3128" s="14" t="s">
        <v>343</v>
      </c>
      <c r="H3128" s="14" t="s">
        <v>343</v>
      </c>
      <c r="U3128" s="14">
        <v>0.38</v>
      </c>
      <c r="V3128" s="14">
        <v>0.4</v>
      </c>
      <c r="W3128" s="14">
        <v>0.35</v>
      </c>
      <c r="X3128" s="14">
        <v>0.37</v>
      </c>
    </row>
    <row r="3129" spans="1:24" hidden="1" x14ac:dyDescent="0.3">
      <c r="A3129" s="14" t="s">
        <v>471</v>
      </c>
      <c r="B3129" s="14" t="s">
        <v>225</v>
      </c>
      <c r="C3129" s="14" t="s">
        <v>349</v>
      </c>
      <c r="D3129" s="14" t="s">
        <v>350</v>
      </c>
      <c r="E3129" s="14" t="s">
        <v>344</v>
      </c>
      <c r="F3129" s="14" t="s">
        <v>343</v>
      </c>
      <c r="G3129" s="14" t="s">
        <v>343</v>
      </c>
      <c r="H3129" s="14" t="s">
        <v>343</v>
      </c>
      <c r="U3129" s="14">
        <v>91</v>
      </c>
      <c r="V3129" s="14">
        <v>94</v>
      </c>
      <c r="W3129" s="14">
        <v>107</v>
      </c>
      <c r="X3129" s="14">
        <v>98</v>
      </c>
    </row>
    <row r="3130" spans="1:24" hidden="1" x14ac:dyDescent="0.3">
      <c r="A3130" s="14" t="s">
        <v>471</v>
      </c>
      <c r="B3130" s="14" t="s">
        <v>225</v>
      </c>
      <c r="C3130" s="14" t="s">
        <v>351</v>
      </c>
      <c r="D3130" s="14" t="s">
        <v>352</v>
      </c>
      <c r="E3130" s="14" t="s">
        <v>342</v>
      </c>
      <c r="F3130" s="14" t="s">
        <v>343</v>
      </c>
      <c r="G3130" s="14" t="s">
        <v>343</v>
      </c>
      <c r="H3130" s="14" t="s">
        <v>343</v>
      </c>
      <c r="U3130" s="14">
        <v>0.96</v>
      </c>
      <c r="V3130" s="14">
        <v>0.96</v>
      </c>
      <c r="W3130" s="14">
        <v>0.92</v>
      </c>
      <c r="X3130" s="14">
        <v>0.91</v>
      </c>
    </row>
    <row r="3131" spans="1:24" hidden="1" x14ac:dyDescent="0.3">
      <c r="A3131" s="14" t="s">
        <v>471</v>
      </c>
      <c r="B3131" s="14" t="s">
        <v>225</v>
      </c>
      <c r="C3131" s="14" t="s">
        <v>351</v>
      </c>
      <c r="D3131" s="14" t="s">
        <v>352</v>
      </c>
      <c r="E3131" s="14" t="s">
        <v>344</v>
      </c>
      <c r="F3131" s="14" t="s">
        <v>343</v>
      </c>
      <c r="G3131" s="14" t="s">
        <v>343</v>
      </c>
      <c r="H3131" s="14" t="s">
        <v>343</v>
      </c>
      <c r="U3131" s="14">
        <v>75</v>
      </c>
      <c r="V3131" s="14">
        <v>79</v>
      </c>
      <c r="W3131" s="14">
        <v>86</v>
      </c>
      <c r="X3131" s="14">
        <v>82</v>
      </c>
    </row>
    <row r="3132" spans="1:24" hidden="1" x14ac:dyDescent="0.3">
      <c r="A3132" s="14" t="s">
        <v>471</v>
      </c>
      <c r="B3132" s="14" t="s">
        <v>225</v>
      </c>
      <c r="C3132" s="14" t="s">
        <v>378</v>
      </c>
      <c r="D3132" s="14" t="s">
        <v>379</v>
      </c>
      <c r="E3132" s="14" t="s">
        <v>342</v>
      </c>
      <c r="F3132" s="14" t="s">
        <v>343</v>
      </c>
      <c r="G3132" s="14" t="s">
        <v>343</v>
      </c>
      <c r="H3132" s="14" t="s">
        <v>343</v>
      </c>
      <c r="S3132" s="14">
        <v>0.69</v>
      </c>
      <c r="U3132" s="14">
        <v>0.65</v>
      </c>
      <c r="V3132" s="14">
        <v>0.64</v>
      </c>
      <c r="W3132" s="14">
        <v>0.66</v>
      </c>
      <c r="X3132" s="14">
        <v>0.7</v>
      </c>
    </row>
    <row r="3133" spans="1:24" hidden="1" x14ac:dyDescent="0.3">
      <c r="A3133" s="14" t="s">
        <v>471</v>
      </c>
      <c r="B3133" s="14" t="s">
        <v>225</v>
      </c>
      <c r="C3133" s="14" t="s">
        <v>378</v>
      </c>
      <c r="D3133" s="14" t="s">
        <v>379</v>
      </c>
      <c r="E3133" s="14" t="s">
        <v>344</v>
      </c>
      <c r="F3133" s="14" t="s">
        <v>343</v>
      </c>
      <c r="G3133" s="14" t="s">
        <v>343</v>
      </c>
      <c r="H3133" s="14" t="s">
        <v>343</v>
      </c>
      <c r="S3133" s="14">
        <v>47</v>
      </c>
      <c r="U3133" s="14">
        <v>68</v>
      </c>
      <c r="V3133" s="14">
        <v>82</v>
      </c>
      <c r="W3133" s="14">
        <v>77</v>
      </c>
      <c r="X3133" s="14">
        <v>47</v>
      </c>
    </row>
    <row r="3134" spans="1:24" hidden="1" x14ac:dyDescent="0.3">
      <c r="A3134" s="14" t="s">
        <v>471</v>
      </c>
      <c r="B3134" s="14" t="s">
        <v>225</v>
      </c>
      <c r="C3134" s="14" t="s">
        <v>353</v>
      </c>
      <c r="D3134" s="14" t="s">
        <v>354</v>
      </c>
      <c r="E3134" s="14" t="s">
        <v>342</v>
      </c>
      <c r="F3134" s="14" t="s">
        <v>343</v>
      </c>
      <c r="G3134" s="14" t="s">
        <v>343</v>
      </c>
      <c r="H3134" s="14" t="s">
        <v>343</v>
      </c>
      <c r="U3134" s="14">
        <v>0.98</v>
      </c>
      <c r="V3134" s="14">
        <v>0.98</v>
      </c>
      <c r="W3134" s="14">
        <v>0.98</v>
      </c>
      <c r="X3134" s="14">
        <v>0.98</v>
      </c>
    </row>
    <row r="3135" spans="1:24" hidden="1" x14ac:dyDescent="0.3">
      <c r="A3135" s="14" t="s">
        <v>471</v>
      </c>
      <c r="B3135" s="14" t="s">
        <v>225</v>
      </c>
      <c r="C3135" s="14" t="s">
        <v>353</v>
      </c>
      <c r="D3135" s="14" t="s">
        <v>354</v>
      </c>
      <c r="E3135" s="14" t="s">
        <v>344</v>
      </c>
      <c r="F3135" s="14" t="s">
        <v>343</v>
      </c>
      <c r="G3135" s="14" t="s">
        <v>343</v>
      </c>
      <c r="H3135" s="14" t="s">
        <v>343</v>
      </c>
      <c r="U3135" s="14">
        <v>79</v>
      </c>
      <c r="V3135" s="14">
        <v>86</v>
      </c>
      <c r="W3135" s="14">
        <v>86</v>
      </c>
      <c r="X3135" s="14">
        <v>77</v>
      </c>
    </row>
    <row r="3136" spans="1:24" hidden="1" x14ac:dyDescent="0.3">
      <c r="A3136" s="14" t="s">
        <v>471</v>
      </c>
      <c r="B3136" s="14" t="s">
        <v>225</v>
      </c>
      <c r="C3136" s="14" t="s">
        <v>380</v>
      </c>
      <c r="D3136" s="14" t="s">
        <v>381</v>
      </c>
      <c r="E3136" s="14" t="s">
        <v>342</v>
      </c>
      <c r="F3136" s="14" t="s">
        <v>343</v>
      </c>
      <c r="G3136" s="14" t="s">
        <v>343</v>
      </c>
      <c r="H3136" s="14" t="s">
        <v>343</v>
      </c>
      <c r="U3136" s="14">
        <v>0.98</v>
      </c>
      <c r="V3136" s="14">
        <v>0.98</v>
      </c>
      <c r="W3136" s="14">
        <v>0.98</v>
      </c>
      <c r="X3136" s="14">
        <v>0.98</v>
      </c>
    </row>
    <row r="3137" spans="1:24" hidden="1" x14ac:dyDescent="0.3">
      <c r="A3137" s="14" t="s">
        <v>471</v>
      </c>
      <c r="B3137" s="14" t="s">
        <v>225</v>
      </c>
      <c r="C3137" s="14" t="s">
        <v>380</v>
      </c>
      <c r="D3137" s="14" t="s">
        <v>381</v>
      </c>
      <c r="E3137" s="14" t="s">
        <v>344</v>
      </c>
      <c r="F3137" s="14" t="s">
        <v>343</v>
      </c>
      <c r="G3137" s="14" t="s">
        <v>343</v>
      </c>
      <c r="H3137" s="14" t="s">
        <v>343</v>
      </c>
      <c r="U3137" s="14">
        <v>113</v>
      </c>
      <c r="V3137" s="14">
        <v>125</v>
      </c>
      <c r="W3137" s="14">
        <v>125</v>
      </c>
      <c r="X3137" s="14">
        <v>103</v>
      </c>
    </row>
    <row r="3138" spans="1:24" hidden="1" x14ac:dyDescent="0.3">
      <c r="A3138" s="14" t="s">
        <v>471</v>
      </c>
      <c r="B3138" s="14" t="s">
        <v>225</v>
      </c>
      <c r="C3138" s="14" t="s">
        <v>355</v>
      </c>
      <c r="D3138" s="14" t="s">
        <v>356</v>
      </c>
      <c r="E3138" s="14" t="s">
        <v>342</v>
      </c>
      <c r="F3138" s="14" t="s">
        <v>343</v>
      </c>
      <c r="G3138" s="14" t="s">
        <v>343</v>
      </c>
      <c r="H3138" s="14" t="s">
        <v>343</v>
      </c>
      <c r="U3138" s="14">
        <v>1</v>
      </c>
      <c r="V3138" s="14">
        <v>1</v>
      </c>
      <c r="W3138" s="14">
        <v>1</v>
      </c>
      <c r="X3138" s="14">
        <v>1</v>
      </c>
    </row>
    <row r="3139" spans="1:24" hidden="1" x14ac:dyDescent="0.3">
      <c r="A3139" s="14" t="s">
        <v>471</v>
      </c>
      <c r="B3139" s="14" t="s">
        <v>225</v>
      </c>
      <c r="C3139" s="14" t="s">
        <v>355</v>
      </c>
      <c r="D3139" s="14" t="s">
        <v>356</v>
      </c>
      <c r="E3139" s="14" t="s">
        <v>344</v>
      </c>
      <c r="F3139" s="14" t="s">
        <v>343</v>
      </c>
      <c r="G3139" s="14" t="s">
        <v>343</v>
      </c>
      <c r="H3139" s="14" t="s">
        <v>343</v>
      </c>
      <c r="U3139" s="14">
        <v>1</v>
      </c>
      <c r="V3139" s="14">
        <v>1</v>
      </c>
      <c r="W3139" s="14">
        <v>1</v>
      </c>
      <c r="X3139" s="14">
        <v>1</v>
      </c>
    </row>
    <row r="3140" spans="1:24" hidden="1" x14ac:dyDescent="0.3">
      <c r="A3140" s="14" t="s">
        <v>471</v>
      </c>
      <c r="B3140" s="14" t="s">
        <v>225</v>
      </c>
      <c r="C3140" s="14" t="s">
        <v>357</v>
      </c>
      <c r="D3140" s="14" t="s">
        <v>358</v>
      </c>
      <c r="E3140" s="14" t="s">
        <v>342</v>
      </c>
      <c r="F3140" s="14" t="s">
        <v>343</v>
      </c>
      <c r="G3140" s="14" t="s">
        <v>343</v>
      </c>
      <c r="H3140" s="14" t="s">
        <v>343</v>
      </c>
      <c r="U3140" s="14">
        <v>1</v>
      </c>
      <c r="V3140" s="14">
        <v>1</v>
      </c>
      <c r="W3140" s="14">
        <v>1</v>
      </c>
      <c r="X3140" s="14">
        <v>1</v>
      </c>
    </row>
    <row r="3141" spans="1:24" hidden="1" x14ac:dyDescent="0.3">
      <c r="A3141" s="14" t="s">
        <v>471</v>
      </c>
      <c r="B3141" s="14" t="s">
        <v>225</v>
      </c>
      <c r="C3141" s="14" t="s">
        <v>357</v>
      </c>
      <c r="D3141" s="14" t="s">
        <v>358</v>
      </c>
      <c r="E3141" s="14" t="s">
        <v>344</v>
      </c>
      <c r="F3141" s="14" t="s">
        <v>343</v>
      </c>
      <c r="G3141" s="14" t="s">
        <v>343</v>
      </c>
      <c r="H3141" s="14" t="s">
        <v>343</v>
      </c>
      <c r="U3141" s="14">
        <v>1</v>
      </c>
      <c r="V3141" s="14">
        <v>1</v>
      </c>
      <c r="W3141" s="14">
        <v>1</v>
      </c>
      <c r="X3141" s="14">
        <v>1</v>
      </c>
    </row>
    <row r="3142" spans="1:24" hidden="1" x14ac:dyDescent="0.3">
      <c r="A3142" s="14" t="s">
        <v>471</v>
      </c>
      <c r="B3142" s="14" t="s">
        <v>225</v>
      </c>
      <c r="C3142" s="14" t="s">
        <v>359</v>
      </c>
      <c r="D3142" s="14" t="s">
        <v>360</v>
      </c>
      <c r="E3142" s="14" t="s">
        <v>342</v>
      </c>
      <c r="F3142" s="14" t="s">
        <v>343</v>
      </c>
      <c r="G3142" s="14" t="s">
        <v>343</v>
      </c>
      <c r="H3142" s="14" t="s">
        <v>343</v>
      </c>
      <c r="I3142" s="14">
        <v>0.54</v>
      </c>
      <c r="J3142" s="14">
        <v>0.56000000000000005</v>
      </c>
      <c r="K3142" s="14">
        <v>0.56000000000000005</v>
      </c>
      <c r="L3142" s="14">
        <v>0.56999999999999995</v>
      </c>
      <c r="M3142" s="14">
        <v>0.6</v>
      </c>
      <c r="N3142" s="14">
        <v>0.56000000000000005</v>
      </c>
      <c r="O3142" s="14">
        <v>0.56000000000000005</v>
      </c>
      <c r="P3142" s="14">
        <v>0.56000000000000005</v>
      </c>
      <c r="Q3142" s="14">
        <v>0.59</v>
      </c>
      <c r="R3142" s="14">
        <v>0.57999999999999996</v>
      </c>
      <c r="S3142" s="14">
        <v>0.53</v>
      </c>
      <c r="T3142" s="14">
        <v>0.52</v>
      </c>
      <c r="U3142" s="14">
        <v>0.55000000000000004</v>
      </c>
      <c r="V3142" s="14">
        <v>0.56000000000000005</v>
      </c>
      <c r="W3142" s="14">
        <v>0.55000000000000004</v>
      </c>
      <c r="X3142" s="14">
        <v>0.56000000000000005</v>
      </c>
    </row>
    <row r="3143" spans="1:24" hidden="1" x14ac:dyDescent="0.3">
      <c r="A3143" s="14" t="s">
        <v>471</v>
      </c>
      <c r="B3143" s="14" t="s">
        <v>225</v>
      </c>
      <c r="C3143" s="14" t="s">
        <v>359</v>
      </c>
      <c r="D3143" s="14" t="s">
        <v>360</v>
      </c>
      <c r="E3143" s="14" t="s">
        <v>344</v>
      </c>
      <c r="F3143" s="14" t="s">
        <v>343</v>
      </c>
      <c r="G3143" s="14" t="s">
        <v>343</v>
      </c>
      <c r="H3143" s="14" t="s">
        <v>343</v>
      </c>
      <c r="I3143" s="14">
        <v>84</v>
      </c>
      <c r="J3143" s="14">
        <v>94</v>
      </c>
      <c r="K3143" s="14">
        <v>99</v>
      </c>
      <c r="L3143" s="14">
        <v>99</v>
      </c>
      <c r="M3143" s="14">
        <v>89</v>
      </c>
      <c r="N3143" s="14">
        <v>102</v>
      </c>
      <c r="O3143" s="14">
        <v>105</v>
      </c>
      <c r="P3143" s="14">
        <v>109</v>
      </c>
      <c r="Q3143" s="14">
        <v>109</v>
      </c>
      <c r="R3143" s="14">
        <v>120</v>
      </c>
      <c r="S3143" s="14">
        <v>124</v>
      </c>
      <c r="T3143" s="14">
        <v>123</v>
      </c>
      <c r="U3143" s="14">
        <v>125</v>
      </c>
      <c r="V3143" s="14">
        <v>126</v>
      </c>
      <c r="W3143" s="14">
        <v>132</v>
      </c>
      <c r="X3143" s="14">
        <v>122</v>
      </c>
    </row>
    <row r="3144" spans="1:24" x14ac:dyDescent="0.3">
      <c r="A3144" s="14" t="s">
        <v>471</v>
      </c>
      <c r="B3144" s="14" t="s">
        <v>225</v>
      </c>
      <c r="C3144" s="14" t="s">
        <v>361</v>
      </c>
      <c r="D3144" s="14" t="s">
        <v>362</v>
      </c>
      <c r="E3144" s="14" t="s">
        <v>342</v>
      </c>
      <c r="F3144" s="14" t="s">
        <v>343</v>
      </c>
      <c r="G3144" s="14" t="s">
        <v>343</v>
      </c>
      <c r="H3144" s="14" t="s">
        <v>343</v>
      </c>
      <c r="I3144" s="14">
        <v>0.98</v>
      </c>
      <c r="J3144" s="14">
        <v>0.98</v>
      </c>
      <c r="K3144" s="14">
        <v>0.98</v>
      </c>
      <c r="L3144" s="14">
        <v>0.98</v>
      </c>
      <c r="M3144" s="14">
        <v>0.98</v>
      </c>
      <c r="N3144" s="14">
        <v>0.98</v>
      </c>
      <c r="O3144" s="14">
        <v>0.98</v>
      </c>
      <c r="P3144" s="14">
        <v>0.98</v>
      </c>
      <c r="Q3144" s="14">
        <v>0.98</v>
      </c>
      <c r="R3144" s="14">
        <v>0.98</v>
      </c>
      <c r="S3144" s="14">
        <v>0.98</v>
      </c>
      <c r="T3144" s="14">
        <v>0.98</v>
      </c>
      <c r="U3144" s="14">
        <v>0.98</v>
      </c>
      <c r="V3144" s="14">
        <v>0.98</v>
      </c>
      <c r="W3144" s="14">
        <v>0.98</v>
      </c>
      <c r="X3144" s="14">
        <v>0.98</v>
      </c>
    </row>
    <row r="3145" spans="1:24" hidden="1" x14ac:dyDescent="0.3">
      <c r="A3145" s="14" t="s">
        <v>471</v>
      </c>
      <c r="B3145" s="14" t="s">
        <v>225</v>
      </c>
      <c r="C3145" s="14" t="s">
        <v>361</v>
      </c>
      <c r="D3145" s="14" t="s">
        <v>362</v>
      </c>
      <c r="E3145" s="14" t="s">
        <v>344</v>
      </c>
      <c r="F3145" s="14" t="s">
        <v>343</v>
      </c>
      <c r="G3145" s="14" t="s">
        <v>343</v>
      </c>
      <c r="H3145" s="14" t="s">
        <v>343</v>
      </c>
      <c r="I3145" s="14">
        <v>1</v>
      </c>
      <c r="J3145" s="14">
        <v>1</v>
      </c>
      <c r="K3145" s="14">
        <v>1</v>
      </c>
      <c r="L3145" s="14">
        <v>1</v>
      </c>
      <c r="M3145" s="14">
        <v>1</v>
      </c>
      <c r="N3145" s="14">
        <v>1</v>
      </c>
      <c r="O3145" s="14">
        <v>1</v>
      </c>
      <c r="P3145" s="14">
        <v>1</v>
      </c>
      <c r="Q3145" s="14">
        <v>1</v>
      </c>
      <c r="R3145" s="14">
        <v>1</v>
      </c>
      <c r="S3145" s="14">
        <v>1</v>
      </c>
      <c r="T3145" s="14">
        <v>1</v>
      </c>
      <c r="U3145" s="14">
        <v>1</v>
      </c>
      <c r="V3145" s="14">
        <v>1</v>
      </c>
      <c r="W3145" s="14">
        <v>30</v>
      </c>
      <c r="X3145" s="14">
        <v>1</v>
      </c>
    </row>
    <row r="3146" spans="1:24" hidden="1" x14ac:dyDescent="0.3">
      <c r="A3146" s="14" t="s">
        <v>471</v>
      </c>
      <c r="B3146" s="14" t="s">
        <v>225</v>
      </c>
      <c r="C3146" s="14" t="s">
        <v>363</v>
      </c>
      <c r="D3146" s="14" t="s">
        <v>364</v>
      </c>
      <c r="E3146" s="14" t="s">
        <v>342</v>
      </c>
      <c r="F3146" s="14" t="s">
        <v>343</v>
      </c>
      <c r="G3146" s="14" t="s">
        <v>343</v>
      </c>
      <c r="H3146" s="14" t="s">
        <v>343</v>
      </c>
      <c r="U3146" s="14">
        <v>1.06</v>
      </c>
      <c r="V3146" s="14">
        <v>1.06</v>
      </c>
      <c r="W3146" s="14">
        <v>1.06</v>
      </c>
      <c r="X3146" s="14">
        <v>1.06</v>
      </c>
    </row>
    <row r="3147" spans="1:24" hidden="1" x14ac:dyDescent="0.3">
      <c r="A3147" s="14" t="s">
        <v>471</v>
      </c>
      <c r="B3147" s="14" t="s">
        <v>225</v>
      </c>
      <c r="C3147" s="14" t="s">
        <v>363</v>
      </c>
      <c r="D3147" s="14" t="s">
        <v>364</v>
      </c>
      <c r="E3147" s="14" t="s">
        <v>344</v>
      </c>
      <c r="F3147" s="14" t="s">
        <v>343</v>
      </c>
      <c r="G3147" s="14" t="s">
        <v>343</v>
      </c>
      <c r="H3147" s="14" t="s">
        <v>343</v>
      </c>
      <c r="U3147" s="14">
        <v>1</v>
      </c>
      <c r="V3147" s="14">
        <v>1</v>
      </c>
      <c r="W3147" s="14">
        <v>41</v>
      </c>
      <c r="X3147" s="14">
        <v>1</v>
      </c>
    </row>
    <row r="3148" spans="1:24" hidden="1" x14ac:dyDescent="0.3">
      <c r="A3148" s="14" t="s">
        <v>471</v>
      </c>
      <c r="B3148" s="14" t="s">
        <v>225</v>
      </c>
      <c r="C3148" s="14" t="s">
        <v>365</v>
      </c>
      <c r="D3148" s="14" t="s">
        <v>366</v>
      </c>
      <c r="E3148" s="14" t="s">
        <v>342</v>
      </c>
      <c r="F3148" s="14" t="s">
        <v>343</v>
      </c>
      <c r="G3148" s="14" t="s">
        <v>343</v>
      </c>
      <c r="H3148" s="14" t="s">
        <v>343</v>
      </c>
      <c r="U3148" s="14">
        <v>0.94</v>
      </c>
      <c r="V3148" s="14">
        <v>0.94</v>
      </c>
      <c r="W3148" s="14">
        <v>0.94</v>
      </c>
      <c r="X3148" s="14">
        <v>0.94</v>
      </c>
    </row>
    <row r="3149" spans="1:24" hidden="1" x14ac:dyDescent="0.3">
      <c r="A3149" s="14" t="s">
        <v>471</v>
      </c>
      <c r="B3149" s="14" t="s">
        <v>225</v>
      </c>
      <c r="C3149" s="14" t="s">
        <v>365</v>
      </c>
      <c r="D3149" s="14" t="s">
        <v>366</v>
      </c>
      <c r="E3149" s="14" t="s">
        <v>344</v>
      </c>
      <c r="F3149" s="14" t="s">
        <v>343</v>
      </c>
      <c r="G3149" s="14" t="s">
        <v>343</v>
      </c>
      <c r="H3149" s="14" t="s">
        <v>343</v>
      </c>
      <c r="U3149" s="14">
        <v>1</v>
      </c>
      <c r="V3149" s="14">
        <v>1</v>
      </c>
      <c r="W3149" s="14">
        <v>1</v>
      </c>
      <c r="X3149" s="14">
        <v>1</v>
      </c>
    </row>
    <row r="3150" spans="1:24" hidden="1" x14ac:dyDescent="0.3">
      <c r="A3150" s="14" t="s">
        <v>471</v>
      </c>
      <c r="B3150" s="14" t="s">
        <v>225</v>
      </c>
      <c r="C3150" s="14" t="s">
        <v>367</v>
      </c>
      <c r="D3150" s="14" t="s">
        <v>368</v>
      </c>
      <c r="E3150" s="14" t="s">
        <v>342</v>
      </c>
      <c r="F3150" s="14" t="s">
        <v>343</v>
      </c>
      <c r="G3150" s="14" t="s">
        <v>343</v>
      </c>
      <c r="H3150" s="14" t="s">
        <v>343</v>
      </c>
      <c r="I3150" s="14">
        <v>0.72</v>
      </c>
      <c r="J3150" s="14">
        <v>0.72</v>
      </c>
      <c r="K3150" s="14">
        <v>0.74</v>
      </c>
      <c r="L3150" s="14">
        <v>0.74</v>
      </c>
      <c r="M3150" s="14">
        <v>0.75</v>
      </c>
      <c r="N3150" s="14">
        <v>0.72</v>
      </c>
      <c r="O3150" s="14">
        <v>0.71</v>
      </c>
      <c r="P3150" s="14">
        <v>0.7</v>
      </c>
      <c r="Q3150" s="14">
        <v>0.69</v>
      </c>
      <c r="R3150" s="14">
        <v>0.69</v>
      </c>
      <c r="S3150" s="14">
        <v>0.67</v>
      </c>
      <c r="T3150" s="14">
        <v>0.67</v>
      </c>
      <c r="U3150" s="14">
        <v>0.68</v>
      </c>
      <c r="V3150" s="14">
        <v>0.68</v>
      </c>
      <c r="W3150" s="14">
        <v>0.67</v>
      </c>
      <c r="X3150" s="14">
        <v>0.67</v>
      </c>
    </row>
    <row r="3151" spans="1:24" hidden="1" x14ac:dyDescent="0.3">
      <c r="A3151" s="14" t="s">
        <v>471</v>
      </c>
      <c r="B3151" s="14" t="s">
        <v>225</v>
      </c>
      <c r="C3151" s="14" t="s">
        <v>367</v>
      </c>
      <c r="D3151" s="14" t="s">
        <v>368</v>
      </c>
      <c r="E3151" s="14" t="s">
        <v>344</v>
      </c>
      <c r="F3151" s="14" t="s">
        <v>343</v>
      </c>
      <c r="G3151" s="14" t="s">
        <v>343</v>
      </c>
      <c r="H3151" s="14" t="s">
        <v>343</v>
      </c>
      <c r="I3151" s="14">
        <v>13</v>
      </c>
      <c r="J3151" s="14">
        <v>15</v>
      </c>
      <c r="K3151" s="14">
        <v>12</v>
      </c>
      <c r="L3151" s="14">
        <v>16</v>
      </c>
      <c r="M3151" s="14">
        <v>16</v>
      </c>
      <c r="N3151" s="14">
        <v>31</v>
      </c>
      <c r="O3151" s="14">
        <v>39</v>
      </c>
      <c r="P3151" s="14">
        <v>55</v>
      </c>
      <c r="Q3151" s="14">
        <v>79</v>
      </c>
      <c r="R3151" s="14">
        <v>84</v>
      </c>
      <c r="S3151" s="14">
        <v>100</v>
      </c>
      <c r="T3151" s="14">
        <v>109</v>
      </c>
      <c r="U3151" s="14">
        <v>100</v>
      </c>
      <c r="V3151" s="14">
        <v>102</v>
      </c>
      <c r="W3151" s="14">
        <v>116</v>
      </c>
      <c r="X3151" s="14">
        <v>110</v>
      </c>
    </row>
    <row r="3152" spans="1:24" hidden="1" x14ac:dyDescent="0.3">
      <c r="A3152" s="14" t="s">
        <v>471</v>
      </c>
      <c r="B3152" s="14" t="s">
        <v>225</v>
      </c>
      <c r="C3152" s="14" t="s">
        <v>369</v>
      </c>
      <c r="D3152" s="14" t="s">
        <v>370</v>
      </c>
      <c r="E3152" s="14" t="s">
        <v>342</v>
      </c>
      <c r="F3152" s="14" t="s">
        <v>343</v>
      </c>
      <c r="G3152" s="14" t="s">
        <v>343</v>
      </c>
      <c r="H3152" s="14" t="s">
        <v>343</v>
      </c>
      <c r="I3152" s="14">
        <v>0.37</v>
      </c>
      <c r="J3152" s="14">
        <v>0.37</v>
      </c>
      <c r="K3152" s="14">
        <v>0.42</v>
      </c>
      <c r="L3152" s="14">
        <v>0.42</v>
      </c>
      <c r="M3152" s="14">
        <v>0.41</v>
      </c>
      <c r="N3152" s="14">
        <v>0.41</v>
      </c>
      <c r="O3152" s="14">
        <v>0.32</v>
      </c>
      <c r="P3152" s="14">
        <v>0.27</v>
      </c>
      <c r="Q3152" s="14">
        <v>0.2</v>
      </c>
      <c r="R3152" s="14">
        <v>0.19</v>
      </c>
      <c r="S3152" s="14">
        <v>0.2</v>
      </c>
      <c r="T3152" s="14">
        <v>0.19</v>
      </c>
      <c r="U3152" s="14">
        <v>0.19</v>
      </c>
      <c r="V3152" s="14">
        <v>0.19</v>
      </c>
      <c r="W3152" s="14">
        <v>0.17</v>
      </c>
      <c r="X3152" s="14">
        <v>0.16</v>
      </c>
    </row>
    <row r="3153" spans="1:24" hidden="1" x14ac:dyDescent="0.3">
      <c r="A3153" s="14" t="s">
        <v>471</v>
      </c>
      <c r="B3153" s="14" t="s">
        <v>225</v>
      </c>
      <c r="C3153" s="14" t="s">
        <v>369</v>
      </c>
      <c r="D3153" s="14" t="s">
        <v>370</v>
      </c>
      <c r="E3153" s="14" t="s">
        <v>344</v>
      </c>
      <c r="F3153" s="14" t="s">
        <v>343</v>
      </c>
      <c r="G3153" s="14" t="s">
        <v>343</v>
      </c>
      <c r="H3153" s="14" t="s">
        <v>343</v>
      </c>
      <c r="I3153" s="14">
        <v>7</v>
      </c>
      <c r="J3153" s="14">
        <v>7</v>
      </c>
      <c r="K3153" s="14">
        <v>5</v>
      </c>
      <c r="L3153" s="14">
        <v>6</v>
      </c>
      <c r="M3153" s="14">
        <v>6</v>
      </c>
      <c r="N3153" s="14">
        <v>7</v>
      </c>
      <c r="O3153" s="14">
        <v>22</v>
      </c>
      <c r="P3153" s="14">
        <v>30</v>
      </c>
      <c r="Q3153" s="14">
        <v>50</v>
      </c>
      <c r="R3153" s="14">
        <v>59</v>
      </c>
      <c r="S3153" s="14">
        <v>57</v>
      </c>
      <c r="T3153" s="14">
        <v>65</v>
      </c>
      <c r="U3153" s="14">
        <v>65</v>
      </c>
      <c r="V3153" s="14">
        <v>73</v>
      </c>
      <c r="W3153" s="14">
        <v>90</v>
      </c>
      <c r="X3153" s="14">
        <v>93</v>
      </c>
    </row>
    <row r="3154" spans="1:24" hidden="1" x14ac:dyDescent="0.3">
      <c r="A3154" s="14" t="s">
        <v>471</v>
      </c>
      <c r="B3154" s="14" t="s">
        <v>225</v>
      </c>
      <c r="C3154" s="14" t="s">
        <v>371</v>
      </c>
      <c r="D3154" s="14" t="s">
        <v>372</v>
      </c>
      <c r="E3154" s="14" t="s">
        <v>342</v>
      </c>
      <c r="F3154" s="14" t="s">
        <v>343</v>
      </c>
      <c r="G3154" s="14" t="s">
        <v>343</v>
      </c>
      <c r="H3154" s="14" t="s">
        <v>343</v>
      </c>
      <c r="U3154" s="14">
        <v>0.36</v>
      </c>
      <c r="V3154" s="14">
        <v>0.36</v>
      </c>
      <c r="W3154" s="14">
        <v>0.32</v>
      </c>
      <c r="X3154" s="14">
        <v>0.28999999999999998</v>
      </c>
    </row>
    <row r="3155" spans="1:24" hidden="1" x14ac:dyDescent="0.3">
      <c r="A3155" s="14" t="s">
        <v>471</v>
      </c>
      <c r="B3155" s="14" t="s">
        <v>225</v>
      </c>
      <c r="C3155" s="14" t="s">
        <v>371</v>
      </c>
      <c r="D3155" s="14" t="s">
        <v>372</v>
      </c>
      <c r="E3155" s="14" t="s">
        <v>344</v>
      </c>
      <c r="F3155" s="14" t="s">
        <v>343</v>
      </c>
      <c r="G3155" s="14" t="s">
        <v>343</v>
      </c>
      <c r="H3155" s="14" t="s">
        <v>343</v>
      </c>
      <c r="U3155" s="14">
        <v>8</v>
      </c>
      <c r="V3155" s="14">
        <v>9</v>
      </c>
      <c r="W3155" s="14">
        <v>12</v>
      </c>
      <c r="X3155" s="14">
        <v>14</v>
      </c>
    </row>
    <row r="3156" spans="1:24" hidden="1" x14ac:dyDescent="0.3">
      <c r="A3156" s="14" t="s">
        <v>471</v>
      </c>
      <c r="B3156" s="14" t="s">
        <v>225</v>
      </c>
      <c r="C3156" s="14" t="s">
        <v>373</v>
      </c>
      <c r="D3156" s="14" t="s">
        <v>374</v>
      </c>
      <c r="E3156" s="14" t="s">
        <v>342</v>
      </c>
      <c r="F3156" s="14" t="s">
        <v>343</v>
      </c>
      <c r="G3156" s="14" t="s">
        <v>343</v>
      </c>
      <c r="H3156" s="14" t="s">
        <v>343</v>
      </c>
      <c r="U3156" s="14">
        <v>0.04</v>
      </c>
      <c r="V3156" s="14">
        <v>7.0000000000000007E-2</v>
      </c>
      <c r="W3156" s="14">
        <v>0.04</v>
      </c>
      <c r="X3156" s="14">
        <v>0.04</v>
      </c>
    </row>
    <row r="3157" spans="1:24" hidden="1" x14ac:dyDescent="0.3">
      <c r="A3157" s="14" t="s">
        <v>471</v>
      </c>
      <c r="B3157" s="14" t="s">
        <v>225</v>
      </c>
      <c r="C3157" s="14" t="s">
        <v>373</v>
      </c>
      <c r="D3157" s="14" t="s">
        <v>374</v>
      </c>
      <c r="E3157" s="14" t="s">
        <v>344</v>
      </c>
      <c r="F3157" s="14" t="s">
        <v>343</v>
      </c>
      <c r="G3157" s="14" t="s">
        <v>343</v>
      </c>
      <c r="H3157" s="14" t="s">
        <v>343</v>
      </c>
      <c r="U3157" s="14">
        <v>137</v>
      </c>
      <c r="V3157" s="14">
        <v>129</v>
      </c>
      <c r="W3157" s="14">
        <v>145</v>
      </c>
      <c r="X3157" s="14">
        <v>137</v>
      </c>
    </row>
    <row r="3158" spans="1:24" hidden="1" x14ac:dyDescent="0.3">
      <c r="A3158" s="14" t="s">
        <v>471</v>
      </c>
      <c r="B3158" s="14" t="s">
        <v>225</v>
      </c>
      <c r="C3158" s="14" t="s">
        <v>375</v>
      </c>
      <c r="D3158" s="14" t="s">
        <v>376</v>
      </c>
      <c r="E3158" s="14" t="s">
        <v>342</v>
      </c>
      <c r="F3158" s="14" t="s">
        <v>343</v>
      </c>
      <c r="G3158" s="14" t="s">
        <v>343</v>
      </c>
      <c r="H3158" s="14" t="s">
        <v>343</v>
      </c>
      <c r="U3158" s="14">
        <v>0.06</v>
      </c>
      <c r="V3158" s="14">
        <v>0.06</v>
      </c>
      <c r="W3158" s="14">
        <v>0.06</v>
      </c>
      <c r="X3158" s="14">
        <v>0.06</v>
      </c>
    </row>
    <row r="3159" spans="1:24" hidden="1" x14ac:dyDescent="0.3">
      <c r="A3159" s="14" t="s">
        <v>471</v>
      </c>
      <c r="B3159" s="14" t="s">
        <v>225</v>
      </c>
      <c r="C3159" s="14" t="s">
        <v>375</v>
      </c>
      <c r="D3159" s="14" t="s">
        <v>376</v>
      </c>
      <c r="E3159" s="14" t="s">
        <v>344</v>
      </c>
      <c r="F3159" s="14" t="s">
        <v>343</v>
      </c>
      <c r="G3159" s="14" t="s">
        <v>343</v>
      </c>
      <c r="H3159" s="14" t="s">
        <v>343</v>
      </c>
      <c r="U3159" s="14">
        <v>143</v>
      </c>
      <c r="V3159" s="14">
        <v>145</v>
      </c>
      <c r="W3159" s="14">
        <v>149</v>
      </c>
      <c r="X3159" s="14">
        <v>139</v>
      </c>
    </row>
    <row r="3160" spans="1:24" hidden="1" x14ac:dyDescent="0.3">
      <c r="A3160" s="14" t="s">
        <v>472</v>
      </c>
      <c r="B3160" s="14" t="s">
        <v>141</v>
      </c>
      <c r="C3160" s="14" t="s">
        <v>340</v>
      </c>
      <c r="D3160" s="14" t="s">
        <v>341</v>
      </c>
      <c r="E3160" s="14" t="s">
        <v>342</v>
      </c>
      <c r="F3160" s="14" t="s">
        <v>343</v>
      </c>
      <c r="G3160" s="14" t="s">
        <v>343</v>
      </c>
      <c r="H3160" s="14" t="s">
        <v>343</v>
      </c>
      <c r="I3160" s="14">
        <v>1</v>
      </c>
      <c r="J3160" s="14">
        <v>1</v>
      </c>
      <c r="K3160" s="14">
        <v>1</v>
      </c>
      <c r="L3160" s="14">
        <v>1</v>
      </c>
      <c r="M3160" s="14">
        <v>1</v>
      </c>
      <c r="N3160" s="14">
        <v>1</v>
      </c>
      <c r="O3160" s="14">
        <v>1</v>
      </c>
      <c r="P3160" s="14">
        <v>1</v>
      </c>
      <c r="Q3160" s="14">
        <v>1</v>
      </c>
      <c r="R3160" s="14">
        <v>1</v>
      </c>
      <c r="S3160" s="14">
        <v>1</v>
      </c>
      <c r="T3160" s="14">
        <v>1</v>
      </c>
      <c r="U3160" s="14">
        <v>1</v>
      </c>
      <c r="V3160" s="14">
        <v>1</v>
      </c>
      <c r="W3160" s="14">
        <v>1</v>
      </c>
      <c r="X3160" s="14">
        <v>1</v>
      </c>
    </row>
    <row r="3161" spans="1:24" hidden="1" x14ac:dyDescent="0.3">
      <c r="A3161" s="14" t="s">
        <v>472</v>
      </c>
      <c r="B3161" s="14" t="s">
        <v>141</v>
      </c>
      <c r="C3161" s="14" t="s">
        <v>340</v>
      </c>
      <c r="D3161" s="14" t="s">
        <v>341</v>
      </c>
      <c r="E3161" s="14" t="s">
        <v>344</v>
      </c>
      <c r="F3161" s="14" t="s">
        <v>343</v>
      </c>
      <c r="G3161" s="14" t="s">
        <v>343</v>
      </c>
      <c r="H3161" s="14" t="s">
        <v>343</v>
      </c>
      <c r="I3161" s="14">
        <v>1</v>
      </c>
      <c r="J3161" s="14">
        <v>1</v>
      </c>
      <c r="K3161" s="14">
        <v>1</v>
      </c>
      <c r="L3161" s="14">
        <v>1</v>
      </c>
      <c r="M3161" s="14">
        <v>1</v>
      </c>
      <c r="N3161" s="14">
        <v>1</v>
      </c>
      <c r="O3161" s="14">
        <v>1</v>
      </c>
      <c r="P3161" s="14">
        <v>1</v>
      </c>
      <c r="Q3161" s="14">
        <v>1</v>
      </c>
      <c r="R3161" s="14">
        <v>1</v>
      </c>
      <c r="S3161" s="14">
        <v>1</v>
      </c>
      <c r="T3161" s="14">
        <v>1</v>
      </c>
      <c r="U3161" s="14">
        <v>1</v>
      </c>
      <c r="V3161" s="14">
        <v>1</v>
      </c>
      <c r="W3161" s="14">
        <v>1</v>
      </c>
      <c r="X3161" s="14">
        <v>1</v>
      </c>
    </row>
    <row r="3162" spans="1:24" hidden="1" x14ac:dyDescent="0.3">
      <c r="A3162" s="14" t="s">
        <v>472</v>
      </c>
      <c r="B3162" s="14" t="s">
        <v>141</v>
      </c>
      <c r="C3162" s="14" t="s">
        <v>345</v>
      </c>
      <c r="D3162" s="14" t="s">
        <v>346</v>
      </c>
      <c r="E3162" s="14" t="s">
        <v>342</v>
      </c>
      <c r="F3162" s="14" t="s">
        <v>343</v>
      </c>
      <c r="G3162" s="14" t="s">
        <v>343</v>
      </c>
      <c r="H3162" s="14" t="s">
        <v>343</v>
      </c>
      <c r="U3162" s="14">
        <v>0.59</v>
      </c>
      <c r="V3162" s="14">
        <v>0.64</v>
      </c>
      <c r="W3162" s="14">
        <v>0.61</v>
      </c>
      <c r="X3162" s="14">
        <v>0.67</v>
      </c>
    </row>
    <row r="3163" spans="1:24" hidden="1" x14ac:dyDescent="0.3">
      <c r="A3163" s="14" t="s">
        <v>472</v>
      </c>
      <c r="B3163" s="14" t="s">
        <v>141</v>
      </c>
      <c r="C3163" s="14" t="s">
        <v>345</v>
      </c>
      <c r="D3163" s="14" t="s">
        <v>346</v>
      </c>
      <c r="E3163" s="14" t="s">
        <v>344</v>
      </c>
      <c r="F3163" s="14" t="s">
        <v>343</v>
      </c>
      <c r="G3163" s="14" t="s">
        <v>343</v>
      </c>
      <c r="H3163" s="14" t="s">
        <v>343</v>
      </c>
      <c r="U3163" s="14">
        <v>86</v>
      </c>
      <c r="V3163" s="14">
        <v>64</v>
      </c>
      <c r="W3163" s="14">
        <v>81</v>
      </c>
      <c r="X3163" s="14">
        <v>57</v>
      </c>
    </row>
    <row r="3164" spans="1:24" hidden="1" x14ac:dyDescent="0.3">
      <c r="A3164" s="14" t="s">
        <v>472</v>
      </c>
      <c r="B3164" s="14" t="s">
        <v>141</v>
      </c>
      <c r="C3164" s="14" t="s">
        <v>347</v>
      </c>
      <c r="D3164" s="14" t="s">
        <v>348</v>
      </c>
      <c r="E3164" s="14" t="s">
        <v>342</v>
      </c>
      <c r="F3164" s="14" t="s">
        <v>343</v>
      </c>
      <c r="G3164" s="14" t="s">
        <v>343</v>
      </c>
      <c r="H3164" s="14" t="s">
        <v>343</v>
      </c>
      <c r="U3164" s="14">
        <v>0.82</v>
      </c>
      <c r="V3164" s="14">
        <v>0.82</v>
      </c>
      <c r="W3164" s="14">
        <v>0.82</v>
      </c>
      <c r="X3164" s="14">
        <v>0.79</v>
      </c>
    </row>
    <row r="3165" spans="1:24" hidden="1" x14ac:dyDescent="0.3">
      <c r="A3165" s="14" t="s">
        <v>472</v>
      </c>
      <c r="B3165" s="14" t="s">
        <v>141</v>
      </c>
      <c r="C3165" s="14" t="s">
        <v>347</v>
      </c>
      <c r="D3165" s="14" t="s">
        <v>348</v>
      </c>
      <c r="E3165" s="14" t="s">
        <v>344</v>
      </c>
      <c r="F3165" s="14" t="s">
        <v>343</v>
      </c>
      <c r="G3165" s="14" t="s">
        <v>343</v>
      </c>
      <c r="H3165" s="14" t="s">
        <v>343</v>
      </c>
      <c r="U3165" s="14">
        <v>72</v>
      </c>
      <c r="V3165" s="14">
        <v>76</v>
      </c>
      <c r="W3165" s="14">
        <v>77</v>
      </c>
      <c r="X3165" s="14">
        <v>68</v>
      </c>
    </row>
    <row r="3166" spans="1:24" hidden="1" x14ac:dyDescent="0.3">
      <c r="A3166" s="14" t="s">
        <v>472</v>
      </c>
      <c r="B3166" s="14" t="s">
        <v>141</v>
      </c>
      <c r="C3166" s="14" t="s">
        <v>349</v>
      </c>
      <c r="D3166" s="14" t="s">
        <v>350</v>
      </c>
      <c r="E3166" s="14" t="s">
        <v>342</v>
      </c>
      <c r="F3166" s="14" t="s">
        <v>343</v>
      </c>
      <c r="G3166" s="14" t="s">
        <v>343</v>
      </c>
      <c r="H3166" s="14" t="s">
        <v>343</v>
      </c>
      <c r="U3166" s="14">
        <v>0.56000000000000005</v>
      </c>
      <c r="V3166" s="14">
        <v>0.56000000000000005</v>
      </c>
      <c r="W3166" s="14">
        <v>0.56000000000000005</v>
      </c>
      <c r="X3166" s="14">
        <v>0.51</v>
      </c>
    </row>
    <row r="3167" spans="1:24" hidden="1" x14ac:dyDescent="0.3">
      <c r="A3167" s="14" t="s">
        <v>472</v>
      </c>
      <c r="B3167" s="14" t="s">
        <v>141</v>
      </c>
      <c r="C3167" s="14" t="s">
        <v>349</v>
      </c>
      <c r="D3167" s="14" t="s">
        <v>350</v>
      </c>
      <c r="E3167" s="14" t="s">
        <v>344</v>
      </c>
      <c r="F3167" s="14" t="s">
        <v>343</v>
      </c>
      <c r="G3167" s="14" t="s">
        <v>343</v>
      </c>
      <c r="H3167" s="14" t="s">
        <v>343</v>
      </c>
      <c r="U3167" s="14">
        <v>47</v>
      </c>
      <c r="V3167" s="14">
        <v>49</v>
      </c>
      <c r="W3167" s="14">
        <v>56</v>
      </c>
      <c r="X3167" s="14">
        <v>73</v>
      </c>
    </row>
    <row r="3168" spans="1:24" hidden="1" x14ac:dyDescent="0.3">
      <c r="A3168" s="14" t="s">
        <v>472</v>
      </c>
      <c r="B3168" s="14" t="s">
        <v>141</v>
      </c>
      <c r="C3168" s="14" t="s">
        <v>351</v>
      </c>
      <c r="D3168" s="14" t="s">
        <v>352</v>
      </c>
      <c r="E3168" s="14" t="s">
        <v>342</v>
      </c>
      <c r="F3168" s="14" t="s">
        <v>343</v>
      </c>
      <c r="G3168" s="14" t="s">
        <v>343</v>
      </c>
      <c r="H3168" s="14" t="s">
        <v>343</v>
      </c>
      <c r="U3168" s="14">
        <v>1</v>
      </c>
      <c r="V3168" s="14">
        <v>1</v>
      </c>
      <c r="W3168" s="14">
        <v>1</v>
      </c>
      <c r="X3168" s="14">
        <v>1</v>
      </c>
    </row>
    <row r="3169" spans="1:24" hidden="1" x14ac:dyDescent="0.3">
      <c r="A3169" s="14" t="s">
        <v>472</v>
      </c>
      <c r="B3169" s="14" t="s">
        <v>141</v>
      </c>
      <c r="C3169" s="14" t="s">
        <v>351</v>
      </c>
      <c r="D3169" s="14" t="s">
        <v>352</v>
      </c>
      <c r="E3169" s="14" t="s">
        <v>344</v>
      </c>
      <c r="F3169" s="14" t="s">
        <v>343</v>
      </c>
      <c r="G3169" s="14" t="s">
        <v>343</v>
      </c>
      <c r="H3169" s="14" t="s">
        <v>343</v>
      </c>
      <c r="U3169" s="14">
        <v>1</v>
      </c>
      <c r="V3169" s="14">
        <v>1</v>
      </c>
      <c r="W3169" s="14">
        <v>1</v>
      </c>
      <c r="X3169" s="14">
        <v>1</v>
      </c>
    </row>
    <row r="3170" spans="1:24" hidden="1" x14ac:dyDescent="0.3">
      <c r="A3170" s="14" t="s">
        <v>472</v>
      </c>
      <c r="B3170" s="14" t="s">
        <v>141</v>
      </c>
      <c r="C3170" s="14" t="s">
        <v>378</v>
      </c>
      <c r="D3170" s="14" t="s">
        <v>379</v>
      </c>
      <c r="E3170" s="14" t="s">
        <v>342</v>
      </c>
      <c r="F3170" s="14" t="s">
        <v>343</v>
      </c>
      <c r="G3170" s="14" t="s">
        <v>343</v>
      </c>
      <c r="H3170" s="14" t="s">
        <v>343</v>
      </c>
      <c r="S3170" s="14">
        <v>0.55000000000000004</v>
      </c>
      <c r="U3170" s="14">
        <v>0.49</v>
      </c>
      <c r="V3170" s="14">
        <v>0.49</v>
      </c>
      <c r="W3170" s="14">
        <v>0.46</v>
      </c>
      <c r="X3170" s="14">
        <v>0.47</v>
      </c>
    </row>
    <row r="3171" spans="1:24" hidden="1" x14ac:dyDescent="0.3">
      <c r="A3171" s="14" t="s">
        <v>472</v>
      </c>
      <c r="B3171" s="14" t="s">
        <v>141</v>
      </c>
      <c r="C3171" s="14" t="s">
        <v>378</v>
      </c>
      <c r="D3171" s="14" t="s">
        <v>379</v>
      </c>
      <c r="E3171" s="14" t="s">
        <v>344</v>
      </c>
      <c r="F3171" s="14" t="s">
        <v>343</v>
      </c>
      <c r="G3171" s="14" t="s">
        <v>343</v>
      </c>
      <c r="H3171" s="14" t="s">
        <v>343</v>
      </c>
      <c r="S3171" s="14">
        <v>117</v>
      </c>
      <c r="U3171" s="14">
        <v>131</v>
      </c>
      <c r="V3171" s="14">
        <v>133</v>
      </c>
      <c r="W3171" s="14">
        <v>138</v>
      </c>
      <c r="X3171" s="14">
        <v>127</v>
      </c>
    </row>
    <row r="3172" spans="1:24" hidden="1" x14ac:dyDescent="0.3">
      <c r="A3172" s="14" t="s">
        <v>472</v>
      </c>
      <c r="B3172" s="14" t="s">
        <v>141</v>
      </c>
      <c r="C3172" s="14" t="s">
        <v>353</v>
      </c>
      <c r="D3172" s="14" t="s">
        <v>354</v>
      </c>
      <c r="E3172" s="14" t="s">
        <v>342</v>
      </c>
      <c r="F3172" s="14" t="s">
        <v>343</v>
      </c>
      <c r="G3172" s="14" t="s">
        <v>343</v>
      </c>
      <c r="H3172" s="14" t="s">
        <v>343</v>
      </c>
      <c r="U3172" s="14">
        <v>1</v>
      </c>
      <c r="V3172" s="14">
        <v>1</v>
      </c>
      <c r="W3172" s="14">
        <v>1</v>
      </c>
      <c r="X3172" s="14">
        <v>1</v>
      </c>
    </row>
    <row r="3173" spans="1:24" hidden="1" x14ac:dyDescent="0.3">
      <c r="A3173" s="14" t="s">
        <v>472</v>
      </c>
      <c r="B3173" s="14" t="s">
        <v>141</v>
      </c>
      <c r="C3173" s="14" t="s">
        <v>353</v>
      </c>
      <c r="D3173" s="14" t="s">
        <v>354</v>
      </c>
      <c r="E3173" s="14" t="s">
        <v>344</v>
      </c>
      <c r="F3173" s="14" t="s">
        <v>343</v>
      </c>
      <c r="G3173" s="14" t="s">
        <v>343</v>
      </c>
      <c r="H3173" s="14" t="s">
        <v>343</v>
      </c>
      <c r="U3173" s="14">
        <v>1</v>
      </c>
      <c r="V3173" s="14">
        <v>1</v>
      </c>
      <c r="W3173" s="14">
        <v>1</v>
      </c>
      <c r="X3173" s="14">
        <v>1</v>
      </c>
    </row>
    <row r="3174" spans="1:24" hidden="1" x14ac:dyDescent="0.3">
      <c r="A3174" s="14" t="s">
        <v>472</v>
      </c>
      <c r="B3174" s="14" t="s">
        <v>141</v>
      </c>
      <c r="C3174" s="14" t="s">
        <v>380</v>
      </c>
      <c r="D3174" s="14" t="s">
        <v>381</v>
      </c>
      <c r="E3174" s="14" t="s">
        <v>342</v>
      </c>
      <c r="F3174" s="14" t="s">
        <v>343</v>
      </c>
      <c r="G3174" s="14" t="s">
        <v>343</v>
      </c>
      <c r="H3174" s="14" t="s">
        <v>343</v>
      </c>
      <c r="U3174" s="14">
        <v>1</v>
      </c>
      <c r="V3174" s="14">
        <v>1</v>
      </c>
      <c r="W3174" s="14">
        <v>1</v>
      </c>
      <c r="X3174" s="14">
        <v>1</v>
      </c>
    </row>
    <row r="3175" spans="1:24" hidden="1" x14ac:dyDescent="0.3">
      <c r="A3175" s="14" t="s">
        <v>472</v>
      </c>
      <c r="B3175" s="14" t="s">
        <v>141</v>
      </c>
      <c r="C3175" s="14" t="s">
        <v>380</v>
      </c>
      <c r="D3175" s="14" t="s">
        <v>381</v>
      </c>
      <c r="E3175" s="14" t="s">
        <v>344</v>
      </c>
      <c r="F3175" s="14" t="s">
        <v>343</v>
      </c>
      <c r="G3175" s="14" t="s">
        <v>343</v>
      </c>
      <c r="H3175" s="14" t="s">
        <v>343</v>
      </c>
      <c r="U3175" s="14">
        <v>1</v>
      </c>
      <c r="V3175" s="14">
        <v>1</v>
      </c>
      <c r="W3175" s="14">
        <v>1</v>
      </c>
      <c r="X3175" s="14">
        <v>1</v>
      </c>
    </row>
    <row r="3176" spans="1:24" hidden="1" x14ac:dyDescent="0.3">
      <c r="A3176" s="14" t="s">
        <v>472</v>
      </c>
      <c r="B3176" s="14" t="s">
        <v>141</v>
      </c>
      <c r="C3176" s="14" t="s">
        <v>355</v>
      </c>
      <c r="D3176" s="14" t="s">
        <v>356</v>
      </c>
      <c r="E3176" s="14" t="s">
        <v>342</v>
      </c>
      <c r="F3176" s="14" t="s">
        <v>343</v>
      </c>
      <c r="G3176" s="14" t="s">
        <v>343</v>
      </c>
      <c r="H3176" s="14" t="s">
        <v>343</v>
      </c>
      <c r="U3176" s="14">
        <v>1</v>
      </c>
      <c r="V3176" s="14">
        <v>1</v>
      </c>
      <c r="W3176" s="14">
        <v>1</v>
      </c>
      <c r="X3176" s="14">
        <v>1</v>
      </c>
    </row>
    <row r="3177" spans="1:24" hidden="1" x14ac:dyDescent="0.3">
      <c r="A3177" s="14" t="s">
        <v>472</v>
      </c>
      <c r="B3177" s="14" t="s">
        <v>141</v>
      </c>
      <c r="C3177" s="14" t="s">
        <v>355</v>
      </c>
      <c r="D3177" s="14" t="s">
        <v>356</v>
      </c>
      <c r="E3177" s="14" t="s">
        <v>344</v>
      </c>
      <c r="F3177" s="14" t="s">
        <v>343</v>
      </c>
      <c r="G3177" s="14" t="s">
        <v>343</v>
      </c>
      <c r="H3177" s="14" t="s">
        <v>343</v>
      </c>
      <c r="U3177" s="14">
        <v>1</v>
      </c>
      <c r="V3177" s="14">
        <v>1</v>
      </c>
      <c r="W3177" s="14">
        <v>1</v>
      </c>
      <c r="X3177" s="14">
        <v>1</v>
      </c>
    </row>
    <row r="3178" spans="1:24" hidden="1" x14ac:dyDescent="0.3">
      <c r="A3178" s="14" t="s">
        <v>472</v>
      </c>
      <c r="B3178" s="14" t="s">
        <v>141</v>
      </c>
      <c r="C3178" s="14" t="s">
        <v>357</v>
      </c>
      <c r="D3178" s="14" t="s">
        <v>358</v>
      </c>
      <c r="E3178" s="14" t="s">
        <v>342</v>
      </c>
      <c r="F3178" s="14" t="s">
        <v>343</v>
      </c>
      <c r="G3178" s="14" t="s">
        <v>343</v>
      </c>
      <c r="H3178" s="14" t="s">
        <v>343</v>
      </c>
      <c r="U3178" s="14">
        <v>1</v>
      </c>
      <c r="V3178" s="14">
        <v>1</v>
      </c>
      <c r="W3178" s="14">
        <v>1</v>
      </c>
      <c r="X3178" s="14">
        <v>1</v>
      </c>
    </row>
    <row r="3179" spans="1:24" hidden="1" x14ac:dyDescent="0.3">
      <c r="A3179" s="14" t="s">
        <v>472</v>
      </c>
      <c r="B3179" s="14" t="s">
        <v>141</v>
      </c>
      <c r="C3179" s="14" t="s">
        <v>357</v>
      </c>
      <c r="D3179" s="14" t="s">
        <v>358</v>
      </c>
      <c r="E3179" s="14" t="s">
        <v>344</v>
      </c>
      <c r="F3179" s="14" t="s">
        <v>343</v>
      </c>
      <c r="G3179" s="14" t="s">
        <v>343</v>
      </c>
      <c r="H3179" s="14" t="s">
        <v>343</v>
      </c>
      <c r="U3179" s="14">
        <v>1</v>
      </c>
      <c r="V3179" s="14">
        <v>1</v>
      </c>
      <c r="W3179" s="14">
        <v>1</v>
      </c>
      <c r="X3179" s="14">
        <v>1</v>
      </c>
    </row>
    <row r="3180" spans="1:24" hidden="1" x14ac:dyDescent="0.3">
      <c r="A3180" s="14" t="s">
        <v>472</v>
      </c>
      <c r="B3180" s="14" t="s">
        <v>141</v>
      </c>
      <c r="C3180" s="14" t="s">
        <v>359</v>
      </c>
      <c r="D3180" s="14" t="s">
        <v>360</v>
      </c>
      <c r="E3180" s="14" t="s">
        <v>342</v>
      </c>
      <c r="F3180" s="14" t="s">
        <v>343</v>
      </c>
      <c r="G3180" s="14" t="s">
        <v>343</v>
      </c>
      <c r="H3180" s="14" t="s">
        <v>343</v>
      </c>
      <c r="I3180" s="14">
        <v>0.61</v>
      </c>
      <c r="J3180" s="14">
        <v>0.66</v>
      </c>
      <c r="K3180" s="14">
        <v>0.73</v>
      </c>
      <c r="L3180" s="14">
        <v>0.8</v>
      </c>
      <c r="M3180" s="14">
        <v>0.88</v>
      </c>
      <c r="N3180" s="14">
        <v>0.87</v>
      </c>
      <c r="O3180" s="14">
        <v>0.82</v>
      </c>
      <c r="P3180" s="14">
        <v>0.78</v>
      </c>
      <c r="Q3180" s="14">
        <v>0.74</v>
      </c>
      <c r="R3180" s="14">
        <v>0.67</v>
      </c>
      <c r="S3180" s="14">
        <v>0.67</v>
      </c>
      <c r="T3180" s="14">
        <v>0.66</v>
      </c>
      <c r="U3180" s="14">
        <v>0.65</v>
      </c>
      <c r="V3180" s="14">
        <v>0.66</v>
      </c>
      <c r="W3180" s="14">
        <v>0.65</v>
      </c>
      <c r="X3180" s="14">
        <v>0.65</v>
      </c>
    </row>
    <row r="3181" spans="1:24" hidden="1" x14ac:dyDescent="0.3">
      <c r="A3181" s="14" t="s">
        <v>472</v>
      </c>
      <c r="B3181" s="14" t="s">
        <v>141</v>
      </c>
      <c r="C3181" s="14" t="s">
        <v>359</v>
      </c>
      <c r="D3181" s="14" t="s">
        <v>360</v>
      </c>
      <c r="E3181" s="14" t="s">
        <v>344</v>
      </c>
      <c r="F3181" s="14" t="s">
        <v>343</v>
      </c>
      <c r="G3181" s="14" t="s">
        <v>343</v>
      </c>
      <c r="H3181" s="14" t="s">
        <v>343</v>
      </c>
      <c r="I3181" s="14">
        <v>61</v>
      </c>
      <c r="J3181" s="14">
        <v>53</v>
      </c>
      <c r="K3181" s="14">
        <v>21</v>
      </c>
      <c r="L3181" s="14">
        <v>4</v>
      </c>
      <c r="M3181" s="14">
        <v>1</v>
      </c>
      <c r="N3181" s="14">
        <v>2</v>
      </c>
      <c r="O3181" s="14">
        <v>6</v>
      </c>
      <c r="P3181" s="14">
        <v>18</v>
      </c>
      <c r="Q3181" s="14">
        <v>32</v>
      </c>
      <c r="R3181" s="14">
        <v>68</v>
      </c>
      <c r="S3181" s="14">
        <v>66</v>
      </c>
      <c r="T3181" s="14">
        <v>84</v>
      </c>
      <c r="U3181" s="14">
        <v>88</v>
      </c>
      <c r="V3181" s="14">
        <v>84</v>
      </c>
      <c r="W3181" s="14">
        <v>98</v>
      </c>
      <c r="X3181" s="14">
        <v>91</v>
      </c>
    </row>
    <row r="3182" spans="1:24" x14ac:dyDescent="0.3">
      <c r="A3182" s="14" t="s">
        <v>472</v>
      </c>
      <c r="B3182" s="14" t="s">
        <v>141</v>
      </c>
      <c r="C3182" s="14" t="s">
        <v>361</v>
      </c>
      <c r="D3182" s="14" t="s">
        <v>362</v>
      </c>
      <c r="E3182" s="14" t="s">
        <v>342</v>
      </c>
      <c r="F3182" s="14" t="s">
        <v>343</v>
      </c>
      <c r="G3182" s="14" t="s">
        <v>343</v>
      </c>
      <c r="H3182" s="14" t="s">
        <v>343</v>
      </c>
      <c r="I3182" s="14">
        <v>0.98</v>
      </c>
      <c r="J3182" s="14">
        <v>0.98</v>
      </c>
      <c r="K3182" s="14">
        <v>0.98</v>
      </c>
      <c r="L3182" s="14">
        <v>0.98</v>
      </c>
      <c r="M3182" s="14">
        <v>0.98</v>
      </c>
      <c r="N3182" s="14">
        <v>0.98</v>
      </c>
      <c r="O3182" s="14">
        <v>0.98</v>
      </c>
      <c r="P3182" s="14">
        <v>0.98</v>
      </c>
      <c r="Q3182" s="14">
        <v>0.98</v>
      </c>
      <c r="R3182" s="14">
        <v>0.98</v>
      </c>
      <c r="S3182" s="14">
        <v>0.98</v>
      </c>
      <c r="T3182" s="14">
        <v>0.98</v>
      </c>
      <c r="U3182" s="14">
        <v>0.98</v>
      </c>
      <c r="V3182" s="14">
        <v>0.98</v>
      </c>
      <c r="W3182" s="14">
        <v>0.98</v>
      </c>
      <c r="X3182" s="14">
        <v>0.98</v>
      </c>
    </row>
    <row r="3183" spans="1:24" hidden="1" x14ac:dyDescent="0.3">
      <c r="A3183" s="14" t="s">
        <v>472</v>
      </c>
      <c r="B3183" s="14" t="s">
        <v>141</v>
      </c>
      <c r="C3183" s="14" t="s">
        <v>361</v>
      </c>
      <c r="D3183" s="14" t="s">
        <v>362</v>
      </c>
      <c r="E3183" s="14" t="s">
        <v>344</v>
      </c>
      <c r="F3183" s="14" t="s">
        <v>343</v>
      </c>
      <c r="G3183" s="14" t="s">
        <v>343</v>
      </c>
      <c r="H3183" s="14" t="s">
        <v>343</v>
      </c>
      <c r="I3183" s="14">
        <v>1</v>
      </c>
      <c r="J3183" s="14">
        <v>1</v>
      </c>
      <c r="K3183" s="14">
        <v>1</v>
      </c>
      <c r="L3183" s="14">
        <v>1</v>
      </c>
      <c r="M3183" s="14">
        <v>1</v>
      </c>
      <c r="N3183" s="14">
        <v>1</v>
      </c>
      <c r="O3183" s="14">
        <v>1</v>
      </c>
      <c r="P3183" s="14">
        <v>1</v>
      </c>
      <c r="Q3183" s="14">
        <v>60</v>
      </c>
      <c r="R3183" s="14">
        <v>1</v>
      </c>
      <c r="S3183" s="14">
        <v>1</v>
      </c>
      <c r="T3183" s="14">
        <v>35</v>
      </c>
      <c r="U3183" s="14">
        <v>1</v>
      </c>
      <c r="V3183" s="14">
        <v>1</v>
      </c>
      <c r="W3183" s="14">
        <v>1</v>
      </c>
      <c r="X3183" s="14">
        <v>1</v>
      </c>
    </row>
    <row r="3184" spans="1:24" hidden="1" x14ac:dyDescent="0.3">
      <c r="A3184" s="14" t="s">
        <v>472</v>
      </c>
      <c r="B3184" s="14" t="s">
        <v>141</v>
      </c>
      <c r="C3184" s="14" t="s">
        <v>363</v>
      </c>
      <c r="D3184" s="14" t="s">
        <v>364</v>
      </c>
      <c r="E3184" s="14" t="s">
        <v>342</v>
      </c>
      <c r="F3184" s="14" t="s">
        <v>343</v>
      </c>
      <c r="G3184" s="14" t="s">
        <v>343</v>
      </c>
      <c r="H3184" s="14" t="s">
        <v>343</v>
      </c>
      <c r="U3184" s="14">
        <v>1.06</v>
      </c>
      <c r="V3184" s="14">
        <v>1.06</v>
      </c>
      <c r="W3184" s="14">
        <v>1.06</v>
      </c>
      <c r="X3184" s="14">
        <v>1.06</v>
      </c>
    </row>
    <row r="3185" spans="1:24" hidden="1" x14ac:dyDescent="0.3">
      <c r="A3185" s="14" t="s">
        <v>472</v>
      </c>
      <c r="B3185" s="14" t="s">
        <v>141</v>
      </c>
      <c r="C3185" s="14" t="s">
        <v>363</v>
      </c>
      <c r="D3185" s="14" t="s">
        <v>364</v>
      </c>
      <c r="E3185" s="14" t="s">
        <v>344</v>
      </c>
      <c r="F3185" s="14" t="s">
        <v>343</v>
      </c>
      <c r="G3185" s="14" t="s">
        <v>343</v>
      </c>
      <c r="H3185" s="14" t="s">
        <v>343</v>
      </c>
      <c r="U3185" s="14">
        <v>1</v>
      </c>
      <c r="V3185" s="14">
        <v>1</v>
      </c>
      <c r="W3185" s="14">
        <v>1</v>
      </c>
      <c r="X3185" s="14">
        <v>1</v>
      </c>
    </row>
    <row r="3186" spans="1:24" hidden="1" x14ac:dyDescent="0.3">
      <c r="A3186" s="14" t="s">
        <v>472</v>
      </c>
      <c r="B3186" s="14" t="s">
        <v>141</v>
      </c>
      <c r="C3186" s="14" t="s">
        <v>365</v>
      </c>
      <c r="D3186" s="14" t="s">
        <v>366</v>
      </c>
      <c r="E3186" s="14" t="s">
        <v>342</v>
      </c>
      <c r="F3186" s="14" t="s">
        <v>343</v>
      </c>
      <c r="G3186" s="14" t="s">
        <v>343</v>
      </c>
      <c r="H3186" s="14" t="s">
        <v>343</v>
      </c>
      <c r="U3186" s="14">
        <v>0.94</v>
      </c>
      <c r="V3186" s="14">
        <v>0.94</v>
      </c>
      <c r="W3186" s="14">
        <v>0.94</v>
      </c>
      <c r="X3186" s="14">
        <v>0.94</v>
      </c>
    </row>
    <row r="3187" spans="1:24" hidden="1" x14ac:dyDescent="0.3">
      <c r="A3187" s="14" t="s">
        <v>472</v>
      </c>
      <c r="B3187" s="14" t="s">
        <v>141</v>
      </c>
      <c r="C3187" s="14" t="s">
        <v>365</v>
      </c>
      <c r="D3187" s="14" t="s">
        <v>366</v>
      </c>
      <c r="E3187" s="14" t="s">
        <v>344</v>
      </c>
      <c r="F3187" s="14" t="s">
        <v>343</v>
      </c>
      <c r="G3187" s="14" t="s">
        <v>343</v>
      </c>
      <c r="H3187" s="14" t="s">
        <v>343</v>
      </c>
      <c r="U3187" s="14">
        <v>1</v>
      </c>
      <c r="V3187" s="14">
        <v>1</v>
      </c>
      <c r="W3187" s="14">
        <v>1</v>
      </c>
      <c r="X3187" s="14">
        <v>1</v>
      </c>
    </row>
    <row r="3188" spans="1:24" hidden="1" x14ac:dyDescent="0.3">
      <c r="A3188" s="14" t="s">
        <v>472</v>
      </c>
      <c r="B3188" s="14" t="s">
        <v>141</v>
      </c>
      <c r="C3188" s="14" t="s">
        <v>367</v>
      </c>
      <c r="D3188" s="14" t="s">
        <v>368</v>
      </c>
      <c r="E3188" s="14" t="s">
        <v>342</v>
      </c>
      <c r="F3188" s="14" t="s">
        <v>343</v>
      </c>
      <c r="G3188" s="14" t="s">
        <v>343</v>
      </c>
      <c r="H3188" s="14" t="s">
        <v>343</v>
      </c>
      <c r="I3188" s="14">
        <v>0.68</v>
      </c>
      <c r="J3188" s="14">
        <v>0.71</v>
      </c>
      <c r="K3188" s="14">
        <v>0.73</v>
      </c>
      <c r="L3188" s="14">
        <v>0.75</v>
      </c>
      <c r="M3188" s="14">
        <v>0.77</v>
      </c>
      <c r="N3188" s="14">
        <v>0.77</v>
      </c>
      <c r="O3188" s="14">
        <v>0.76</v>
      </c>
      <c r="P3188" s="14">
        <v>0.75</v>
      </c>
      <c r="Q3188" s="14">
        <v>0.73</v>
      </c>
      <c r="R3188" s="14">
        <v>0.71</v>
      </c>
      <c r="S3188" s="14">
        <v>0.71</v>
      </c>
      <c r="T3188" s="14">
        <v>0.7</v>
      </c>
      <c r="U3188" s="14">
        <v>0.69</v>
      </c>
      <c r="V3188" s="14">
        <v>0.7</v>
      </c>
      <c r="W3188" s="14">
        <v>0.7</v>
      </c>
      <c r="X3188" s="14">
        <v>0.7</v>
      </c>
    </row>
    <row r="3189" spans="1:24" hidden="1" x14ac:dyDescent="0.3">
      <c r="A3189" s="14" t="s">
        <v>472</v>
      </c>
      <c r="B3189" s="14" t="s">
        <v>141</v>
      </c>
      <c r="C3189" s="14" t="s">
        <v>367</v>
      </c>
      <c r="D3189" s="14" t="s">
        <v>368</v>
      </c>
      <c r="E3189" s="14" t="s">
        <v>344</v>
      </c>
      <c r="F3189" s="14" t="s">
        <v>343</v>
      </c>
      <c r="G3189" s="14" t="s">
        <v>343</v>
      </c>
      <c r="H3189" s="14" t="s">
        <v>343</v>
      </c>
      <c r="I3189" s="14">
        <v>43</v>
      </c>
      <c r="J3189" s="14">
        <v>26</v>
      </c>
      <c r="K3189" s="14">
        <v>16</v>
      </c>
      <c r="L3189" s="14">
        <v>10</v>
      </c>
      <c r="M3189" s="14">
        <v>8</v>
      </c>
      <c r="N3189" s="14">
        <v>9</v>
      </c>
      <c r="O3189" s="14">
        <v>14</v>
      </c>
      <c r="P3189" s="14">
        <v>16</v>
      </c>
      <c r="Q3189" s="14">
        <v>38</v>
      </c>
      <c r="R3189" s="14">
        <v>61</v>
      </c>
      <c r="S3189" s="14">
        <v>57</v>
      </c>
      <c r="T3189" s="14">
        <v>73</v>
      </c>
      <c r="U3189" s="14">
        <v>81</v>
      </c>
      <c r="V3189" s="14">
        <v>88</v>
      </c>
      <c r="W3189" s="14">
        <v>92</v>
      </c>
      <c r="X3189" s="14">
        <v>87</v>
      </c>
    </row>
    <row r="3190" spans="1:24" hidden="1" x14ac:dyDescent="0.3">
      <c r="A3190" s="14" t="s">
        <v>472</v>
      </c>
      <c r="B3190" s="14" t="s">
        <v>141</v>
      </c>
      <c r="C3190" s="14" t="s">
        <v>369</v>
      </c>
      <c r="D3190" s="14" t="s">
        <v>370</v>
      </c>
      <c r="E3190" s="14" t="s">
        <v>342</v>
      </c>
      <c r="F3190" s="14" t="s">
        <v>343</v>
      </c>
      <c r="G3190" s="14" t="s">
        <v>343</v>
      </c>
      <c r="H3190" s="14" t="s">
        <v>343</v>
      </c>
      <c r="I3190" s="14">
        <v>0.14000000000000001</v>
      </c>
      <c r="J3190" s="14">
        <v>0.19</v>
      </c>
      <c r="K3190" s="14">
        <v>0.22</v>
      </c>
      <c r="L3190" s="14">
        <v>0.22</v>
      </c>
      <c r="M3190" s="14">
        <v>0.21</v>
      </c>
      <c r="N3190" s="14">
        <v>0.21</v>
      </c>
      <c r="O3190" s="14">
        <v>0.25</v>
      </c>
      <c r="P3190" s="14">
        <v>0.26</v>
      </c>
      <c r="Q3190" s="14">
        <v>0.18</v>
      </c>
      <c r="R3190" s="14">
        <v>0.17</v>
      </c>
      <c r="S3190" s="14">
        <v>0.17</v>
      </c>
      <c r="T3190" s="14">
        <v>0.15</v>
      </c>
      <c r="U3190" s="14">
        <v>0.14000000000000001</v>
      </c>
      <c r="V3190" s="14">
        <v>0.14000000000000001</v>
      </c>
      <c r="W3190" s="14">
        <v>0.16</v>
      </c>
      <c r="X3190" s="14">
        <v>0.17</v>
      </c>
    </row>
    <row r="3191" spans="1:24" hidden="1" x14ac:dyDescent="0.3">
      <c r="A3191" s="14" t="s">
        <v>472</v>
      </c>
      <c r="B3191" s="14" t="s">
        <v>141</v>
      </c>
      <c r="C3191" s="14" t="s">
        <v>369</v>
      </c>
      <c r="D3191" s="14" t="s">
        <v>370</v>
      </c>
      <c r="E3191" s="14" t="s">
        <v>344</v>
      </c>
      <c r="F3191" s="14" t="s">
        <v>343</v>
      </c>
      <c r="G3191" s="14" t="s">
        <v>343</v>
      </c>
      <c r="H3191" s="14" t="s">
        <v>343</v>
      </c>
      <c r="I3191" s="14">
        <v>41</v>
      </c>
      <c r="J3191" s="14">
        <v>27</v>
      </c>
      <c r="K3191" s="14">
        <v>33</v>
      </c>
      <c r="L3191" s="14">
        <v>34</v>
      </c>
      <c r="M3191" s="14">
        <v>34</v>
      </c>
      <c r="N3191" s="14">
        <v>35</v>
      </c>
      <c r="O3191" s="14">
        <v>33</v>
      </c>
      <c r="P3191" s="14">
        <v>35</v>
      </c>
      <c r="Q3191" s="14">
        <v>57</v>
      </c>
      <c r="R3191" s="14">
        <v>68</v>
      </c>
      <c r="S3191" s="14">
        <v>70</v>
      </c>
      <c r="T3191" s="14">
        <v>84</v>
      </c>
      <c r="U3191" s="14">
        <v>86</v>
      </c>
      <c r="V3191" s="14">
        <v>102</v>
      </c>
      <c r="W3191" s="14">
        <v>91</v>
      </c>
      <c r="X3191" s="14">
        <v>88</v>
      </c>
    </row>
    <row r="3192" spans="1:24" hidden="1" x14ac:dyDescent="0.3">
      <c r="A3192" s="14" t="s">
        <v>472</v>
      </c>
      <c r="B3192" s="14" t="s">
        <v>141</v>
      </c>
      <c r="C3192" s="14" t="s">
        <v>371</v>
      </c>
      <c r="D3192" s="14" t="s">
        <v>372</v>
      </c>
      <c r="E3192" s="14" t="s">
        <v>342</v>
      </c>
      <c r="F3192" s="14" t="s">
        <v>343</v>
      </c>
      <c r="G3192" s="14" t="s">
        <v>343</v>
      </c>
      <c r="H3192" s="14" t="s">
        <v>343</v>
      </c>
      <c r="U3192" s="14">
        <v>0</v>
      </c>
      <c r="V3192" s="14">
        <v>0</v>
      </c>
      <c r="W3192" s="14">
        <v>0</v>
      </c>
      <c r="X3192" s="14">
        <v>0</v>
      </c>
    </row>
    <row r="3193" spans="1:24" hidden="1" x14ac:dyDescent="0.3">
      <c r="A3193" s="14" t="s">
        <v>472</v>
      </c>
      <c r="B3193" s="14" t="s">
        <v>141</v>
      </c>
      <c r="C3193" s="14" t="s">
        <v>371</v>
      </c>
      <c r="D3193" s="14" t="s">
        <v>372</v>
      </c>
      <c r="E3193" s="14" t="s">
        <v>344</v>
      </c>
      <c r="F3193" s="14" t="s">
        <v>343</v>
      </c>
      <c r="G3193" s="14" t="s">
        <v>343</v>
      </c>
      <c r="H3193" s="14" t="s">
        <v>343</v>
      </c>
      <c r="U3193" s="14">
        <v>71</v>
      </c>
      <c r="V3193" s="14">
        <v>73</v>
      </c>
      <c r="W3193" s="14">
        <v>76</v>
      </c>
      <c r="X3193" s="14">
        <v>78</v>
      </c>
    </row>
    <row r="3194" spans="1:24" hidden="1" x14ac:dyDescent="0.3">
      <c r="A3194" s="14" t="s">
        <v>472</v>
      </c>
      <c r="B3194" s="14" t="s">
        <v>141</v>
      </c>
      <c r="C3194" s="14" t="s">
        <v>373</v>
      </c>
      <c r="D3194" s="14" t="s">
        <v>374</v>
      </c>
      <c r="E3194" s="14" t="s">
        <v>342</v>
      </c>
      <c r="F3194" s="14" t="s">
        <v>343</v>
      </c>
      <c r="G3194" s="14" t="s">
        <v>343</v>
      </c>
      <c r="H3194" s="14" t="s">
        <v>343</v>
      </c>
      <c r="U3194" s="14">
        <v>0.22</v>
      </c>
      <c r="V3194" s="14">
        <v>0.17</v>
      </c>
      <c r="W3194" s="14">
        <v>0.28000000000000003</v>
      </c>
      <c r="X3194" s="14">
        <v>0.28999999999999998</v>
      </c>
    </row>
    <row r="3195" spans="1:24" hidden="1" x14ac:dyDescent="0.3">
      <c r="A3195" s="14" t="s">
        <v>472</v>
      </c>
      <c r="B3195" s="14" t="s">
        <v>141</v>
      </c>
      <c r="C3195" s="14" t="s">
        <v>373</v>
      </c>
      <c r="D3195" s="14" t="s">
        <v>374</v>
      </c>
      <c r="E3195" s="14" t="s">
        <v>344</v>
      </c>
      <c r="F3195" s="14" t="s">
        <v>343</v>
      </c>
      <c r="G3195" s="14" t="s">
        <v>343</v>
      </c>
      <c r="H3195" s="14" t="s">
        <v>343</v>
      </c>
      <c r="U3195" s="14">
        <v>78</v>
      </c>
      <c r="V3195" s="14">
        <v>101</v>
      </c>
      <c r="W3195" s="14">
        <v>74</v>
      </c>
      <c r="X3195" s="14">
        <v>70</v>
      </c>
    </row>
    <row r="3196" spans="1:24" hidden="1" x14ac:dyDescent="0.3">
      <c r="A3196" s="14" t="s">
        <v>472</v>
      </c>
      <c r="B3196" s="14" t="s">
        <v>141</v>
      </c>
      <c r="C3196" s="14" t="s">
        <v>375</v>
      </c>
      <c r="D3196" s="14" t="s">
        <v>376</v>
      </c>
      <c r="E3196" s="14" t="s">
        <v>342</v>
      </c>
      <c r="F3196" s="14" t="s">
        <v>343</v>
      </c>
      <c r="G3196" s="14" t="s">
        <v>343</v>
      </c>
      <c r="H3196" s="14" t="s">
        <v>343</v>
      </c>
      <c r="U3196" s="14">
        <v>0.28000000000000003</v>
      </c>
      <c r="V3196" s="14">
        <v>0.3</v>
      </c>
      <c r="W3196" s="14">
        <v>0.3</v>
      </c>
      <c r="X3196" s="14">
        <v>0.32</v>
      </c>
    </row>
    <row r="3197" spans="1:24" hidden="1" x14ac:dyDescent="0.3">
      <c r="A3197" s="14" t="s">
        <v>472</v>
      </c>
      <c r="B3197" s="14" t="s">
        <v>141</v>
      </c>
      <c r="C3197" s="14" t="s">
        <v>375</v>
      </c>
      <c r="D3197" s="14" t="s">
        <v>376</v>
      </c>
      <c r="E3197" s="14" t="s">
        <v>344</v>
      </c>
      <c r="F3197" s="14" t="s">
        <v>343</v>
      </c>
      <c r="G3197" s="14" t="s">
        <v>343</v>
      </c>
      <c r="H3197" s="14" t="s">
        <v>343</v>
      </c>
      <c r="U3197" s="14">
        <v>70</v>
      </c>
      <c r="V3197" s="14">
        <v>69</v>
      </c>
      <c r="W3197" s="14">
        <v>81</v>
      </c>
      <c r="X3197" s="14">
        <v>81</v>
      </c>
    </row>
    <row r="3198" spans="1:24" hidden="1" x14ac:dyDescent="0.3">
      <c r="A3198" s="14" t="s">
        <v>473</v>
      </c>
      <c r="B3198" s="14" t="s">
        <v>145</v>
      </c>
      <c r="C3198" s="14" t="s">
        <v>340</v>
      </c>
      <c r="D3198" s="14" t="s">
        <v>341</v>
      </c>
      <c r="E3198" s="14" t="s">
        <v>342</v>
      </c>
      <c r="F3198" s="14" t="s">
        <v>343</v>
      </c>
      <c r="G3198" s="14" t="s">
        <v>343</v>
      </c>
      <c r="H3198" s="14" t="s">
        <v>343</v>
      </c>
      <c r="I3198" s="14">
        <v>1</v>
      </c>
      <c r="J3198" s="14">
        <v>1</v>
      </c>
      <c r="K3198" s="14">
        <v>0.99</v>
      </c>
      <c r="L3198" s="14">
        <v>0.99</v>
      </c>
      <c r="M3198" s="14">
        <v>0.99</v>
      </c>
      <c r="N3198" s="14">
        <v>0.99</v>
      </c>
      <c r="O3198" s="14">
        <v>1</v>
      </c>
      <c r="P3198" s="14">
        <v>0.99</v>
      </c>
      <c r="Q3198" s="14">
        <v>0.99</v>
      </c>
      <c r="R3198" s="14">
        <v>0.99</v>
      </c>
      <c r="S3198" s="14">
        <v>1</v>
      </c>
      <c r="T3198" s="14">
        <v>1</v>
      </c>
      <c r="U3198" s="14">
        <v>1</v>
      </c>
      <c r="V3198" s="14">
        <v>1</v>
      </c>
      <c r="W3198" s="14">
        <v>1</v>
      </c>
      <c r="X3198" s="14">
        <v>0.99</v>
      </c>
    </row>
    <row r="3199" spans="1:24" hidden="1" x14ac:dyDescent="0.3">
      <c r="A3199" s="14" t="s">
        <v>473</v>
      </c>
      <c r="B3199" s="14" t="s">
        <v>145</v>
      </c>
      <c r="C3199" s="14" t="s">
        <v>340</v>
      </c>
      <c r="D3199" s="14" t="s">
        <v>341</v>
      </c>
      <c r="E3199" s="14" t="s">
        <v>344</v>
      </c>
      <c r="F3199" s="14" t="s">
        <v>343</v>
      </c>
      <c r="G3199" s="14" t="s">
        <v>343</v>
      </c>
      <c r="H3199" s="14" t="s">
        <v>343</v>
      </c>
      <c r="I3199" s="14">
        <v>24</v>
      </c>
      <c r="J3199" s="14">
        <v>29</v>
      </c>
      <c r="K3199" s="14">
        <v>53</v>
      </c>
      <c r="L3199" s="14">
        <v>54</v>
      </c>
      <c r="M3199" s="14">
        <v>68</v>
      </c>
      <c r="N3199" s="14">
        <v>60</v>
      </c>
      <c r="O3199" s="14">
        <v>45</v>
      </c>
      <c r="P3199" s="14">
        <v>60</v>
      </c>
      <c r="Q3199" s="14">
        <v>61</v>
      </c>
      <c r="R3199" s="14">
        <v>66</v>
      </c>
      <c r="S3199" s="14">
        <v>1</v>
      </c>
      <c r="T3199" s="14">
        <v>1</v>
      </c>
      <c r="U3199" s="14">
        <v>53</v>
      </c>
      <c r="V3199" s="14">
        <v>50</v>
      </c>
      <c r="W3199" s="14">
        <v>51</v>
      </c>
      <c r="X3199" s="14">
        <v>85</v>
      </c>
    </row>
    <row r="3200" spans="1:24" hidden="1" x14ac:dyDescent="0.3">
      <c r="A3200" s="14" t="s">
        <v>473</v>
      </c>
      <c r="B3200" s="14" t="s">
        <v>145</v>
      </c>
      <c r="C3200" s="14" t="s">
        <v>345</v>
      </c>
      <c r="D3200" s="14" t="s">
        <v>346</v>
      </c>
      <c r="E3200" s="14" t="s">
        <v>342</v>
      </c>
      <c r="F3200" s="14" t="s">
        <v>343</v>
      </c>
      <c r="G3200" s="14" t="s">
        <v>343</v>
      </c>
      <c r="H3200" s="14" t="s">
        <v>343</v>
      </c>
      <c r="U3200" s="14">
        <v>0.72</v>
      </c>
      <c r="V3200" s="14">
        <v>0.76</v>
      </c>
      <c r="W3200" s="14">
        <v>0.78</v>
      </c>
      <c r="X3200" s="14">
        <v>0.78</v>
      </c>
    </row>
    <row r="3201" spans="1:24" hidden="1" x14ac:dyDescent="0.3">
      <c r="A3201" s="14" t="s">
        <v>473</v>
      </c>
      <c r="B3201" s="14" t="s">
        <v>145</v>
      </c>
      <c r="C3201" s="14" t="s">
        <v>345</v>
      </c>
      <c r="D3201" s="14" t="s">
        <v>346</v>
      </c>
      <c r="E3201" s="14" t="s">
        <v>344</v>
      </c>
      <c r="F3201" s="14" t="s">
        <v>343</v>
      </c>
      <c r="G3201" s="14" t="s">
        <v>343</v>
      </c>
      <c r="H3201" s="14" t="s">
        <v>343</v>
      </c>
      <c r="U3201" s="14">
        <v>23</v>
      </c>
      <c r="V3201" s="14">
        <v>19</v>
      </c>
      <c r="W3201" s="14">
        <v>18</v>
      </c>
      <c r="X3201" s="14">
        <v>20</v>
      </c>
    </row>
    <row r="3202" spans="1:24" hidden="1" x14ac:dyDescent="0.3">
      <c r="A3202" s="14" t="s">
        <v>473</v>
      </c>
      <c r="B3202" s="14" t="s">
        <v>145</v>
      </c>
      <c r="C3202" s="14" t="s">
        <v>347</v>
      </c>
      <c r="D3202" s="14" t="s">
        <v>348</v>
      </c>
      <c r="E3202" s="14" t="s">
        <v>342</v>
      </c>
      <c r="F3202" s="14" t="s">
        <v>343</v>
      </c>
      <c r="G3202" s="14" t="s">
        <v>343</v>
      </c>
      <c r="H3202" s="14" t="s">
        <v>343</v>
      </c>
      <c r="U3202" s="14">
        <v>0.96</v>
      </c>
      <c r="V3202" s="14">
        <v>0.97</v>
      </c>
      <c r="W3202" s="14">
        <v>0.97</v>
      </c>
      <c r="X3202" s="14">
        <v>0.84</v>
      </c>
    </row>
    <row r="3203" spans="1:24" hidden="1" x14ac:dyDescent="0.3">
      <c r="A3203" s="14" t="s">
        <v>473</v>
      </c>
      <c r="B3203" s="14" t="s">
        <v>145</v>
      </c>
      <c r="C3203" s="14" t="s">
        <v>347</v>
      </c>
      <c r="D3203" s="14" t="s">
        <v>348</v>
      </c>
      <c r="E3203" s="14" t="s">
        <v>344</v>
      </c>
      <c r="F3203" s="14" t="s">
        <v>343</v>
      </c>
      <c r="G3203" s="14" t="s">
        <v>343</v>
      </c>
      <c r="H3203" s="14" t="s">
        <v>343</v>
      </c>
      <c r="U3203" s="14">
        <v>10</v>
      </c>
      <c r="V3203" s="14">
        <v>11</v>
      </c>
      <c r="W3203" s="14">
        <v>10</v>
      </c>
      <c r="X3203" s="14">
        <v>47</v>
      </c>
    </row>
    <row r="3204" spans="1:24" hidden="1" x14ac:dyDescent="0.3">
      <c r="A3204" s="14" t="s">
        <v>473</v>
      </c>
      <c r="B3204" s="14" t="s">
        <v>145</v>
      </c>
      <c r="C3204" s="14" t="s">
        <v>349</v>
      </c>
      <c r="D3204" s="14" t="s">
        <v>350</v>
      </c>
      <c r="E3204" s="14" t="s">
        <v>342</v>
      </c>
      <c r="F3204" s="14" t="s">
        <v>343</v>
      </c>
      <c r="G3204" s="14" t="s">
        <v>343</v>
      </c>
      <c r="H3204" s="14" t="s">
        <v>343</v>
      </c>
      <c r="U3204" s="14">
        <v>0.65</v>
      </c>
      <c r="V3204" s="14">
        <v>0.65</v>
      </c>
      <c r="W3204" s="14">
        <v>0.65</v>
      </c>
      <c r="X3204" s="14">
        <v>0.61</v>
      </c>
    </row>
    <row r="3205" spans="1:24" hidden="1" x14ac:dyDescent="0.3">
      <c r="A3205" s="14" t="s">
        <v>473</v>
      </c>
      <c r="B3205" s="14" t="s">
        <v>145</v>
      </c>
      <c r="C3205" s="14" t="s">
        <v>349</v>
      </c>
      <c r="D3205" s="14" t="s">
        <v>350</v>
      </c>
      <c r="E3205" s="14" t="s">
        <v>344</v>
      </c>
      <c r="F3205" s="14" t="s">
        <v>343</v>
      </c>
      <c r="G3205" s="14" t="s">
        <v>343</v>
      </c>
      <c r="H3205" s="14" t="s">
        <v>343</v>
      </c>
      <c r="U3205" s="14">
        <v>29</v>
      </c>
      <c r="V3205" s="14">
        <v>28</v>
      </c>
      <c r="W3205" s="14">
        <v>39</v>
      </c>
      <c r="X3205" s="14">
        <v>46</v>
      </c>
    </row>
    <row r="3206" spans="1:24" hidden="1" x14ac:dyDescent="0.3">
      <c r="A3206" s="14" t="s">
        <v>473</v>
      </c>
      <c r="B3206" s="14" t="s">
        <v>145</v>
      </c>
      <c r="C3206" s="14" t="s">
        <v>351</v>
      </c>
      <c r="D3206" s="14" t="s">
        <v>352</v>
      </c>
      <c r="E3206" s="14" t="s">
        <v>342</v>
      </c>
      <c r="F3206" s="14" t="s">
        <v>343</v>
      </c>
      <c r="G3206" s="14" t="s">
        <v>343</v>
      </c>
      <c r="H3206" s="14" t="s">
        <v>343</v>
      </c>
      <c r="U3206" s="14">
        <v>1</v>
      </c>
      <c r="V3206" s="14">
        <v>1</v>
      </c>
      <c r="W3206" s="14">
        <v>1</v>
      </c>
      <c r="X3206" s="14">
        <v>1</v>
      </c>
    </row>
    <row r="3207" spans="1:24" hidden="1" x14ac:dyDescent="0.3">
      <c r="A3207" s="14" t="s">
        <v>473</v>
      </c>
      <c r="B3207" s="14" t="s">
        <v>145</v>
      </c>
      <c r="C3207" s="14" t="s">
        <v>351</v>
      </c>
      <c r="D3207" s="14" t="s">
        <v>352</v>
      </c>
      <c r="E3207" s="14" t="s">
        <v>344</v>
      </c>
      <c r="F3207" s="14" t="s">
        <v>343</v>
      </c>
      <c r="G3207" s="14" t="s">
        <v>343</v>
      </c>
      <c r="H3207" s="14" t="s">
        <v>343</v>
      </c>
      <c r="U3207" s="14">
        <v>1</v>
      </c>
      <c r="V3207" s="14">
        <v>1</v>
      </c>
      <c r="W3207" s="14">
        <v>1</v>
      </c>
      <c r="X3207" s="14">
        <v>1</v>
      </c>
    </row>
    <row r="3208" spans="1:24" hidden="1" x14ac:dyDescent="0.3">
      <c r="A3208" s="14" t="s">
        <v>473</v>
      </c>
      <c r="B3208" s="14" t="s">
        <v>145</v>
      </c>
      <c r="C3208" s="14" t="s">
        <v>378</v>
      </c>
      <c r="D3208" s="14" t="s">
        <v>379</v>
      </c>
      <c r="E3208" s="14" t="s">
        <v>342</v>
      </c>
      <c r="F3208" s="14" t="s">
        <v>343</v>
      </c>
      <c r="G3208" s="14" t="s">
        <v>343</v>
      </c>
      <c r="H3208" s="14" t="s">
        <v>343</v>
      </c>
      <c r="S3208" s="14">
        <v>0.62</v>
      </c>
      <c r="U3208" s="14">
        <v>0.63</v>
      </c>
      <c r="V3208" s="14">
        <v>0.7</v>
      </c>
      <c r="W3208" s="14">
        <v>0.72</v>
      </c>
      <c r="X3208" s="14">
        <v>0.74</v>
      </c>
    </row>
    <row r="3209" spans="1:24" hidden="1" x14ac:dyDescent="0.3">
      <c r="A3209" s="14" t="s">
        <v>473</v>
      </c>
      <c r="B3209" s="14" t="s">
        <v>145</v>
      </c>
      <c r="C3209" s="14" t="s">
        <v>378</v>
      </c>
      <c r="D3209" s="14" t="s">
        <v>379</v>
      </c>
      <c r="E3209" s="14" t="s">
        <v>344</v>
      </c>
      <c r="F3209" s="14" t="s">
        <v>343</v>
      </c>
      <c r="G3209" s="14" t="s">
        <v>343</v>
      </c>
      <c r="H3209" s="14" t="s">
        <v>343</v>
      </c>
      <c r="S3209" s="14">
        <v>87</v>
      </c>
      <c r="U3209" s="14">
        <v>80</v>
      </c>
      <c r="V3209" s="14">
        <v>48</v>
      </c>
      <c r="W3209" s="14">
        <v>35</v>
      </c>
      <c r="X3209" s="14">
        <v>29</v>
      </c>
    </row>
    <row r="3210" spans="1:24" hidden="1" x14ac:dyDescent="0.3">
      <c r="A3210" s="14" t="s">
        <v>473</v>
      </c>
      <c r="B3210" s="14" t="s">
        <v>145</v>
      </c>
      <c r="C3210" s="14" t="s">
        <v>353</v>
      </c>
      <c r="D3210" s="14" t="s">
        <v>354</v>
      </c>
      <c r="E3210" s="14" t="s">
        <v>342</v>
      </c>
      <c r="F3210" s="14" t="s">
        <v>343</v>
      </c>
      <c r="G3210" s="14" t="s">
        <v>343</v>
      </c>
      <c r="H3210" s="14" t="s">
        <v>343</v>
      </c>
      <c r="U3210" s="14">
        <v>1</v>
      </c>
      <c r="V3210" s="14">
        <v>1</v>
      </c>
      <c r="W3210" s="14">
        <v>1</v>
      </c>
      <c r="X3210" s="14">
        <v>1</v>
      </c>
    </row>
    <row r="3211" spans="1:24" hidden="1" x14ac:dyDescent="0.3">
      <c r="A3211" s="14" t="s">
        <v>473</v>
      </c>
      <c r="B3211" s="14" t="s">
        <v>145</v>
      </c>
      <c r="C3211" s="14" t="s">
        <v>353</v>
      </c>
      <c r="D3211" s="14" t="s">
        <v>354</v>
      </c>
      <c r="E3211" s="14" t="s">
        <v>344</v>
      </c>
      <c r="F3211" s="14" t="s">
        <v>343</v>
      </c>
      <c r="G3211" s="14" t="s">
        <v>343</v>
      </c>
      <c r="H3211" s="14" t="s">
        <v>343</v>
      </c>
      <c r="U3211" s="14">
        <v>1</v>
      </c>
      <c r="V3211" s="14">
        <v>1</v>
      </c>
      <c r="W3211" s="14">
        <v>1</v>
      </c>
      <c r="X3211" s="14">
        <v>1</v>
      </c>
    </row>
    <row r="3212" spans="1:24" hidden="1" x14ac:dyDescent="0.3">
      <c r="A3212" s="14" t="s">
        <v>473</v>
      </c>
      <c r="B3212" s="14" t="s">
        <v>145</v>
      </c>
      <c r="C3212" s="14" t="s">
        <v>380</v>
      </c>
      <c r="D3212" s="14" t="s">
        <v>381</v>
      </c>
      <c r="E3212" s="14" t="s">
        <v>342</v>
      </c>
      <c r="F3212" s="14" t="s">
        <v>343</v>
      </c>
      <c r="G3212" s="14" t="s">
        <v>343</v>
      </c>
      <c r="H3212" s="14" t="s">
        <v>343</v>
      </c>
      <c r="U3212" s="14">
        <v>0.99</v>
      </c>
      <c r="V3212" s="14">
        <v>1</v>
      </c>
      <c r="W3212" s="14">
        <v>1</v>
      </c>
    </row>
    <row r="3213" spans="1:24" hidden="1" x14ac:dyDescent="0.3">
      <c r="A3213" s="14" t="s">
        <v>473</v>
      </c>
      <c r="B3213" s="14" t="s">
        <v>145</v>
      </c>
      <c r="C3213" s="14" t="s">
        <v>380</v>
      </c>
      <c r="D3213" s="14" t="s">
        <v>381</v>
      </c>
      <c r="E3213" s="14" t="s">
        <v>344</v>
      </c>
      <c r="F3213" s="14" t="s">
        <v>343</v>
      </c>
      <c r="G3213" s="14" t="s">
        <v>343</v>
      </c>
      <c r="H3213" s="14" t="s">
        <v>343</v>
      </c>
      <c r="U3213" s="14">
        <v>86</v>
      </c>
      <c r="V3213" s="14">
        <v>96</v>
      </c>
      <c r="W3213" s="14">
        <v>99</v>
      </c>
    </row>
    <row r="3214" spans="1:24" hidden="1" x14ac:dyDescent="0.3">
      <c r="A3214" s="14" t="s">
        <v>473</v>
      </c>
      <c r="B3214" s="14" t="s">
        <v>145</v>
      </c>
      <c r="C3214" s="14" t="s">
        <v>355</v>
      </c>
      <c r="D3214" s="14" t="s">
        <v>356</v>
      </c>
      <c r="E3214" s="14" t="s">
        <v>342</v>
      </c>
      <c r="F3214" s="14" t="s">
        <v>343</v>
      </c>
      <c r="G3214" s="14" t="s">
        <v>343</v>
      </c>
      <c r="H3214" s="14" t="s">
        <v>343</v>
      </c>
      <c r="U3214" s="14">
        <v>1</v>
      </c>
      <c r="V3214" s="14">
        <v>1</v>
      </c>
      <c r="W3214" s="14">
        <v>1</v>
      </c>
      <c r="X3214" s="14">
        <v>0.97</v>
      </c>
    </row>
    <row r="3215" spans="1:24" hidden="1" x14ac:dyDescent="0.3">
      <c r="A3215" s="14" t="s">
        <v>473</v>
      </c>
      <c r="B3215" s="14" t="s">
        <v>145</v>
      </c>
      <c r="C3215" s="14" t="s">
        <v>355</v>
      </c>
      <c r="D3215" s="14" t="s">
        <v>356</v>
      </c>
      <c r="E3215" s="14" t="s">
        <v>344</v>
      </c>
      <c r="F3215" s="14" t="s">
        <v>343</v>
      </c>
      <c r="G3215" s="14" t="s">
        <v>343</v>
      </c>
      <c r="H3215" s="14" t="s">
        <v>343</v>
      </c>
      <c r="U3215" s="14">
        <v>106</v>
      </c>
      <c r="V3215" s="14">
        <v>104</v>
      </c>
      <c r="W3215" s="14">
        <v>105</v>
      </c>
      <c r="X3215" s="14">
        <v>102</v>
      </c>
    </row>
    <row r="3216" spans="1:24" hidden="1" x14ac:dyDescent="0.3">
      <c r="A3216" s="14" t="s">
        <v>473</v>
      </c>
      <c r="B3216" s="14" t="s">
        <v>145</v>
      </c>
      <c r="C3216" s="14" t="s">
        <v>357</v>
      </c>
      <c r="D3216" s="14" t="s">
        <v>358</v>
      </c>
      <c r="E3216" s="14" t="s">
        <v>342</v>
      </c>
      <c r="F3216" s="14" t="s">
        <v>343</v>
      </c>
      <c r="G3216" s="14" t="s">
        <v>343</v>
      </c>
      <c r="H3216" s="14" t="s">
        <v>343</v>
      </c>
      <c r="U3216" s="14">
        <v>1</v>
      </c>
      <c r="V3216" s="14">
        <v>1</v>
      </c>
      <c r="W3216" s="14">
        <v>1</v>
      </c>
      <c r="X3216" s="14">
        <v>1</v>
      </c>
    </row>
    <row r="3217" spans="1:24" hidden="1" x14ac:dyDescent="0.3">
      <c r="A3217" s="14" t="s">
        <v>473</v>
      </c>
      <c r="B3217" s="14" t="s">
        <v>145</v>
      </c>
      <c r="C3217" s="14" t="s">
        <v>357</v>
      </c>
      <c r="D3217" s="14" t="s">
        <v>358</v>
      </c>
      <c r="E3217" s="14" t="s">
        <v>344</v>
      </c>
      <c r="F3217" s="14" t="s">
        <v>343</v>
      </c>
      <c r="G3217" s="14" t="s">
        <v>343</v>
      </c>
      <c r="H3217" s="14" t="s">
        <v>343</v>
      </c>
      <c r="U3217" s="14">
        <v>1</v>
      </c>
      <c r="V3217" s="14">
        <v>1</v>
      </c>
      <c r="W3217" s="14">
        <v>1</v>
      </c>
      <c r="X3217" s="14">
        <v>1</v>
      </c>
    </row>
    <row r="3218" spans="1:24" hidden="1" x14ac:dyDescent="0.3">
      <c r="A3218" s="14" t="s">
        <v>473</v>
      </c>
      <c r="B3218" s="14" t="s">
        <v>145</v>
      </c>
      <c r="C3218" s="14" t="s">
        <v>359</v>
      </c>
      <c r="D3218" s="14" t="s">
        <v>360</v>
      </c>
      <c r="E3218" s="14" t="s">
        <v>342</v>
      </c>
      <c r="F3218" s="14" t="s">
        <v>343</v>
      </c>
      <c r="G3218" s="14" t="s">
        <v>343</v>
      </c>
      <c r="H3218" s="14" t="s">
        <v>343</v>
      </c>
      <c r="I3218" s="14">
        <v>0.71</v>
      </c>
      <c r="J3218" s="14">
        <v>0.76</v>
      </c>
      <c r="K3218" s="14">
        <v>0.74</v>
      </c>
      <c r="L3218" s="14">
        <v>0.75</v>
      </c>
      <c r="M3218" s="14">
        <v>0.76</v>
      </c>
      <c r="N3218" s="14">
        <v>0.74</v>
      </c>
      <c r="O3218" s="14">
        <v>0.76</v>
      </c>
      <c r="P3218" s="14">
        <v>0.77</v>
      </c>
      <c r="Q3218" s="14">
        <v>0.74</v>
      </c>
      <c r="R3218" s="14">
        <v>0.76</v>
      </c>
      <c r="S3218" s="14">
        <v>0.76</v>
      </c>
      <c r="T3218" s="14">
        <v>0.75</v>
      </c>
      <c r="U3218" s="14">
        <v>0.76</v>
      </c>
      <c r="V3218" s="14">
        <v>0.8</v>
      </c>
      <c r="W3218" s="14">
        <v>0.81</v>
      </c>
      <c r="X3218" s="14">
        <v>0.78</v>
      </c>
    </row>
    <row r="3219" spans="1:24" hidden="1" x14ac:dyDescent="0.3">
      <c r="A3219" s="14" t="s">
        <v>473</v>
      </c>
      <c r="B3219" s="14" t="s">
        <v>145</v>
      </c>
      <c r="C3219" s="14" t="s">
        <v>359</v>
      </c>
      <c r="D3219" s="14" t="s">
        <v>360</v>
      </c>
      <c r="E3219" s="14" t="s">
        <v>344</v>
      </c>
      <c r="F3219" s="14" t="s">
        <v>343</v>
      </c>
      <c r="G3219" s="14" t="s">
        <v>343</v>
      </c>
      <c r="H3219" s="14" t="s">
        <v>343</v>
      </c>
      <c r="I3219" s="14">
        <v>15</v>
      </c>
      <c r="J3219" s="14">
        <v>7</v>
      </c>
      <c r="K3219" s="14">
        <v>17</v>
      </c>
      <c r="L3219" s="14">
        <v>18</v>
      </c>
      <c r="M3219" s="14">
        <v>17</v>
      </c>
      <c r="N3219" s="14">
        <v>26</v>
      </c>
      <c r="O3219" s="14">
        <v>25</v>
      </c>
      <c r="P3219" s="14">
        <v>21</v>
      </c>
      <c r="Q3219" s="14">
        <v>35</v>
      </c>
      <c r="R3219" s="14">
        <v>35</v>
      </c>
      <c r="S3219" s="14">
        <v>25</v>
      </c>
      <c r="T3219" s="14">
        <v>28</v>
      </c>
      <c r="U3219" s="14">
        <v>21</v>
      </c>
      <c r="V3219" s="14">
        <v>13</v>
      </c>
      <c r="W3219" s="14">
        <v>12</v>
      </c>
      <c r="X3219" s="14">
        <v>21</v>
      </c>
    </row>
    <row r="3220" spans="1:24" x14ac:dyDescent="0.3">
      <c r="A3220" s="14" t="s">
        <v>473</v>
      </c>
      <c r="B3220" s="14" t="s">
        <v>145</v>
      </c>
      <c r="C3220" s="14" t="s">
        <v>361</v>
      </c>
      <c r="D3220" s="14" t="s">
        <v>362</v>
      </c>
      <c r="E3220" s="14" t="s">
        <v>342</v>
      </c>
      <c r="F3220" s="14" t="s">
        <v>343</v>
      </c>
      <c r="G3220" s="14" t="s">
        <v>343</v>
      </c>
      <c r="H3220" s="14" t="s">
        <v>343</v>
      </c>
      <c r="I3220" s="14">
        <v>0.98</v>
      </c>
      <c r="J3220" s="14">
        <v>0.98</v>
      </c>
      <c r="K3220" s="14">
        <v>0.98</v>
      </c>
      <c r="L3220" s="14">
        <v>0.98</v>
      </c>
      <c r="M3220" s="14">
        <v>0.98</v>
      </c>
      <c r="N3220" s="14">
        <v>0.98</v>
      </c>
      <c r="O3220" s="14">
        <v>0.98</v>
      </c>
      <c r="P3220" s="14">
        <v>0.98</v>
      </c>
      <c r="Q3220" s="14">
        <v>0.98</v>
      </c>
      <c r="R3220" s="14">
        <v>0.98</v>
      </c>
      <c r="S3220" s="14">
        <v>0.98</v>
      </c>
      <c r="T3220" s="14">
        <v>0.98</v>
      </c>
      <c r="U3220" s="14">
        <v>0.98</v>
      </c>
      <c r="V3220" s="14">
        <v>0.98</v>
      </c>
      <c r="W3220" s="14">
        <v>0.98</v>
      </c>
      <c r="X3220" s="14">
        <v>0.98</v>
      </c>
    </row>
    <row r="3221" spans="1:24" hidden="1" x14ac:dyDescent="0.3">
      <c r="A3221" s="14" t="s">
        <v>473</v>
      </c>
      <c r="B3221" s="14" t="s">
        <v>145</v>
      </c>
      <c r="C3221" s="14" t="s">
        <v>361</v>
      </c>
      <c r="D3221" s="14" t="s">
        <v>362</v>
      </c>
      <c r="E3221" s="14" t="s">
        <v>344</v>
      </c>
      <c r="F3221" s="14" t="s">
        <v>343</v>
      </c>
      <c r="G3221" s="14" t="s">
        <v>343</v>
      </c>
      <c r="H3221" s="14" t="s">
        <v>343</v>
      </c>
      <c r="I3221" s="14">
        <v>36</v>
      </c>
      <c r="J3221" s="14">
        <v>37</v>
      </c>
      <c r="K3221" s="14">
        <v>38</v>
      </c>
      <c r="L3221" s="14">
        <v>41</v>
      </c>
      <c r="M3221" s="14">
        <v>1</v>
      </c>
      <c r="N3221" s="14">
        <v>1</v>
      </c>
      <c r="O3221" s="14">
        <v>34</v>
      </c>
      <c r="P3221" s="14">
        <v>34</v>
      </c>
      <c r="Q3221" s="14">
        <v>37</v>
      </c>
      <c r="R3221" s="14">
        <v>42</v>
      </c>
      <c r="S3221" s="14">
        <v>40</v>
      </c>
      <c r="T3221" s="14">
        <v>1</v>
      </c>
      <c r="U3221" s="14">
        <v>1</v>
      </c>
      <c r="V3221" s="14">
        <v>41</v>
      </c>
      <c r="W3221" s="14">
        <v>1</v>
      </c>
      <c r="X3221" s="14">
        <v>1</v>
      </c>
    </row>
    <row r="3222" spans="1:24" hidden="1" x14ac:dyDescent="0.3">
      <c r="A3222" s="14" t="s">
        <v>473</v>
      </c>
      <c r="B3222" s="14" t="s">
        <v>145</v>
      </c>
      <c r="C3222" s="14" t="s">
        <v>363</v>
      </c>
      <c r="D3222" s="14" t="s">
        <v>364</v>
      </c>
      <c r="E3222" s="14" t="s">
        <v>342</v>
      </c>
      <c r="F3222" s="14" t="s">
        <v>343</v>
      </c>
      <c r="G3222" s="14" t="s">
        <v>343</v>
      </c>
      <c r="H3222" s="14" t="s">
        <v>343</v>
      </c>
      <c r="U3222" s="14">
        <v>1.06</v>
      </c>
      <c r="V3222" s="14">
        <v>1.06</v>
      </c>
      <c r="W3222" s="14">
        <v>1.06</v>
      </c>
      <c r="X3222" s="14">
        <v>1.06</v>
      </c>
    </row>
    <row r="3223" spans="1:24" hidden="1" x14ac:dyDescent="0.3">
      <c r="A3223" s="14" t="s">
        <v>473</v>
      </c>
      <c r="B3223" s="14" t="s">
        <v>145</v>
      </c>
      <c r="C3223" s="14" t="s">
        <v>363</v>
      </c>
      <c r="D3223" s="14" t="s">
        <v>364</v>
      </c>
      <c r="E3223" s="14" t="s">
        <v>344</v>
      </c>
      <c r="F3223" s="14" t="s">
        <v>343</v>
      </c>
      <c r="G3223" s="14" t="s">
        <v>343</v>
      </c>
      <c r="H3223" s="14" t="s">
        <v>343</v>
      </c>
      <c r="U3223" s="14">
        <v>1</v>
      </c>
      <c r="V3223" s="14">
        <v>1</v>
      </c>
      <c r="W3223" s="14">
        <v>1</v>
      </c>
      <c r="X3223" s="14">
        <v>1</v>
      </c>
    </row>
    <row r="3224" spans="1:24" hidden="1" x14ac:dyDescent="0.3">
      <c r="A3224" s="14" t="s">
        <v>473</v>
      </c>
      <c r="B3224" s="14" t="s">
        <v>145</v>
      </c>
      <c r="C3224" s="14" t="s">
        <v>365</v>
      </c>
      <c r="D3224" s="14" t="s">
        <v>366</v>
      </c>
      <c r="E3224" s="14" t="s">
        <v>342</v>
      </c>
      <c r="F3224" s="14" t="s">
        <v>343</v>
      </c>
      <c r="G3224" s="14" t="s">
        <v>343</v>
      </c>
      <c r="H3224" s="14" t="s">
        <v>343</v>
      </c>
      <c r="U3224" s="14">
        <v>0.94</v>
      </c>
      <c r="V3224" s="14">
        <v>0.94</v>
      </c>
      <c r="W3224" s="14">
        <v>0.94</v>
      </c>
      <c r="X3224" s="14">
        <v>0.94</v>
      </c>
    </row>
    <row r="3225" spans="1:24" hidden="1" x14ac:dyDescent="0.3">
      <c r="A3225" s="14" t="s">
        <v>473</v>
      </c>
      <c r="B3225" s="14" t="s">
        <v>145</v>
      </c>
      <c r="C3225" s="14" t="s">
        <v>365</v>
      </c>
      <c r="D3225" s="14" t="s">
        <v>366</v>
      </c>
      <c r="E3225" s="14" t="s">
        <v>344</v>
      </c>
      <c r="F3225" s="14" t="s">
        <v>343</v>
      </c>
      <c r="G3225" s="14" t="s">
        <v>343</v>
      </c>
      <c r="H3225" s="14" t="s">
        <v>343</v>
      </c>
      <c r="U3225" s="14">
        <v>1</v>
      </c>
      <c r="V3225" s="14">
        <v>112</v>
      </c>
      <c r="W3225" s="14">
        <v>1</v>
      </c>
      <c r="X3225" s="14">
        <v>1</v>
      </c>
    </row>
    <row r="3226" spans="1:24" hidden="1" x14ac:dyDescent="0.3">
      <c r="A3226" s="14" t="s">
        <v>473</v>
      </c>
      <c r="B3226" s="14" t="s">
        <v>145</v>
      </c>
      <c r="C3226" s="14" t="s">
        <v>367</v>
      </c>
      <c r="D3226" s="14" t="s">
        <v>368</v>
      </c>
      <c r="E3226" s="14" t="s">
        <v>342</v>
      </c>
      <c r="F3226" s="14" t="s">
        <v>343</v>
      </c>
      <c r="G3226" s="14" t="s">
        <v>343</v>
      </c>
      <c r="H3226" s="14" t="s">
        <v>343</v>
      </c>
      <c r="I3226" s="14">
        <v>0.71</v>
      </c>
      <c r="J3226" s="14">
        <v>0.72</v>
      </c>
      <c r="K3226" s="14">
        <v>0.72</v>
      </c>
      <c r="L3226" s="14">
        <v>0.72</v>
      </c>
      <c r="M3226" s="14">
        <v>0.71</v>
      </c>
      <c r="N3226" s="14">
        <v>0.71</v>
      </c>
      <c r="O3226" s="14">
        <v>0.72</v>
      </c>
      <c r="P3226" s="14">
        <v>0.73</v>
      </c>
      <c r="Q3226" s="14">
        <v>0.72</v>
      </c>
      <c r="R3226" s="14">
        <v>0.74</v>
      </c>
      <c r="S3226" s="14">
        <v>0.74</v>
      </c>
      <c r="T3226" s="14">
        <v>0.74</v>
      </c>
      <c r="U3226" s="14">
        <v>0.75</v>
      </c>
      <c r="V3226" s="14">
        <v>0.74</v>
      </c>
      <c r="W3226" s="14">
        <v>0.8</v>
      </c>
      <c r="X3226" s="14">
        <v>0.8</v>
      </c>
    </row>
    <row r="3227" spans="1:24" hidden="1" x14ac:dyDescent="0.3">
      <c r="A3227" s="14" t="s">
        <v>473</v>
      </c>
      <c r="B3227" s="14" t="s">
        <v>145</v>
      </c>
      <c r="C3227" s="14" t="s">
        <v>367</v>
      </c>
      <c r="D3227" s="14" t="s">
        <v>368</v>
      </c>
      <c r="E3227" s="14" t="s">
        <v>344</v>
      </c>
      <c r="F3227" s="14" t="s">
        <v>343</v>
      </c>
      <c r="G3227" s="14" t="s">
        <v>343</v>
      </c>
      <c r="H3227" s="14" t="s">
        <v>343</v>
      </c>
      <c r="I3227" s="14">
        <v>21</v>
      </c>
      <c r="J3227" s="14">
        <v>14</v>
      </c>
      <c r="K3227" s="14">
        <v>23</v>
      </c>
      <c r="L3227" s="14">
        <v>30</v>
      </c>
      <c r="M3227" s="14">
        <v>35</v>
      </c>
      <c r="N3227" s="14">
        <v>37</v>
      </c>
      <c r="O3227" s="14">
        <v>34</v>
      </c>
      <c r="P3227" s="14">
        <v>28</v>
      </c>
      <c r="Q3227" s="14">
        <v>44</v>
      </c>
      <c r="R3227" s="14">
        <v>31</v>
      </c>
      <c r="S3227" s="14">
        <v>25</v>
      </c>
      <c r="T3227" s="14">
        <v>28</v>
      </c>
      <c r="U3227" s="14">
        <v>24</v>
      </c>
      <c r="V3227" s="14">
        <v>33</v>
      </c>
      <c r="W3227" s="14">
        <v>8</v>
      </c>
      <c r="X3227" s="14">
        <v>11</v>
      </c>
    </row>
    <row r="3228" spans="1:24" hidden="1" x14ac:dyDescent="0.3">
      <c r="A3228" s="14" t="s">
        <v>473</v>
      </c>
      <c r="B3228" s="14" t="s">
        <v>145</v>
      </c>
      <c r="C3228" s="14" t="s">
        <v>369</v>
      </c>
      <c r="D3228" s="14" t="s">
        <v>370</v>
      </c>
      <c r="E3228" s="14" t="s">
        <v>342</v>
      </c>
      <c r="F3228" s="14" t="s">
        <v>343</v>
      </c>
      <c r="G3228" s="14" t="s">
        <v>343</v>
      </c>
      <c r="H3228" s="14" t="s">
        <v>343</v>
      </c>
      <c r="I3228" s="14">
        <v>0.14000000000000001</v>
      </c>
      <c r="J3228" s="14">
        <v>0.16</v>
      </c>
      <c r="K3228" s="14">
        <v>0.17</v>
      </c>
      <c r="L3228" s="14">
        <v>0.15</v>
      </c>
      <c r="M3228" s="14">
        <v>0.13</v>
      </c>
      <c r="N3228" s="14">
        <v>0.14000000000000001</v>
      </c>
      <c r="O3228" s="14">
        <v>0.15</v>
      </c>
      <c r="P3228" s="14">
        <v>0.18</v>
      </c>
      <c r="Q3228" s="14">
        <v>0.17</v>
      </c>
      <c r="R3228" s="14">
        <v>0.23</v>
      </c>
      <c r="S3228" s="14">
        <v>0.24</v>
      </c>
      <c r="T3228" s="14">
        <v>0.24</v>
      </c>
      <c r="U3228" s="14">
        <v>0.25</v>
      </c>
      <c r="V3228" s="14">
        <v>0.21</v>
      </c>
      <c r="W3228" s="14">
        <v>0.43</v>
      </c>
      <c r="X3228" s="14">
        <v>0.45</v>
      </c>
    </row>
    <row r="3229" spans="1:24" hidden="1" x14ac:dyDescent="0.3">
      <c r="A3229" s="14" t="s">
        <v>473</v>
      </c>
      <c r="B3229" s="14" t="s">
        <v>145</v>
      </c>
      <c r="C3229" s="14" t="s">
        <v>369</v>
      </c>
      <c r="D3229" s="14" t="s">
        <v>370</v>
      </c>
      <c r="E3229" s="14" t="s">
        <v>344</v>
      </c>
      <c r="F3229" s="14" t="s">
        <v>343</v>
      </c>
      <c r="G3229" s="14" t="s">
        <v>343</v>
      </c>
      <c r="H3229" s="14" t="s">
        <v>343</v>
      </c>
      <c r="I3229" s="14">
        <v>39</v>
      </c>
      <c r="J3229" s="14">
        <v>38</v>
      </c>
      <c r="K3229" s="14">
        <v>40</v>
      </c>
      <c r="L3229" s="14">
        <v>54</v>
      </c>
      <c r="M3229" s="14">
        <v>66</v>
      </c>
      <c r="N3229" s="14">
        <v>65</v>
      </c>
      <c r="O3229" s="14">
        <v>60</v>
      </c>
      <c r="P3229" s="14">
        <v>47</v>
      </c>
      <c r="Q3229" s="14">
        <v>65</v>
      </c>
      <c r="R3229" s="14">
        <v>45</v>
      </c>
      <c r="S3229" s="14">
        <v>43</v>
      </c>
      <c r="T3229" s="14">
        <v>42</v>
      </c>
      <c r="U3229" s="14">
        <v>41</v>
      </c>
      <c r="V3229" s="14">
        <v>65</v>
      </c>
      <c r="W3229" s="14">
        <v>22</v>
      </c>
      <c r="X3229" s="14">
        <v>22</v>
      </c>
    </row>
    <row r="3230" spans="1:24" hidden="1" x14ac:dyDescent="0.3">
      <c r="A3230" s="14" t="s">
        <v>473</v>
      </c>
      <c r="B3230" s="14" t="s">
        <v>145</v>
      </c>
      <c r="C3230" s="14" t="s">
        <v>371</v>
      </c>
      <c r="D3230" s="14" t="s">
        <v>372</v>
      </c>
      <c r="E3230" s="14" t="s">
        <v>342</v>
      </c>
      <c r="F3230" s="14" t="s">
        <v>343</v>
      </c>
      <c r="G3230" s="14" t="s">
        <v>343</v>
      </c>
      <c r="H3230" s="14" t="s">
        <v>343</v>
      </c>
      <c r="U3230" s="14">
        <v>0.23</v>
      </c>
      <c r="V3230" s="14">
        <v>0.28000000000000003</v>
      </c>
      <c r="W3230" s="14">
        <v>0.28000000000000003</v>
      </c>
      <c r="X3230" s="14">
        <v>0.32</v>
      </c>
    </row>
    <row r="3231" spans="1:24" hidden="1" x14ac:dyDescent="0.3">
      <c r="A3231" s="14" t="s">
        <v>473</v>
      </c>
      <c r="B3231" s="14" t="s">
        <v>145</v>
      </c>
      <c r="C3231" s="14" t="s">
        <v>371</v>
      </c>
      <c r="D3231" s="14" t="s">
        <v>372</v>
      </c>
      <c r="E3231" s="14" t="s">
        <v>344</v>
      </c>
      <c r="F3231" s="14" t="s">
        <v>343</v>
      </c>
      <c r="G3231" s="14" t="s">
        <v>343</v>
      </c>
      <c r="H3231" s="14" t="s">
        <v>343</v>
      </c>
      <c r="U3231" s="14">
        <v>16</v>
      </c>
      <c r="V3231" s="14">
        <v>14</v>
      </c>
      <c r="W3231" s="14">
        <v>14</v>
      </c>
      <c r="X3231" s="14">
        <v>12</v>
      </c>
    </row>
    <row r="3232" spans="1:24" hidden="1" x14ac:dyDescent="0.3">
      <c r="A3232" s="14" t="s">
        <v>473</v>
      </c>
      <c r="B3232" s="14" t="s">
        <v>145</v>
      </c>
      <c r="C3232" s="14" t="s">
        <v>373</v>
      </c>
      <c r="D3232" s="14" t="s">
        <v>374</v>
      </c>
      <c r="E3232" s="14" t="s">
        <v>342</v>
      </c>
      <c r="F3232" s="14" t="s">
        <v>343</v>
      </c>
      <c r="G3232" s="14" t="s">
        <v>343</v>
      </c>
      <c r="H3232" s="14" t="s">
        <v>343</v>
      </c>
      <c r="U3232" s="14">
        <v>0.27</v>
      </c>
      <c r="V3232" s="14">
        <v>0</v>
      </c>
      <c r="W3232" s="14">
        <v>0.75</v>
      </c>
      <c r="X3232" s="14">
        <v>0.75</v>
      </c>
    </row>
    <row r="3233" spans="1:24" hidden="1" x14ac:dyDescent="0.3">
      <c r="A3233" s="14" t="s">
        <v>473</v>
      </c>
      <c r="B3233" s="14" t="s">
        <v>145</v>
      </c>
      <c r="C3233" s="14" t="s">
        <v>373</v>
      </c>
      <c r="D3233" s="14" t="s">
        <v>374</v>
      </c>
      <c r="E3233" s="14" t="s">
        <v>344</v>
      </c>
      <c r="F3233" s="14" t="s">
        <v>343</v>
      </c>
      <c r="G3233" s="14" t="s">
        <v>343</v>
      </c>
      <c r="H3233" s="14" t="s">
        <v>343</v>
      </c>
      <c r="U3233" s="14">
        <v>63</v>
      </c>
      <c r="V3233" s="14">
        <v>145</v>
      </c>
      <c r="W3233" s="14">
        <v>18</v>
      </c>
      <c r="X3233" s="14">
        <v>18</v>
      </c>
    </row>
    <row r="3234" spans="1:24" hidden="1" x14ac:dyDescent="0.3">
      <c r="A3234" s="14" t="s">
        <v>473</v>
      </c>
      <c r="B3234" s="14" t="s">
        <v>145</v>
      </c>
      <c r="C3234" s="14" t="s">
        <v>375</v>
      </c>
      <c r="D3234" s="14" t="s">
        <v>376</v>
      </c>
      <c r="E3234" s="14" t="s">
        <v>342</v>
      </c>
      <c r="F3234" s="14" t="s">
        <v>343</v>
      </c>
      <c r="G3234" s="14" t="s">
        <v>343</v>
      </c>
      <c r="H3234" s="14" t="s">
        <v>343</v>
      </c>
      <c r="U3234" s="14">
        <v>0.27</v>
      </c>
      <c r="V3234" s="14">
        <v>0.27</v>
      </c>
      <c r="W3234" s="14">
        <v>0.38</v>
      </c>
      <c r="X3234" s="14">
        <v>0.4</v>
      </c>
    </row>
    <row r="3235" spans="1:24" hidden="1" x14ac:dyDescent="0.3">
      <c r="A3235" s="14" t="s">
        <v>473</v>
      </c>
      <c r="B3235" s="14" t="s">
        <v>145</v>
      </c>
      <c r="C3235" s="14" t="s">
        <v>375</v>
      </c>
      <c r="D3235" s="14" t="s">
        <v>376</v>
      </c>
      <c r="E3235" s="14" t="s">
        <v>344</v>
      </c>
      <c r="F3235" s="14" t="s">
        <v>343</v>
      </c>
      <c r="G3235" s="14" t="s">
        <v>343</v>
      </c>
      <c r="H3235" s="14" t="s">
        <v>343</v>
      </c>
      <c r="U3235" s="14">
        <v>75</v>
      </c>
      <c r="V3235" s="14">
        <v>81</v>
      </c>
      <c r="W3235" s="14">
        <v>56</v>
      </c>
      <c r="X3235" s="14">
        <v>59</v>
      </c>
    </row>
    <row r="3236" spans="1:24" hidden="1" x14ac:dyDescent="0.3">
      <c r="A3236" s="14" t="s">
        <v>474</v>
      </c>
      <c r="B3236" s="14" t="s">
        <v>146</v>
      </c>
      <c r="C3236" s="14" t="s">
        <v>340</v>
      </c>
      <c r="D3236" s="14" t="s">
        <v>341</v>
      </c>
      <c r="E3236" s="14" t="s">
        <v>342</v>
      </c>
      <c r="F3236" s="14" t="s">
        <v>343</v>
      </c>
      <c r="G3236" s="14" t="s">
        <v>343</v>
      </c>
      <c r="H3236" s="14" t="s">
        <v>343</v>
      </c>
      <c r="I3236" s="14">
        <v>1</v>
      </c>
      <c r="J3236" s="14">
        <v>1</v>
      </c>
      <c r="K3236" s="14">
        <v>1</v>
      </c>
      <c r="L3236" s="14">
        <v>1</v>
      </c>
      <c r="M3236" s="14">
        <v>1</v>
      </c>
      <c r="N3236" s="14">
        <v>1</v>
      </c>
      <c r="O3236" s="14">
        <v>1</v>
      </c>
      <c r="P3236" s="14">
        <v>1</v>
      </c>
      <c r="Q3236" s="14">
        <v>1</v>
      </c>
      <c r="R3236" s="14">
        <v>1</v>
      </c>
      <c r="S3236" s="14">
        <v>1</v>
      </c>
      <c r="T3236" s="14">
        <v>1</v>
      </c>
      <c r="U3236" s="14">
        <v>1</v>
      </c>
      <c r="V3236" s="14">
        <v>1</v>
      </c>
      <c r="W3236" s="14">
        <v>1</v>
      </c>
      <c r="X3236" s="14">
        <v>1</v>
      </c>
    </row>
    <row r="3237" spans="1:24" hidden="1" x14ac:dyDescent="0.3">
      <c r="A3237" s="14" t="s">
        <v>474</v>
      </c>
      <c r="B3237" s="14" t="s">
        <v>146</v>
      </c>
      <c r="C3237" s="14" t="s">
        <v>340</v>
      </c>
      <c r="D3237" s="14" t="s">
        <v>341</v>
      </c>
      <c r="E3237" s="14" t="s">
        <v>344</v>
      </c>
      <c r="F3237" s="14" t="s">
        <v>343</v>
      </c>
      <c r="G3237" s="14" t="s">
        <v>343</v>
      </c>
      <c r="H3237" s="14" t="s">
        <v>343</v>
      </c>
      <c r="I3237" s="14">
        <v>1</v>
      </c>
      <c r="J3237" s="14">
        <v>1</v>
      </c>
      <c r="K3237" s="14">
        <v>1</v>
      </c>
      <c r="L3237" s="14">
        <v>1</v>
      </c>
      <c r="M3237" s="14">
        <v>1</v>
      </c>
      <c r="N3237" s="14">
        <v>1</v>
      </c>
      <c r="O3237" s="14">
        <v>43</v>
      </c>
      <c r="P3237" s="14">
        <v>1</v>
      </c>
      <c r="Q3237" s="14">
        <v>1</v>
      </c>
      <c r="R3237" s="14">
        <v>1</v>
      </c>
      <c r="S3237" s="14">
        <v>1</v>
      </c>
      <c r="T3237" s="14">
        <v>1</v>
      </c>
      <c r="U3237" s="14">
        <v>1</v>
      </c>
      <c r="V3237" s="14">
        <v>1</v>
      </c>
      <c r="W3237" s="14">
        <v>1</v>
      </c>
      <c r="X3237" s="14">
        <v>32</v>
      </c>
    </row>
    <row r="3238" spans="1:24" hidden="1" x14ac:dyDescent="0.3">
      <c r="A3238" s="14" t="s">
        <v>474</v>
      </c>
      <c r="B3238" s="14" t="s">
        <v>146</v>
      </c>
      <c r="C3238" s="14" t="s">
        <v>345</v>
      </c>
      <c r="D3238" s="14" t="s">
        <v>346</v>
      </c>
      <c r="E3238" s="14" t="s">
        <v>342</v>
      </c>
      <c r="F3238" s="14" t="s">
        <v>343</v>
      </c>
      <c r="G3238" s="14" t="s">
        <v>343</v>
      </c>
      <c r="H3238" s="14" t="s">
        <v>343</v>
      </c>
      <c r="U3238" s="14">
        <v>0.63</v>
      </c>
      <c r="V3238" s="14">
        <v>0.7</v>
      </c>
      <c r="W3238" s="14">
        <v>0.68</v>
      </c>
      <c r="X3238" s="14">
        <v>0.72</v>
      </c>
    </row>
    <row r="3239" spans="1:24" hidden="1" x14ac:dyDescent="0.3">
      <c r="A3239" s="14" t="s">
        <v>474</v>
      </c>
      <c r="B3239" s="14" t="s">
        <v>146</v>
      </c>
      <c r="C3239" s="14" t="s">
        <v>345</v>
      </c>
      <c r="D3239" s="14" t="s">
        <v>346</v>
      </c>
      <c r="E3239" s="14" t="s">
        <v>344</v>
      </c>
      <c r="F3239" s="14" t="s">
        <v>343</v>
      </c>
      <c r="G3239" s="14" t="s">
        <v>343</v>
      </c>
      <c r="H3239" s="14" t="s">
        <v>343</v>
      </c>
      <c r="U3239" s="14">
        <v>69</v>
      </c>
      <c r="V3239" s="14">
        <v>40</v>
      </c>
      <c r="W3239" s="14">
        <v>50</v>
      </c>
      <c r="X3239" s="14">
        <v>41</v>
      </c>
    </row>
    <row r="3240" spans="1:24" hidden="1" x14ac:dyDescent="0.3">
      <c r="A3240" s="14" t="s">
        <v>474</v>
      </c>
      <c r="B3240" s="14" t="s">
        <v>146</v>
      </c>
      <c r="C3240" s="14" t="s">
        <v>347</v>
      </c>
      <c r="D3240" s="14" t="s">
        <v>348</v>
      </c>
      <c r="E3240" s="14" t="s">
        <v>342</v>
      </c>
      <c r="F3240" s="14" t="s">
        <v>343</v>
      </c>
      <c r="G3240" s="14" t="s">
        <v>343</v>
      </c>
      <c r="H3240" s="14" t="s">
        <v>343</v>
      </c>
      <c r="U3240" s="14">
        <v>0.86</v>
      </c>
      <c r="V3240" s="14">
        <v>0.9</v>
      </c>
      <c r="W3240" s="14">
        <v>0.88</v>
      </c>
      <c r="X3240" s="14">
        <v>0.89</v>
      </c>
    </row>
    <row r="3241" spans="1:24" hidden="1" x14ac:dyDescent="0.3">
      <c r="A3241" s="14" t="s">
        <v>474</v>
      </c>
      <c r="B3241" s="14" t="s">
        <v>146</v>
      </c>
      <c r="C3241" s="14" t="s">
        <v>347</v>
      </c>
      <c r="D3241" s="14" t="s">
        <v>348</v>
      </c>
      <c r="E3241" s="14" t="s">
        <v>344</v>
      </c>
      <c r="F3241" s="14" t="s">
        <v>343</v>
      </c>
      <c r="G3241" s="14" t="s">
        <v>343</v>
      </c>
      <c r="H3241" s="14" t="s">
        <v>343</v>
      </c>
      <c r="U3241" s="14">
        <v>56</v>
      </c>
      <c r="V3241" s="14">
        <v>41</v>
      </c>
      <c r="W3241" s="14">
        <v>56</v>
      </c>
      <c r="X3241" s="14">
        <v>19</v>
      </c>
    </row>
    <row r="3242" spans="1:24" hidden="1" x14ac:dyDescent="0.3">
      <c r="A3242" s="14" t="s">
        <v>474</v>
      </c>
      <c r="B3242" s="14" t="s">
        <v>146</v>
      </c>
      <c r="C3242" s="14" t="s">
        <v>349</v>
      </c>
      <c r="D3242" s="14" t="s">
        <v>350</v>
      </c>
      <c r="E3242" s="14" t="s">
        <v>342</v>
      </c>
      <c r="F3242" s="14" t="s">
        <v>343</v>
      </c>
      <c r="G3242" s="14" t="s">
        <v>343</v>
      </c>
      <c r="H3242" s="14" t="s">
        <v>343</v>
      </c>
      <c r="U3242" s="14">
        <v>0.23</v>
      </c>
      <c r="V3242" s="14">
        <v>0.32</v>
      </c>
      <c r="W3242" s="14">
        <v>0.35</v>
      </c>
      <c r="X3242" s="14">
        <v>0.36</v>
      </c>
    </row>
    <row r="3243" spans="1:24" hidden="1" x14ac:dyDescent="0.3">
      <c r="A3243" s="14" t="s">
        <v>474</v>
      </c>
      <c r="B3243" s="14" t="s">
        <v>146</v>
      </c>
      <c r="C3243" s="14" t="s">
        <v>349</v>
      </c>
      <c r="D3243" s="14" t="s">
        <v>350</v>
      </c>
      <c r="E3243" s="14" t="s">
        <v>344</v>
      </c>
      <c r="F3243" s="14" t="s">
        <v>343</v>
      </c>
      <c r="G3243" s="14" t="s">
        <v>343</v>
      </c>
      <c r="H3243" s="14" t="s">
        <v>343</v>
      </c>
      <c r="U3243" s="14">
        <v>118</v>
      </c>
      <c r="V3243" s="14">
        <v>109</v>
      </c>
      <c r="W3243" s="14">
        <v>108</v>
      </c>
      <c r="X3243" s="14">
        <v>100</v>
      </c>
    </row>
    <row r="3244" spans="1:24" hidden="1" x14ac:dyDescent="0.3">
      <c r="A3244" s="14" t="s">
        <v>474</v>
      </c>
      <c r="B3244" s="14" t="s">
        <v>146</v>
      </c>
      <c r="C3244" s="14" t="s">
        <v>351</v>
      </c>
      <c r="D3244" s="14" t="s">
        <v>352</v>
      </c>
      <c r="E3244" s="14" t="s">
        <v>342</v>
      </c>
      <c r="F3244" s="14" t="s">
        <v>343</v>
      </c>
      <c r="G3244" s="14" t="s">
        <v>343</v>
      </c>
      <c r="H3244" s="14" t="s">
        <v>343</v>
      </c>
      <c r="U3244" s="14">
        <v>0.96</v>
      </c>
      <c r="V3244" s="14">
        <v>0.95</v>
      </c>
      <c r="W3244" s="14">
        <v>0.84</v>
      </c>
      <c r="X3244" s="14">
        <v>0.97</v>
      </c>
    </row>
    <row r="3245" spans="1:24" hidden="1" x14ac:dyDescent="0.3">
      <c r="A3245" s="14" t="s">
        <v>474</v>
      </c>
      <c r="B3245" s="14" t="s">
        <v>146</v>
      </c>
      <c r="C3245" s="14" t="s">
        <v>351</v>
      </c>
      <c r="D3245" s="14" t="s">
        <v>352</v>
      </c>
      <c r="E3245" s="14" t="s">
        <v>344</v>
      </c>
      <c r="F3245" s="14" t="s">
        <v>343</v>
      </c>
      <c r="G3245" s="14" t="s">
        <v>343</v>
      </c>
      <c r="H3245" s="14" t="s">
        <v>343</v>
      </c>
      <c r="U3245" s="14">
        <v>76</v>
      </c>
      <c r="V3245" s="14">
        <v>80</v>
      </c>
      <c r="W3245" s="14">
        <v>93</v>
      </c>
      <c r="X3245" s="14">
        <v>74</v>
      </c>
    </row>
    <row r="3246" spans="1:24" hidden="1" x14ac:dyDescent="0.3">
      <c r="A3246" s="14" t="s">
        <v>474</v>
      </c>
      <c r="B3246" s="14" t="s">
        <v>146</v>
      </c>
      <c r="C3246" s="14" t="s">
        <v>378</v>
      </c>
      <c r="D3246" s="14" t="s">
        <v>379</v>
      </c>
      <c r="E3246" s="14" t="s">
        <v>342</v>
      </c>
      <c r="F3246" s="14" t="s">
        <v>343</v>
      </c>
      <c r="G3246" s="14" t="s">
        <v>343</v>
      </c>
      <c r="H3246" s="14" t="s">
        <v>343</v>
      </c>
      <c r="S3246" s="14">
        <v>0.71</v>
      </c>
      <c r="U3246" s="14">
        <v>0.75</v>
      </c>
      <c r="V3246" s="14">
        <v>0.72</v>
      </c>
      <c r="W3246" s="14">
        <v>0.69</v>
      </c>
      <c r="X3246" s="14">
        <v>0.7</v>
      </c>
    </row>
    <row r="3247" spans="1:24" hidden="1" x14ac:dyDescent="0.3">
      <c r="A3247" s="14" t="s">
        <v>474</v>
      </c>
      <c r="B3247" s="14" t="s">
        <v>146</v>
      </c>
      <c r="C3247" s="14" t="s">
        <v>378</v>
      </c>
      <c r="D3247" s="14" t="s">
        <v>379</v>
      </c>
      <c r="E3247" s="14" t="s">
        <v>344</v>
      </c>
      <c r="F3247" s="14" t="s">
        <v>343</v>
      </c>
      <c r="G3247" s="14" t="s">
        <v>343</v>
      </c>
      <c r="H3247" s="14" t="s">
        <v>343</v>
      </c>
      <c r="S3247" s="14">
        <v>39</v>
      </c>
      <c r="U3247" s="14">
        <v>21</v>
      </c>
      <c r="V3247" s="14">
        <v>28</v>
      </c>
      <c r="W3247" s="14">
        <v>62</v>
      </c>
      <c r="X3247" s="14">
        <v>50</v>
      </c>
    </row>
    <row r="3248" spans="1:24" hidden="1" x14ac:dyDescent="0.3">
      <c r="A3248" s="14" t="s">
        <v>474</v>
      </c>
      <c r="B3248" s="14" t="s">
        <v>146</v>
      </c>
      <c r="C3248" s="14" t="s">
        <v>353</v>
      </c>
      <c r="D3248" s="14" t="s">
        <v>354</v>
      </c>
      <c r="E3248" s="14" t="s">
        <v>342</v>
      </c>
      <c r="F3248" s="14" t="s">
        <v>343</v>
      </c>
      <c r="G3248" s="14" t="s">
        <v>343</v>
      </c>
      <c r="H3248" s="14" t="s">
        <v>343</v>
      </c>
      <c r="U3248" s="14">
        <v>1</v>
      </c>
      <c r="V3248" s="14">
        <v>1</v>
      </c>
      <c r="W3248" s="14">
        <v>1</v>
      </c>
      <c r="X3248" s="14">
        <v>1</v>
      </c>
    </row>
    <row r="3249" spans="1:24" hidden="1" x14ac:dyDescent="0.3">
      <c r="A3249" s="14" t="s">
        <v>474</v>
      </c>
      <c r="B3249" s="14" t="s">
        <v>146</v>
      </c>
      <c r="C3249" s="14" t="s">
        <v>353</v>
      </c>
      <c r="D3249" s="14" t="s">
        <v>354</v>
      </c>
      <c r="E3249" s="14" t="s">
        <v>344</v>
      </c>
      <c r="F3249" s="14" t="s">
        <v>343</v>
      </c>
      <c r="G3249" s="14" t="s">
        <v>343</v>
      </c>
      <c r="H3249" s="14" t="s">
        <v>343</v>
      </c>
      <c r="U3249" s="14">
        <v>1</v>
      </c>
      <c r="V3249" s="14">
        <v>1</v>
      </c>
      <c r="W3249" s="14">
        <v>1</v>
      </c>
      <c r="X3249" s="14">
        <v>1</v>
      </c>
    </row>
    <row r="3250" spans="1:24" hidden="1" x14ac:dyDescent="0.3">
      <c r="A3250" s="14" t="s">
        <v>474</v>
      </c>
      <c r="B3250" s="14" t="s">
        <v>146</v>
      </c>
      <c r="C3250" s="14" t="s">
        <v>380</v>
      </c>
      <c r="D3250" s="14" t="s">
        <v>381</v>
      </c>
      <c r="E3250" s="14" t="s">
        <v>342</v>
      </c>
      <c r="F3250" s="14" t="s">
        <v>343</v>
      </c>
      <c r="G3250" s="14" t="s">
        <v>343</v>
      </c>
      <c r="H3250" s="14" t="s">
        <v>343</v>
      </c>
      <c r="U3250" s="14">
        <v>1</v>
      </c>
      <c r="V3250" s="14">
        <v>1</v>
      </c>
      <c r="W3250" s="14">
        <v>1</v>
      </c>
      <c r="X3250" s="14">
        <v>1</v>
      </c>
    </row>
    <row r="3251" spans="1:24" hidden="1" x14ac:dyDescent="0.3">
      <c r="A3251" s="14" t="s">
        <v>474</v>
      </c>
      <c r="B3251" s="14" t="s">
        <v>146</v>
      </c>
      <c r="C3251" s="14" t="s">
        <v>380</v>
      </c>
      <c r="D3251" s="14" t="s">
        <v>381</v>
      </c>
      <c r="E3251" s="14" t="s">
        <v>344</v>
      </c>
      <c r="F3251" s="14" t="s">
        <v>343</v>
      </c>
      <c r="G3251" s="14" t="s">
        <v>343</v>
      </c>
      <c r="H3251" s="14" t="s">
        <v>343</v>
      </c>
      <c r="U3251" s="14">
        <v>1</v>
      </c>
      <c r="V3251" s="14">
        <v>1</v>
      </c>
      <c r="W3251" s="14">
        <v>1</v>
      </c>
      <c r="X3251" s="14">
        <v>1</v>
      </c>
    </row>
    <row r="3252" spans="1:24" hidden="1" x14ac:dyDescent="0.3">
      <c r="A3252" s="14" t="s">
        <v>474</v>
      </c>
      <c r="B3252" s="14" t="s">
        <v>146</v>
      </c>
      <c r="C3252" s="14" t="s">
        <v>355</v>
      </c>
      <c r="D3252" s="14" t="s">
        <v>356</v>
      </c>
      <c r="E3252" s="14" t="s">
        <v>342</v>
      </c>
      <c r="F3252" s="14" t="s">
        <v>343</v>
      </c>
      <c r="G3252" s="14" t="s">
        <v>343</v>
      </c>
      <c r="H3252" s="14" t="s">
        <v>343</v>
      </c>
      <c r="U3252" s="14">
        <v>1</v>
      </c>
      <c r="V3252" s="14">
        <v>1</v>
      </c>
      <c r="W3252" s="14">
        <v>1</v>
      </c>
      <c r="X3252" s="14">
        <v>1</v>
      </c>
    </row>
    <row r="3253" spans="1:24" hidden="1" x14ac:dyDescent="0.3">
      <c r="A3253" s="14" t="s">
        <v>474</v>
      </c>
      <c r="B3253" s="14" t="s">
        <v>146</v>
      </c>
      <c r="C3253" s="14" t="s">
        <v>355</v>
      </c>
      <c r="D3253" s="14" t="s">
        <v>356</v>
      </c>
      <c r="E3253" s="14" t="s">
        <v>344</v>
      </c>
      <c r="F3253" s="14" t="s">
        <v>343</v>
      </c>
      <c r="G3253" s="14" t="s">
        <v>343</v>
      </c>
      <c r="H3253" s="14" t="s">
        <v>343</v>
      </c>
      <c r="U3253" s="14">
        <v>1</v>
      </c>
      <c r="V3253" s="14">
        <v>1</v>
      </c>
      <c r="W3253" s="14">
        <v>1</v>
      </c>
      <c r="X3253" s="14">
        <v>78</v>
      </c>
    </row>
    <row r="3254" spans="1:24" hidden="1" x14ac:dyDescent="0.3">
      <c r="A3254" s="14" t="s">
        <v>474</v>
      </c>
      <c r="B3254" s="14" t="s">
        <v>146</v>
      </c>
      <c r="C3254" s="14" t="s">
        <v>357</v>
      </c>
      <c r="D3254" s="14" t="s">
        <v>358</v>
      </c>
      <c r="E3254" s="14" t="s">
        <v>342</v>
      </c>
      <c r="F3254" s="14" t="s">
        <v>343</v>
      </c>
      <c r="G3254" s="14" t="s">
        <v>343</v>
      </c>
      <c r="H3254" s="14" t="s">
        <v>343</v>
      </c>
      <c r="U3254" s="14">
        <v>1</v>
      </c>
      <c r="V3254" s="14">
        <v>1</v>
      </c>
      <c r="W3254" s="14">
        <v>1</v>
      </c>
      <c r="X3254" s="14">
        <v>1</v>
      </c>
    </row>
    <row r="3255" spans="1:24" hidden="1" x14ac:dyDescent="0.3">
      <c r="A3255" s="14" t="s">
        <v>474</v>
      </c>
      <c r="B3255" s="14" t="s">
        <v>146</v>
      </c>
      <c r="C3255" s="14" t="s">
        <v>357</v>
      </c>
      <c r="D3255" s="14" t="s">
        <v>358</v>
      </c>
      <c r="E3255" s="14" t="s">
        <v>344</v>
      </c>
      <c r="F3255" s="14" t="s">
        <v>343</v>
      </c>
      <c r="G3255" s="14" t="s">
        <v>343</v>
      </c>
      <c r="H3255" s="14" t="s">
        <v>343</v>
      </c>
      <c r="U3255" s="14">
        <v>1</v>
      </c>
      <c r="V3255" s="14">
        <v>1</v>
      </c>
      <c r="W3255" s="14">
        <v>1</v>
      </c>
      <c r="X3255" s="14">
        <v>1</v>
      </c>
    </row>
    <row r="3256" spans="1:24" hidden="1" x14ac:dyDescent="0.3">
      <c r="A3256" s="14" t="s">
        <v>474</v>
      </c>
      <c r="B3256" s="14" t="s">
        <v>146</v>
      </c>
      <c r="C3256" s="14" t="s">
        <v>359</v>
      </c>
      <c r="D3256" s="14" t="s">
        <v>360</v>
      </c>
      <c r="E3256" s="14" t="s">
        <v>342</v>
      </c>
      <c r="F3256" s="14" t="s">
        <v>343</v>
      </c>
      <c r="G3256" s="14" t="s">
        <v>343</v>
      </c>
      <c r="H3256" s="14" t="s">
        <v>343</v>
      </c>
      <c r="I3256" s="14">
        <v>0.56000000000000005</v>
      </c>
      <c r="J3256" s="14">
        <v>0.61</v>
      </c>
      <c r="K3256" s="14">
        <v>0.61</v>
      </c>
      <c r="L3256" s="14">
        <v>0.64</v>
      </c>
      <c r="M3256" s="14">
        <v>0.75</v>
      </c>
      <c r="N3256" s="14">
        <v>0.74</v>
      </c>
      <c r="O3256" s="14">
        <v>0.81</v>
      </c>
      <c r="P3256" s="14">
        <v>0.82</v>
      </c>
      <c r="Q3256" s="14">
        <v>0.75</v>
      </c>
      <c r="R3256" s="14">
        <v>0.77</v>
      </c>
      <c r="S3256" s="14">
        <v>0.75</v>
      </c>
      <c r="T3256" s="14">
        <v>0.67</v>
      </c>
      <c r="U3256" s="14">
        <v>0.69</v>
      </c>
      <c r="V3256" s="14">
        <v>0.72</v>
      </c>
      <c r="W3256" s="14">
        <v>0.69</v>
      </c>
      <c r="X3256" s="14">
        <v>0.72</v>
      </c>
    </row>
    <row r="3257" spans="1:24" hidden="1" x14ac:dyDescent="0.3">
      <c r="A3257" s="14" t="s">
        <v>474</v>
      </c>
      <c r="B3257" s="14" t="s">
        <v>146</v>
      </c>
      <c r="C3257" s="14" t="s">
        <v>359</v>
      </c>
      <c r="D3257" s="14" t="s">
        <v>360</v>
      </c>
      <c r="E3257" s="14" t="s">
        <v>344</v>
      </c>
      <c r="F3257" s="14" t="s">
        <v>343</v>
      </c>
      <c r="G3257" s="14" t="s">
        <v>343</v>
      </c>
      <c r="H3257" s="14" t="s">
        <v>343</v>
      </c>
      <c r="I3257" s="14">
        <v>76</v>
      </c>
      <c r="J3257" s="14">
        <v>78</v>
      </c>
      <c r="K3257" s="14">
        <v>75</v>
      </c>
      <c r="L3257" s="14">
        <v>73</v>
      </c>
      <c r="M3257" s="14">
        <v>22</v>
      </c>
      <c r="N3257" s="14">
        <v>25</v>
      </c>
      <c r="O3257" s="14">
        <v>7</v>
      </c>
      <c r="P3257" s="14">
        <v>7</v>
      </c>
      <c r="Q3257" s="14">
        <v>29</v>
      </c>
      <c r="R3257" s="14">
        <v>31</v>
      </c>
      <c r="S3257" s="14">
        <v>27</v>
      </c>
      <c r="T3257" s="14">
        <v>76</v>
      </c>
      <c r="U3257" s="14">
        <v>60</v>
      </c>
      <c r="V3257" s="14">
        <v>50</v>
      </c>
      <c r="W3257" s="14">
        <v>75</v>
      </c>
      <c r="X3257" s="14">
        <v>51</v>
      </c>
    </row>
    <row r="3258" spans="1:24" x14ac:dyDescent="0.3">
      <c r="A3258" s="14" t="s">
        <v>474</v>
      </c>
      <c r="B3258" s="14" t="s">
        <v>146</v>
      </c>
      <c r="C3258" s="14" t="s">
        <v>361</v>
      </c>
      <c r="D3258" s="14" t="s">
        <v>362</v>
      </c>
      <c r="E3258" s="14" t="s">
        <v>342</v>
      </c>
      <c r="F3258" s="14" t="s">
        <v>343</v>
      </c>
      <c r="G3258" s="14" t="s">
        <v>343</v>
      </c>
      <c r="H3258" s="14" t="s">
        <v>343</v>
      </c>
      <c r="I3258" s="14">
        <v>0.97</v>
      </c>
      <c r="J3258" s="14">
        <v>0.97</v>
      </c>
      <c r="K3258" s="14">
        <v>0.97</v>
      </c>
      <c r="L3258" s="14">
        <v>0.97</v>
      </c>
      <c r="M3258" s="14">
        <v>0.97</v>
      </c>
      <c r="N3258" s="14">
        <v>0.97</v>
      </c>
      <c r="O3258" s="14">
        <v>0.97</v>
      </c>
      <c r="P3258" s="14">
        <v>0.97</v>
      </c>
      <c r="Q3258" s="14">
        <v>0.97</v>
      </c>
      <c r="R3258" s="14">
        <v>0.97</v>
      </c>
      <c r="S3258" s="14">
        <v>0.97</v>
      </c>
      <c r="T3258" s="14">
        <v>0.97</v>
      </c>
      <c r="U3258" s="14">
        <v>0.97</v>
      </c>
      <c r="V3258" s="14">
        <v>0.97</v>
      </c>
      <c r="W3258" s="14">
        <v>0.96</v>
      </c>
      <c r="X3258" s="14">
        <v>0.96</v>
      </c>
    </row>
    <row r="3259" spans="1:24" hidden="1" x14ac:dyDescent="0.3">
      <c r="A3259" s="14" t="s">
        <v>474</v>
      </c>
      <c r="B3259" s="14" t="s">
        <v>146</v>
      </c>
      <c r="C3259" s="14" t="s">
        <v>361</v>
      </c>
      <c r="D3259" s="14" t="s">
        <v>362</v>
      </c>
      <c r="E3259" s="14" t="s">
        <v>344</v>
      </c>
      <c r="F3259" s="14" t="s">
        <v>343</v>
      </c>
      <c r="G3259" s="14" t="s">
        <v>343</v>
      </c>
      <c r="H3259" s="14" t="s">
        <v>343</v>
      </c>
      <c r="I3259" s="14">
        <v>71</v>
      </c>
      <c r="J3259" s="14">
        <v>74</v>
      </c>
      <c r="K3259" s="14">
        <v>76</v>
      </c>
      <c r="L3259" s="14">
        <v>80</v>
      </c>
      <c r="M3259" s="14">
        <v>67</v>
      </c>
      <c r="N3259" s="14">
        <v>67</v>
      </c>
      <c r="O3259" s="14">
        <v>85</v>
      </c>
      <c r="P3259" s="14">
        <v>85</v>
      </c>
      <c r="Q3259" s="14">
        <v>106</v>
      </c>
      <c r="R3259" s="14">
        <v>71</v>
      </c>
      <c r="S3259" s="14">
        <v>69</v>
      </c>
      <c r="T3259" s="14">
        <v>86</v>
      </c>
      <c r="U3259" s="14">
        <v>91</v>
      </c>
      <c r="V3259" s="14">
        <v>91</v>
      </c>
      <c r="W3259" s="14">
        <v>117</v>
      </c>
      <c r="X3259" s="14">
        <v>110</v>
      </c>
    </row>
    <row r="3260" spans="1:24" hidden="1" x14ac:dyDescent="0.3">
      <c r="A3260" s="14" t="s">
        <v>474</v>
      </c>
      <c r="B3260" s="14" t="s">
        <v>146</v>
      </c>
      <c r="C3260" s="14" t="s">
        <v>363</v>
      </c>
      <c r="D3260" s="14" t="s">
        <v>364</v>
      </c>
      <c r="E3260" s="14" t="s">
        <v>342</v>
      </c>
      <c r="F3260" s="14" t="s">
        <v>343</v>
      </c>
      <c r="G3260" s="14" t="s">
        <v>343</v>
      </c>
      <c r="H3260" s="14" t="s">
        <v>343</v>
      </c>
      <c r="U3260" s="14">
        <v>1.04</v>
      </c>
      <c r="V3260" s="14">
        <v>1.04</v>
      </c>
      <c r="W3260" s="14">
        <v>1.01</v>
      </c>
      <c r="X3260" s="14">
        <v>1.01</v>
      </c>
    </row>
    <row r="3261" spans="1:24" hidden="1" x14ac:dyDescent="0.3">
      <c r="A3261" s="14" t="s">
        <v>474</v>
      </c>
      <c r="B3261" s="14" t="s">
        <v>146</v>
      </c>
      <c r="C3261" s="14" t="s">
        <v>363</v>
      </c>
      <c r="D3261" s="14" t="s">
        <v>364</v>
      </c>
      <c r="E3261" s="14" t="s">
        <v>344</v>
      </c>
      <c r="F3261" s="14" t="s">
        <v>343</v>
      </c>
      <c r="G3261" s="14" t="s">
        <v>343</v>
      </c>
      <c r="H3261" s="14" t="s">
        <v>343</v>
      </c>
      <c r="U3261" s="14">
        <v>100</v>
      </c>
      <c r="V3261" s="14">
        <v>103</v>
      </c>
      <c r="W3261" s="14">
        <v>126</v>
      </c>
      <c r="X3261" s="14">
        <v>117</v>
      </c>
    </row>
    <row r="3262" spans="1:24" hidden="1" x14ac:dyDescent="0.3">
      <c r="A3262" s="14" t="s">
        <v>474</v>
      </c>
      <c r="B3262" s="14" t="s">
        <v>146</v>
      </c>
      <c r="C3262" s="14" t="s">
        <v>365</v>
      </c>
      <c r="D3262" s="14" t="s">
        <v>366</v>
      </c>
      <c r="E3262" s="14" t="s">
        <v>342</v>
      </c>
      <c r="F3262" s="14" t="s">
        <v>343</v>
      </c>
      <c r="G3262" s="14" t="s">
        <v>343</v>
      </c>
      <c r="H3262" s="14" t="s">
        <v>343</v>
      </c>
      <c r="U3262" s="14">
        <v>0.94</v>
      </c>
      <c r="V3262" s="14">
        <v>0.94</v>
      </c>
      <c r="W3262" s="14">
        <v>0.94</v>
      </c>
      <c r="X3262" s="14">
        <v>0.94</v>
      </c>
    </row>
    <row r="3263" spans="1:24" hidden="1" x14ac:dyDescent="0.3">
      <c r="A3263" s="14" t="s">
        <v>474</v>
      </c>
      <c r="B3263" s="14" t="s">
        <v>146</v>
      </c>
      <c r="C3263" s="14" t="s">
        <v>365</v>
      </c>
      <c r="D3263" s="14" t="s">
        <v>366</v>
      </c>
      <c r="E3263" s="14" t="s">
        <v>344</v>
      </c>
      <c r="F3263" s="14" t="s">
        <v>343</v>
      </c>
      <c r="G3263" s="14" t="s">
        <v>343</v>
      </c>
      <c r="H3263" s="14" t="s">
        <v>343</v>
      </c>
      <c r="U3263" s="14">
        <v>1</v>
      </c>
      <c r="V3263" s="14">
        <v>1</v>
      </c>
      <c r="W3263" s="14">
        <v>1</v>
      </c>
      <c r="X3263" s="14">
        <v>1</v>
      </c>
    </row>
    <row r="3264" spans="1:24" hidden="1" x14ac:dyDescent="0.3">
      <c r="A3264" s="14" t="s">
        <v>474</v>
      </c>
      <c r="B3264" s="14" t="s">
        <v>146</v>
      </c>
      <c r="C3264" s="14" t="s">
        <v>367</v>
      </c>
      <c r="D3264" s="14" t="s">
        <v>368</v>
      </c>
      <c r="E3264" s="14" t="s">
        <v>342</v>
      </c>
      <c r="F3264" s="14" t="s">
        <v>343</v>
      </c>
      <c r="G3264" s="14" t="s">
        <v>343</v>
      </c>
      <c r="H3264" s="14" t="s">
        <v>343</v>
      </c>
      <c r="I3264" s="14">
        <v>0.67</v>
      </c>
      <c r="J3264" s="14">
        <v>0.68</v>
      </c>
      <c r="K3264" s="14">
        <v>0.68</v>
      </c>
      <c r="L3264" s="14">
        <v>0.69</v>
      </c>
      <c r="M3264" s="14">
        <v>0.72</v>
      </c>
      <c r="N3264" s="14">
        <v>0.72</v>
      </c>
      <c r="O3264" s="14">
        <v>0.74</v>
      </c>
      <c r="P3264" s="14">
        <v>0.74</v>
      </c>
      <c r="Q3264" s="14">
        <v>0.73</v>
      </c>
      <c r="R3264" s="14">
        <v>0.74</v>
      </c>
      <c r="S3264" s="14">
        <v>0.73</v>
      </c>
      <c r="T3264" s="14">
        <v>0.71</v>
      </c>
      <c r="U3264" s="14">
        <v>0.71</v>
      </c>
      <c r="V3264" s="14">
        <v>0.72</v>
      </c>
      <c r="W3264" s="14">
        <v>0.73</v>
      </c>
      <c r="X3264" s="14">
        <v>0.74</v>
      </c>
    </row>
    <row r="3265" spans="1:24" hidden="1" x14ac:dyDescent="0.3">
      <c r="A3265" s="14" t="s">
        <v>474</v>
      </c>
      <c r="B3265" s="14" t="s">
        <v>146</v>
      </c>
      <c r="C3265" s="14" t="s">
        <v>367</v>
      </c>
      <c r="D3265" s="14" t="s">
        <v>368</v>
      </c>
      <c r="E3265" s="14" t="s">
        <v>344</v>
      </c>
      <c r="F3265" s="14" t="s">
        <v>343</v>
      </c>
      <c r="G3265" s="14" t="s">
        <v>343</v>
      </c>
      <c r="H3265" s="14" t="s">
        <v>343</v>
      </c>
      <c r="I3265" s="14">
        <v>56</v>
      </c>
      <c r="J3265" s="14">
        <v>58</v>
      </c>
      <c r="K3265" s="14">
        <v>66</v>
      </c>
      <c r="L3265" s="14">
        <v>63</v>
      </c>
      <c r="M3265" s="14">
        <v>26</v>
      </c>
      <c r="N3265" s="14">
        <v>30</v>
      </c>
      <c r="O3265" s="14">
        <v>17</v>
      </c>
      <c r="P3265" s="14">
        <v>21</v>
      </c>
      <c r="Q3265" s="14">
        <v>28</v>
      </c>
      <c r="R3265" s="14">
        <v>32</v>
      </c>
      <c r="S3265" s="14">
        <v>34</v>
      </c>
      <c r="T3265" s="14">
        <v>59</v>
      </c>
      <c r="U3265" s="14">
        <v>61</v>
      </c>
      <c r="V3265" s="14">
        <v>51</v>
      </c>
      <c r="W3265" s="14">
        <v>55</v>
      </c>
      <c r="X3265" s="14">
        <v>46</v>
      </c>
    </row>
    <row r="3266" spans="1:24" hidden="1" x14ac:dyDescent="0.3">
      <c r="A3266" s="14" t="s">
        <v>474</v>
      </c>
      <c r="B3266" s="14" t="s">
        <v>146</v>
      </c>
      <c r="C3266" s="14" t="s">
        <v>369</v>
      </c>
      <c r="D3266" s="14" t="s">
        <v>370</v>
      </c>
      <c r="E3266" s="14" t="s">
        <v>342</v>
      </c>
      <c r="F3266" s="14" t="s">
        <v>343</v>
      </c>
      <c r="G3266" s="14" t="s">
        <v>343</v>
      </c>
      <c r="H3266" s="14" t="s">
        <v>343</v>
      </c>
      <c r="I3266" s="14">
        <v>0.14000000000000001</v>
      </c>
      <c r="J3266" s="14">
        <v>0.14000000000000001</v>
      </c>
      <c r="K3266" s="14">
        <v>0.14000000000000001</v>
      </c>
      <c r="L3266" s="14">
        <v>0.14000000000000001</v>
      </c>
      <c r="M3266" s="14">
        <v>0.17</v>
      </c>
      <c r="N3266" s="14">
        <v>0.17</v>
      </c>
      <c r="O3266" s="14">
        <v>0.19</v>
      </c>
      <c r="P3266" s="14">
        <v>0.18</v>
      </c>
      <c r="Q3266" s="14">
        <v>0.21</v>
      </c>
      <c r="R3266" s="14">
        <v>0.21</v>
      </c>
      <c r="S3266" s="14">
        <v>0.21</v>
      </c>
      <c r="T3266" s="14">
        <v>0.18</v>
      </c>
      <c r="U3266" s="14">
        <v>0.18</v>
      </c>
      <c r="V3266" s="14">
        <v>0.21</v>
      </c>
      <c r="W3266" s="14">
        <v>0.25</v>
      </c>
      <c r="X3266" s="14">
        <v>0.26</v>
      </c>
    </row>
    <row r="3267" spans="1:24" hidden="1" x14ac:dyDescent="0.3">
      <c r="A3267" s="14" t="s">
        <v>474</v>
      </c>
      <c r="B3267" s="14" t="s">
        <v>146</v>
      </c>
      <c r="C3267" s="14" t="s">
        <v>369</v>
      </c>
      <c r="D3267" s="14" t="s">
        <v>370</v>
      </c>
      <c r="E3267" s="14" t="s">
        <v>344</v>
      </c>
      <c r="F3267" s="14" t="s">
        <v>343</v>
      </c>
      <c r="G3267" s="14" t="s">
        <v>343</v>
      </c>
      <c r="H3267" s="14" t="s">
        <v>343</v>
      </c>
      <c r="I3267" s="14">
        <v>44</v>
      </c>
      <c r="J3267" s="14">
        <v>50</v>
      </c>
      <c r="K3267" s="14">
        <v>58</v>
      </c>
      <c r="L3267" s="14">
        <v>57</v>
      </c>
      <c r="M3267" s="14">
        <v>49</v>
      </c>
      <c r="N3267" s="14">
        <v>48</v>
      </c>
      <c r="O3267" s="14">
        <v>39</v>
      </c>
      <c r="P3267" s="14">
        <v>51</v>
      </c>
      <c r="Q3267" s="14">
        <v>45</v>
      </c>
      <c r="R3267" s="14">
        <v>53</v>
      </c>
      <c r="S3267" s="14">
        <v>55</v>
      </c>
      <c r="T3267" s="14">
        <v>66</v>
      </c>
      <c r="U3267" s="14">
        <v>67</v>
      </c>
      <c r="V3267" s="14">
        <v>66</v>
      </c>
      <c r="W3267" s="14">
        <v>58</v>
      </c>
      <c r="X3267" s="14">
        <v>51</v>
      </c>
    </row>
    <row r="3268" spans="1:24" hidden="1" x14ac:dyDescent="0.3">
      <c r="A3268" s="14" t="s">
        <v>474</v>
      </c>
      <c r="B3268" s="14" t="s">
        <v>146</v>
      </c>
      <c r="C3268" s="14" t="s">
        <v>371</v>
      </c>
      <c r="D3268" s="14" t="s">
        <v>372</v>
      </c>
      <c r="E3268" s="14" t="s">
        <v>342</v>
      </c>
      <c r="F3268" s="14" t="s">
        <v>343</v>
      </c>
      <c r="G3268" s="14" t="s">
        <v>343</v>
      </c>
      <c r="H3268" s="14" t="s">
        <v>343</v>
      </c>
      <c r="U3268" s="14">
        <v>0</v>
      </c>
      <c r="V3268" s="14">
        <v>0</v>
      </c>
      <c r="W3268" s="14">
        <v>0</v>
      </c>
      <c r="X3268" s="14">
        <v>0</v>
      </c>
    </row>
    <row r="3269" spans="1:24" hidden="1" x14ac:dyDescent="0.3">
      <c r="A3269" s="14" t="s">
        <v>474</v>
      </c>
      <c r="B3269" s="14" t="s">
        <v>146</v>
      </c>
      <c r="C3269" s="14" t="s">
        <v>371</v>
      </c>
      <c r="D3269" s="14" t="s">
        <v>372</v>
      </c>
      <c r="E3269" s="14" t="s">
        <v>344</v>
      </c>
      <c r="F3269" s="14" t="s">
        <v>343</v>
      </c>
      <c r="G3269" s="14" t="s">
        <v>343</v>
      </c>
      <c r="H3269" s="14" t="s">
        <v>343</v>
      </c>
      <c r="U3269" s="14">
        <v>71</v>
      </c>
      <c r="V3269" s="14">
        <v>73</v>
      </c>
      <c r="W3269" s="14">
        <v>76</v>
      </c>
      <c r="X3269" s="14">
        <v>78</v>
      </c>
    </row>
    <row r="3270" spans="1:24" hidden="1" x14ac:dyDescent="0.3">
      <c r="A3270" s="14" t="s">
        <v>474</v>
      </c>
      <c r="B3270" s="14" t="s">
        <v>146</v>
      </c>
      <c r="C3270" s="14" t="s">
        <v>373</v>
      </c>
      <c r="D3270" s="14" t="s">
        <v>374</v>
      </c>
      <c r="E3270" s="14" t="s">
        <v>342</v>
      </c>
      <c r="F3270" s="14" t="s">
        <v>343</v>
      </c>
      <c r="G3270" s="14" t="s">
        <v>343</v>
      </c>
      <c r="H3270" s="14" t="s">
        <v>343</v>
      </c>
      <c r="U3270" s="14">
        <v>0.25</v>
      </c>
      <c r="V3270" s="14">
        <v>0.42</v>
      </c>
      <c r="W3270" s="14">
        <v>0.42</v>
      </c>
      <c r="X3270" s="14">
        <v>0.42</v>
      </c>
    </row>
    <row r="3271" spans="1:24" hidden="1" x14ac:dyDescent="0.3">
      <c r="A3271" s="14" t="s">
        <v>474</v>
      </c>
      <c r="B3271" s="14" t="s">
        <v>146</v>
      </c>
      <c r="C3271" s="14" t="s">
        <v>373</v>
      </c>
      <c r="D3271" s="14" t="s">
        <v>374</v>
      </c>
      <c r="E3271" s="14" t="s">
        <v>344</v>
      </c>
      <c r="F3271" s="14" t="s">
        <v>343</v>
      </c>
      <c r="G3271" s="14" t="s">
        <v>343</v>
      </c>
      <c r="H3271" s="14" t="s">
        <v>343</v>
      </c>
      <c r="U3271" s="14">
        <v>68</v>
      </c>
      <c r="V3271" s="14">
        <v>38</v>
      </c>
      <c r="W3271" s="14">
        <v>56</v>
      </c>
      <c r="X3271" s="14">
        <v>54</v>
      </c>
    </row>
    <row r="3272" spans="1:24" hidden="1" x14ac:dyDescent="0.3">
      <c r="A3272" s="14" t="s">
        <v>474</v>
      </c>
      <c r="B3272" s="14" t="s">
        <v>146</v>
      </c>
      <c r="C3272" s="14" t="s">
        <v>375</v>
      </c>
      <c r="D3272" s="14" t="s">
        <v>376</v>
      </c>
      <c r="E3272" s="14" t="s">
        <v>342</v>
      </c>
      <c r="F3272" s="14" t="s">
        <v>343</v>
      </c>
      <c r="G3272" s="14" t="s">
        <v>343</v>
      </c>
      <c r="H3272" s="14" t="s">
        <v>343</v>
      </c>
      <c r="U3272" s="14">
        <v>0.4</v>
      </c>
      <c r="V3272" s="14">
        <v>0.33</v>
      </c>
      <c r="W3272" s="14">
        <v>0.46</v>
      </c>
      <c r="X3272" s="14">
        <v>0.5</v>
      </c>
    </row>
    <row r="3273" spans="1:24" hidden="1" x14ac:dyDescent="0.3">
      <c r="A3273" s="14" t="s">
        <v>474</v>
      </c>
      <c r="B3273" s="14" t="s">
        <v>146</v>
      </c>
      <c r="C3273" s="14" t="s">
        <v>375</v>
      </c>
      <c r="D3273" s="14" t="s">
        <v>376</v>
      </c>
      <c r="E3273" s="14" t="s">
        <v>344</v>
      </c>
      <c r="F3273" s="14" t="s">
        <v>343</v>
      </c>
      <c r="G3273" s="14" t="s">
        <v>343</v>
      </c>
      <c r="H3273" s="14" t="s">
        <v>343</v>
      </c>
      <c r="U3273" s="14">
        <v>45</v>
      </c>
      <c r="V3273" s="14">
        <v>61</v>
      </c>
      <c r="W3273" s="14">
        <v>42</v>
      </c>
      <c r="X3273" s="14">
        <v>46</v>
      </c>
    </row>
    <row r="3274" spans="1:24" hidden="1" x14ac:dyDescent="0.3">
      <c r="A3274" s="14" t="s">
        <v>475</v>
      </c>
      <c r="B3274" s="14" t="s">
        <v>139</v>
      </c>
      <c r="C3274" s="14" t="s">
        <v>340</v>
      </c>
      <c r="D3274" s="14" t="s">
        <v>341</v>
      </c>
      <c r="E3274" s="14" t="s">
        <v>342</v>
      </c>
      <c r="F3274" s="14" t="s">
        <v>343</v>
      </c>
      <c r="G3274" s="14" t="s">
        <v>343</v>
      </c>
      <c r="H3274" s="14" t="s">
        <v>343</v>
      </c>
      <c r="I3274" s="14">
        <v>0.93</v>
      </c>
      <c r="J3274" s="14">
        <v>0.99</v>
      </c>
      <c r="K3274" s="14">
        <v>1</v>
      </c>
      <c r="L3274" s="14">
        <v>1</v>
      </c>
      <c r="M3274" s="14">
        <v>1</v>
      </c>
      <c r="N3274" s="14">
        <v>1</v>
      </c>
      <c r="O3274" s="14">
        <v>1</v>
      </c>
      <c r="P3274" s="14">
        <v>1</v>
      </c>
      <c r="Q3274" s="14">
        <v>1</v>
      </c>
      <c r="R3274" s="14">
        <v>1</v>
      </c>
      <c r="S3274" s="14">
        <v>1</v>
      </c>
      <c r="T3274" s="14">
        <v>1</v>
      </c>
      <c r="U3274" s="14">
        <v>1</v>
      </c>
      <c r="V3274" s="14">
        <v>1</v>
      </c>
      <c r="W3274" s="14">
        <v>1</v>
      </c>
      <c r="X3274" s="14">
        <v>1</v>
      </c>
    </row>
    <row r="3275" spans="1:24" hidden="1" x14ac:dyDescent="0.3">
      <c r="A3275" s="14" t="s">
        <v>475</v>
      </c>
      <c r="B3275" s="14" t="s">
        <v>139</v>
      </c>
      <c r="C3275" s="14" t="s">
        <v>340</v>
      </c>
      <c r="D3275" s="14" t="s">
        <v>341</v>
      </c>
      <c r="E3275" s="14" t="s">
        <v>344</v>
      </c>
      <c r="F3275" s="14" t="s">
        <v>343</v>
      </c>
      <c r="G3275" s="14" t="s">
        <v>343</v>
      </c>
      <c r="H3275" s="14" t="s">
        <v>343</v>
      </c>
      <c r="I3275" s="14">
        <v>85</v>
      </c>
      <c r="J3275" s="14">
        <v>70</v>
      </c>
      <c r="K3275" s="14">
        <v>1</v>
      </c>
      <c r="L3275" s="14">
        <v>1</v>
      </c>
      <c r="M3275" s="14">
        <v>1</v>
      </c>
      <c r="N3275" s="14">
        <v>1</v>
      </c>
      <c r="O3275" s="14">
        <v>1</v>
      </c>
      <c r="P3275" s="14">
        <v>1</v>
      </c>
      <c r="Q3275" s="14">
        <v>1</v>
      </c>
      <c r="R3275" s="14">
        <v>1</v>
      </c>
      <c r="S3275" s="14">
        <v>1</v>
      </c>
      <c r="T3275" s="14">
        <v>1</v>
      </c>
      <c r="U3275" s="14">
        <v>1</v>
      </c>
      <c r="V3275" s="14">
        <v>1</v>
      </c>
      <c r="W3275" s="14">
        <v>1</v>
      </c>
      <c r="X3275" s="14">
        <v>25</v>
      </c>
    </row>
    <row r="3276" spans="1:24" hidden="1" x14ac:dyDescent="0.3">
      <c r="A3276" s="14" t="s">
        <v>475</v>
      </c>
      <c r="B3276" s="14" t="s">
        <v>139</v>
      </c>
      <c r="C3276" s="14" t="s">
        <v>345</v>
      </c>
      <c r="D3276" s="14" t="s">
        <v>346</v>
      </c>
      <c r="E3276" s="14" t="s">
        <v>342</v>
      </c>
      <c r="F3276" s="14" t="s">
        <v>343</v>
      </c>
      <c r="G3276" s="14" t="s">
        <v>343</v>
      </c>
      <c r="H3276" s="14" t="s">
        <v>343</v>
      </c>
      <c r="U3276" s="14">
        <v>0.71</v>
      </c>
      <c r="V3276" s="14">
        <v>0.72</v>
      </c>
      <c r="W3276" s="14">
        <v>0.72</v>
      </c>
      <c r="X3276" s="14">
        <v>0.72</v>
      </c>
    </row>
    <row r="3277" spans="1:24" hidden="1" x14ac:dyDescent="0.3">
      <c r="A3277" s="14" t="s">
        <v>475</v>
      </c>
      <c r="B3277" s="14" t="s">
        <v>139</v>
      </c>
      <c r="C3277" s="14" t="s">
        <v>345</v>
      </c>
      <c r="D3277" s="14" t="s">
        <v>346</v>
      </c>
      <c r="E3277" s="14" t="s">
        <v>344</v>
      </c>
      <c r="F3277" s="14" t="s">
        <v>343</v>
      </c>
      <c r="G3277" s="14" t="s">
        <v>343</v>
      </c>
      <c r="H3277" s="14" t="s">
        <v>343</v>
      </c>
      <c r="U3277" s="14">
        <v>30</v>
      </c>
      <c r="V3277" s="14">
        <v>31</v>
      </c>
      <c r="W3277" s="14">
        <v>37</v>
      </c>
      <c r="X3277" s="14">
        <v>38</v>
      </c>
    </row>
    <row r="3278" spans="1:24" hidden="1" x14ac:dyDescent="0.3">
      <c r="A3278" s="14" t="s">
        <v>475</v>
      </c>
      <c r="B3278" s="14" t="s">
        <v>139</v>
      </c>
      <c r="C3278" s="14" t="s">
        <v>347</v>
      </c>
      <c r="D3278" s="14" t="s">
        <v>348</v>
      </c>
      <c r="E3278" s="14" t="s">
        <v>342</v>
      </c>
      <c r="F3278" s="14" t="s">
        <v>343</v>
      </c>
      <c r="G3278" s="14" t="s">
        <v>343</v>
      </c>
      <c r="H3278" s="14" t="s">
        <v>343</v>
      </c>
      <c r="U3278" s="14">
        <v>0.94</v>
      </c>
      <c r="V3278" s="14">
        <v>0.93</v>
      </c>
      <c r="W3278" s="14">
        <v>0.94</v>
      </c>
      <c r="X3278" s="14">
        <v>0.82</v>
      </c>
    </row>
    <row r="3279" spans="1:24" hidden="1" x14ac:dyDescent="0.3">
      <c r="A3279" s="14" t="s">
        <v>475</v>
      </c>
      <c r="B3279" s="14" t="s">
        <v>139</v>
      </c>
      <c r="C3279" s="14" t="s">
        <v>347</v>
      </c>
      <c r="D3279" s="14" t="s">
        <v>348</v>
      </c>
      <c r="E3279" s="14" t="s">
        <v>344</v>
      </c>
      <c r="F3279" s="14" t="s">
        <v>343</v>
      </c>
      <c r="G3279" s="14" t="s">
        <v>343</v>
      </c>
      <c r="H3279" s="14" t="s">
        <v>343</v>
      </c>
      <c r="U3279" s="14">
        <v>19</v>
      </c>
      <c r="V3279" s="14">
        <v>20</v>
      </c>
      <c r="W3279" s="14">
        <v>17</v>
      </c>
      <c r="X3279" s="14">
        <v>59</v>
      </c>
    </row>
    <row r="3280" spans="1:24" hidden="1" x14ac:dyDescent="0.3">
      <c r="A3280" s="14" t="s">
        <v>475</v>
      </c>
      <c r="B3280" s="14" t="s">
        <v>139</v>
      </c>
      <c r="C3280" s="14" t="s">
        <v>349</v>
      </c>
      <c r="D3280" s="14" t="s">
        <v>350</v>
      </c>
      <c r="E3280" s="14" t="s">
        <v>342</v>
      </c>
      <c r="F3280" s="14" t="s">
        <v>343</v>
      </c>
      <c r="G3280" s="14" t="s">
        <v>343</v>
      </c>
      <c r="H3280" s="14" t="s">
        <v>343</v>
      </c>
      <c r="U3280" s="14">
        <v>0.86</v>
      </c>
      <c r="V3280" s="14">
        <v>0.81</v>
      </c>
      <c r="W3280" s="14">
        <v>0.85</v>
      </c>
      <c r="X3280" s="14">
        <v>0.88</v>
      </c>
    </row>
    <row r="3281" spans="1:24" hidden="1" x14ac:dyDescent="0.3">
      <c r="A3281" s="14" t="s">
        <v>475</v>
      </c>
      <c r="B3281" s="14" t="s">
        <v>139</v>
      </c>
      <c r="C3281" s="14" t="s">
        <v>349</v>
      </c>
      <c r="D3281" s="14" t="s">
        <v>350</v>
      </c>
      <c r="E3281" s="14" t="s">
        <v>344</v>
      </c>
      <c r="F3281" s="14" t="s">
        <v>343</v>
      </c>
      <c r="G3281" s="14" t="s">
        <v>343</v>
      </c>
      <c r="H3281" s="14" t="s">
        <v>343</v>
      </c>
      <c r="U3281" s="14">
        <v>10</v>
      </c>
      <c r="V3281" s="14">
        <v>11</v>
      </c>
      <c r="W3281" s="14">
        <v>19</v>
      </c>
      <c r="X3281" s="14">
        <v>16</v>
      </c>
    </row>
    <row r="3282" spans="1:24" hidden="1" x14ac:dyDescent="0.3">
      <c r="A3282" s="14" t="s">
        <v>475</v>
      </c>
      <c r="B3282" s="14" t="s">
        <v>139</v>
      </c>
      <c r="C3282" s="14" t="s">
        <v>351</v>
      </c>
      <c r="D3282" s="14" t="s">
        <v>352</v>
      </c>
      <c r="E3282" s="14" t="s">
        <v>342</v>
      </c>
      <c r="F3282" s="14" t="s">
        <v>343</v>
      </c>
      <c r="G3282" s="14" t="s">
        <v>343</v>
      </c>
      <c r="H3282" s="14" t="s">
        <v>343</v>
      </c>
      <c r="U3282" s="14">
        <v>1</v>
      </c>
      <c r="V3282" s="14">
        <v>1</v>
      </c>
      <c r="W3282" s="14">
        <v>1</v>
      </c>
      <c r="X3282" s="14">
        <v>1</v>
      </c>
    </row>
    <row r="3283" spans="1:24" hidden="1" x14ac:dyDescent="0.3">
      <c r="A3283" s="14" t="s">
        <v>475</v>
      </c>
      <c r="B3283" s="14" t="s">
        <v>139</v>
      </c>
      <c r="C3283" s="14" t="s">
        <v>351</v>
      </c>
      <c r="D3283" s="14" t="s">
        <v>352</v>
      </c>
      <c r="E3283" s="14" t="s">
        <v>344</v>
      </c>
      <c r="F3283" s="14" t="s">
        <v>343</v>
      </c>
      <c r="G3283" s="14" t="s">
        <v>343</v>
      </c>
      <c r="H3283" s="14" t="s">
        <v>343</v>
      </c>
      <c r="U3283" s="14">
        <v>1</v>
      </c>
      <c r="V3283" s="14">
        <v>1</v>
      </c>
      <c r="W3283" s="14">
        <v>1</v>
      </c>
      <c r="X3283" s="14">
        <v>1</v>
      </c>
    </row>
    <row r="3284" spans="1:24" hidden="1" x14ac:dyDescent="0.3">
      <c r="A3284" s="14" t="s">
        <v>475</v>
      </c>
      <c r="B3284" s="14" t="s">
        <v>139</v>
      </c>
      <c r="C3284" s="14" t="s">
        <v>378</v>
      </c>
      <c r="D3284" s="14" t="s">
        <v>379</v>
      </c>
      <c r="E3284" s="14" t="s">
        <v>342</v>
      </c>
      <c r="F3284" s="14" t="s">
        <v>343</v>
      </c>
      <c r="G3284" s="14" t="s">
        <v>343</v>
      </c>
      <c r="H3284" s="14" t="s">
        <v>343</v>
      </c>
      <c r="S3284" s="14">
        <v>0.67</v>
      </c>
      <c r="U3284" s="14">
        <v>0.69</v>
      </c>
      <c r="V3284" s="14">
        <v>0.72</v>
      </c>
      <c r="W3284" s="14">
        <v>0.74</v>
      </c>
      <c r="X3284" s="14">
        <v>0.74</v>
      </c>
    </row>
    <row r="3285" spans="1:24" hidden="1" x14ac:dyDescent="0.3">
      <c r="A3285" s="14" t="s">
        <v>475</v>
      </c>
      <c r="B3285" s="14" t="s">
        <v>139</v>
      </c>
      <c r="C3285" s="14" t="s">
        <v>378</v>
      </c>
      <c r="D3285" s="14" t="s">
        <v>379</v>
      </c>
      <c r="E3285" s="14" t="s">
        <v>344</v>
      </c>
      <c r="F3285" s="14" t="s">
        <v>343</v>
      </c>
      <c r="G3285" s="14" t="s">
        <v>343</v>
      </c>
      <c r="H3285" s="14" t="s">
        <v>343</v>
      </c>
      <c r="S3285" s="14">
        <v>56</v>
      </c>
      <c r="U3285" s="14">
        <v>51</v>
      </c>
      <c r="V3285" s="14">
        <v>34</v>
      </c>
      <c r="W3285" s="14">
        <v>28</v>
      </c>
      <c r="X3285" s="14">
        <v>26</v>
      </c>
    </row>
    <row r="3286" spans="1:24" hidden="1" x14ac:dyDescent="0.3">
      <c r="A3286" s="14" t="s">
        <v>475</v>
      </c>
      <c r="B3286" s="14" t="s">
        <v>139</v>
      </c>
      <c r="C3286" s="14" t="s">
        <v>353</v>
      </c>
      <c r="D3286" s="14" t="s">
        <v>354</v>
      </c>
      <c r="E3286" s="14" t="s">
        <v>342</v>
      </c>
      <c r="F3286" s="14" t="s">
        <v>343</v>
      </c>
      <c r="G3286" s="14" t="s">
        <v>343</v>
      </c>
      <c r="H3286" s="14" t="s">
        <v>343</v>
      </c>
      <c r="U3286" s="14">
        <v>1</v>
      </c>
      <c r="V3286" s="14">
        <v>1</v>
      </c>
      <c r="W3286" s="14">
        <v>1</v>
      </c>
      <c r="X3286" s="14">
        <v>1</v>
      </c>
    </row>
    <row r="3287" spans="1:24" hidden="1" x14ac:dyDescent="0.3">
      <c r="A3287" s="14" t="s">
        <v>475</v>
      </c>
      <c r="B3287" s="14" t="s">
        <v>139</v>
      </c>
      <c r="C3287" s="14" t="s">
        <v>353</v>
      </c>
      <c r="D3287" s="14" t="s">
        <v>354</v>
      </c>
      <c r="E3287" s="14" t="s">
        <v>344</v>
      </c>
      <c r="F3287" s="14" t="s">
        <v>343</v>
      </c>
      <c r="G3287" s="14" t="s">
        <v>343</v>
      </c>
      <c r="H3287" s="14" t="s">
        <v>343</v>
      </c>
      <c r="U3287" s="14">
        <v>1</v>
      </c>
      <c r="V3287" s="14">
        <v>1</v>
      </c>
      <c r="W3287" s="14">
        <v>1</v>
      </c>
      <c r="X3287" s="14">
        <v>1</v>
      </c>
    </row>
    <row r="3288" spans="1:24" hidden="1" x14ac:dyDescent="0.3">
      <c r="A3288" s="14" t="s">
        <v>475</v>
      </c>
      <c r="B3288" s="14" t="s">
        <v>139</v>
      </c>
      <c r="C3288" s="14" t="s">
        <v>380</v>
      </c>
      <c r="D3288" s="14" t="s">
        <v>381</v>
      </c>
      <c r="E3288" s="14" t="s">
        <v>342</v>
      </c>
      <c r="F3288" s="14" t="s">
        <v>343</v>
      </c>
      <c r="G3288" s="14" t="s">
        <v>343</v>
      </c>
      <c r="H3288" s="14" t="s">
        <v>343</v>
      </c>
      <c r="U3288" s="14">
        <v>1</v>
      </c>
      <c r="V3288" s="14">
        <v>1</v>
      </c>
      <c r="W3288" s="14">
        <v>1</v>
      </c>
      <c r="X3288" s="14">
        <v>1</v>
      </c>
    </row>
    <row r="3289" spans="1:24" hidden="1" x14ac:dyDescent="0.3">
      <c r="A3289" s="14" t="s">
        <v>475</v>
      </c>
      <c r="B3289" s="14" t="s">
        <v>139</v>
      </c>
      <c r="C3289" s="14" t="s">
        <v>380</v>
      </c>
      <c r="D3289" s="14" t="s">
        <v>381</v>
      </c>
      <c r="E3289" s="14" t="s">
        <v>344</v>
      </c>
      <c r="F3289" s="14" t="s">
        <v>343</v>
      </c>
      <c r="G3289" s="14" t="s">
        <v>343</v>
      </c>
      <c r="H3289" s="14" t="s">
        <v>343</v>
      </c>
      <c r="U3289" s="14">
        <v>1</v>
      </c>
      <c r="V3289" s="14">
        <v>1</v>
      </c>
      <c r="W3289" s="14">
        <v>1</v>
      </c>
      <c r="X3289" s="14">
        <v>1</v>
      </c>
    </row>
    <row r="3290" spans="1:24" hidden="1" x14ac:dyDescent="0.3">
      <c r="A3290" s="14" t="s">
        <v>475</v>
      </c>
      <c r="B3290" s="14" t="s">
        <v>139</v>
      </c>
      <c r="C3290" s="14" t="s">
        <v>355</v>
      </c>
      <c r="D3290" s="14" t="s">
        <v>356</v>
      </c>
      <c r="E3290" s="14" t="s">
        <v>342</v>
      </c>
      <c r="F3290" s="14" t="s">
        <v>343</v>
      </c>
      <c r="G3290" s="14" t="s">
        <v>343</v>
      </c>
      <c r="H3290" s="14" t="s">
        <v>343</v>
      </c>
      <c r="U3290" s="14">
        <v>1</v>
      </c>
      <c r="V3290" s="14">
        <v>1</v>
      </c>
      <c r="W3290" s="14">
        <v>1</v>
      </c>
      <c r="X3290" s="14">
        <v>1</v>
      </c>
    </row>
    <row r="3291" spans="1:24" hidden="1" x14ac:dyDescent="0.3">
      <c r="A3291" s="14" t="s">
        <v>475</v>
      </c>
      <c r="B3291" s="14" t="s">
        <v>139</v>
      </c>
      <c r="C3291" s="14" t="s">
        <v>355</v>
      </c>
      <c r="D3291" s="14" t="s">
        <v>356</v>
      </c>
      <c r="E3291" s="14" t="s">
        <v>344</v>
      </c>
      <c r="F3291" s="14" t="s">
        <v>343</v>
      </c>
      <c r="G3291" s="14" t="s">
        <v>343</v>
      </c>
      <c r="H3291" s="14" t="s">
        <v>343</v>
      </c>
      <c r="U3291" s="14">
        <v>1</v>
      </c>
      <c r="V3291" s="14">
        <v>1</v>
      </c>
      <c r="W3291" s="14">
        <v>1</v>
      </c>
      <c r="X3291" s="14">
        <v>77</v>
      </c>
    </row>
    <row r="3292" spans="1:24" hidden="1" x14ac:dyDescent="0.3">
      <c r="A3292" s="14" t="s">
        <v>475</v>
      </c>
      <c r="B3292" s="14" t="s">
        <v>139</v>
      </c>
      <c r="C3292" s="14" t="s">
        <v>357</v>
      </c>
      <c r="D3292" s="14" t="s">
        <v>358</v>
      </c>
      <c r="E3292" s="14" t="s">
        <v>342</v>
      </c>
      <c r="F3292" s="14" t="s">
        <v>343</v>
      </c>
      <c r="G3292" s="14" t="s">
        <v>343</v>
      </c>
      <c r="H3292" s="14" t="s">
        <v>343</v>
      </c>
      <c r="U3292" s="14">
        <v>1</v>
      </c>
      <c r="V3292" s="14">
        <v>1</v>
      </c>
      <c r="W3292" s="14">
        <v>1</v>
      </c>
      <c r="X3292" s="14">
        <v>1</v>
      </c>
    </row>
    <row r="3293" spans="1:24" hidden="1" x14ac:dyDescent="0.3">
      <c r="A3293" s="14" t="s">
        <v>475</v>
      </c>
      <c r="B3293" s="14" t="s">
        <v>139</v>
      </c>
      <c r="C3293" s="14" t="s">
        <v>357</v>
      </c>
      <c r="D3293" s="14" t="s">
        <v>358</v>
      </c>
      <c r="E3293" s="14" t="s">
        <v>344</v>
      </c>
      <c r="F3293" s="14" t="s">
        <v>343</v>
      </c>
      <c r="G3293" s="14" t="s">
        <v>343</v>
      </c>
      <c r="H3293" s="14" t="s">
        <v>343</v>
      </c>
      <c r="U3293" s="14">
        <v>1</v>
      </c>
      <c r="V3293" s="14">
        <v>1</v>
      </c>
      <c r="W3293" s="14">
        <v>1</v>
      </c>
      <c r="X3293" s="14">
        <v>1</v>
      </c>
    </row>
    <row r="3294" spans="1:24" hidden="1" x14ac:dyDescent="0.3">
      <c r="A3294" s="14" t="s">
        <v>475</v>
      </c>
      <c r="B3294" s="14" t="s">
        <v>139</v>
      </c>
      <c r="C3294" s="14" t="s">
        <v>359</v>
      </c>
      <c r="D3294" s="14" t="s">
        <v>360</v>
      </c>
      <c r="E3294" s="14" t="s">
        <v>342</v>
      </c>
      <c r="F3294" s="14" t="s">
        <v>343</v>
      </c>
      <c r="G3294" s="14" t="s">
        <v>343</v>
      </c>
      <c r="H3294" s="14" t="s">
        <v>343</v>
      </c>
      <c r="I3294" s="14">
        <v>0.71</v>
      </c>
      <c r="J3294" s="14">
        <v>0.73</v>
      </c>
      <c r="K3294" s="14">
        <v>0.75</v>
      </c>
      <c r="L3294" s="14">
        <v>0.75</v>
      </c>
      <c r="M3294" s="14">
        <v>0.75</v>
      </c>
      <c r="N3294" s="14">
        <v>0.75</v>
      </c>
      <c r="O3294" s="14">
        <v>0.76</v>
      </c>
      <c r="P3294" s="14">
        <v>0.78</v>
      </c>
      <c r="Q3294" s="14">
        <v>0.79</v>
      </c>
      <c r="R3294" s="14">
        <v>0.78</v>
      </c>
      <c r="S3294" s="14">
        <v>0.78</v>
      </c>
      <c r="T3294" s="14">
        <v>0.8</v>
      </c>
      <c r="U3294" s="14">
        <v>0.81</v>
      </c>
      <c r="V3294" s="14">
        <v>0.81</v>
      </c>
      <c r="W3294" s="14">
        <v>0.82</v>
      </c>
      <c r="X3294" s="14">
        <v>0.8</v>
      </c>
    </row>
    <row r="3295" spans="1:24" hidden="1" x14ac:dyDescent="0.3">
      <c r="A3295" s="14" t="s">
        <v>475</v>
      </c>
      <c r="B3295" s="14" t="s">
        <v>139</v>
      </c>
      <c r="C3295" s="14" t="s">
        <v>359</v>
      </c>
      <c r="D3295" s="14" t="s">
        <v>360</v>
      </c>
      <c r="E3295" s="14" t="s">
        <v>344</v>
      </c>
      <c r="F3295" s="14" t="s">
        <v>343</v>
      </c>
      <c r="G3295" s="14" t="s">
        <v>343</v>
      </c>
      <c r="H3295" s="14" t="s">
        <v>343</v>
      </c>
      <c r="I3295" s="14">
        <v>20</v>
      </c>
      <c r="J3295" s="14">
        <v>17</v>
      </c>
      <c r="K3295" s="14">
        <v>13</v>
      </c>
      <c r="L3295" s="14">
        <v>14</v>
      </c>
      <c r="M3295" s="14">
        <v>21</v>
      </c>
      <c r="N3295" s="14">
        <v>22</v>
      </c>
      <c r="O3295" s="14">
        <v>20</v>
      </c>
      <c r="P3295" s="14">
        <v>17</v>
      </c>
      <c r="Q3295" s="14">
        <v>16</v>
      </c>
      <c r="R3295" s="14">
        <v>21</v>
      </c>
      <c r="S3295" s="14">
        <v>18</v>
      </c>
      <c r="T3295" s="14">
        <v>15</v>
      </c>
      <c r="U3295" s="14">
        <v>10</v>
      </c>
      <c r="V3295" s="14">
        <v>8</v>
      </c>
      <c r="W3295" s="14">
        <v>8</v>
      </c>
      <c r="X3295" s="14">
        <v>9</v>
      </c>
    </row>
    <row r="3296" spans="1:24" x14ac:dyDescent="0.3">
      <c r="A3296" s="14" t="s">
        <v>475</v>
      </c>
      <c r="B3296" s="14" t="s">
        <v>139</v>
      </c>
      <c r="C3296" s="14" t="s">
        <v>361</v>
      </c>
      <c r="D3296" s="14" t="s">
        <v>362</v>
      </c>
      <c r="E3296" s="14" t="s">
        <v>342</v>
      </c>
      <c r="F3296" s="14" t="s">
        <v>343</v>
      </c>
      <c r="G3296" s="14" t="s">
        <v>343</v>
      </c>
      <c r="H3296" s="14" t="s">
        <v>343</v>
      </c>
      <c r="I3296" s="14">
        <v>0.98</v>
      </c>
      <c r="J3296" s="14">
        <v>0.98</v>
      </c>
      <c r="K3296" s="14">
        <v>0.98</v>
      </c>
      <c r="L3296" s="14">
        <v>0.98</v>
      </c>
      <c r="M3296" s="14">
        <v>0.98</v>
      </c>
      <c r="N3296" s="14">
        <v>0.98</v>
      </c>
      <c r="O3296" s="14">
        <v>0.98</v>
      </c>
      <c r="P3296" s="14">
        <v>0.98</v>
      </c>
      <c r="Q3296" s="14">
        <v>0.98</v>
      </c>
      <c r="R3296" s="14">
        <v>0.98</v>
      </c>
      <c r="S3296" s="14">
        <v>0.98</v>
      </c>
      <c r="T3296" s="14">
        <v>0.98</v>
      </c>
      <c r="U3296" s="14">
        <v>0.98</v>
      </c>
      <c r="V3296" s="14">
        <v>0.98</v>
      </c>
      <c r="W3296" s="14">
        <v>0.98</v>
      </c>
      <c r="X3296" s="14">
        <v>0.98</v>
      </c>
    </row>
    <row r="3297" spans="1:24" hidden="1" x14ac:dyDescent="0.3">
      <c r="A3297" s="14" t="s">
        <v>475</v>
      </c>
      <c r="B3297" s="14" t="s">
        <v>139</v>
      </c>
      <c r="C3297" s="14" t="s">
        <v>361</v>
      </c>
      <c r="D3297" s="14" t="s">
        <v>362</v>
      </c>
      <c r="E3297" s="14" t="s">
        <v>344</v>
      </c>
      <c r="F3297" s="14" t="s">
        <v>343</v>
      </c>
      <c r="G3297" s="14" t="s">
        <v>343</v>
      </c>
      <c r="H3297" s="14" t="s">
        <v>343</v>
      </c>
      <c r="I3297" s="14">
        <v>1</v>
      </c>
      <c r="J3297" s="14">
        <v>1</v>
      </c>
      <c r="K3297" s="14">
        <v>1</v>
      </c>
      <c r="L3297" s="14">
        <v>1</v>
      </c>
      <c r="M3297" s="14">
        <v>1</v>
      </c>
      <c r="N3297" s="14">
        <v>1</v>
      </c>
      <c r="O3297" s="14">
        <v>1</v>
      </c>
      <c r="P3297" s="14">
        <v>1</v>
      </c>
      <c r="Q3297" s="14">
        <v>1</v>
      </c>
      <c r="R3297" s="14">
        <v>1</v>
      </c>
      <c r="S3297" s="14">
        <v>1</v>
      </c>
      <c r="T3297" s="14">
        <v>1</v>
      </c>
      <c r="U3297" s="14">
        <v>1</v>
      </c>
      <c r="V3297" s="14">
        <v>74</v>
      </c>
      <c r="W3297" s="14">
        <v>52</v>
      </c>
      <c r="X3297" s="14">
        <v>34</v>
      </c>
    </row>
    <row r="3298" spans="1:24" hidden="1" x14ac:dyDescent="0.3">
      <c r="A3298" s="14" t="s">
        <v>475</v>
      </c>
      <c r="B3298" s="14" t="s">
        <v>139</v>
      </c>
      <c r="C3298" s="14" t="s">
        <v>363</v>
      </c>
      <c r="D3298" s="14" t="s">
        <v>364</v>
      </c>
      <c r="E3298" s="14" t="s">
        <v>342</v>
      </c>
      <c r="F3298" s="14" t="s">
        <v>343</v>
      </c>
      <c r="G3298" s="14" t="s">
        <v>343</v>
      </c>
      <c r="H3298" s="14" t="s">
        <v>343</v>
      </c>
      <c r="U3298" s="14">
        <v>1.06</v>
      </c>
      <c r="V3298" s="14">
        <v>1.06</v>
      </c>
      <c r="W3298" s="14">
        <v>1.06</v>
      </c>
      <c r="X3298" s="14">
        <v>1.06</v>
      </c>
    </row>
    <row r="3299" spans="1:24" hidden="1" x14ac:dyDescent="0.3">
      <c r="A3299" s="14" t="s">
        <v>475</v>
      </c>
      <c r="B3299" s="14" t="s">
        <v>139</v>
      </c>
      <c r="C3299" s="14" t="s">
        <v>363</v>
      </c>
      <c r="D3299" s="14" t="s">
        <v>364</v>
      </c>
      <c r="E3299" s="14" t="s">
        <v>344</v>
      </c>
      <c r="F3299" s="14" t="s">
        <v>343</v>
      </c>
      <c r="G3299" s="14" t="s">
        <v>343</v>
      </c>
      <c r="H3299" s="14" t="s">
        <v>343</v>
      </c>
      <c r="U3299" s="14">
        <v>1</v>
      </c>
      <c r="V3299" s="14">
        <v>1</v>
      </c>
      <c r="W3299" s="14">
        <v>1</v>
      </c>
      <c r="X3299" s="14">
        <v>1</v>
      </c>
    </row>
    <row r="3300" spans="1:24" hidden="1" x14ac:dyDescent="0.3">
      <c r="A3300" s="14" t="s">
        <v>475</v>
      </c>
      <c r="B3300" s="14" t="s">
        <v>139</v>
      </c>
      <c r="C3300" s="14" t="s">
        <v>365</v>
      </c>
      <c r="D3300" s="14" t="s">
        <v>366</v>
      </c>
      <c r="E3300" s="14" t="s">
        <v>342</v>
      </c>
      <c r="F3300" s="14" t="s">
        <v>343</v>
      </c>
      <c r="G3300" s="14" t="s">
        <v>343</v>
      </c>
      <c r="H3300" s="14" t="s">
        <v>343</v>
      </c>
      <c r="U3300" s="14">
        <v>0.94</v>
      </c>
      <c r="V3300" s="14">
        <v>0.94</v>
      </c>
      <c r="W3300" s="14">
        <v>0.94</v>
      </c>
      <c r="X3300" s="14">
        <v>0.94</v>
      </c>
    </row>
    <row r="3301" spans="1:24" hidden="1" x14ac:dyDescent="0.3">
      <c r="A3301" s="14" t="s">
        <v>475</v>
      </c>
      <c r="B3301" s="14" t="s">
        <v>139</v>
      </c>
      <c r="C3301" s="14" t="s">
        <v>365</v>
      </c>
      <c r="D3301" s="14" t="s">
        <v>366</v>
      </c>
      <c r="E3301" s="14" t="s">
        <v>344</v>
      </c>
      <c r="F3301" s="14" t="s">
        <v>343</v>
      </c>
      <c r="G3301" s="14" t="s">
        <v>343</v>
      </c>
      <c r="H3301" s="14" t="s">
        <v>343</v>
      </c>
      <c r="U3301" s="14">
        <v>1</v>
      </c>
      <c r="V3301" s="14">
        <v>137</v>
      </c>
      <c r="W3301" s="14">
        <v>136</v>
      </c>
      <c r="X3301" s="14">
        <v>121</v>
      </c>
    </row>
    <row r="3302" spans="1:24" hidden="1" x14ac:dyDescent="0.3">
      <c r="A3302" s="14" t="s">
        <v>475</v>
      </c>
      <c r="B3302" s="14" t="s">
        <v>139</v>
      </c>
      <c r="C3302" s="14" t="s">
        <v>367</v>
      </c>
      <c r="D3302" s="14" t="s">
        <v>368</v>
      </c>
      <c r="E3302" s="14" t="s">
        <v>342</v>
      </c>
      <c r="F3302" s="14" t="s">
        <v>343</v>
      </c>
      <c r="G3302" s="14" t="s">
        <v>343</v>
      </c>
      <c r="H3302" s="14" t="s">
        <v>343</v>
      </c>
      <c r="I3302" s="14">
        <v>0.71</v>
      </c>
      <c r="J3302" s="14">
        <v>0.73</v>
      </c>
      <c r="K3302" s="14">
        <v>0.74</v>
      </c>
      <c r="L3302" s="14">
        <v>0.74</v>
      </c>
      <c r="M3302" s="14">
        <v>0.74</v>
      </c>
      <c r="N3302" s="14">
        <v>0.74</v>
      </c>
      <c r="O3302" s="14">
        <v>0.76</v>
      </c>
      <c r="P3302" s="14">
        <v>0.76</v>
      </c>
      <c r="Q3302" s="14">
        <v>0.77</v>
      </c>
      <c r="R3302" s="14">
        <v>0.75</v>
      </c>
      <c r="S3302" s="14">
        <v>0.76</v>
      </c>
      <c r="T3302" s="14">
        <v>0.76</v>
      </c>
      <c r="U3302" s="14">
        <v>0.76</v>
      </c>
      <c r="V3302" s="14">
        <v>0.78</v>
      </c>
      <c r="W3302" s="14">
        <v>0.78</v>
      </c>
      <c r="X3302" s="14">
        <v>0.77</v>
      </c>
    </row>
    <row r="3303" spans="1:24" hidden="1" x14ac:dyDescent="0.3">
      <c r="A3303" s="14" t="s">
        <v>475</v>
      </c>
      <c r="B3303" s="14" t="s">
        <v>139</v>
      </c>
      <c r="C3303" s="14" t="s">
        <v>367</v>
      </c>
      <c r="D3303" s="14" t="s">
        <v>368</v>
      </c>
      <c r="E3303" s="14" t="s">
        <v>344</v>
      </c>
      <c r="F3303" s="14" t="s">
        <v>343</v>
      </c>
      <c r="G3303" s="14" t="s">
        <v>343</v>
      </c>
      <c r="H3303" s="14" t="s">
        <v>343</v>
      </c>
      <c r="I3303" s="14">
        <v>19</v>
      </c>
      <c r="J3303" s="14">
        <v>13</v>
      </c>
      <c r="K3303" s="14">
        <v>10</v>
      </c>
      <c r="L3303" s="14">
        <v>14</v>
      </c>
      <c r="M3303" s="14">
        <v>18</v>
      </c>
      <c r="N3303" s="14">
        <v>19</v>
      </c>
      <c r="O3303" s="14">
        <v>15</v>
      </c>
      <c r="P3303" s="14">
        <v>12</v>
      </c>
      <c r="Q3303" s="14">
        <v>15</v>
      </c>
      <c r="R3303" s="14">
        <v>20</v>
      </c>
      <c r="S3303" s="14">
        <v>18</v>
      </c>
      <c r="T3303" s="14">
        <v>20</v>
      </c>
      <c r="U3303" s="14">
        <v>17</v>
      </c>
      <c r="V3303" s="14">
        <v>11</v>
      </c>
      <c r="W3303" s="14">
        <v>20</v>
      </c>
      <c r="X3303" s="14">
        <v>26</v>
      </c>
    </row>
    <row r="3304" spans="1:24" hidden="1" x14ac:dyDescent="0.3">
      <c r="A3304" s="14" t="s">
        <v>475</v>
      </c>
      <c r="B3304" s="14" t="s">
        <v>139</v>
      </c>
      <c r="C3304" s="14" t="s">
        <v>369</v>
      </c>
      <c r="D3304" s="14" t="s">
        <v>370</v>
      </c>
      <c r="E3304" s="14" t="s">
        <v>342</v>
      </c>
      <c r="F3304" s="14" t="s">
        <v>343</v>
      </c>
      <c r="G3304" s="14" t="s">
        <v>343</v>
      </c>
      <c r="H3304" s="14" t="s">
        <v>343</v>
      </c>
      <c r="I3304" s="14">
        <v>0.22</v>
      </c>
      <c r="J3304" s="14">
        <v>0.23</v>
      </c>
      <c r="K3304" s="14">
        <v>0.23</v>
      </c>
      <c r="L3304" s="14">
        <v>0.23</v>
      </c>
      <c r="M3304" s="14">
        <v>0.24</v>
      </c>
      <c r="N3304" s="14">
        <v>0.23</v>
      </c>
      <c r="O3304" s="14">
        <v>0.28999999999999998</v>
      </c>
      <c r="P3304" s="14">
        <v>0.28999999999999998</v>
      </c>
      <c r="Q3304" s="14">
        <v>0.3</v>
      </c>
      <c r="R3304" s="14">
        <v>0.25</v>
      </c>
      <c r="S3304" s="14">
        <v>0.26</v>
      </c>
      <c r="T3304" s="14">
        <v>0.25</v>
      </c>
      <c r="U3304" s="14">
        <v>0.25</v>
      </c>
      <c r="V3304" s="14">
        <v>0.36</v>
      </c>
      <c r="W3304" s="14">
        <v>0.31</v>
      </c>
      <c r="X3304" s="14">
        <v>0.3</v>
      </c>
    </row>
    <row r="3305" spans="1:24" hidden="1" x14ac:dyDescent="0.3">
      <c r="A3305" s="14" t="s">
        <v>475</v>
      </c>
      <c r="B3305" s="14" t="s">
        <v>139</v>
      </c>
      <c r="C3305" s="14" t="s">
        <v>369</v>
      </c>
      <c r="D3305" s="14" t="s">
        <v>370</v>
      </c>
      <c r="E3305" s="14" t="s">
        <v>344</v>
      </c>
      <c r="F3305" s="14" t="s">
        <v>343</v>
      </c>
      <c r="G3305" s="14" t="s">
        <v>343</v>
      </c>
      <c r="H3305" s="14" t="s">
        <v>343</v>
      </c>
      <c r="I3305" s="14">
        <v>21</v>
      </c>
      <c r="J3305" s="14">
        <v>19</v>
      </c>
      <c r="K3305" s="14">
        <v>31</v>
      </c>
      <c r="L3305" s="14">
        <v>31</v>
      </c>
      <c r="M3305" s="14">
        <v>31</v>
      </c>
      <c r="N3305" s="14">
        <v>33</v>
      </c>
      <c r="O3305" s="14">
        <v>26</v>
      </c>
      <c r="P3305" s="14">
        <v>26</v>
      </c>
      <c r="Q3305" s="14">
        <v>25</v>
      </c>
      <c r="R3305" s="14">
        <v>40</v>
      </c>
      <c r="S3305" s="14">
        <v>38</v>
      </c>
      <c r="T3305" s="14">
        <v>41</v>
      </c>
      <c r="U3305" s="14">
        <v>42</v>
      </c>
      <c r="V3305" s="14">
        <v>28</v>
      </c>
      <c r="W3305" s="14">
        <v>42</v>
      </c>
      <c r="X3305" s="14">
        <v>45</v>
      </c>
    </row>
    <row r="3306" spans="1:24" hidden="1" x14ac:dyDescent="0.3">
      <c r="A3306" s="14" t="s">
        <v>475</v>
      </c>
      <c r="B3306" s="14" t="s">
        <v>139</v>
      </c>
      <c r="C3306" s="14" t="s">
        <v>371</v>
      </c>
      <c r="D3306" s="14" t="s">
        <v>372</v>
      </c>
      <c r="E3306" s="14" t="s">
        <v>342</v>
      </c>
      <c r="F3306" s="14" t="s">
        <v>343</v>
      </c>
      <c r="G3306" s="14" t="s">
        <v>343</v>
      </c>
      <c r="H3306" s="14" t="s">
        <v>343</v>
      </c>
      <c r="U3306" s="14">
        <v>0.25</v>
      </c>
      <c r="V3306" s="14">
        <v>0.25</v>
      </c>
      <c r="W3306" s="14">
        <v>0.25</v>
      </c>
      <c r="X3306" s="14">
        <v>0.25</v>
      </c>
    </row>
    <row r="3307" spans="1:24" hidden="1" x14ac:dyDescent="0.3">
      <c r="A3307" s="14" t="s">
        <v>475</v>
      </c>
      <c r="B3307" s="14" t="s">
        <v>139</v>
      </c>
      <c r="C3307" s="14" t="s">
        <v>371</v>
      </c>
      <c r="D3307" s="14" t="s">
        <v>372</v>
      </c>
      <c r="E3307" s="14" t="s">
        <v>344</v>
      </c>
      <c r="F3307" s="14" t="s">
        <v>343</v>
      </c>
      <c r="G3307" s="14" t="s">
        <v>343</v>
      </c>
      <c r="H3307" s="14" t="s">
        <v>343</v>
      </c>
      <c r="U3307" s="14">
        <v>14</v>
      </c>
      <c r="V3307" s="14">
        <v>15</v>
      </c>
      <c r="W3307" s="14">
        <v>15</v>
      </c>
      <c r="X3307" s="14">
        <v>15</v>
      </c>
    </row>
    <row r="3308" spans="1:24" hidden="1" x14ac:dyDescent="0.3">
      <c r="A3308" s="14" t="s">
        <v>475</v>
      </c>
      <c r="B3308" s="14" t="s">
        <v>139</v>
      </c>
      <c r="C3308" s="14" t="s">
        <v>373</v>
      </c>
      <c r="D3308" s="14" t="s">
        <v>374</v>
      </c>
      <c r="E3308" s="14" t="s">
        <v>342</v>
      </c>
      <c r="F3308" s="14" t="s">
        <v>343</v>
      </c>
      <c r="G3308" s="14" t="s">
        <v>343</v>
      </c>
      <c r="H3308" s="14" t="s">
        <v>343</v>
      </c>
      <c r="U3308" s="14">
        <v>0.3</v>
      </c>
      <c r="V3308" s="14">
        <v>0.44</v>
      </c>
      <c r="W3308" s="14">
        <v>0.3</v>
      </c>
      <c r="X3308" s="14">
        <v>0.3</v>
      </c>
    </row>
    <row r="3309" spans="1:24" hidden="1" x14ac:dyDescent="0.3">
      <c r="A3309" s="14" t="s">
        <v>475</v>
      </c>
      <c r="B3309" s="14" t="s">
        <v>139</v>
      </c>
      <c r="C3309" s="14" t="s">
        <v>373</v>
      </c>
      <c r="D3309" s="14" t="s">
        <v>374</v>
      </c>
      <c r="E3309" s="14" t="s">
        <v>344</v>
      </c>
      <c r="F3309" s="14" t="s">
        <v>343</v>
      </c>
      <c r="G3309" s="14" t="s">
        <v>343</v>
      </c>
      <c r="H3309" s="14" t="s">
        <v>343</v>
      </c>
      <c r="U3309" s="14">
        <v>49</v>
      </c>
      <c r="V3309" s="14">
        <v>35</v>
      </c>
      <c r="W3309" s="14">
        <v>71</v>
      </c>
      <c r="X3309" s="14">
        <v>68</v>
      </c>
    </row>
    <row r="3310" spans="1:24" hidden="1" x14ac:dyDescent="0.3">
      <c r="A3310" s="14" t="s">
        <v>475</v>
      </c>
      <c r="B3310" s="14" t="s">
        <v>139</v>
      </c>
      <c r="C3310" s="14" t="s">
        <v>375</v>
      </c>
      <c r="D3310" s="14" t="s">
        <v>376</v>
      </c>
      <c r="E3310" s="14" t="s">
        <v>342</v>
      </c>
      <c r="F3310" s="14" t="s">
        <v>343</v>
      </c>
      <c r="G3310" s="14" t="s">
        <v>343</v>
      </c>
      <c r="H3310" s="14" t="s">
        <v>343</v>
      </c>
      <c r="U3310" s="14">
        <v>0.19</v>
      </c>
      <c r="V3310" s="14">
        <v>0.43</v>
      </c>
      <c r="W3310" s="14">
        <v>0.41</v>
      </c>
      <c r="X3310" s="14">
        <v>0.37</v>
      </c>
    </row>
    <row r="3311" spans="1:24" hidden="1" x14ac:dyDescent="0.3">
      <c r="A3311" s="14" t="s">
        <v>475</v>
      </c>
      <c r="B3311" s="14" t="s">
        <v>139</v>
      </c>
      <c r="C3311" s="14" t="s">
        <v>375</v>
      </c>
      <c r="D3311" s="14" t="s">
        <v>376</v>
      </c>
      <c r="E3311" s="14" t="s">
        <v>344</v>
      </c>
      <c r="F3311" s="14" t="s">
        <v>343</v>
      </c>
      <c r="G3311" s="14" t="s">
        <v>343</v>
      </c>
      <c r="H3311" s="14" t="s">
        <v>343</v>
      </c>
      <c r="U3311" s="14">
        <v>105</v>
      </c>
      <c r="V3311" s="14">
        <v>44</v>
      </c>
      <c r="W3311" s="14">
        <v>51</v>
      </c>
      <c r="X3311" s="14">
        <v>69</v>
      </c>
    </row>
    <row r="3312" spans="1:24" hidden="1" x14ac:dyDescent="0.3">
      <c r="A3312" s="14" t="s">
        <v>476</v>
      </c>
      <c r="B3312" s="14" t="s">
        <v>164</v>
      </c>
      <c r="C3312" s="14" t="s">
        <v>340</v>
      </c>
      <c r="D3312" s="14" t="s">
        <v>341</v>
      </c>
      <c r="E3312" s="14" t="s">
        <v>342</v>
      </c>
      <c r="F3312" s="14" t="s">
        <v>343</v>
      </c>
      <c r="G3312" s="14" t="s">
        <v>343</v>
      </c>
      <c r="H3312" s="14" t="s">
        <v>343</v>
      </c>
      <c r="I3312" s="14">
        <v>0.85</v>
      </c>
      <c r="J3312" s="14">
        <v>0.85</v>
      </c>
      <c r="K3312" s="14">
        <v>0.84</v>
      </c>
      <c r="L3312" s="14">
        <v>0.86</v>
      </c>
      <c r="M3312" s="14">
        <v>0.86</v>
      </c>
      <c r="N3312" s="14">
        <v>0.87</v>
      </c>
      <c r="O3312" s="14">
        <v>0.87</v>
      </c>
      <c r="P3312" s="14">
        <v>0.9</v>
      </c>
      <c r="Q3312" s="14">
        <v>0.92</v>
      </c>
      <c r="R3312" s="14">
        <v>0.91</v>
      </c>
      <c r="S3312" s="14">
        <v>0.92</v>
      </c>
      <c r="T3312" s="14">
        <v>0.92</v>
      </c>
      <c r="U3312" s="14">
        <v>0.94</v>
      </c>
      <c r="V3312" s="14">
        <v>0.96</v>
      </c>
      <c r="W3312" s="14">
        <v>0.96</v>
      </c>
      <c r="X3312" s="14">
        <v>0.94</v>
      </c>
    </row>
    <row r="3313" spans="1:24" hidden="1" x14ac:dyDescent="0.3">
      <c r="A3313" s="14" t="s">
        <v>476</v>
      </c>
      <c r="B3313" s="14" t="s">
        <v>164</v>
      </c>
      <c r="C3313" s="14" t="s">
        <v>340</v>
      </c>
      <c r="D3313" s="14" t="s">
        <v>341</v>
      </c>
      <c r="E3313" s="14" t="s">
        <v>344</v>
      </c>
      <c r="F3313" s="14" t="s">
        <v>343</v>
      </c>
      <c r="G3313" s="14" t="s">
        <v>343</v>
      </c>
      <c r="H3313" s="14" t="s">
        <v>343</v>
      </c>
      <c r="I3313" s="14">
        <v>99</v>
      </c>
      <c r="J3313" s="14">
        <v>113</v>
      </c>
      <c r="K3313" s="14">
        <v>117</v>
      </c>
      <c r="L3313" s="14">
        <v>118</v>
      </c>
      <c r="M3313" s="14">
        <v>116</v>
      </c>
      <c r="N3313" s="14">
        <v>115</v>
      </c>
      <c r="O3313" s="14">
        <v>115</v>
      </c>
      <c r="P3313" s="14">
        <v>109</v>
      </c>
      <c r="Q3313" s="14">
        <v>116</v>
      </c>
      <c r="R3313" s="14">
        <v>123</v>
      </c>
      <c r="S3313" s="14">
        <v>122</v>
      </c>
      <c r="T3313" s="14">
        <v>122</v>
      </c>
      <c r="U3313" s="14">
        <v>117</v>
      </c>
      <c r="V3313" s="14">
        <v>115</v>
      </c>
      <c r="W3313" s="14">
        <v>116</v>
      </c>
      <c r="X3313" s="14">
        <v>114</v>
      </c>
    </row>
    <row r="3314" spans="1:24" hidden="1" x14ac:dyDescent="0.3">
      <c r="A3314" s="14" t="s">
        <v>476</v>
      </c>
      <c r="B3314" s="14" t="s">
        <v>164</v>
      </c>
      <c r="C3314" s="14" t="s">
        <v>345</v>
      </c>
      <c r="D3314" s="14" t="s">
        <v>346</v>
      </c>
      <c r="E3314" s="14" t="s">
        <v>342</v>
      </c>
      <c r="F3314" s="14" t="s">
        <v>343</v>
      </c>
      <c r="G3314" s="14" t="s">
        <v>343</v>
      </c>
      <c r="H3314" s="14" t="s">
        <v>343</v>
      </c>
      <c r="U3314" s="14">
        <v>0.26</v>
      </c>
      <c r="V3314" s="14">
        <v>0.24</v>
      </c>
      <c r="W3314" s="14">
        <v>0.24</v>
      </c>
      <c r="X3314" s="14">
        <v>0.26</v>
      </c>
    </row>
    <row r="3315" spans="1:24" hidden="1" x14ac:dyDescent="0.3">
      <c r="A3315" s="14" t="s">
        <v>476</v>
      </c>
      <c r="B3315" s="14" t="s">
        <v>164</v>
      </c>
      <c r="C3315" s="14" t="s">
        <v>345</v>
      </c>
      <c r="D3315" s="14" t="s">
        <v>346</v>
      </c>
      <c r="E3315" s="14" t="s">
        <v>344</v>
      </c>
      <c r="F3315" s="14" t="s">
        <v>343</v>
      </c>
      <c r="G3315" s="14" t="s">
        <v>343</v>
      </c>
      <c r="H3315" s="14" t="s">
        <v>343</v>
      </c>
      <c r="U3315" s="14">
        <v>136</v>
      </c>
      <c r="V3315" s="14">
        <v>142</v>
      </c>
      <c r="W3315" s="14">
        <v>145</v>
      </c>
      <c r="X3315" s="14">
        <v>138</v>
      </c>
    </row>
    <row r="3316" spans="1:24" hidden="1" x14ac:dyDescent="0.3">
      <c r="A3316" s="14" t="s">
        <v>476</v>
      </c>
      <c r="B3316" s="14" t="s">
        <v>164</v>
      </c>
      <c r="C3316" s="14" t="s">
        <v>347</v>
      </c>
      <c r="D3316" s="14" t="s">
        <v>348</v>
      </c>
      <c r="E3316" s="14" t="s">
        <v>342</v>
      </c>
      <c r="F3316" s="14" t="s">
        <v>343</v>
      </c>
      <c r="G3316" s="14" t="s">
        <v>343</v>
      </c>
      <c r="H3316" s="14" t="s">
        <v>343</v>
      </c>
      <c r="U3316" s="14">
        <v>0.34</v>
      </c>
      <c r="V3316" s="14">
        <v>0.31</v>
      </c>
      <c r="W3316" s="14">
        <v>0.31</v>
      </c>
      <c r="X3316" s="14">
        <v>0.33</v>
      </c>
    </row>
    <row r="3317" spans="1:24" hidden="1" x14ac:dyDescent="0.3">
      <c r="A3317" s="14" t="s">
        <v>476</v>
      </c>
      <c r="B3317" s="14" t="s">
        <v>164</v>
      </c>
      <c r="C3317" s="14" t="s">
        <v>347</v>
      </c>
      <c r="D3317" s="14" t="s">
        <v>348</v>
      </c>
      <c r="E3317" s="14" t="s">
        <v>344</v>
      </c>
      <c r="F3317" s="14" t="s">
        <v>343</v>
      </c>
      <c r="G3317" s="14" t="s">
        <v>343</v>
      </c>
      <c r="H3317" s="14" t="s">
        <v>343</v>
      </c>
      <c r="U3317" s="14">
        <v>140</v>
      </c>
      <c r="V3317" s="14">
        <v>144</v>
      </c>
      <c r="W3317" s="14">
        <v>145</v>
      </c>
      <c r="X3317" s="14">
        <v>138</v>
      </c>
    </row>
    <row r="3318" spans="1:24" hidden="1" x14ac:dyDescent="0.3">
      <c r="A3318" s="14" t="s">
        <v>476</v>
      </c>
      <c r="B3318" s="14" t="s">
        <v>164</v>
      </c>
      <c r="C3318" s="14" t="s">
        <v>349</v>
      </c>
      <c r="D3318" s="14" t="s">
        <v>350</v>
      </c>
      <c r="E3318" s="14" t="s">
        <v>342</v>
      </c>
      <c r="F3318" s="14" t="s">
        <v>343</v>
      </c>
      <c r="G3318" s="14" t="s">
        <v>343</v>
      </c>
      <c r="H3318" s="14" t="s">
        <v>343</v>
      </c>
      <c r="U3318" s="14">
        <v>0.15</v>
      </c>
      <c r="V3318" s="14">
        <v>0.15</v>
      </c>
      <c r="W3318" s="14">
        <v>0.15</v>
      </c>
    </row>
    <row r="3319" spans="1:24" hidden="1" x14ac:dyDescent="0.3">
      <c r="A3319" s="14" t="s">
        <v>476</v>
      </c>
      <c r="B3319" s="14" t="s">
        <v>164</v>
      </c>
      <c r="C3319" s="14" t="s">
        <v>349</v>
      </c>
      <c r="D3319" s="14" t="s">
        <v>350</v>
      </c>
      <c r="E3319" s="14" t="s">
        <v>344</v>
      </c>
      <c r="F3319" s="14" t="s">
        <v>343</v>
      </c>
      <c r="G3319" s="14" t="s">
        <v>343</v>
      </c>
      <c r="H3319" s="14" t="s">
        <v>343</v>
      </c>
      <c r="U3319" s="14">
        <v>131</v>
      </c>
      <c r="V3319" s="14">
        <v>138</v>
      </c>
      <c r="W3319" s="14">
        <v>143</v>
      </c>
    </row>
    <row r="3320" spans="1:24" hidden="1" x14ac:dyDescent="0.3">
      <c r="A3320" s="14" t="s">
        <v>476</v>
      </c>
      <c r="B3320" s="14" t="s">
        <v>164</v>
      </c>
      <c r="C3320" s="14" t="s">
        <v>351</v>
      </c>
      <c r="D3320" s="14" t="s">
        <v>352</v>
      </c>
      <c r="E3320" s="14" t="s">
        <v>342</v>
      </c>
      <c r="F3320" s="14" t="s">
        <v>343</v>
      </c>
      <c r="G3320" s="14" t="s">
        <v>343</v>
      </c>
      <c r="H3320" s="14" t="s">
        <v>343</v>
      </c>
      <c r="U3320" s="14">
        <v>0.55000000000000004</v>
      </c>
      <c r="V3320" s="14">
        <v>0.55000000000000004</v>
      </c>
      <c r="W3320" s="14">
        <v>0.55000000000000004</v>
      </c>
    </row>
    <row r="3321" spans="1:24" hidden="1" x14ac:dyDescent="0.3">
      <c r="A3321" s="14" t="s">
        <v>476</v>
      </c>
      <c r="B3321" s="14" t="s">
        <v>164</v>
      </c>
      <c r="C3321" s="14" t="s">
        <v>351</v>
      </c>
      <c r="D3321" s="14" t="s">
        <v>352</v>
      </c>
      <c r="E3321" s="14" t="s">
        <v>344</v>
      </c>
      <c r="F3321" s="14" t="s">
        <v>343</v>
      </c>
      <c r="G3321" s="14" t="s">
        <v>343</v>
      </c>
      <c r="H3321" s="14" t="s">
        <v>343</v>
      </c>
      <c r="U3321" s="14">
        <v>117</v>
      </c>
      <c r="V3321" s="14">
        <v>122</v>
      </c>
      <c r="W3321" s="14">
        <v>120</v>
      </c>
    </row>
    <row r="3322" spans="1:24" hidden="1" x14ac:dyDescent="0.3">
      <c r="A3322" s="14" t="s">
        <v>476</v>
      </c>
      <c r="B3322" s="14" t="s">
        <v>164</v>
      </c>
      <c r="C3322" s="14" t="s">
        <v>378</v>
      </c>
      <c r="D3322" s="14" t="s">
        <v>379</v>
      </c>
      <c r="E3322" s="14" t="s">
        <v>342</v>
      </c>
      <c r="F3322" s="14" t="s">
        <v>343</v>
      </c>
      <c r="G3322" s="14" t="s">
        <v>343</v>
      </c>
      <c r="H3322" s="14" t="s">
        <v>343</v>
      </c>
      <c r="S3322" s="14">
        <v>0.53</v>
      </c>
      <c r="U3322" s="14">
        <v>0.61</v>
      </c>
      <c r="V3322" s="14">
        <v>0.66</v>
      </c>
      <c r="W3322" s="14">
        <v>0.66</v>
      </c>
      <c r="X3322" s="14">
        <v>0.66</v>
      </c>
    </row>
    <row r="3323" spans="1:24" hidden="1" x14ac:dyDescent="0.3">
      <c r="A3323" s="14" t="s">
        <v>476</v>
      </c>
      <c r="B3323" s="14" t="s">
        <v>164</v>
      </c>
      <c r="C3323" s="14" t="s">
        <v>378</v>
      </c>
      <c r="D3323" s="14" t="s">
        <v>379</v>
      </c>
      <c r="E3323" s="14" t="s">
        <v>344</v>
      </c>
      <c r="F3323" s="14" t="s">
        <v>343</v>
      </c>
      <c r="G3323" s="14" t="s">
        <v>343</v>
      </c>
      <c r="H3323" s="14" t="s">
        <v>343</v>
      </c>
      <c r="S3323" s="14">
        <v>123</v>
      </c>
      <c r="U3323" s="14">
        <v>90</v>
      </c>
      <c r="V3323" s="14">
        <v>71</v>
      </c>
      <c r="W3323" s="14">
        <v>78</v>
      </c>
      <c r="X3323" s="14">
        <v>72</v>
      </c>
    </row>
    <row r="3324" spans="1:24" hidden="1" x14ac:dyDescent="0.3">
      <c r="A3324" s="14" t="s">
        <v>476</v>
      </c>
      <c r="B3324" s="14" t="s">
        <v>164</v>
      </c>
      <c r="C3324" s="14" t="s">
        <v>353</v>
      </c>
      <c r="D3324" s="14" t="s">
        <v>354</v>
      </c>
      <c r="E3324" s="14" t="s">
        <v>342</v>
      </c>
      <c r="F3324" s="14" t="s">
        <v>343</v>
      </c>
      <c r="G3324" s="14" t="s">
        <v>343</v>
      </c>
      <c r="H3324" s="14" t="s">
        <v>343</v>
      </c>
      <c r="U3324" s="14">
        <v>0.74</v>
      </c>
      <c r="V3324" s="14">
        <v>0.78</v>
      </c>
      <c r="W3324" s="14">
        <v>0.78</v>
      </c>
      <c r="X3324" s="14">
        <v>0.78</v>
      </c>
    </row>
    <row r="3325" spans="1:24" hidden="1" x14ac:dyDescent="0.3">
      <c r="A3325" s="14" t="s">
        <v>476</v>
      </c>
      <c r="B3325" s="14" t="s">
        <v>164</v>
      </c>
      <c r="C3325" s="14" t="s">
        <v>353</v>
      </c>
      <c r="D3325" s="14" t="s">
        <v>354</v>
      </c>
      <c r="E3325" s="14" t="s">
        <v>344</v>
      </c>
      <c r="F3325" s="14" t="s">
        <v>343</v>
      </c>
      <c r="G3325" s="14" t="s">
        <v>343</v>
      </c>
      <c r="H3325" s="14" t="s">
        <v>343</v>
      </c>
      <c r="U3325" s="14">
        <v>123</v>
      </c>
      <c r="V3325" s="14">
        <v>130</v>
      </c>
      <c r="W3325" s="14">
        <v>131</v>
      </c>
      <c r="X3325" s="14">
        <v>123</v>
      </c>
    </row>
    <row r="3326" spans="1:24" hidden="1" x14ac:dyDescent="0.3">
      <c r="A3326" s="14" t="s">
        <v>476</v>
      </c>
      <c r="B3326" s="14" t="s">
        <v>164</v>
      </c>
      <c r="C3326" s="14" t="s">
        <v>380</v>
      </c>
      <c r="D3326" s="14" t="s">
        <v>381</v>
      </c>
      <c r="E3326" s="14" t="s">
        <v>342</v>
      </c>
      <c r="F3326" s="14" t="s">
        <v>343</v>
      </c>
      <c r="G3326" s="14" t="s">
        <v>343</v>
      </c>
      <c r="H3326" s="14" t="s">
        <v>343</v>
      </c>
      <c r="U3326" s="14">
        <v>1</v>
      </c>
      <c r="V3326" s="14">
        <v>1</v>
      </c>
      <c r="W3326" s="14">
        <v>1</v>
      </c>
      <c r="X3326" s="14">
        <v>1</v>
      </c>
    </row>
    <row r="3327" spans="1:24" hidden="1" x14ac:dyDescent="0.3">
      <c r="A3327" s="14" t="s">
        <v>476</v>
      </c>
      <c r="B3327" s="14" t="s">
        <v>164</v>
      </c>
      <c r="C3327" s="14" t="s">
        <v>380</v>
      </c>
      <c r="D3327" s="14" t="s">
        <v>381</v>
      </c>
      <c r="E3327" s="14" t="s">
        <v>344</v>
      </c>
      <c r="F3327" s="14" t="s">
        <v>343</v>
      </c>
      <c r="G3327" s="14" t="s">
        <v>343</v>
      </c>
      <c r="H3327" s="14" t="s">
        <v>343</v>
      </c>
      <c r="U3327" s="14">
        <v>80</v>
      </c>
      <c r="V3327" s="14">
        <v>1</v>
      </c>
      <c r="W3327" s="14">
        <v>1</v>
      </c>
      <c r="X3327" s="14">
        <v>81</v>
      </c>
    </row>
    <row r="3328" spans="1:24" hidden="1" x14ac:dyDescent="0.3">
      <c r="A3328" s="14" t="s">
        <v>476</v>
      </c>
      <c r="B3328" s="14" t="s">
        <v>164</v>
      </c>
      <c r="C3328" s="14" t="s">
        <v>355</v>
      </c>
      <c r="D3328" s="14" t="s">
        <v>356</v>
      </c>
      <c r="E3328" s="14" t="s">
        <v>342</v>
      </c>
      <c r="F3328" s="14" t="s">
        <v>343</v>
      </c>
      <c r="G3328" s="14" t="s">
        <v>343</v>
      </c>
      <c r="H3328" s="14" t="s">
        <v>343</v>
      </c>
      <c r="U3328" s="14">
        <v>0.99</v>
      </c>
      <c r="V3328" s="14">
        <v>1</v>
      </c>
      <c r="W3328" s="14">
        <v>1</v>
      </c>
      <c r="X3328" s="14">
        <v>0.95</v>
      </c>
    </row>
    <row r="3329" spans="1:24" hidden="1" x14ac:dyDescent="0.3">
      <c r="A3329" s="14" t="s">
        <v>476</v>
      </c>
      <c r="B3329" s="14" t="s">
        <v>164</v>
      </c>
      <c r="C3329" s="14" t="s">
        <v>355</v>
      </c>
      <c r="D3329" s="14" t="s">
        <v>356</v>
      </c>
      <c r="E3329" s="14" t="s">
        <v>344</v>
      </c>
      <c r="F3329" s="14" t="s">
        <v>343</v>
      </c>
      <c r="G3329" s="14" t="s">
        <v>343</v>
      </c>
      <c r="H3329" s="14" t="s">
        <v>343</v>
      </c>
      <c r="U3329" s="14">
        <v>111</v>
      </c>
      <c r="V3329" s="14">
        <v>1</v>
      </c>
      <c r="W3329" s="14">
        <v>1</v>
      </c>
      <c r="X3329" s="14">
        <v>110</v>
      </c>
    </row>
    <row r="3330" spans="1:24" hidden="1" x14ac:dyDescent="0.3">
      <c r="A3330" s="14" t="s">
        <v>476</v>
      </c>
      <c r="B3330" s="14" t="s">
        <v>164</v>
      </c>
      <c r="C3330" s="14" t="s">
        <v>357</v>
      </c>
      <c r="D3330" s="14" t="s">
        <v>358</v>
      </c>
      <c r="E3330" s="14" t="s">
        <v>342</v>
      </c>
      <c r="F3330" s="14" t="s">
        <v>343</v>
      </c>
      <c r="G3330" s="14" t="s">
        <v>343</v>
      </c>
      <c r="H3330" s="14" t="s">
        <v>343</v>
      </c>
      <c r="U3330" s="14">
        <v>0.97</v>
      </c>
      <c r="V3330" s="14">
        <v>0.99</v>
      </c>
      <c r="W3330" s="14">
        <v>0.99</v>
      </c>
      <c r="X3330" s="14">
        <v>1</v>
      </c>
    </row>
    <row r="3331" spans="1:24" hidden="1" x14ac:dyDescent="0.3">
      <c r="A3331" s="14" t="s">
        <v>476</v>
      </c>
      <c r="B3331" s="14" t="s">
        <v>164</v>
      </c>
      <c r="C3331" s="14" t="s">
        <v>357</v>
      </c>
      <c r="D3331" s="14" t="s">
        <v>358</v>
      </c>
      <c r="E3331" s="14" t="s">
        <v>344</v>
      </c>
      <c r="F3331" s="14" t="s">
        <v>343</v>
      </c>
      <c r="G3331" s="14" t="s">
        <v>343</v>
      </c>
      <c r="H3331" s="14" t="s">
        <v>343</v>
      </c>
      <c r="U3331" s="14">
        <v>102</v>
      </c>
      <c r="V3331" s="14">
        <v>107</v>
      </c>
      <c r="W3331" s="14">
        <v>109</v>
      </c>
      <c r="X3331" s="14">
        <v>1</v>
      </c>
    </row>
    <row r="3332" spans="1:24" hidden="1" x14ac:dyDescent="0.3">
      <c r="A3332" s="14" t="s">
        <v>476</v>
      </c>
      <c r="B3332" s="14" t="s">
        <v>164</v>
      </c>
      <c r="C3332" s="14" t="s">
        <v>359</v>
      </c>
      <c r="D3332" s="14" t="s">
        <v>360</v>
      </c>
      <c r="E3332" s="14" t="s">
        <v>342</v>
      </c>
      <c r="F3332" s="14" t="s">
        <v>343</v>
      </c>
      <c r="G3332" s="14" t="s">
        <v>343</v>
      </c>
      <c r="H3332" s="14" t="s">
        <v>343</v>
      </c>
      <c r="I3332" s="14">
        <v>0.46</v>
      </c>
      <c r="J3332" s="14">
        <v>0.4</v>
      </c>
      <c r="K3332" s="14">
        <v>0.39</v>
      </c>
      <c r="L3332" s="14">
        <v>0.45</v>
      </c>
      <c r="M3332" s="14">
        <v>0.41</v>
      </c>
      <c r="N3332" s="14">
        <v>0.42</v>
      </c>
      <c r="O3332" s="14">
        <v>0.42</v>
      </c>
      <c r="P3332" s="14">
        <v>0.39</v>
      </c>
      <c r="Q3332" s="14">
        <v>0.4</v>
      </c>
      <c r="R3332" s="14">
        <v>0.38</v>
      </c>
      <c r="S3332" s="14">
        <v>0.38</v>
      </c>
      <c r="T3332" s="14">
        <v>0.39</v>
      </c>
      <c r="U3332" s="14">
        <v>0.4</v>
      </c>
      <c r="V3332" s="14">
        <v>0.4</v>
      </c>
      <c r="W3332" s="14">
        <v>0.41</v>
      </c>
      <c r="X3332" s="14">
        <v>0.45</v>
      </c>
    </row>
    <row r="3333" spans="1:24" hidden="1" x14ac:dyDescent="0.3">
      <c r="A3333" s="14" t="s">
        <v>476</v>
      </c>
      <c r="B3333" s="14" t="s">
        <v>164</v>
      </c>
      <c r="C3333" s="14" t="s">
        <v>359</v>
      </c>
      <c r="D3333" s="14" t="s">
        <v>360</v>
      </c>
      <c r="E3333" s="14" t="s">
        <v>344</v>
      </c>
      <c r="F3333" s="14" t="s">
        <v>343</v>
      </c>
      <c r="G3333" s="14" t="s">
        <v>343</v>
      </c>
      <c r="H3333" s="14" t="s">
        <v>343</v>
      </c>
      <c r="I3333" s="14">
        <v>102</v>
      </c>
      <c r="J3333" s="14">
        <v>121</v>
      </c>
      <c r="K3333" s="14">
        <v>127</v>
      </c>
      <c r="L3333" s="14">
        <v>125</v>
      </c>
      <c r="M3333" s="14">
        <v>127</v>
      </c>
      <c r="N3333" s="14">
        <v>128</v>
      </c>
      <c r="O3333" s="14">
        <v>128</v>
      </c>
      <c r="P3333" s="14">
        <v>129</v>
      </c>
      <c r="Q3333" s="14">
        <v>135</v>
      </c>
      <c r="R3333" s="14">
        <v>140</v>
      </c>
      <c r="S3333" s="14">
        <v>139</v>
      </c>
      <c r="T3333" s="14">
        <v>137</v>
      </c>
      <c r="U3333" s="14">
        <v>141</v>
      </c>
      <c r="V3333" s="14">
        <v>146</v>
      </c>
      <c r="W3333" s="14">
        <v>148</v>
      </c>
      <c r="X3333" s="14">
        <v>139</v>
      </c>
    </row>
    <row r="3334" spans="1:24" x14ac:dyDescent="0.3">
      <c r="A3334" s="14" t="s">
        <v>476</v>
      </c>
      <c r="B3334" s="14" t="s">
        <v>164</v>
      </c>
      <c r="C3334" s="14" t="s">
        <v>361</v>
      </c>
      <c r="D3334" s="14" t="s">
        <v>362</v>
      </c>
      <c r="E3334" s="14" t="s">
        <v>342</v>
      </c>
      <c r="F3334" s="14" t="s">
        <v>343</v>
      </c>
      <c r="G3334" s="14" t="s">
        <v>343</v>
      </c>
      <c r="H3334" s="14" t="s">
        <v>343</v>
      </c>
      <c r="I3334" s="14">
        <v>0.97</v>
      </c>
      <c r="J3334" s="14">
        <v>0.97</v>
      </c>
      <c r="K3334" s="14">
        <v>0.97</v>
      </c>
      <c r="L3334" s="14">
        <v>0.97</v>
      </c>
      <c r="M3334" s="14">
        <v>0.97</v>
      </c>
      <c r="N3334" s="14">
        <v>0.97</v>
      </c>
      <c r="O3334" s="14">
        <v>0.97</v>
      </c>
      <c r="P3334" s="14">
        <v>0.97</v>
      </c>
      <c r="Q3334" s="14">
        <v>0.97</v>
      </c>
      <c r="R3334" s="14">
        <v>0.97</v>
      </c>
      <c r="S3334" s="14">
        <v>0.97</v>
      </c>
      <c r="T3334" s="14">
        <v>0.96</v>
      </c>
      <c r="U3334" s="14">
        <v>0.96</v>
      </c>
      <c r="V3334" s="14">
        <v>0.96</v>
      </c>
      <c r="W3334" s="14">
        <v>0.96</v>
      </c>
      <c r="X3334" s="14">
        <v>0.96</v>
      </c>
    </row>
    <row r="3335" spans="1:24" hidden="1" x14ac:dyDescent="0.3">
      <c r="A3335" s="14" t="s">
        <v>476</v>
      </c>
      <c r="B3335" s="14" t="s">
        <v>164</v>
      </c>
      <c r="C3335" s="14" t="s">
        <v>361</v>
      </c>
      <c r="D3335" s="14" t="s">
        <v>362</v>
      </c>
      <c r="E3335" s="14" t="s">
        <v>344</v>
      </c>
      <c r="F3335" s="14" t="s">
        <v>343</v>
      </c>
      <c r="G3335" s="14" t="s">
        <v>343</v>
      </c>
      <c r="H3335" s="14" t="s">
        <v>343</v>
      </c>
      <c r="I3335" s="14">
        <v>90</v>
      </c>
      <c r="J3335" s="14">
        <v>84</v>
      </c>
      <c r="K3335" s="14">
        <v>85</v>
      </c>
      <c r="L3335" s="14">
        <v>90</v>
      </c>
      <c r="M3335" s="14">
        <v>85</v>
      </c>
      <c r="N3335" s="14">
        <v>87</v>
      </c>
      <c r="O3335" s="14">
        <v>88</v>
      </c>
      <c r="P3335" s="14">
        <v>88</v>
      </c>
      <c r="Q3335" s="14">
        <v>122</v>
      </c>
      <c r="R3335" s="14">
        <v>95</v>
      </c>
      <c r="S3335" s="14">
        <v>93</v>
      </c>
      <c r="T3335" s="14">
        <v>128</v>
      </c>
      <c r="U3335" s="14">
        <v>135</v>
      </c>
      <c r="V3335" s="14">
        <v>138</v>
      </c>
      <c r="W3335" s="14">
        <v>139</v>
      </c>
      <c r="X3335" s="14">
        <v>131</v>
      </c>
    </row>
    <row r="3336" spans="1:24" hidden="1" x14ac:dyDescent="0.3">
      <c r="A3336" s="14" t="s">
        <v>476</v>
      </c>
      <c r="B3336" s="14" t="s">
        <v>164</v>
      </c>
      <c r="C3336" s="14" t="s">
        <v>363</v>
      </c>
      <c r="D3336" s="14" t="s">
        <v>364</v>
      </c>
      <c r="E3336" s="14" t="s">
        <v>342</v>
      </c>
      <c r="F3336" s="14" t="s">
        <v>343</v>
      </c>
      <c r="G3336" s="14" t="s">
        <v>343</v>
      </c>
      <c r="H3336" s="14" t="s">
        <v>343</v>
      </c>
      <c r="U3336" s="14">
        <v>1.01</v>
      </c>
      <c r="V3336" s="14">
        <v>1.01</v>
      </c>
      <c r="W3336" s="14">
        <v>1</v>
      </c>
      <c r="X3336" s="14">
        <v>1</v>
      </c>
    </row>
    <row r="3337" spans="1:24" hidden="1" x14ac:dyDescent="0.3">
      <c r="A3337" s="14" t="s">
        <v>476</v>
      </c>
      <c r="B3337" s="14" t="s">
        <v>164</v>
      </c>
      <c r="C3337" s="14" t="s">
        <v>363</v>
      </c>
      <c r="D3337" s="14" t="s">
        <v>364</v>
      </c>
      <c r="E3337" s="14" t="s">
        <v>344</v>
      </c>
      <c r="F3337" s="14" t="s">
        <v>343</v>
      </c>
      <c r="G3337" s="14" t="s">
        <v>343</v>
      </c>
      <c r="H3337" s="14" t="s">
        <v>343</v>
      </c>
      <c r="U3337" s="14">
        <v>139</v>
      </c>
      <c r="V3337" s="14">
        <v>143</v>
      </c>
      <c r="W3337" s="14">
        <v>147</v>
      </c>
      <c r="X3337" s="14">
        <v>139</v>
      </c>
    </row>
    <row r="3338" spans="1:24" hidden="1" x14ac:dyDescent="0.3">
      <c r="A3338" s="14" t="s">
        <v>476</v>
      </c>
      <c r="B3338" s="14" t="s">
        <v>164</v>
      </c>
      <c r="C3338" s="14" t="s">
        <v>365</v>
      </c>
      <c r="D3338" s="14" t="s">
        <v>366</v>
      </c>
      <c r="E3338" s="14" t="s">
        <v>342</v>
      </c>
      <c r="F3338" s="14" t="s">
        <v>343</v>
      </c>
      <c r="G3338" s="14" t="s">
        <v>343</v>
      </c>
      <c r="H3338" s="14" t="s">
        <v>343</v>
      </c>
      <c r="U3338" s="14">
        <v>0.94</v>
      </c>
      <c r="V3338" s="14">
        <v>0.94</v>
      </c>
      <c r="W3338" s="14">
        <v>0.94</v>
      </c>
      <c r="X3338" s="14">
        <v>0.94</v>
      </c>
    </row>
    <row r="3339" spans="1:24" hidden="1" x14ac:dyDescent="0.3">
      <c r="A3339" s="14" t="s">
        <v>476</v>
      </c>
      <c r="B3339" s="14" t="s">
        <v>164</v>
      </c>
      <c r="C3339" s="14" t="s">
        <v>365</v>
      </c>
      <c r="D3339" s="14" t="s">
        <v>366</v>
      </c>
      <c r="E3339" s="14" t="s">
        <v>344</v>
      </c>
      <c r="F3339" s="14" t="s">
        <v>343</v>
      </c>
      <c r="G3339" s="14" t="s">
        <v>343</v>
      </c>
      <c r="H3339" s="14" t="s">
        <v>343</v>
      </c>
      <c r="U3339" s="14">
        <v>114</v>
      </c>
      <c r="V3339" s="14">
        <v>112</v>
      </c>
      <c r="W3339" s="14">
        <v>116</v>
      </c>
      <c r="X3339" s="14">
        <v>111</v>
      </c>
    </row>
    <row r="3340" spans="1:24" hidden="1" x14ac:dyDescent="0.3">
      <c r="A3340" s="14" t="s">
        <v>476</v>
      </c>
      <c r="B3340" s="14" t="s">
        <v>164</v>
      </c>
      <c r="C3340" s="14" t="s">
        <v>367</v>
      </c>
      <c r="D3340" s="14" t="s">
        <v>368</v>
      </c>
      <c r="E3340" s="14" t="s">
        <v>342</v>
      </c>
      <c r="F3340" s="14" t="s">
        <v>343</v>
      </c>
      <c r="G3340" s="14" t="s">
        <v>343</v>
      </c>
      <c r="H3340" s="14" t="s">
        <v>343</v>
      </c>
      <c r="I3340" s="14">
        <v>0.57999999999999996</v>
      </c>
      <c r="J3340" s="14">
        <v>0.56999999999999995</v>
      </c>
      <c r="K3340" s="14">
        <v>0.57999999999999996</v>
      </c>
      <c r="L3340" s="14">
        <v>0.59</v>
      </c>
      <c r="M3340" s="14">
        <v>0.57999999999999996</v>
      </c>
      <c r="N3340" s="14">
        <v>0.57999999999999996</v>
      </c>
      <c r="O3340" s="14">
        <v>0.57999999999999996</v>
      </c>
      <c r="P3340" s="14">
        <v>0.57999999999999996</v>
      </c>
      <c r="Q3340" s="14">
        <v>0.6</v>
      </c>
      <c r="R3340" s="14">
        <v>0.59</v>
      </c>
      <c r="S3340" s="14">
        <v>0.6</v>
      </c>
      <c r="T3340" s="14">
        <v>0.6</v>
      </c>
      <c r="U3340" s="14">
        <v>0.61</v>
      </c>
      <c r="V3340" s="14">
        <v>0.6</v>
      </c>
      <c r="W3340" s="14">
        <v>0.61</v>
      </c>
      <c r="X3340" s="14">
        <v>0.62</v>
      </c>
    </row>
    <row r="3341" spans="1:24" hidden="1" x14ac:dyDescent="0.3">
      <c r="A3341" s="14" t="s">
        <v>476</v>
      </c>
      <c r="B3341" s="14" t="s">
        <v>164</v>
      </c>
      <c r="C3341" s="14" t="s">
        <v>367</v>
      </c>
      <c r="D3341" s="14" t="s">
        <v>368</v>
      </c>
      <c r="E3341" s="14" t="s">
        <v>344</v>
      </c>
      <c r="F3341" s="14" t="s">
        <v>343</v>
      </c>
      <c r="G3341" s="14" t="s">
        <v>343</v>
      </c>
      <c r="H3341" s="14" t="s">
        <v>343</v>
      </c>
      <c r="I3341" s="14">
        <v>107</v>
      </c>
      <c r="J3341" s="14">
        <v>122</v>
      </c>
      <c r="K3341" s="14">
        <v>125</v>
      </c>
      <c r="L3341" s="14">
        <v>124</v>
      </c>
      <c r="M3341" s="14">
        <v>127</v>
      </c>
      <c r="N3341" s="14">
        <v>129</v>
      </c>
      <c r="O3341" s="14">
        <v>129</v>
      </c>
      <c r="P3341" s="14">
        <v>129</v>
      </c>
      <c r="Q3341" s="14">
        <v>133</v>
      </c>
      <c r="R3341" s="14">
        <v>139</v>
      </c>
      <c r="S3341" s="14">
        <v>137</v>
      </c>
      <c r="T3341" s="14">
        <v>136</v>
      </c>
      <c r="U3341" s="14">
        <v>137</v>
      </c>
      <c r="V3341" s="14">
        <v>143</v>
      </c>
      <c r="W3341" s="14">
        <v>144</v>
      </c>
      <c r="X3341" s="14">
        <v>136</v>
      </c>
    </row>
    <row r="3342" spans="1:24" hidden="1" x14ac:dyDescent="0.3">
      <c r="A3342" s="14" t="s">
        <v>476</v>
      </c>
      <c r="B3342" s="14" t="s">
        <v>164</v>
      </c>
      <c r="C3342" s="14" t="s">
        <v>369</v>
      </c>
      <c r="D3342" s="14" t="s">
        <v>370</v>
      </c>
      <c r="E3342" s="14" t="s">
        <v>342</v>
      </c>
      <c r="F3342" s="14" t="s">
        <v>343</v>
      </c>
      <c r="G3342" s="14" t="s">
        <v>343</v>
      </c>
      <c r="H3342" s="14" t="s">
        <v>343</v>
      </c>
      <c r="I3342" s="14">
        <v>0.05</v>
      </c>
      <c r="J3342" s="14">
        <v>0.05</v>
      </c>
      <c r="K3342" s="14">
        <v>0.1</v>
      </c>
      <c r="L3342" s="14">
        <v>0.1</v>
      </c>
      <c r="M3342" s="14">
        <v>7.0000000000000007E-2</v>
      </c>
      <c r="N3342" s="14">
        <v>7.0000000000000007E-2</v>
      </c>
      <c r="O3342" s="14">
        <v>7.0000000000000007E-2</v>
      </c>
      <c r="P3342" s="14">
        <v>7.0000000000000007E-2</v>
      </c>
      <c r="Q3342" s="14">
        <v>0.11</v>
      </c>
      <c r="R3342" s="14">
        <v>0.11</v>
      </c>
      <c r="S3342" s="14">
        <v>0.11</v>
      </c>
      <c r="T3342" s="14">
        <v>0.12</v>
      </c>
      <c r="U3342" s="14">
        <v>0.12</v>
      </c>
      <c r="V3342" s="14">
        <v>0.1</v>
      </c>
      <c r="W3342" s="14">
        <v>0.13</v>
      </c>
      <c r="X3342" s="14">
        <v>0.14000000000000001</v>
      </c>
    </row>
    <row r="3343" spans="1:24" hidden="1" x14ac:dyDescent="0.3">
      <c r="A3343" s="14" t="s">
        <v>476</v>
      </c>
      <c r="B3343" s="14" t="s">
        <v>164</v>
      </c>
      <c r="C3343" s="14" t="s">
        <v>369</v>
      </c>
      <c r="D3343" s="14" t="s">
        <v>370</v>
      </c>
      <c r="E3343" s="14" t="s">
        <v>344</v>
      </c>
      <c r="F3343" s="14" t="s">
        <v>343</v>
      </c>
      <c r="G3343" s="14" t="s">
        <v>343</v>
      </c>
      <c r="H3343" s="14" t="s">
        <v>343</v>
      </c>
      <c r="I3343" s="14">
        <v>92</v>
      </c>
      <c r="J3343" s="14">
        <v>103</v>
      </c>
      <c r="K3343" s="14">
        <v>86</v>
      </c>
      <c r="L3343" s="14">
        <v>90</v>
      </c>
      <c r="M3343" s="14">
        <v>103</v>
      </c>
      <c r="N3343" s="14">
        <v>102</v>
      </c>
      <c r="O3343" s="14">
        <v>108</v>
      </c>
      <c r="P3343" s="14">
        <v>111</v>
      </c>
      <c r="Q3343" s="14">
        <v>98</v>
      </c>
      <c r="R3343" s="14">
        <v>97</v>
      </c>
      <c r="S3343" s="14">
        <v>98</v>
      </c>
      <c r="T3343" s="14">
        <v>100</v>
      </c>
      <c r="U3343" s="14">
        <v>102</v>
      </c>
      <c r="V3343" s="14">
        <v>123</v>
      </c>
      <c r="W3343" s="14">
        <v>113</v>
      </c>
      <c r="X3343" s="14">
        <v>99</v>
      </c>
    </row>
    <row r="3344" spans="1:24" hidden="1" x14ac:dyDescent="0.3">
      <c r="A3344" s="14" t="s">
        <v>476</v>
      </c>
      <c r="B3344" s="14" t="s">
        <v>164</v>
      </c>
      <c r="C3344" s="14" t="s">
        <v>371</v>
      </c>
      <c r="D3344" s="14" t="s">
        <v>372</v>
      </c>
      <c r="E3344" s="14" t="s">
        <v>342</v>
      </c>
      <c r="F3344" s="14" t="s">
        <v>343</v>
      </c>
      <c r="G3344" s="14" t="s">
        <v>343</v>
      </c>
      <c r="H3344" s="14" t="s">
        <v>343</v>
      </c>
      <c r="U3344" s="14">
        <v>0</v>
      </c>
      <c r="V3344" s="14">
        <v>0</v>
      </c>
      <c r="W3344" s="14">
        <v>0</v>
      </c>
      <c r="X3344" s="14">
        <v>0</v>
      </c>
    </row>
    <row r="3345" spans="1:24" hidden="1" x14ac:dyDescent="0.3">
      <c r="A3345" s="14" t="s">
        <v>476</v>
      </c>
      <c r="B3345" s="14" t="s">
        <v>164</v>
      </c>
      <c r="C3345" s="14" t="s">
        <v>371</v>
      </c>
      <c r="D3345" s="14" t="s">
        <v>372</v>
      </c>
      <c r="E3345" s="14" t="s">
        <v>344</v>
      </c>
      <c r="F3345" s="14" t="s">
        <v>343</v>
      </c>
      <c r="G3345" s="14" t="s">
        <v>343</v>
      </c>
      <c r="H3345" s="14" t="s">
        <v>343</v>
      </c>
      <c r="U3345" s="14">
        <v>71</v>
      </c>
      <c r="V3345" s="14">
        <v>73</v>
      </c>
      <c r="W3345" s="14">
        <v>76</v>
      </c>
      <c r="X3345" s="14">
        <v>78</v>
      </c>
    </row>
    <row r="3346" spans="1:24" hidden="1" x14ac:dyDescent="0.3">
      <c r="A3346" s="14" t="s">
        <v>476</v>
      </c>
      <c r="B3346" s="14" t="s">
        <v>164</v>
      </c>
      <c r="C3346" s="14" t="s">
        <v>373</v>
      </c>
      <c r="D3346" s="14" t="s">
        <v>374</v>
      </c>
      <c r="E3346" s="14" t="s">
        <v>342</v>
      </c>
      <c r="F3346" s="14" t="s">
        <v>343</v>
      </c>
      <c r="G3346" s="14" t="s">
        <v>343</v>
      </c>
      <c r="H3346" s="14" t="s">
        <v>343</v>
      </c>
      <c r="U3346" s="14">
        <v>0.15</v>
      </c>
      <c r="V3346" s="14">
        <v>0.06</v>
      </c>
      <c r="W3346" s="14">
        <v>0.19</v>
      </c>
      <c r="X3346" s="14">
        <v>0.19</v>
      </c>
    </row>
    <row r="3347" spans="1:24" hidden="1" x14ac:dyDescent="0.3">
      <c r="A3347" s="14" t="s">
        <v>476</v>
      </c>
      <c r="B3347" s="14" t="s">
        <v>164</v>
      </c>
      <c r="C3347" s="14" t="s">
        <v>373</v>
      </c>
      <c r="D3347" s="14" t="s">
        <v>374</v>
      </c>
      <c r="E3347" s="14" t="s">
        <v>344</v>
      </c>
      <c r="F3347" s="14" t="s">
        <v>343</v>
      </c>
      <c r="G3347" s="14" t="s">
        <v>343</v>
      </c>
      <c r="H3347" s="14" t="s">
        <v>343</v>
      </c>
      <c r="U3347" s="14">
        <v>102</v>
      </c>
      <c r="V3347" s="14">
        <v>136</v>
      </c>
      <c r="W3347" s="14">
        <v>97</v>
      </c>
      <c r="X3347" s="14">
        <v>92</v>
      </c>
    </row>
    <row r="3348" spans="1:24" hidden="1" x14ac:dyDescent="0.3">
      <c r="A3348" s="14" t="s">
        <v>476</v>
      </c>
      <c r="B3348" s="14" t="s">
        <v>164</v>
      </c>
      <c r="C3348" s="14" t="s">
        <v>375</v>
      </c>
      <c r="D3348" s="14" t="s">
        <v>376</v>
      </c>
      <c r="E3348" s="14" t="s">
        <v>342</v>
      </c>
      <c r="F3348" s="14" t="s">
        <v>343</v>
      </c>
      <c r="G3348" s="14" t="s">
        <v>343</v>
      </c>
      <c r="H3348" s="14" t="s">
        <v>343</v>
      </c>
      <c r="U3348" s="14">
        <v>0.26</v>
      </c>
      <c r="V3348" s="14">
        <v>0.26</v>
      </c>
      <c r="W3348" s="14">
        <v>0.26</v>
      </c>
      <c r="X3348" s="14">
        <v>0.32</v>
      </c>
    </row>
    <row r="3349" spans="1:24" hidden="1" x14ac:dyDescent="0.3">
      <c r="A3349" s="14" t="s">
        <v>476</v>
      </c>
      <c r="B3349" s="14" t="s">
        <v>164</v>
      </c>
      <c r="C3349" s="14" t="s">
        <v>375</v>
      </c>
      <c r="D3349" s="14" t="s">
        <v>376</v>
      </c>
      <c r="E3349" s="14" t="s">
        <v>344</v>
      </c>
      <c r="F3349" s="14" t="s">
        <v>343</v>
      </c>
      <c r="G3349" s="14" t="s">
        <v>343</v>
      </c>
      <c r="H3349" s="14" t="s">
        <v>343</v>
      </c>
      <c r="U3349" s="14">
        <v>79</v>
      </c>
      <c r="V3349" s="14">
        <v>89</v>
      </c>
      <c r="W3349" s="14">
        <v>100</v>
      </c>
      <c r="X3349" s="14">
        <v>82</v>
      </c>
    </row>
    <row r="3350" spans="1:24" hidden="1" x14ac:dyDescent="0.3">
      <c r="A3350" s="14" t="s">
        <v>477</v>
      </c>
      <c r="B3350" s="14" t="s">
        <v>318</v>
      </c>
      <c r="C3350" s="14" t="s">
        <v>340</v>
      </c>
      <c r="D3350" s="14" t="s">
        <v>341</v>
      </c>
      <c r="E3350" s="14" t="s">
        <v>342</v>
      </c>
      <c r="F3350" s="14" t="s">
        <v>343</v>
      </c>
      <c r="G3350" s="14" t="s">
        <v>343</v>
      </c>
      <c r="H3350" s="14" t="s">
        <v>343</v>
      </c>
      <c r="I3350" s="14">
        <v>0.99</v>
      </c>
      <c r="J3350" s="14">
        <v>0.99</v>
      </c>
      <c r="K3350" s="14">
        <v>1</v>
      </c>
      <c r="L3350" s="14">
        <v>0.99</v>
      </c>
      <c r="M3350" s="14">
        <v>0.99</v>
      </c>
      <c r="N3350" s="14">
        <v>0.99</v>
      </c>
      <c r="O3350" s="14">
        <v>1</v>
      </c>
      <c r="P3350" s="14">
        <v>0.99</v>
      </c>
      <c r="Q3350" s="14">
        <v>0.99</v>
      </c>
      <c r="R3350" s="14">
        <v>1</v>
      </c>
      <c r="S3350" s="14">
        <v>1</v>
      </c>
      <c r="T3350" s="14">
        <v>0.99</v>
      </c>
      <c r="U3350" s="14">
        <v>0.99</v>
      </c>
      <c r="V3350" s="14">
        <v>1</v>
      </c>
      <c r="W3350" s="14">
        <v>1</v>
      </c>
      <c r="X3350" s="14">
        <v>1</v>
      </c>
    </row>
    <row r="3351" spans="1:24" hidden="1" x14ac:dyDescent="0.3">
      <c r="A3351" s="14" t="s">
        <v>477</v>
      </c>
      <c r="B3351" s="14" t="s">
        <v>318</v>
      </c>
      <c r="C3351" s="14" t="s">
        <v>340</v>
      </c>
      <c r="D3351" s="14" t="s">
        <v>341</v>
      </c>
      <c r="E3351" s="14" t="s">
        <v>344</v>
      </c>
      <c r="F3351" s="14" t="s">
        <v>343</v>
      </c>
      <c r="G3351" s="14" t="s">
        <v>343</v>
      </c>
      <c r="H3351" s="14" t="s">
        <v>343</v>
      </c>
      <c r="I3351" s="14">
        <v>36</v>
      </c>
      <c r="J3351" s="14">
        <v>41</v>
      </c>
      <c r="K3351" s="14">
        <v>35</v>
      </c>
      <c r="L3351" s="14">
        <v>63</v>
      </c>
      <c r="M3351" s="14">
        <v>66</v>
      </c>
      <c r="N3351" s="14">
        <v>64</v>
      </c>
      <c r="O3351" s="14">
        <v>42</v>
      </c>
      <c r="P3351" s="14">
        <v>74</v>
      </c>
      <c r="Q3351" s="14">
        <v>56</v>
      </c>
      <c r="R3351" s="14">
        <v>50</v>
      </c>
      <c r="S3351" s="14">
        <v>52</v>
      </c>
      <c r="T3351" s="14">
        <v>66</v>
      </c>
      <c r="U3351" s="14">
        <v>69</v>
      </c>
      <c r="V3351" s="14">
        <v>61</v>
      </c>
      <c r="W3351" s="14">
        <v>63</v>
      </c>
      <c r="X3351" s="14">
        <v>52</v>
      </c>
    </row>
    <row r="3352" spans="1:24" hidden="1" x14ac:dyDescent="0.3">
      <c r="A3352" s="14" t="s">
        <v>477</v>
      </c>
      <c r="B3352" s="14" t="s">
        <v>318</v>
      </c>
      <c r="C3352" s="14" t="s">
        <v>345</v>
      </c>
      <c r="D3352" s="14" t="s">
        <v>346</v>
      </c>
      <c r="E3352" s="14" t="s">
        <v>342</v>
      </c>
      <c r="F3352" s="14" t="s">
        <v>343</v>
      </c>
      <c r="G3352" s="14" t="s">
        <v>343</v>
      </c>
      <c r="H3352" s="14" t="s">
        <v>343</v>
      </c>
      <c r="U3352" s="14">
        <v>0.75</v>
      </c>
      <c r="V3352" s="14">
        <v>0.75</v>
      </c>
      <c r="W3352" s="14">
        <v>0.75</v>
      </c>
      <c r="X3352" s="14">
        <v>0.68</v>
      </c>
    </row>
    <row r="3353" spans="1:24" hidden="1" x14ac:dyDescent="0.3">
      <c r="A3353" s="14" t="s">
        <v>477</v>
      </c>
      <c r="B3353" s="14" t="s">
        <v>318</v>
      </c>
      <c r="C3353" s="14" t="s">
        <v>345</v>
      </c>
      <c r="D3353" s="14" t="s">
        <v>346</v>
      </c>
      <c r="E3353" s="14" t="s">
        <v>344</v>
      </c>
      <c r="F3353" s="14" t="s">
        <v>343</v>
      </c>
      <c r="G3353" s="14" t="s">
        <v>343</v>
      </c>
      <c r="H3353" s="14" t="s">
        <v>343</v>
      </c>
      <c r="U3353" s="14">
        <v>18</v>
      </c>
      <c r="V3353" s="14">
        <v>22</v>
      </c>
      <c r="W3353" s="14">
        <v>20</v>
      </c>
      <c r="X3353" s="14">
        <v>53</v>
      </c>
    </row>
    <row r="3354" spans="1:24" hidden="1" x14ac:dyDescent="0.3">
      <c r="A3354" s="14" t="s">
        <v>477</v>
      </c>
      <c r="B3354" s="14" t="s">
        <v>318</v>
      </c>
      <c r="C3354" s="14" t="s">
        <v>347</v>
      </c>
      <c r="D3354" s="14" t="s">
        <v>348</v>
      </c>
      <c r="E3354" s="14" t="s">
        <v>342</v>
      </c>
      <c r="F3354" s="14" t="s">
        <v>343</v>
      </c>
      <c r="G3354" s="14" t="s">
        <v>343</v>
      </c>
      <c r="H3354" s="14" t="s">
        <v>343</v>
      </c>
      <c r="U3354" s="14">
        <v>0.91</v>
      </c>
      <c r="V3354" s="14">
        <v>0.9</v>
      </c>
      <c r="W3354" s="14">
        <v>0.9</v>
      </c>
      <c r="X3354" s="14">
        <v>0.77</v>
      </c>
    </row>
    <row r="3355" spans="1:24" hidden="1" x14ac:dyDescent="0.3">
      <c r="A3355" s="14" t="s">
        <v>477</v>
      </c>
      <c r="B3355" s="14" t="s">
        <v>318</v>
      </c>
      <c r="C3355" s="14" t="s">
        <v>347</v>
      </c>
      <c r="D3355" s="14" t="s">
        <v>348</v>
      </c>
      <c r="E3355" s="14" t="s">
        <v>344</v>
      </c>
      <c r="F3355" s="14" t="s">
        <v>343</v>
      </c>
      <c r="G3355" s="14" t="s">
        <v>343</v>
      </c>
      <c r="H3355" s="14" t="s">
        <v>343</v>
      </c>
      <c r="U3355" s="14">
        <v>28</v>
      </c>
      <c r="V3355" s="14">
        <v>35</v>
      </c>
      <c r="W3355" s="14">
        <v>37</v>
      </c>
      <c r="X3355" s="14">
        <v>75</v>
      </c>
    </row>
    <row r="3356" spans="1:24" hidden="1" x14ac:dyDescent="0.3">
      <c r="A3356" s="14" t="s">
        <v>477</v>
      </c>
      <c r="B3356" s="14" t="s">
        <v>318</v>
      </c>
      <c r="C3356" s="14" t="s">
        <v>349</v>
      </c>
      <c r="D3356" s="14" t="s">
        <v>350</v>
      </c>
      <c r="E3356" s="14" t="s">
        <v>342</v>
      </c>
      <c r="F3356" s="14" t="s">
        <v>343</v>
      </c>
      <c r="G3356" s="14" t="s">
        <v>343</v>
      </c>
      <c r="H3356" s="14" t="s">
        <v>343</v>
      </c>
      <c r="U3356" s="14">
        <v>0.73</v>
      </c>
      <c r="V3356" s="14">
        <v>0.68</v>
      </c>
      <c r="W3356" s="14">
        <v>0.84</v>
      </c>
      <c r="X3356" s="14">
        <v>0.8</v>
      </c>
    </row>
    <row r="3357" spans="1:24" hidden="1" x14ac:dyDescent="0.3">
      <c r="A3357" s="14" t="s">
        <v>477</v>
      </c>
      <c r="B3357" s="14" t="s">
        <v>318</v>
      </c>
      <c r="C3357" s="14" t="s">
        <v>349</v>
      </c>
      <c r="D3357" s="14" t="s">
        <v>350</v>
      </c>
      <c r="E3357" s="14" t="s">
        <v>344</v>
      </c>
      <c r="F3357" s="14" t="s">
        <v>343</v>
      </c>
      <c r="G3357" s="14" t="s">
        <v>343</v>
      </c>
      <c r="H3357" s="14" t="s">
        <v>343</v>
      </c>
      <c r="U3357" s="14">
        <v>16</v>
      </c>
      <c r="V3357" s="14">
        <v>23</v>
      </c>
      <c r="W3357" s="14">
        <v>20</v>
      </c>
      <c r="X3357" s="14">
        <v>23</v>
      </c>
    </row>
    <row r="3358" spans="1:24" hidden="1" x14ac:dyDescent="0.3">
      <c r="A3358" s="14" t="s">
        <v>477</v>
      </c>
      <c r="B3358" s="14" t="s">
        <v>318</v>
      </c>
      <c r="C3358" s="14" t="s">
        <v>351</v>
      </c>
      <c r="D3358" s="14" t="s">
        <v>352</v>
      </c>
      <c r="E3358" s="14" t="s">
        <v>342</v>
      </c>
      <c r="F3358" s="14" t="s">
        <v>343</v>
      </c>
      <c r="G3358" s="14" t="s">
        <v>343</v>
      </c>
      <c r="H3358" s="14" t="s">
        <v>343</v>
      </c>
      <c r="U3358" s="14">
        <v>1</v>
      </c>
      <c r="V3358" s="14">
        <v>1</v>
      </c>
      <c r="W3358" s="14">
        <v>1</v>
      </c>
      <c r="X3358" s="14">
        <v>1</v>
      </c>
    </row>
    <row r="3359" spans="1:24" hidden="1" x14ac:dyDescent="0.3">
      <c r="A3359" s="14" t="s">
        <v>477</v>
      </c>
      <c r="B3359" s="14" t="s">
        <v>318</v>
      </c>
      <c r="C3359" s="14" t="s">
        <v>351</v>
      </c>
      <c r="D3359" s="14" t="s">
        <v>352</v>
      </c>
      <c r="E3359" s="14" t="s">
        <v>344</v>
      </c>
      <c r="F3359" s="14" t="s">
        <v>343</v>
      </c>
      <c r="G3359" s="14" t="s">
        <v>343</v>
      </c>
      <c r="H3359" s="14" t="s">
        <v>343</v>
      </c>
      <c r="U3359" s="14">
        <v>1</v>
      </c>
      <c r="V3359" s="14">
        <v>1</v>
      </c>
      <c r="W3359" s="14">
        <v>1</v>
      </c>
      <c r="X3359" s="14">
        <v>1</v>
      </c>
    </row>
    <row r="3360" spans="1:24" hidden="1" x14ac:dyDescent="0.3">
      <c r="A3360" s="14" t="s">
        <v>477</v>
      </c>
      <c r="B3360" s="14" t="s">
        <v>318</v>
      </c>
      <c r="C3360" s="14" t="s">
        <v>378</v>
      </c>
      <c r="D3360" s="14" t="s">
        <v>379</v>
      </c>
      <c r="E3360" s="14" t="s">
        <v>342</v>
      </c>
      <c r="F3360" s="14" t="s">
        <v>343</v>
      </c>
      <c r="G3360" s="14" t="s">
        <v>343</v>
      </c>
      <c r="H3360" s="14" t="s">
        <v>343</v>
      </c>
      <c r="S3360" s="14">
        <v>0.69</v>
      </c>
      <c r="U3360" s="14">
        <v>0.67</v>
      </c>
      <c r="V3360" s="14">
        <v>0.71</v>
      </c>
      <c r="W3360" s="14">
        <v>0.71</v>
      </c>
      <c r="X3360" s="14">
        <v>0.71</v>
      </c>
    </row>
    <row r="3361" spans="1:24" hidden="1" x14ac:dyDescent="0.3">
      <c r="A3361" s="14" t="s">
        <v>477</v>
      </c>
      <c r="B3361" s="14" t="s">
        <v>318</v>
      </c>
      <c r="C3361" s="14" t="s">
        <v>378</v>
      </c>
      <c r="D3361" s="14" t="s">
        <v>379</v>
      </c>
      <c r="E3361" s="14" t="s">
        <v>344</v>
      </c>
      <c r="F3361" s="14" t="s">
        <v>343</v>
      </c>
      <c r="G3361" s="14" t="s">
        <v>343</v>
      </c>
      <c r="H3361" s="14" t="s">
        <v>343</v>
      </c>
      <c r="S3361" s="14">
        <v>46</v>
      </c>
      <c r="U3361" s="14">
        <v>60</v>
      </c>
      <c r="V3361" s="14">
        <v>39</v>
      </c>
      <c r="W3361" s="14">
        <v>44</v>
      </c>
      <c r="X3361" s="14">
        <v>41</v>
      </c>
    </row>
    <row r="3362" spans="1:24" hidden="1" x14ac:dyDescent="0.3">
      <c r="A3362" s="14" t="s">
        <v>477</v>
      </c>
      <c r="B3362" s="14" t="s">
        <v>318</v>
      </c>
      <c r="C3362" s="14" t="s">
        <v>353</v>
      </c>
      <c r="D3362" s="14" t="s">
        <v>354</v>
      </c>
      <c r="E3362" s="14" t="s">
        <v>342</v>
      </c>
      <c r="F3362" s="14" t="s">
        <v>343</v>
      </c>
      <c r="G3362" s="14" t="s">
        <v>343</v>
      </c>
      <c r="H3362" s="14" t="s">
        <v>343</v>
      </c>
      <c r="U3362" s="14">
        <v>1</v>
      </c>
      <c r="V3362" s="14">
        <v>1</v>
      </c>
      <c r="W3362" s="14">
        <v>1</v>
      </c>
      <c r="X3362" s="14">
        <v>1</v>
      </c>
    </row>
    <row r="3363" spans="1:24" hidden="1" x14ac:dyDescent="0.3">
      <c r="A3363" s="14" t="s">
        <v>477</v>
      </c>
      <c r="B3363" s="14" t="s">
        <v>318</v>
      </c>
      <c r="C3363" s="14" t="s">
        <v>353</v>
      </c>
      <c r="D3363" s="14" t="s">
        <v>354</v>
      </c>
      <c r="E3363" s="14" t="s">
        <v>344</v>
      </c>
      <c r="F3363" s="14" t="s">
        <v>343</v>
      </c>
      <c r="G3363" s="14" t="s">
        <v>343</v>
      </c>
      <c r="H3363" s="14" t="s">
        <v>343</v>
      </c>
      <c r="U3363" s="14">
        <v>57</v>
      </c>
      <c r="V3363" s="14">
        <v>63</v>
      </c>
      <c r="W3363" s="14">
        <v>63</v>
      </c>
      <c r="X3363" s="14">
        <v>61</v>
      </c>
    </row>
    <row r="3364" spans="1:24" hidden="1" x14ac:dyDescent="0.3">
      <c r="A3364" s="14" t="s">
        <v>477</v>
      </c>
      <c r="B3364" s="14" t="s">
        <v>318</v>
      </c>
      <c r="C3364" s="14" t="s">
        <v>380</v>
      </c>
      <c r="D3364" s="14" t="s">
        <v>381</v>
      </c>
      <c r="E3364" s="14" t="s">
        <v>342</v>
      </c>
      <c r="F3364" s="14" t="s">
        <v>343</v>
      </c>
      <c r="G3364" s="14" t="s">
        <v>343</v>
      </c>
      <c r="H3364" s="14" t="s">
        <v>343</v>
      </c>
      <c r="U3364" s="14">
        <v>0.99</v>
      </c>
      <c r="V3364" s="14">
        <v>1</v>
      </c>
      <c r="W3364" s="14">
        <v>1</v>
      </c>
    </row>
    <row r="3365" spans="1:24" hidden="1" x14ac:dyDescent="0.3">
      <c r="A3365" s="14" t="s">
        <v>477</v>
      </c>
      <c r="B3365" s="14" t="s">
        <v>318</v>
      </c>
      <c r="C3365" s="14" t="s">
        <v>380</v>
      </c>
      <c r="D3365" s="14" t="s">
        <v>381</v>
      </c>
      <c r="E3365" s="14" t="s">
        <v>344</v>
      </c>
      <c r="F3365" s="14" t="s">
        <v>343</v>
      </c>
      <c r="G3365" s="14" t="s">
        <v>343</v>
      </c>
      <c r="H3365" s="14" t="s">
        <v>343</v>
      </c>
      <c r="U3365" s="14">
        <v>106</v>
      </c>
      <c r="V3365" s="14">
        <v>87</v>
      </c>
      <c r="W3365" s="14">
        <v>89</v>
      </c>
    </row>
    <row r="3366" spans="1:24" hidden="1" x14ac:dyDescent="0.3">
      <c r="A3366" s="14" t="s">
        <v>477</v>
      </c>
      <c r="B3366" s="14" t="s">
        <v>318</v>
      </c>
      <c r="C3366" s="14" t="s">
        <v>355</v>
      </c>
      <c r="D3366" s="14" t="s">
        <v>356</v>
      </c>
      <c r="E3366" s="14" t="s">
        <v>342</v>
      </c>
      <c r="F3366" s="14" t="s">
        <v>343</v>
      </c>
      <c r="G3366" s="14" t="s">
        <v>343</v>
      </c>
      <c r="H3366" s="14" t="s">
        <v>343</v>
      </c>
      <c r="U3366" s="14">
        <v>1</v>
      </c>
      <c r="V3366" s="14">
        <v>0.99</v>
      </c>
      <c r="W3366" s="14">
        <v>0.99</v>
      </c>
      <c r="X3366" s="14">
        <v>0.99</v>
      </c>
    </row>
    <row r="3367" spans="1:24" hidden="1" x14ac:dyDescent="0.3">
      <c r="A3367" s="14" t="s">
        <v>477</v>
      </c>
      <c r="B3367" s="14" t="s">
        <v>318</v>
      </c>
      <c r="C3367" s="14" t="s">
        <v>355</v>
      </c>
      <c r="D3367" s="14" t="s">
        <v>356</v>
      </c>
      <c r="E3367" s="14" t="s">
        <v>344</v>
      </c>
      <c r="F3367" s="14" t="s">
        <v>343</v>
      </c>
      <c r="G3367" s="14" t="s">
        <v>343</v>
      </c>
      <c r="H3367" s="14" t="s">
        <v>343</v>
      </c>
      <c r="U3367" s="14">
        <v>105</v>
      </c>
      <c r="V3367" s="14">
        <v>110</v>
      </c>
      <c r="W3367" s="14">
        <v>111</v>
      </c>
      <c r="X3367" s="14">
        <v>81</v>
      </c>
    </row>
    <row r="3368" spans="1:24" hidden="1" x14ac:dyDescent="0.3">
      <c r="A3368" s="14" t="s">
        <v>477</v>
      </c>
      <c r="B3368" s="14" t="s">
        <v>318</v>
      </c>
      <c r="C3368" s="14" t="s">
        <v>357</v>
      </c>
      <c r="D3368" s="14" t="s">
        <v>358</v>
      </c>
      <c r="E3368" s="14" t="s">
        <v>342</v>
      </c>
      <c r="F3368" s="14" t="s">
        <v>343</v>
      </c>
      <c r="G3368" s="14" t="s">
        <v>343</v>
      </c>
      <c r="H3368" s="14" t="s">
        <v>343</v>
      </c>
      <c r="U3368" s="14">
        <v>1</v>
      </c>
      <c r="V3368" s="14">
        <v>1</v>
      </c>
      <c r="W3368" s="14">
        <v>1</v>
      </c>
      <c r="X3368" s="14">
        <v>1</v>
      </c>
    </row>
    <row r="3369" spans="1:24" hidden="1" x14ac:dyDescent="0.3">
      <c r="A3369" s="14" t="s">
        <v>477</v>
      </c>
      <c r="B3369" s="14" t="s">
        <v>318</v>
      </c>
      <c r="C3369" s="14" t="s">
        <v>357</v>
      </c>
      <c r="D3369" s="14" t="s">
        <v>358</v>
      </c>
      <c r="E3369" s="14" t="s">
        <v>344</v>
      </c>
      <c r="F3369" s="14" t="s">
        <v>343</v>
      </c>
      <c r="G3369" s="14" t="s">
        <v>343</v>
      </c>
      <c r="H3369" s="14" t="s">
        <v>343</v>
      </c>
      <c r="U3369" s="14">
        <v>1</v>
      </c>
      <c r="V3369" s="14">
        <v>1</v>
      </c>
      <c r="W3369" s="14">
        <v>1</v>
      </c>
      <c r="X3369" s="14">
        <v>1</v>
      </c>
    </row>
    <row r="3370" spans="1:24" hidden="1" x14ac:dyDescent="0.3">
      <c r="A3370" s="14" t="s">
        <v>477</v>
      </c>
      <c r="B3370" s="14" t="s">
        <v>318</v>
      </c>
      <c r="C3370" s="14" t="s">
        <v>359</v>
      </c>
      <c r="D3370" s="14" t="s">
        <v>360</v>
      </c>
      <c r="E3370" s="14" t="s">
        <v>342</v>
      </c>
      <c r="F3370" s="14" t="s">
        <v>343</v>
      </c>
      <c r="G3370" s="14" t="s">
        <v>343</v>
      </c>
      <c r="H3370" s="14" t="s">
        <v>343</v>
      </c>
      <c r="I3370" s="14">
        <v>0.76</v>
      </c>
      <c r="J3370" s="14">
        <v>0.78</v>
      </c>
      <c r="K3370" s="14">
        <v>0.8</v>
      </c>
      <c r="L3370" s="14">
        <v>0.73</v>
      </c>
      <c r="M3370" s="14">
        <v>0.77</v>
      </c>
      <c r="N3370" s="14">
        <v>0.76</v>
      </c>
      <c r="O3370" s="14">
        <v>0.76</v>
      </c>
      <c r="P3370" s="14">
        <v>0.74</v>
      </c>
      <c r="Q3370" s="14">
        <v>0.81</v>
      </c>
      <c r="R3370" s="14">
        <v>0.8</v>
      </c>
      <c r="S3370" s="14">
        <v>0.8</v>
      </c>
      <c r="T3370" s="14">
        <v>0.81</v>
      </c>
      <c r="U3370" s="14">
        <v>0.78</v>
      </c>
      <c r="V3370" s="14">
        <v>0.79</v>
      </c>
      <c r="W3370" s="14">
        <v>0.81</v>
      </c>
      <c r="X3370" s="14">
        <v>0.77</v>
      </c>
    </row>
    <row r="3371" spans="1:24" hidden="1" x14ac:dyDescent="0.3">
      <c r="A3371" s="14" t="s">
        <v>477</v>
      </c>
      <c r="B3371" s="14" t="s">
        <v>318</v>
      </c>
      <c r="C3371" s="14" t="s">
        <v>359</v>
      </c>
      <c r="D3371" s="14" t="s">
        <v>360</v>
      </c>
      <c r="E3371" s="14" t="s">
        <v>344</v>
      </c>
      <c r="F3371" s="14" t="s">
        <v>343</v>
      </c>
      <c r="G3371" s="14" t="s">
        <v>343</v>
      </c>
      <c r="H3371" s="14" t="s">
        <v>343</v>
      </c>
      <c r="I3371" s="14">
        <v>2</v>
      </c>
      <c r="J3371" s="14">
        <v>5</v>
      </c>
      <c r="K3371" s="14">
        <v>2</v>
      </c>
      <c r="L3371" s="14">
        <v>26</v>
      </c>
      <c r="M3371" s="14">
        <v>10</v>
      </c>
      <c r="N3371" s="14">
        <v>14</v>
      </c>
      <c r="O3371" s="14">
        <v>21</v>
      </c>
      <c r="P3371" s="14">
        <v>32</v>
      </c>
      <c r="Q3371" s="14">
        <v>11</v>
      </c>
      <c r="R3371" s="14">
        <v>18</v>
      </c>
      <c r="S3371" s="14">
        <v>15</v>
      </c>
      <c r="T3371" s="14">
        <v>11</v>
      </c>
      <c r="U3371" s="14">
        <v>18</v>
      </c>
      <c r="V3371" s="14">
        <v>19</v>
      </c>
      <c r="W3371" s="14">
        <v>10</v>
      </c>
      <c r="X3371" s="14">
        <v>25</v>
      </c>
    </row>
    <row r="3372" spans="1:24" x14ac:dyDescent="0.3">
      <c r="A3372" s="14" t="s">
        <v>477</v>
      </c>
      <c r="B3372" s="14" t="s">
        <v>318</v>
      </c>
      <c r="C3372" s="14" t="s">
        <v>361</v>
      </c>
      <c r="D3372" s="14" t="s">
        <v>362</v>
      </c>
      <c r="E3372" s="14" t="s">
        <v>342</v>
      </c>
      <c r="F3372" s="14" t="s">
        <v>343</v>
      </c>
      <c r="G3372" s="14" t="s">
        <v>343</v>
      </c>
      <c r="H3372" s="14" t="s">
        <v>343</v>
      </c>
      <c r="I3372" s="14">
        <v>0.98</v>
      </c>
      <c r="J3372" s="14">
        <v>0.98</v>
      </c>
      <c r="K3372" s="14">
        <v>0.98</v>
      </c>
      <c r="L3372" s="14">
        <v>0.98</v>
      </c>
      <c r="M3372" s="14">
        <v>0.98</v>
      </c>
      <c r="N3372" s="14">
        <v>0.98</v>
      </c>
      <c r="O3372" s="14">
        <v>0.98</v>
      </c>
      <c r="P3372" s="14">
        <v>0.98</v>
      </c>
      <c r="Q3372" s="14">
        <v>0.98</v>
      </c>
      <c r="R3372" s="14">
        <v>0.98</v>
      </c>
      <c r="S3372" s="14">
        <v>0.98</v>
      </c>
      <c r="T3372" s="14">
        <v>0.98</v>
      </c>
      <c r="U3372" s="14">
        <v>0.98</v>
      </c>
      <c r="V3372" s="14">
        <v>0.98</v>
      </c>
      <c r="W3372" s="14">
        <v>0.98</v>
      </c>
      <c r="X3372" s="14">
        <v>0.98</v>
      </c>
    </row>
    <row r="3373" spans="1:24" hidden="1" x14ac:dyDescent="0.3">
      <c r="A3373" s="14" t="s">
        <v>477</v>
      </c>
      <c r="B3373" s="14" t="s">
        <v>318</v>
      </c>
      <c r="C3373" s="14" t="s">
        <v>361</v>
      </c>
      <c r="D3373" s="14" t="s">
        <v>362</v>
      </c>
      <c r="E3373" s="14" t="s">
        <v>344</v>
      </c>
      <c r="F3373" s="14" t="s">
        <v>343</v>
      </c>
      <c r="G3373" s="14" t="s">
        <v>343</v>
      </c>
      <c r="H3373" s="14" t="s">
        <v>343</v>
      </c>
      <c r="I3373" s="14">
        <v>1</v>
      </c>
      <c r="J3373" s="14">
        <v>37</v>
      </c>
      <c r="K3373" s="14">
        <v>38</v>
      </c>
      <c r="L3373" s="14">
        <v>41</v>
      </c>
      <c r="M3373" s="14">
        <v>1</v>
      </c>
      <c r="N3373" s="14">
        <v>1</v>
      </c>
      <c r="O3373" s="14">
        <v>34</v>
      </c>
      <c r="P3373" s="14">
        <v>34</v>
      </c>
      <c r="Q3373" s="14">
        <v>37</v>
      </c>
      <c r="R3373" s="14">
        <v>42</v>
      </c>
      <c r="S3373" s="14">
        <v>40</v>
      </c>
      <c r="T3373" s="14">
        <v>1</v>
      </c>
      <c r="U3373" s="14">
        <v>1</v>
      </c>
      <c r="V3373" s="14">
        <v>1</v>
      </c>
      <c r="W3373" s="14">
        <v>1</v>
      </c>
      <c r="X3373" s="14">
        <v>1</v>
      </c>
    </row>
    <row r="3374" spans="1:24" hidden="1" x14ac:dyDescent="0.3">
      <c r="A3374" s="14" t="s">
        <v>477</v>
      </c>
      <c r="B3374" s="14" t="s">
        <v>318</v>
      </c>
      <c r="C3374" s="14" t="s">
        <v>363</v>
      </c>
      <c r="D3374" s="14" t="s">
        <v>364</v>
      </c>
      <c r="E3374" s="14" t="s">
        <v>342</v>
      </c>
      <c r="F3374" s="14" t="s">
        <v>343</v>
      </c>
      <c r="G3374" s="14" t="s">
        <v>343</v>
      </c>
      <c r="H3374" s="14" t="s">
        <v>343</v>
      </c>
      <c r="U3374" s="14">
        <v>1.06</v>
      </c>
      <c r="V3374" s="14">
        <v>1.06</v>
      </c>
      <c r="W3374" s="14">
        <v>1.06</v>
      </c>
      <c r="X3374" s="14">
        <v>1.06</v>
      </c>
    </row>
    <row r="3375" spans="1:24" hidden="1" x14ac:dyDescent="0.3">
      <c r="A3375" s="14" t="s">
        <v>477</v>
      </c>
      <c r="B3375" s="14" t="s">
        <v>318</v>
      </c>
      <c r="C3375" s="14" t="s">
        <v>363</v>
      </c>
      <c r="D3375" s="14" t="s">
        <v>364</v>
      </c>
      <c r="E3375" s="14" t="s">
        <v>344</v>
      </c>
      <c r="F3375" s="14" t="s">
        <v>343</v>
      </c>
      <c r="G3375" s="14" t="s">
        <v>343</v>
      </c>
      <c r="H3375" s="14" t="s">
        <v>343</v>
      </c>
      <c r="U3375" s="14">
        <v>1</v>
      </c>
      <c r="V3375" s="14">
        <v>1</v>
      </c>
      <c r="W3375" s="14">
        <v>1</v>
      </c>
      <c r="X3375" s="14">
        <v>1</v>
      </c>
    </row>
    <row r="3376" spans="1:24" hidden="1" x14ac:dyDescent="0.3">
      <c r="A3376" s="14" t="s">
        <v>477</v>
      </c>
      <c r="B3376" s="14" t="s">
        <v>318</v>
      </c>
      <c r="C3376" s="14" t="s">
        <v>365</v>
      </c>
      <c r="D3376" s="14" t="s">
        <v>366</v>
      </c>
      <c r="E3376" s="14" t="s">
        <v>342</v>
      </c>
      <c r="F3376" s="14" t="s">
        <v>343</v>
      </c>
      <c r="G3376" s="14" t="s">
        <v>343</v>
      </c>
      <c r="H3376" s="14" t="s">
        <v>343</v>
      </c>
      <c r="U3376" s="14">
        <v>0.94</v>
      </c>
      <c r="V3376" s="14">
        <v>0.94</v>
      </c>
      <c r="W3376" s="14">
        <v>0.94</v>
      </c>
      <c r="X3376" s="14">
        <v>0.94</v>
      </c>
    </row>
    <row r="3377" spans="1:24" hidden="1" x14ac:dyDescent="0.3">
      <c r="A3377" s="14" t="s">
        <v>477</v>
      </c>
      <c r="B3377" s="14" t="s">
        <v>318</v>
      </c>
      <c r="C3377" s="14" t="s">
        <v>365</v>
      </c>
      <c r="D3377" s="14" t="s">
        <v>366</v>
      </c>
      <c r="E3377" s="14" t="s">
        <v>344</v>
      </c>
      <c r="F3377" s="14" t="s">
        <v>343</v>
      </c>
      <c r="G3377" s="14" t="s">
        <v>343</v>
      </c>
      <c r="H3377" s="14" t="s">
        <v>343</v>
      </c>
      <c r="U3377" s="14">
        <v>1</v>
      </c>
      <c r="V3377" s="14">
        <v>1</v>
      </c>
      <c r="W3377" s="14">
        <v>1</v>
      </c>
      <c r="X3377" s="14">
        <v>1</v>
      </c>
    </row>
    <row r="3378" spans="1:24" hidden="1" x14ac:dyDescent="0.3">
      <c r="A3378" s="14" t="s">
        <v>477</v>
      </c>
      <c r="B3378" s="14" t="s">
        <v>318</v>
      </c>
      <c r="C3378" s="14" t="s">
        <v>367</v>
      </c>
      <c r="D3378" s="14" t="s">
        <v>368</v>
      </c>
      <c r="E3378" s="14" t="s">
        <v>342</v>
      </c>
      <c r="F3378" s="14" t="s">
        <v>343</v>
      </c>
      <c r="G3378" s="14" t="s">
        <v>343</v>
      </c>
      <c r="H3378" s="14" t="s">
        <v>343</v>
      </c>
      <c r="I3378" s="14">
        <v>0.71</v>
      </c>
      <c r="J3378" s="14">
        <v>0.72</v>
      </c>
      <c r="K3378" s="14">
        <v>0.72</v>
      </c>
      <c r="L3378" s="14">
        <v>0.71</v>
      </c>
      <c r="M3378" s="14">
        <v>0.72</v>
      </c>
      <c r="N3378" s="14">
        <v>0.71</v>
      </c>
      <c r="O3378" s="14">
        <v>0.71</v>
      </c>
      <c r="P3378" s="14">
        <v>0.7</v>
      </c>
      <c r="Q3378" s="14">
        <v>0.74</v>
      </c>
      <c r="R3378" s="14">
        <v>0.74</v>
      </c>
      <c r="S3378" s="14">
        <v>0.74</v>
      </c>
      <c r="T3378" s="14">
        <v>0.74</v>
      </c>
      <c r="U3378" s="14">
        <v>0.73</v>
      </c>
      <c r="V3378" s="14">
        <v>0.76</v>
      </c>
      <c r="W3378" s="14">
        <v>0.77</v>
      </c>
      <c r="X3378" s="14">
        <v>0.79</v>
      </c>
    </row>
    <row r="3379" spans="1:24" hidden="1" x14ac:dyDescent="0.3">
      <c r="A3379" s="14" t="s">
        <v>477</v>
      </c>
      <c r="B3379" s="14" t="s">
        <v>318</v>
      </c>
      <c r="C3379" s="14" t="s">
        <v>367</v>
      </c>
      <c r="D3379" s="14" t="s">
        <v>368</v>
      </c>
      <c r="E3379" s="14" t="s">
        <v>344</v>
      </c>
      <c r="F3379" s="14" t="s">
        <v>343</v>
      </c>
      <c r="G3379" s="14" t="s">
        <v>343</v>
      </c>
      <c r="H3379" s="14" t="s">
        <v>343</v>
      </c>
      <c r="I3379" s="14">
        <v>17</v>
      </c>
      <c r="J3379" s="14">
        <v>21</v>
      </c>
      <c r="K3379" s="14">
        <v>20</v>
      </c>
      <c r="L3379" s="14">
        <v>36</v>
      </c>
      <c r="M3379" s="14">
        <v>34</v>
      </c>
      <c r="N3379" s="14">
        <v>39</v>
      </c>
      <c r="O3379" s="14">
        <v>45</v>
      </c>
      <c r="P3379" s="14">
        <v>52</v>
      </c>
      <c r="Q3379" s="14">
        <v>25</v>
      </c>
      <c r="R3379" s="14">
        <v>26</v>
      </c>
      <c r="S3379" s="14">
        <v>26</v>
      </c>
      <c r="T3379" s="14">
        <v>30</v>
      </c>
      <c r="U3379" s="14">
        <v>35</v>
      </c>
      <c r="V3379" s="14">
        <v>23</v>
      </c>
      <c r="W3379" s="14">
        <v>28</v>
      </c>
      <c r="X3379" s="14">
        <v>16</v>
      </c>
    </row>
    <row r="3380" spans="1:24" hidden="1" x14ac:dyDescent="0.3">
      <c r="A3380" s="14" t="s">
        <v>477</v>
      </c>
      <c r="B3380" s="14" t="s">
        <v>318</v>
      </c>
      <c r="C3380" s="14" t="s">
        <v>369</v>
      </c>
      <c r="D3380" s="14" t="s">
        <v>370</v>
      </c>
      <c r="E3380" s="14" t="s">
        <v>342</v>
      </c>
      <c r="F3380" s="14" t="s">
        <v>343</v>
      </c>
      <c r="G3380" s="14" t="s">
        <v>343</v>
      </c>
      <c r="H3380" s="14" t="s">
        <v>343</v>
      </c>
      <c r="I3380" s="14">
        <v>0.12</v>
      </c>
      <c r="J3380" s="14">
        <v>0.12</v>
      </c>
      <c r="K3380" s="14">
        <v>0.12</v>
      </c>
      <c r="L3380" s="14">
        <v>0.14000000000000001</v>
      </c>
      <c r="M3380" s="14">
        <v>0.12</v>
      </c>
      <c r="N3380" s="14">
        <v>0.1</v>
      </c>
      <c r="O3380" s="14">
        <v>0.1</v>
      </c>
      <c r="P3380" s="14">
        <v>0.1</v>
      </c>
      <c r="Q3380" s="14">
        <v>0.18</v>
      </c>
      <c r="R3380" s="14">
        <v>0.2</v>
      </c>
      <c r="S3380" s="14">
        <v>0.2</v>
      </c>
      <c r="T3380" s="14">
        <v>0.18</v>
      </c>
      <c r="U3380" s="14">
        <v>0.18</v>
      </c>
      <c r="V3380" s="14">
        <v>0.26</v>
      </c>
      <c r="W3380" s="14">
        <v>0.28999999999999998</v>
      </c>
      <c r="X3380" s="14">
        <v>0.41</v>
      </c>
    </row>
    <row r="3381" spans="1:24" hidden="1" x14ac:dyDescent="0.3">
      <c r="A3381" s="14" t="s">
        <v>477</v>
      </c>
      <c r="B3381" s="14" t="s">
        <v>318</v>
      </c>
      <c r="C3381" s="14" t="s">
        <v>369</v>
      </c>
      <c r="D3381" s="14" t="s">
        <v>370</v>
      </c>
      <c r="E3381" s="14" t="s">
        <v>344</v>
      </c>
      <c r="F3381" s="14" t="s">
        <v>343</v>
      </c>
      <c r="G3381" s="14" t="s">
        <v>343</v>
      </c>
      <c r="H3381" s="14" t="s">
        <v>343</v>
      </c>
      <c r="I3381" s="14">
        <v>50</v>
      </c>
      <c r="J3381" s="14">
        <v>56</v>
      </c>
      <c r="K3381" s="14">
        <v>68</v>
      </c>
      <c r="L3381" s="14">
        <v>64</v>
      </c>
      <c r="M3381" s="14">
        <v>69</v>
      </c>
      <c r="N3381" s="14">
        <v>88</v>
      </c>
      <c r="O3381" s="14">
        <v>85</v>
      </c>
      <c r="P3381" s="14">
        <v>87</v>
      </c>
      <c r="Q3381" s="14">
        <v>59</v>
      </c>
      <c r="R3381" s="14">
        <v>58</v>
      </c>
      <c r="S3381" s="14">
        <v>58</v>
      </c>
      <c r="T3381" s="14">
        <v>72</v>
      </c>
      <c r="U3381" s="14">
        <v>72</v>
      </c>
      <c r="V3381" s="14">
        <v>45</v>
      </c>
      <c r="W3381" s="14">
        <v>48</v>
      </c>
      <c r="X3381" s="14">
        <v>29</v>
      </c>
    </row>
    <row r="3382" spans="1:24" hidden="1" x14ac:dyDescent="0.3">
      <c r="A3382" s="14" t="s">
        <v>477</v>
      </c>
      <c r="B3382" s="14" t="s">
        <v>318</v>
      </c>
      <c r="C3382" s="14" t="s">
        <v>371</v>
      </c>
      <c r="D3382" s="14" t="s">
        <v>372</v>
      </c>
      <c r="E3382" s="14" t="s">
        <v>342</v>
      </c>
      <c r="F3382" s="14" t="s">
        <v>343</v>
      </c>
      <c r="G3382" s="14" t="s">
        <v>343</v>
      </c>
      <c r="H3382" s="14" t="s">
        <v>343</v>
      </c>
      <c r="U3382" s="14">
        <v>0.03</v>
      </c>
      <c r="V3382" s="14">
        <v>0.03</v>
      </c>
      <c r="W3382" s="14">
        <v>0.04</v>
      </c>
      <c r="X3382" s="14">
        <v>0.08</v>
      </c>
    </row>
    <row r="3383" spans="1:24" hidden="1" x14ac:dyDescent="0.3">
      <c r="A3383" s="14" t="s">
        <v>477</v>
      </c>
      <c r="B3383" s="14" t="s">
        <v>318</v>
      </c>
      <c r="C3383" s="14" t="s">
        <v>371</v>
      </c>
      <c r="D3383" s="14" t="s">
        <v>372</v>
      </c>
      <c r="E3383" s="14" t="s">
        <v>344</v>
      </c>
      <c r="F3383" s="14" t="s">
        <v>343</v>
      </c>
      <c r="G3383" s="14" t="s">
        <v>343</v>
      </c>
      <c r="H3383" s="14" t="s">
        <v>343</v>
      </c>
      <c r="U3383" s="14">
        <v>50</v>
      </c>
      <c r="V3383" s="14">
        <v>52</v>
      </c>
      <c r="W3383" s="14">
        <v>54</v>
      </c>
      <c r="X3383" s="14">
        <v>38</v>
      </c>
    </row>
    <row r="3384" spans="1:24" hidden="1" x14ac:dyDescent="0.3">
      <c r="A3384" s="14" t="s">
        <v>477</v>
      </c>
      <c r="B3384" s="14" t="s">
        <v>318</v>
      </c>
      <c r="C3384" s="14" t="s">
        <v>373</v>
      </c>
      <c r="D3384" s="14" t="s">
        <v>374</v>
      </c>
      <c r="E3384" s="14" t="s">
        <v>342</v>
      </c>
      <c r="F3384" s="14" t="s">
        <v>343</v>
      </c>
      <c r="G3384" s="14" t="s">
        <v>343</v>
      </c>
      <c r="H3384" s="14" t="s">
        <v>343</v>
      </c>
      <c r="U3384" s="14">
        <v>0.28999999999999998</v>
      </c>
      <c r="V3384" s="14">
        <v>0.56999999999999995</v>
      </c>
      <c r="W3384" s="14">
        <v>0.67</v>
      </c>
      <c r="X3384" s="14">
        <v>0.67</v>
      </c>
    </row>
    <row r="3385" spans="1:24" hidden="1" x14ac:dyDescent="0.3">
      <c r="A3385" s="14" t="s">
        <v>477</v>
      </c>
      <c r="B3385" s="14" t="s">
        <v>318</v>
      </c>
      <c r="C3385" s="14" t="s">
        <v>373</v>
      </c>
      <c r="D3385" s="14" t="s">
        <v>374</v>
      </c>
      <c r="E3385" s="14" t="s">
        <v>344</v>
      </c>
      <c r="F3385" s="14" t="s">
        <v>343</v>
      </c>
      <c r="G3385" s="14" t="s">
        <v>343</v>
      </c>
      <c r="H3385" s="14" t="s">
        <v>343</v>
      </c>
      <c r="U3385" s="14">
        <v>56</v>
      </c>
      <c r="V3385" s="14">
        <v>22</v>
      </c>
      <c r="W3385" s="14">
        <v>23</v>
      </c>
      <c r="X3385" s="14">
        <v>23</v>
      </c>
    </row>
    <row r="3386" spans="1:24" hidden="1" x14ac:dyDescent="0.3">
      <c r="A3386" s="14" t="s">
        <v>477</v>
      </c>
      <c r="B3386" s="14" t="s">
        <v>318</v>
      </c>
      <c r="C3386" s="14" t="s">
        <v>375</v>
      </c>
      <c r="D3386" s="14" t="s">
        <v>376</v>
      </c>
      <c r="E3386" s="14" t="s">
        <v>342</v>
      </c>
      <c r="F3386" s="14" t="s">
        <v>343</v>
      </c>
      <c r="G3386" s="14" t="s">
        <v>343</v>
      </c>
      <c r="H3386" s="14" t="s">
        <v>343</v>
      </c>
      <c r="U3386" s="14">
        <v>0.28999999999999998</v>
      </c>
      <c r="V3386" s="14">
        <v>0.35</v>
      </c>
      <c r="W3386" s="14">
        <v>0.33</v>
      </c>
      <c r="X3386" s="14">
        <v>0.68</v>
      </c>
    </row>
    <row r="3387" spans="1:24" hidden="1" x14ac:dyDescent="0.3">
      <c r="A3387" s="14" t="s">
        <v>477</v>
      </c>
      <c r="B3387" s="14" t="s">
        <v>318</v>
      </c>
      <c r="C3387" s="14" t="s">
        <v>375</v>
      </c>
      <c r="D3387" s="14" t="s">
        <v>376</v>
      </c>
      <c r="E3387" s="14" t="s">
        <v>344</v>
      </c>
      <c r="F3387" s="14" t="s">
        <v>343</v>
      </c>
      <c r="G3387" s="14" t="s">
        <v>343</v>
      </c>
      <c r="H3387" s="14" t="s">
        <v>343</v>
      </c>
      <c r="U3387" s="14">
        <v>65</v>
      </c>
      <c r="V3387" s="14">
        <v>59</v>
      </c>
      <c r="W3387" s="14">
        <v>77</v>
      </c>
      <c r="X3387" s="14">
        <v>24</v>
      </c>
    </row>
    <row r="3388" spans="1:24" hidden="1" x14ac:dyDescent="0.3">
      <c r="A3388" s="14" t="s">
        <v>478</v>
      </c>
      <c r="B3388" s="14" t="s">
        <v>147</v>
      </c>
      <c r="C3388" s="14" t="s">
        <v>340</v>
      </c>
      <c r="D3388" s="14" t="s">
        <v>341</v>
      </c>
      <c r="E3388" s="14" t="s">
        <v>342</v>
      </c>
      <c r="F3388" s="14" t="s">
        <v>343</v>
      </c>
      <c r="G3388" s="14" t="s">
        <v>343</v>
      </c>
      <c r="H3388" s="14" t="s">
        <v>343</v>
      </c>
      <c r="I3388" s="14">
        <v>0.96</v>
      </c>
      <c r="J3388" s="14">
        <v>0.96</v>
      </c>
      <c r="K3388" s="14">
        <v>0.96</v>
      </c>
      <c r="L3388" s="14">
        <v>0.96</v>
      </c>
      <c r="M3388" s="14">
        <v>0.96</v>
      </c>
      <c r="N3388" s="14">
        <v>0.97</v>
      </c>
      <c r="O3388" s="14">
        <v>0.97</v>
      </c>
      <c r="P3388" s="14">
        <v>0.98</v>
      </c>
      <c r="Q3388" s="14">
        <v>0.97</v>
      </c>
      <c r="R3388" s="14">
        <v>0.98</v>
      </c>
      <c r="S3388" s="14">
        <v>0.96</v>
      </c>
      <c r="T3388" s="14">
        <v>0.95</v>
      </c>
      <c r="U3388" s="14">
        <v>0.95</v>
      </c>
      <c r="V3388" s="14">
        <v>0.98</v>
      </c>
      <c r="W3388" s="14">
        <v>0.98</v>
      </c>
      <c r="X3388" s="14">
        <v>0.98</v>
      </c>
    </row>
    <row r="3389" spans="1:24" hidden="1" x14ac:dyDescent="0.3">
      <c r="A3389" s="14" t="s">
        <v>478</v>
      </c>
      <c r="B3389" s="14" t="s">
        <v>147</v>
      </c>
      <c r="C3389" s="14" t="s">
        <v>340</v>
      </c>
      <c r="D3389" s="14" t="s">
        <v>341</v>
      </c>
      <c r="E3389" s="14" t="s">
        <v>344</v>
      </c>
      <c r="F3389" s="14" t="s">
        <v>343</v>
      </c>
      <c r="G3389" s="14" t="s">
        <v>343</v>
      </c>
      <c r="H3389" s="14" t="s">
        <v>343</v>
      </c>
      <c r="I3389" s="14">
        <v>75</v>
      </c>
      <c r="J3389" s="14">
        <v>89</v>
      </c>
      <c r="K3389" s="14">
        <v>94</v>
      </c>
      <c r="L3389" s="14">
        <v>98</v>
      </c>
      <c r="M3389" s="14">
        <v>98</v>
      </c>
      <c r="N3389" s="14">
        <v>91</v>
      </c>
      <c r="O3389" s="14">
        <v>93</v>
      </c>
      <c r="P3389" s="14">
        <v>93</v>
      </c>
      <c r="Q3389" s="14">
        <v>95</v>
      </c>
      <c r="R3389" s="14">
        <v>95</v>
      </c>
      <c r="S3389" s="14">
        <v>101</v>
      </c>
      <c r="T3389" s="14">
        <v>114</v>
      </c>
      <c r="U3389" s="14">
        <v>115</v>
      </c>
      <c r="V3389" s="14">
        <v>95</v>
      </c>
      <c r="W3389" s="14">
        <v>93</v>
      </c>
      <c r="X3389" s="14">
        <v>94</v>
      </c>
    </row>
    <row r="3390" spans="1:24" hidden="1" x14ac:dyDescent="0.3">
      <c r="A3390" s="14" t="s">
        <v>478</v>
      </c>
      <c r="B3390" s="14" t="s">
        <v>147</v>
      </c>
      <c r="C3390" s="14" t="s">
        <v>345</v>
      </c>
      <c r="D3390" s="14" t="s">
        <v>346</v>
      </c>
      <c r="E3390" s="14" t="s">
        <v>342</v>
      </c>
      <c r="F3390" s="14" t="s">
        <v>343</v>
      </c>
      <c r="G3390" s="14" t="s">
        <v>343</v>
      </c>
      <c r="H3390" s="14" t="s">
        <v>343</v>
      </c>
      <c r="U3390" s="14">
        <v>0.66</v>
      </c>
      <c r="V3390" s="14">
        <v>0.83</v>
      </c>
      <c r="W3390" s="14">
        <v>0.83</v>
      </c>
      <c r="X3390" s="14">
        <v>0.83</v>
      </c>
    </row>
    <row r="3391" spans="1:24" hidden="1" x14ac:dyDescent="0.3">
      <c r="A3391" s="14" t="s">
        <v>478</v>
      </c>
      <c r="B3391" s="14" t="s">
        <v>147</v>
      </c>
      <c r="C3391" s="14" t="s">
        <v>345</v>
      </c>
      <c r="D3391" s="14" t="s">
        <v>346</v>
      </c>
      <c r="E3391" s="14" t="s">
        <v>344</v>
      </c>
      <c r="F3391" s="14" t="s">
        <v>343</v>
      </c>
      <c r="G3391" s="14" t="s">
        <v>343</v>
      </c>
      <c r="H3391" s="14" t="s">
        <v>343</v>
      </c>
      <c r="U3391" s="14">
        <v>46</v>
      </c>
      <c r="V3391" s="14">
        <v>6</v>
      </c>
      <c r="W3391" s="14">
        <v>8</v>
      </c>
      <c r="X3391" s="14">
        <v>7</v>
      </c>
    </row>
    <row r="3392" spans="1:24" hidden="1" x14ac:dyDescent="0.3">
      <c r="A3392" s="14" t="s">
        <v>478</v>
      </c>
      <c r="B3392" s="14" t="s">
        <v>147</v>
      </c>
      <c r="C3392" s="14" t="s">
        <v>347</v>
      </c>
      <c r="D3392" s="14" t="s">
        <v>348</v>
      </c>
      <c r="E3392" s="14" t="s">
        <v>342</v>
      </c>
      <c r="F3392" s="14" t="s">
        <v>343</v>
      </c>
      <c r="G3392" s="14" t="s">
        <v>343</v>
      </c>
      <c r="H3392" s="14" t="s">
        <v>343</v>
      </c>
      <c r="U3392" s="14">
        <v>0.94</v>
      </c>
      <c r="V3392" s="14">
        <v>0.94</v>
      </c>
      <c r="W3392" s="14">
        <v>0.94</v>
      </c>
      <c r="X3392" s="14">
        <v>0.93</v>
      </c>
    </row>
    <row r="3393" spans="1:24" hidden="1" x14ac:dyDescent="0.3">
      <c r="A3393" s="14" t="s">
        <v>478</v>
      </c>
      <c r="B3393" s="14" t="s">
        <v>147</v>
      </c>
      <c r="C3393" s="14" t="s">
        <v>347</v>
      </c>
      <c r="D3393" s="14" t="s">
        <v>348</v>
      </c>
      <c r="E3393" s="14" t="s">
        <v>344</v>
      </c>
      <c r="F3393" s="14" t="s">
        <v>343</v>
      </c>
      <c r="G3393" s="14" t="s">
        <v>343</v>
      </c>
      <c r="H3393" s="14" t="s">
        <v>343</v>
      </c>
      <c r="U3393" s="14">
        <v>18</v>
      </c>
      <c r="V3393" s="14">
        <v>18</v>
      </c>
      <c r="W3393" s="14">
        <v>15</v>
      </c>
      <c r="X3393" s="14">
        <v>12</v>
      </c>
    </row>
    <row r="3394" spans="1:24" hidden="1" x14ac:dyDescent="0.3">
      <c r="A3394" s="14" t="s">
        <v>478</v>
      </c>
      <c r="B3394" s="14" t="s">
        <v>147</v>
      </c>
      <c r="C3394" s="14" t="s">
        <v>349</v>
      </c>
      <c r="D3394" s="14" t="s">
        <v>350</v>
      </c>
      <c r="E3394" s="14" t="s">
        <v>342</v>
      </c>
      <c r="F3394" s="14" t="s">
        <v>343</v>
      </c>
      <c r="G3394" s="14" t="s">
        <v>343</v>
      </c>
      <c r="H3394" s="14" t="s">
        <v>343</v>
      </c>
      <c r="U3394" s="14">
        <v>0.47</v>
      </c>
      <c r="V3394" s="14">
        <v>0.47</v>
      </c>
      <c r="W3394" s="14">
        <v>0.47</v>
      </c>
      <c r="X3394" s="14">
        <v>0.47</v>
      </c>
    </row>
    <row r="3395" spans="1:24" hidden="1" x14ac:dyDescent="0.3">
      <c r="A3395" s="14" t="s">
        <v>478</v>
      </c>
      <c r="B3395" s="14" t="s">
        <v>147</v>
      </c>
      <c r="C3395" s="14" t="s">
        <v>349</v>
      </c>
      <c r="D3395" s="14" t="s">
        <v>350</v>
      </c>
      <c r="E3395" s="14" t="s">
        <v>344</v>
      </c>
      <c r="F3395" s="14" t="s">
        <v>343</v>
      </c>
      <c r="G3395" s="14" t="s">
        <v>343</v>
      </c>
      <c r="H3395" s="14" t="s">
        <v>343</v>
      </c>
      <c r="U3395" s="14">
        <v>74</v>
      </c>
      <c r="V3395" s="14">
        <v>78</v>
      </c>
      <c r="W3395" s="14">
        <v>82</v>
      </c>
      <c r="X3395" s="14">
        <v>83</v>
      </c>
    </row>
    <row r="3396" spans="1:24" hidden="1" x14ac:dyDescent="0.3">
      <c r="A3396" s="14" t="s">
        <v>478</v>
      </c>
      <c r="B3396" s="14" t="s">
        <v>147</v>
      </c>
      <c r="C3396" s="14" t="s">
        <v>351</v>
      </c>
      <c r="D3396" s="14" t="s">
        <v>352</v>
      </c>
      <c r="E3396" s="14" t="s">
        <v>342</v>
      </c>
      <c r="F3396" s="14" t="s">
        <v>343</v>
      </c>
      <c r="G3396" s="14" t="s">
        <v>343</v>
      </c>
      <c r="H3396" s="14" t="s">
        <v>343</v>
      </c>
      <c r="U3396" s="14">
        <v>0.9</v>
      </c>
      <c r="V3396" s="14">
        <v>0.9</v>
      </c>
      <c r="W3396" s="14">
        <v>0.77</v>
      </c>
      <c r="X3396" s="14">
        <v>0.9</v>
      </c>
    </row>
    <row r="3397" spans="1:24" hidden="1" x14ac:dyDescent="0.3">
      <c r="A3397" s="14" t="s">
        <v>478</v>
      </c>
      <c r="B3397" s="14" t="s">
        <v>147</v>
      </c>
      <c r="C3397" s="14" t="s">
        <v>351</v>
      </c>
      <c r="D3397" s="14" t="s">
        <v>352</v>
      </c>
      <c r="E3397" s="14" t="s">
        <v>344</v>
      </c>
      <c r="F3397" s="14" t="s">
        <v>343</v>
      </c>
      <c r="G3397" s="14" t="s">
        <v>343</v>
      </c>
      <c r="H3397" s="14" t="s">
        <v>343</v>
      </c>
      <c r="U3397" s="14">
        <v>90</v>
      </c>
      <c r="V3397" s="14">
        <v>92</v>
      </c>
      <c r="W3397" s="14">
        <v>100</v>
      </c>
      <c r="X3397" s="14">
        <v>85</v>
      </c>
    </row>
    <row r="3398" spans="1:24" hidden="1" x14ac:dyDescent="0.3">
      <c r="A3398" s="14" t="s">
        <v>478</v>
      </c>
      <c r="B3398" s="14" t="s">
        <v>147</v>
      </c>
      <c r="C3398" s="14" t="s">
        <v>378</v>
      </c>
      <c r="D3398" s="14" t="s">
        <v>379</v>
      </c>
      <c r="E3398" s="14" t="s">
        <v>342</v>
      </c>
      <c r="F3398" s="14" t="s">
        <v>343</v>
      </c>
      <c r="G3398" s="14" t="s">
        <v>343</v>
      </c>
      <c r="H3398" s="14" t="s">
        <v>343</v>
      </c>
      <c r="S3398" s="14">
        <v>0.63</v>
      </c>
      <c r="U3398" s="14">
        <v>0.65</v>
      </c>
      <c r="V3398" s="14">
        <v>0.71</v>
      </c>
      <c r="W3398" s="14">
        <v>0.71</v>
      </c>
    </row>
    <row r="3399" spans="1:24" hidden="1" x14ac:dyDescent="0.3">
      <c r="A3399" s="14" t="s">
        <v>478</v>
      </c>
      <c r="B3399" s="14" t="s">
        <v>147</v>
      </c>
      <c r="C3399" s="14" t="s">
        <v>378</v>
      </c>
      <c r="D3399" s="14" t="s">
        <v>379</v>
      </c>
      <c r="E3399" s="14" t="s">
        <v>344</v>
      </c>
      <c r="F3399" s="14" t="s">
        <v>343</v>
      </c>
      <c r="G3399" s="14" t="s">
        <v>343</v>
      </c>
      <c r="H3399" s="14" t="s">
        <v>343</v>
      </c>
      <c r="S3399" s="14">
        <v>80</v>
      </c>
      <c r="U3399" s="14">
        <v>70</v>
      </c>
      <c r="V3399" s="14">
        <v>41</v>
      </c>
      <c r="W3399" s="14">
        <v>46</v>
      </c>
    </row>
    <row r="3400" spans="1:24" hidden="1" x14ac:dyDescent="0.3">
      <c r="A3400" s="14" t="s">
        <v>478</v>
      </c>
      <c r="B3400" s="14" t="s">
        <v>147</v>
      </c>
      <c r="C3400" s="14" t="s">
        <v>353</v>
      </c>
      <c r="D3400" s="14" t="s">
        <v>354</v>
      </c>
      <c r="E3400" s="14" t="s">
        <v>342</v>
      </c>
      <c r="F3400" s="14" t="s">
        <v>343</v>
      </c>
      <c r="G3400" s="14" t="s">
        <v>343</v>
      </c>
      <c r="H3400" s="14" t="s">
        <v>343</v>
      </c>
      <c r="U3400" s="14">
        <v>0.91</v>
      </c>
      <c r="V3400" s="14">
        <v>0.94</v>
      </c>
      <c r="W3400" s="14">
        <v>0.94</v>
      </c>
      <c r="X3400" s="14">
        <v>0.96</v>
      </c>
    </row>
    <row r="3401" spans="1:24" hidden="1" x14ac:dyDescent="0.3">
      <c r="A3401" s="14" t="s">
        <v>478</v>
      </c>
      <c r="B3401" s="14" t="s">
        <v>147</v>
      </c>
      <c r="C3401" s="14" t="s">
        <v>353</v>
      </c>
      <c r="D3401" s="14" t="s">
        <v>354</v>
      </c>
      <c r="E3401" s="14" t="s">
        <v>344</v>
      </c>
      <c r="F3401" s="14" t="s">
        <v>343</v>
      </c>
      <c r="G3401" s="14" t="s">
        <v>343</v>
      </c>
      <c r="H3401" s="14" t="s">
        <v>343</v>
      </c>
      <c r="U3401" s="14">
        <v>101</v>
      </c>
      <c r="V3401" s="14">
        <v>104</v>
      </c>
      <c r="W3401" s="14">
        <v>105</v>
      </c>
      <c r="X3401" s="14">
        <v>93</v>
      </c>
    </row>
    <row r="3402" spans="1:24" hidden="1" x14ac:dyDescent="0.3">
      <c r="A3402" s="14" t="s">
        <v>478</v>
      </c>
      <c r="B3402" s="14" t="s">
        <v>147</v>
      </c>
      <c r="C3402" s="14" t="s">
        <v>380</v>
      </c>
      <c r="D3402" s="14" t="s">
        <v>381</v>
      </c>
      <c r="E3402" s="14" t="s">
        <v>342</v>
      </c>
      <c r="F3402" s="14" t="s">
        <v>343</v>
      </c>
      <c r="G3402" s="14" t="s">
        <v>343</v>
      </c>
      <c r="H3402" s="14" t="s">
        <v>343</v>
      </c>
      <c r="V3402" s="14">
        <v>1</v>
      </c>
      <c r="W3402" s="14">
        <v>1</v>
      </c>
    </row>
    <row r="3403" spans="1:24" hidden="1" x14ac:dyDescent="0.3">
      <c r="A3403" s="14" t="s">
        <v>478</v>
      </c>
      <c r="B3403" s="14" t="s">
        <v>147</v>
      </c>
      <c r="C3403" s="14" t="s">
        <v>380</v>
      </c>
      <c r="D3403" s="14" t="s">
        <v>381</v>
      </c>
      <c r="E3403" s="14" t="s">
        <v>344</v>
      </c>
      <c r="F3403" s="14" t="s">
        <v>343</v>
      </c>
      <c r="G3403" s="14" t="s">
        <v>343</v>
      </c>
      <c r="H3403" s="14" t="s">
        <v>343</v>
      </c>
      <c r="V3403" s="14">
        <v>1</v>
      </c>
      <c r="W3403" s="14">
        <v>1</v>
      </c>
    </row>
    <row r="3404" spans="1:24" hidden="1" x14ac:dyDescent="0.3">
      <c r="A3404" s="14" t="s">
        <v>478</v>
      </c>
      <c r="B3404" s="14" t="s">
        <v>147</v>
      </c>
      <c r="C3404" s="14" t="s">
        <v>355</v>
      </c>
      <c r="D3404" s="14" t="s">
        <v>356</v>
      </c>
      <c r="E3404" s="14" t="s">
        <v>342</v>
      </c>
      <c r="F3404" s="14" t="s">
        <v>343</v>
      </c>
      <c r="G3404" s="14" t="s">
        <v>343</v>
      </c>
      <c r="H3404" s="14" t="s">
        <v>343</v>
      </c>
      <c r="U3404" s="14">
        <v>1</v>
      </c>
      <c r="V3404" s="14">
        <v>1</v>
      </c>
      <c r="W3404" s="14">
        <v>1</v>
      </c>
      <c r="X3404" s="14">
        <v>1</v>
      </c>
    </row>
    <row r="3405" spans="1:24" hidden="1" x14ac:dyDescent="0.3">
      <c r="A3405" s="14" t="s">
        <v>478</v>
      </c>
      <c r="B3405" s="14" t="s">
        <v>147</v>
      </c>
      <c r="C3405" s="14" t="s">
        <v>355</v>
      </c>
      <c r="D3405" s="14" t="s">
        <v>356</v>
      </c>
      <c r="E3405" s="14" t="s">
        <v>344</v>
      </c>
      <c r="F3405" s="14" t="s">
        <v>343</v>
      </c>
      <c r="G3405" s="14" t="s">
        <v>343</v>
      </c>
      <c r="H3405" s="14" t="s">
        <v>343</v>
      </c>
      <c r="U3405" s="14">
        <v>1</v>
      </c>
      <c r="V3405" s="14">
        <v>1</v>
      </c>
      <c r="W3405" s="14">
        <v>1</v>
      </c>
      <c r="X3405" s="14">
        <v>1</v>
      </c>
    </row>
    <row r="3406" spans="1:24" hidden="1" x14ac:dyDescent="0.3">
      <c r="A3406" s="14" t="s">
        <v>478</v>
      </c>
      <c r="B3406" s="14" t="s">
        <v>147</v>
      </c>
      <c r="C3406" s="14" t="s">
        <v>357</v>
      </c>
      <c r="D3406" s="14" t="s">
        <v>358</v>
      </c>
      <c r="E3406" s="14" t="s">
        <v>342</v>
      </c>
      <c r="F3406" s="14" t="s">
        <v>343</v>
      </c>
      <c r="G3406" s="14" t="s">
        <v>343</v>
      </c>
      <c r="H3406" s="14" t="s">
        <v>343</v>
      </c>
      <c r="U3406" s="14">
        <v>0.92</v>
      </c>
      <c r="V3406" s="14">
        <v>0.93</v>
      </c>
      <c r="W3406" s="14">
        <v>0.95</v>
      </c>
      <c r="X3406" s="14">
        <v>0.97</v>
      </c>
    </row>
    <row r="3407" spans="1:24" hidden="1" x14ac:dyDescent="0.3">
      <c r="A3407" s="14" t="s">
        <v>478</v>
      </c>
      <c r="B3407" s="14" t="s">
        <v>147</v>
      </c>
      <c r="C3407" s="14" t="s">
        <v>357</v>
      </c>
      <c r="D3407" s="14" t="s">
        <v>358</v>
      </c>
      <c r="E3407" s="14" t="s">
        <v>344</v>
      </c>
      <c r="F3407" s="14" t="s">
        <v>343</v>
      </c>
      <c r="G3407" s="14" t="s">
        <v>343</v>
      </c>
      <c r="H3407" s="14" t="s">
        <v>343</v>
      </c>
      <c r="U3407" s="14">
        <v>104</v>
      </c>
      <c r="V3407" s="14">
        <v>110</v>
      </c>
      <c r="W3407" s="14">
        <v>111</v>
      </c>
      <c r="X3407" s="14">
        <v>103</v>
      </c>
    </row>
    <row r="3408" spans="1:24" hidden="1" x14ac:dyDescent="0.3">
      <c r="A3408" s="14" t="s">
        <v>478</v>
      </c>
      <c r="B3408" s="14" t="s">
        <v>147</v>
      </c>
      <c r="C3408" s="14" t="s">
        <v>359</v>
      </c>
      <c r="D3408" s="14" t="s">
        <v>360</v>
      </c>
      <c r="E3408" s="14" t="s">
        <v>342</v>
      </c>
      <c r="F3408" s="14" t="s">
        <v>343</v>
      </c>
      <c r="G3408" s="14" t="s">
        <v>343</v>
      </c>
      <c r="H3408" s="14" t="s">
        <v>343</v>
      </c>
      <c r="I3408" s="14">
        <v>0.57999999999999996</v>
      </c>
      <c r="J3408" s="14">
        <v>0.61</v>
      </c>
      <c r="K3408" s="14">
        <v>0.7</v>
      </c>
      <c r="L3408" s="14">
        <v>0.69</v>
      </c>
      <c r="M3408" s="14">
        <v>0.67</v>
      </c>
      <c r="N3408" s="14">
        <v>0.68</v>
      </c>
      <c r="O3408" s="14">
        <v>0.69</v>
      </c>
      <c r="P3408" s="14">
        <v>0.7</v>
      </c>
      <c r="Q3408" s="14">
        <v>0.73</v>
      </c>
      <c r="R3408" s="14">
        <v>0.7</v>
      </c>
      <c r="S3408" s="14">
        <v>0.74</v>
      </c>
      <c r="T3408" s="14">
        <v>0.72</v>
      </c>
      <c r="U3408" s="14">
        <v>0.71</v>
      </c>
      <c r="V3408" s="14">
        <v>0.77</v>
      </c>
      <c r="W3408" s="14">
        <v>0.75</v>
      </c>
      <c r="X3408" s="14">
        <v>0.79</v>
      </c>
    </row>
    <row r="3409" spans="1:24" hidden="1" x14ac:dyDescent="0.3">
      <c r="A3409" s="14" t="s">
        <v>478</v>
      </c>
      <c r="B3409" s="14" t="s">
        <v>147</v>
      </c>
      <c r="C3409" s="14" t="s">
        <v>359</v>
      </c>
      <c r="D3409" s="14" t="s">
        <v>360</v>
      </c>
      <c r="E3409" s="14" t="s">
        <v>344</v>
      </c>
      <c r="F3409" s="14" t="s">
        <v>343</v>
      </c>
      <c r="G3409" s="14" t="s">
        <v>343</v>
      </c>
      <c r="H3409" s="14" t="s">
        <v>343</v>
      </c>
      <c r="I3409" s="14">
        <v>71</v>
      </c>
      <c r="J3409" s="14">
        <v>76</v>
      </c>
      <c r="K3409" s="14">
        <v>38</v>
      </c>
      <c r="L3409" s="14">
        <v>45</v>
      </c>
      <c r="M3409" s="14">
        <v>58</v>
      </c>
      <c r="N3409" s="14">
        <v>52</v>
      </c>
      <c r="O3409" s="14">
        <v>51</v>
      </c>
      <c r="P3409" s="14">
        <v>51</v>
      </c>
      <c r="Q3409" s="14">
        <v>37</v>
      </c>
      <c r="R3409" s="14">
        <v>59</v>
      </c>
      <c r="S3409" s="14">
        <v>32</v>
      </c>
      <c r="T3409" s="14">
        <v>48</v>
      </c>
      <c r="U3409" s="14">
        <v>48</v>
      </c>
      <c r="V3409" s="14">
        <v>23</v>
      </c>
      <c r="W3409" s="14">
        <v>32</v>
      </c>
      <c r="X3409" s="14">
        <v>17</v>
      </c>
    </row>
    <row r="3410" spans="1:24" x14ac:dyDescent="0.3">
      <c r="A3410" s="14" t="s">
        <v>478</v>
      </c>
      <c r="B3410" s="14" t="s">
        <v>147</v>
      </c>
      <c r="C3410" s="14" t="s">
        <v>361</v>
      </c>
      <c r="D3410" s="14" t="s">
        <v>362</v>
      </c>
      <c r="E3410" s="14" t="s">
        <v>342</v>
      </c>
      <c r="F3410" s="14" t="s">
        <v>343</v>
      </c>
      <c r="G3410" s="14" t="s">
        <v>343</v>
      </c>
      <c r="H3410" s="14" t="s">
        <v>343</v>
      </c>
      <c r="I3410" s="14">
        <v>0.98</v>
      </c>
      <c r="J3410" s="14">
        <v>0.98</v>
      </c>
      <c r="K3410" s="14">
        <v>0.98</v>
      </c>
      <c r="L3410" s="14">
        <v>0.98</v>
      </c>
      <c r="M3410" s="14">
        <v>0.97</v>
      </c>
      <c r="N3410" s="14">
        <v>0.97</v>
      </c>
      <c r="O3410" s="14">
        <v>0.97</v>
      </c>
      <c r="P3410" s="14">
        <v>0.97</v>
      </c>
      <c r="Q3410" s="14">
        <v>0.97</v>
      </c>
      <c r="R3410" s="14">
        <v>0.97</v>
      </c>
      <c r="S3410" s="14">
        <v>0.97</v>
      </c>
      <c r="T3410" s="14">
        <v>0.97</v>
      </c>
      <c r="U3410" s="14">
        <v>0.97</v>
      </c>
      <c r="V3410" s="14">
        <v>0.97</v>
      </c>
      <c r="W3410" s="14">
        <v>0.96</v>
      </c>
      <c r="X3410" s="14">
        <v>0.97</v>
      </c>
    </row>
    <row r="3411" spans="1:24" hidden="1" x14ac:dyDescent="0.3">
      <c r="A3411" s="14" t="s">
        <v>478</v>
      </c>
      <c r="B3411" s="14" t="s">
        <v>147</v>
      </c>
      <c r="C3411" s="14" t="s">
        <v>361</v>
      </c>
      <c r="D3411" s="14" t="s">
        <v>362</v>
      </c>
      <c r="E3411" s="14" t="s">
        <v>344</v>
      </c>
      <c r="F3411" s="14" t="s">
        <v>343</v>
      </c>
      <c r="G3411" s="14" t="s">
        <v>343</v>
      </c>
      <c r="H3411" s="14" t="s">
        <v>343</v>
      </c>
      <c r="I3411" s="14">
        <v>49</v>
      </c>
      <c r="J3411" s="14">
        <v>1</v>
      </c>
      <c r="K3411" s="14">
        <v>1</v>
      </c>
      <c r="L3411" s="14">
        <v>1</v>
      </c>
      <c r="M3411" s="14">
        <v>78</v>
      </c>
      <c r="N3411" s="14">
        <v>81</v>
      </c>
      <c r="O3411" s="14">
        <v>77</v>
      </c>
      <c r="P3411" s="14">
        <v>74</v>
      </c>
      <c r="Q3411" s="14">
        <v>82</v>
      </c>
      <c r="R3411" s="14">
        <v>90</v>
      </c>
      <c r="S3411" s="14">
        <v>88</v>
      </c>
      <c r="T3411" s="14">
        <v>76</v>
      </c>
      <c r="U3411" s="14">
        <v>82</v>
      </c>
      <c r="V3411" s="14">
        <v>83</v>
      </c>
      <c r="W3411" s="14">
        <v>111</v>
      </c>
      <c r="X3411" s="14">
        <v>102</v>
      </c>
    </row>
    <row r="3412" spans="1:24" hidden="1" x14ac:dyDescent="0.3">
      <c r="A3412" s="14" t="s">
        <v>478</v>
      </c>
      <c r="B3412" s="14" t="s">
        <v>147</v>
      </c>
      <c r="C3412" s="14" t="s">
        <v>363</v>
      </c>
      <c r="D3412" s="14" t="s">
        <v>364</v>
      </c>
      <c r="E3412" s="14" t="s">
        <v>342</v>
      </c>
      <c r="F3412" s="14" t="s">
        <v>343</v>
      </c>
      <c r="G3412" s="14" t="s">
        <v>343</v>
      </c>
      <c r="H3412" s="14" t="s">
        <v>343</v>
      </c>
      <c r="U3412" s="14">
        <v>1.04</v>
      </c>
      <c r="V3412" s="14">
        <v>1.04</v>
      </c>
      <c r="W3412" s="14">
        <v>1.01</v>
      </c>
      <c r="X3412" s="14">
        <v>1.01</v>
      </c>
    </row>
    <row r="3413" spans="1:24" hidden="1" x14ac:dyDescent="0.3">
      <c r="A3413" s="14" t="s">
        <v>478</v>
      </c>
      <c r="B3413" s="14" t="s">
        <v>147</v>
      </c>
      <c r="C3413" s="14" t="s">
        <v>363</v>
      </c>
      <c r="D3413" s="14" t="s">
        <v>364</v>
      </c>
      <c r="E3413" s="14" t="s">
        <v>344</v>
      </c>
      <c r="F3413" s="14" t="s">
        <v>343</v>
      </c>
      <c r="G3413" s="14" t="s">
        <v>343</v>
      </c>
      <c r="H3413" s="14" t="s">
        <v>343</v>
      </c>
      <c r="U3413" s="14">
        <v>92</v>
      </c>
      <c r="V3413" s="14">
        <v>95</v>
      </c>
      <c r="W3413" s="14">
        <v>123</v>
      </c>
      <c r="X3413" s="14">
        <v>112</v>
      </c>
    </row>
    <row r="3414" spans="1:24" hidden="1" x14ac:dyDescent="0.3">
      <c r="A3414" s="14" t="s">
        <v>478</v>
      </c>
      <c r="B3414" s="14" t="s">
        <v>147</v>
      </c>
      <c r="C3414" s="14" t="s">
        <v>365</v>
      </c>
      <c r="D3414" s="14" t="s">
        <v>366</v>
      </c>
      <c r="E3414" s="14" t="s">
        <v>342</v>
      </c>
      <c r="F3414" s="14" t="s">
        <v>343</v>
      </c>
      <c r="G3414" s="14" t="s">
        <v>343</v>
      </c>
      <c r="H3414" s="14" t="s">
        <v>343</v>
      </c>
      <c r="U3414" s="14">
        <v>0.94</v>
      </c>
      <c r="V3414" s="14">
        <v>0.94</v>
      </c>
      <c r="W3414" s="14">
        <v>0.94</v>
      </c>
      <c r="X3414" s="14">
        <v>0.94</v>
      </c>
    </row>
    <row r="3415" spans="1:24" hidden="1" x14ac:dyDescent="0.3">
      <c r="A3415" s="14" t="s">
        <v>478</v>
      </c>
      <c r="B3415" s="14" t="s">
        <v>147</v>
      </c>
      <c r="C3415" s="14" t="s">
        <v>365</v>
      </c>
      <c r="D3415" s="14" t="s">
        <v>366</v>
      </c>
      <c r="E3415" s="14" t="s">
        <v>344</v>
      </c>
      <c r="F3415" s="14" t="s">
        <v>343</v>
      </c>
      <c r="G3415" s="14" t="s">
        <v>343</v>
      </c>
      <c r="H3415" s="14" t="s">
        <v>343</v>
      </c>
      <c r="U3415" s="14">
        <v>1</v>
      </c>
      <c r="V3415" s="14">
        <v>1</v>
      </c>
      <c r="W3415" s="14">
        <v>1</v>
      </c>
      <c r="X3415" s="14">
        <v>1</v>
      </c>
    </row>
    <row r="3416" spans="1:24" hidden="1" x14ac:dyDescent="0.3">
      <c r="A3416" s="14" t="s">
        <v>478</v>
      </c>
      <c r="B3416" s="14" t="s">
        <v>147</v>
      </c>
      <c r="C3416" s="14" t="s">
        <v>367</v>
      </c>
      <c r="D3416" s="14" t="s">
        <v>368</v>
      </c>
      <c r="E3416" s="14" t="s">
        <v>342</v>
      </c>
      <c r="F3416" s="14" t="s">
        <v>343</v>
      </c>
      <c r="G3416" s="14" t="s">
        <v>343</v>
      </c>
      <c r="H3416" s="14" t="s">
        <v>343</v>
      </c>
      <c r="I3416" s="14">
        <v>0.64</v>
      </c>
      <c r="J3416" s="14">
        <v>0.65</v>
      </c>
      <c r="K3416" s="14">
        <v>0.67</v>
      </c>
      <c r="L3416" s="14">
        <v>0.67</v>
      </c>
      <c r="M3416" s="14">
        <v>0.67</v>
      </c>
      <c r="N3416" s="14">
        <v>0.68</v>
      </c>
      <c r="O3416" s="14">
        <v>0.7</v>
      </c>
      <c r="P3416" s="14">
        <v>0.7</v>
      </c>
      <c r="Q3416" s="14">
        <v>0.72</v>
      </c>
      <c r="R3416" s="14">
        <v>0.7</v>
      </c>
      <c r="S3416" s="14">
        <v>0.7</v>
      </c>
      <c r="T3416" s="14">
        <v>0.69</v>
      </c>
      <c r="U3416" s="14">
        <v>0.69</v>
      </c>
      <c r="V3416" s="14">
        <v>0.72</v>
      </c>
      <c r="W3416" s="14">
        <v>0.72</v>
      </c>
      <c r="X3416" s="14">
        <v>0.74</v>
      </c>
    </row>
    <row r="3417" spans="1:24" hidden="1" x14ac:dyDescent="0.3">
      <c r="A3417" s="14" t="s">
        <v>478</v>
      </c>
      <c r="B3417" s="14" t="s">
        <v>147</v>
      </c>
      <c r="C3417" s="14" t="s">
        <v>367</v>
      </c>
      <c r="D3417" s="14" t="s">
        <v>368</v>
      </c>
      <c r="E3417" s="14" t="s">
        <v>344</v>
      </c>
      <c r="F3417" s="14" t="s">
        <v>343</v>
      </c>
      <c r="G3417" s="14" t="s">
        <v>343</v>
      </c>
      <c r="H3417" s="14" t="s">
        <v>343</v>
      </c>
      <c r="I3417" s="14">
        <v>84</v>
      </c>
      <c r="J3417" s="14">
        <v>89</v>
      </c>
      <c r="K3417" s="14">
        <v>74</v>
      </c>
      <c r="L3417" s="14">
        <v>77</v>
      </c>
      <c r="M3417" s="14">
        <v>80</v>
      </c>
      <c r="N3417" s="14">
        <v>71</v>
      </c>
      <c r="O3417" s="14">
        <v>58</v>
      </c>
      <c r="P3417" s="14">
        <v>56</v>
      </c>
      <c r="Q3417" s="14">
        <v>41</v>
      </c>
      <c r="R3417" s="14">
        <v>74</v>
      </c>
      <c r="S3417" s="14">
        <v>60</v>
      </c>
      <c r="T3417" s="14">
        <v>80</v>
      </c>
      <c r="U3417" s="14">
        <v>84</v>
      </c>
      <c r="V3417" s="14">
        <v>62</v>
      </c>
      <c r="W3417" s="14">
        <v>57</v>
      </c>
      <c r="X3417" s="14">
        <v>48</v>
      </c>
    </row>
    <row r="3418" spans="1:24" hidden="1" x14ac:dyDescent="0.3">
      <c r="A3418" s="14" t="s">
        <v>478</v>
      </c>
      <c r="B3418" s="14" t="s">
        <v>147</v>
      </c>
      <c r="C3418" s="14" t="s">
        <v>369</v>
      </c>
      <c r="D3418" s="14" t="s">
        <v>370</v>
      </c>
      <c r="E3418" s="14" t="s">
        <v>342</v>
      </c>
      <c r="F3418" s="14" t="s">
        <v>343</v>
      </c>
      <c r="G3418" s="14" t="s">
        <v>343</v>
      </c>
      <c r="H3418" s="14" t="s">
        <v>343</v>
      </c>
      <c r="I3418" s="14">
        <v>0.04</v>
      </c>
      <c r="J3418" s="14">
        <v>0.04</v>
      </c>
      <c r="K3418" s="14">
        <v>0.06</v>
      </c>
      <c r="L3418" s="14">
        <v>7.0000000000000007E-2</v>
      </c>
      <c r="M3418" s="14">
        <v>0.08</v>
      </c>
      <c r="N3418" s="14">
        <v>0.1</v>
      </c>
      <c r="O3418" s="14">
        <v>0.15</v>
      </c>
      <c r="P3418" s="14">
        <v>0.15</v>
      </c>
      <c r="Q3418" s="14">
        <v>0.21</v>
      </c>
      <c r="R3418" s="14">
        <v>0.14000000000000001</v>
      </c>
      <c r="S3418" s="14">
        <v>0.14000000000000001</v>
      </c>
      <c r="T3418" s="14">
        <v>0.13</v>
      </c>
      <c r="U3418" s="14">
        <v>0.13</v>
      </c>
      <c r="V3418" s="14">
        <v>0.15</v>
      </c>
      <c r="W3418" s="14">
        <v>0.2</v>
      </c>
      <c r="X3418" s="14">
        <v>0.2</v>
      </c>
    </row>
    <row r="3419" spans="1:24" hidden="1" x14ac:dyDescent="0.3">
      <c r="A3419" s="14" t="s">
        <v>478</v>
      </c>
      <c r="B3419" s="14" t="s">
        <v>147</v>
      </c>
      <c r="C3419" s="14" t="s">
        <v>369</v>
      </c>
      <c r="D3419" s="14" t="s">
        <v>370</v>
      </c>
      <c r="E3419" s="14" t="s">
        <v>344</v>
      </c>
      <c r="F3419" s="14" t="s">
        <v>343</v>
      </c>
      <c r="G3419" s="14" t="s">
        <v>343</v>
      </c>
      <c r="H3419" s="14" t="s">
        <v>343</v>
      </c>
      <c r="I3419" s="14">
        <v>104</v>
      </c>
      <c r="J3419" s="14">
        <v>116</v>
      </c>
      <c r="K3419" s="14">
        <v>111</v>
      </c>
      <c r="L3419" s="14">
        <v>108</v>
      </c>
      <c r="M3419" s="14">
        <v>95</v>
      </c>
      <c r="N3419" s="14">
        <v>93</v>
      </c>
      <c r="O3419" s="14">
        <v>56</v>
      </c>
      <c r="P3419" s="14">
        <v>61</v>
      </c>
      <c r="Q3419" s="14">
        <v>47</v>
      </c>
      <c r="R3419" s="14">
        <v>80</v>
      </c>
      <c r="S3419" s="14">
        <v>81</v>
      </c>
      <c r="T3419" s="14">
        <v>94</v>
      </c>
      <c r="U3419" s="14">
        <v>96</v>
      </c>
      <c r="V3419" s="14">
        <v>96</v>
      </c>
      <c r="W3419" s="14">
        <v>76</v>
      </c>
      <c r="X3419" s="14">
        <v>75</v>
      </c>
    </row>
    <row r="3420" spans="1:24" hidden="1" x14ac:dyDescent="0.3">
      <c r="A3420" s="14" t="s">
        <v>478</v>
      </c>
      <c r="B3420" s="14" t="s">
        <v>147</v>
      </c>
      <c r="C3420" s="14" t="s">
        <v>371</v>
      </c>
      <c r="D3420" s="14" t="s">
        <v>372</v>
      </c>
      <c r="E3420" s="14" t="s">
        <v>342</v>
      </c>
      <c r="F3420" s="14" t="s">
        <v>343</v>
      </c>
      <c r="G3420" s="14" t="s">
        <v>343</v>
      </c>
      <c r="H3420" s="14" t="s">
        <v>343</v>
      </c>
      <c r="U3420" s="14">
        <v>0</v>
      </c>
      <c r="V3420" s="14">
        <v>0</v>
      </c>
      <c r="W3420" s="14">
        <v>0</v>
      </c>
      <c r="X3420" s="14">
        <v>0</v>
      </c>
    </row>
    <row r="3421" spans="1:24" hidden="1" x14ac:dyDescent="0.3">
      <c r="A3421" s="14" t="s">
        <v>478</v>
      </c>
      <c r="B3421" s="14" t="s">
        <v>147</v>
      </c>
      <c r="C3421" s="14" t="s">
        <v>371</v>
      </c>
      <c r="D3421" s="14" t="s">
        <v>372</v>
      </c>
      <c r="E3421" s="14" t="s">
        <v>344</v>
      </c>
      <c r="F3421" s="14" t="s">
        <v>343</v>
      </c>
      <c r="G3421" s="14" t="s">
        <v>343</v>
      </c>
      <c r="H3421" s="14" t="s">
        <v>343</v>
      </c>
      <c r="U3421" s="14">
        <v>68</v>
      </c>
      <c r="V3421" s="14">
        <v>70</v>
      </c>
      <c r="W3421" s="14">
        <v>73</v>
      </c>
      <c r="X3421" s="14">
        <v>75</v>
      </c>
    </row>
    <row r="3422" spans="1:24" hidden="1" x14ac:dyDescent="0.3">
      <c r="A3422" s="14" t="s">
        <v>478</v>
      </c>
      <c r="B3422" s="14" t="s">
        <v>147</v>
      </c>
      <c r="C3422" s="14" t="s">
        <v>373</v>
      </c>
      <c r="D3422" s="14" t="s">
        <v>374</v>
      </c>
      <c r="E3422" s="14" t="s">
        <v>342</v>
      </c>
      <c r="F3422" s="14" t="s">
        <v>343</v>
      </c>
      <c r="G3422" s="14" t="s">
        <v>343</v>
      </c>
      <c r="H3422" s="14" t="s">
        <v>343</v>
      </c>
      <c r="U3422" s="14">
        <v>0.22</v>
      </c>
      <c r="V3422" s="14">
        <v>0.38</v>
      </c>
      <c r="W3422" s="14">
        <v>0.53</v>
      </c>
      <c r="X3422" s="14">
        <v>0.53</v>
      </c>
    </row>
    <row r="3423" spans="1:24" hidden="1" x14ac:dyDescent="0.3">
      <c r="A3423" s="14" t="s">
        <v>478</v>
      </c>
      <c r="B3423" s="14" t="s">
        <v>147</v>
      </c>
      <c r="C3423" s="14" t="s">
        <v>373</v>
      </c>
      <c r="D3423" s="14" t="s">
        <v>374</v>
      </c>
      <c r="E3423" s="14" t="s">
        <v>344</v>
      </c>
      <c r="F3423" s="14" t="s">
        <v>343</v>
      </c>
      <c r="G3423" s="14" t="s">
        <v>343</v>
      </c>
      <c r="H3423" s="14" t="s">
        <v>343</v>
      </c>
      <c r="U3423" s="14">
        <v>79</v>
      </c>
      <c r="V3423" s="14">
        <v>49</v>
      </c>
      <c r="W3423" s="14">
        <v>35</v>
      </c>
      <c r="X3423" s="14">
        <v>35</v>
      </c>
    </row>
    <row r="3424" spans="1:24" hidden="1" x14ac:dyDescent="0.3">
      <c r="A3424" s="14" t="s">
        <v>478</v>
      </c>
      <c r="B3424" s="14" t="s">
        <v>147</v>
      </c>
      <c r="C3424" s="14" t="s">
        <v>375</v>
      </c>
      <c r="D3424" s="14" t="s">
        <v>376</v>
      </c>
      <c r="E3424" s="14" t="s">
        <v>342</v>
      </c>
      <c r="F3424" s="14" t="s">
        <v>343</v>
      </c>
      <c r="G3424" s="14" t="s">
        <v>343</v>
      </c>
      <c r="H3424" s="14" t="s">
        <v>343</v>
      </c>
      <c r="U3424" s="14">
        <v>0.24</v>
      </c>
      <c r="V3424" s="14">
        <v>0.19</v>
      </c>
      <c r="W3424" s="14">
        <v>0.22</v>
      </c>
      <c r="X3424" s="14">
        <v>0.23</v>
      </c>
    </row>
    <row r="3425" spans="1:24" hidden="1" x14ac:dyDescent="0.3">
      <c r="A3425" s="14" t="s">
        <v>478</v>
      </c>
      <c r="B3425" s="14" t="s">
        <v>147</v>
      </c>
      <c r="C3425" s="14" t="s">
        <v>375</v>
      </c>
      <c r="D3425" s="14" t="s">
        <v>376</v>
      </c>
      <c r="E3425" s="14" t="s">
        <v>344</v>
      </c>
      <c r="F3425" s="14" t="s">
        <v>343</v>
      </c>
      <c r="G3425" s="14" t="s">
        <v>343</v>
      </c>
      <c r="H3425" s="14" t="s">
        <v>343</v>
      </c>
      <c r="U3425" s="14">
        <v>89</v>
      </c>
      <c r="V3425" s="14">
        <v>111</v>
      </c>
      <c r="W3425" s="14">
        <v>112</v>
      </c>
      <c r="X3425" s="14">
        <v>106</v>
      </c>
    </row>
    <row r="3426" spans="1:24" hidden="1" x14ac:dyDescent="0.3">
      <c r="A3426" s="14" t="s">
        <v>479</v>
      </c>
      <c r="B3426" s="14" t="s">
        <v>150</v>
      </c>
      <c r="C3426" s="14" t="s">
        <v>340</v>
      </c>
      <c r="D3426" s="14" t="s">
        <v>341</v>
      </c>
      <c r="E3426" s="14" t="s">
        <v>342</v>
      </c>
      <c r="F3426" s="14" t="s">
        <v>343</v>
      </c>
      <c r="G3426" s="14" t="s">
        <v>343</v>
      </c>
      <c r="H3426" s="14" t="s">
        <v>343</v>
      </c>
      <c r="J3426" s="14">
        <v>1</v>
      </c>
      <c r="K3426" s="14">
        <v>1</v>
      </c>
      <c r="L3426" s="14">
        <v>1</v>
      </c>
      <c r="M3426" s="14">
        <v>0.99</v>
      </c>
      <c r="N3426" s="14">
        <v>0.99</v>
      </c>
      <c r="O3426" s="14">
        <v>1</v>
      </c>
      <c r="P3426" s="14">
        <v>1</v>
      </c>
      <c r="Q3426" s="14">
        <v>0.99</v>
      </c>
      <c r="R3426" s="14">
        <v>1</v>
      </c>
      <c r="S3426" s="14">
        <v>0.99</v>
      </c>
      <c r="T3426" s="14">
        <v>1</v>
      </c>
      <c r="U3426" s="14">
        <v>1</v>
      </c>
      <c r="V3426" s="14">
        <v>1</v>
      </c>
      <c r="W3426" s="14">
        <v>1</v>
      </c>
      <c r="X3426" s="14">
        <v>0.98</v>
      </c>
    </row>
    <row r="3427" spans="1:24" hidden="1" x14ac:dyDescent="0.3">
      <c r="A3427" s="14" t="s">
        <v>479</v>
      </c>
      <c r="B3427" s="14" t="s">
        <v>150</v>
      </c>
      <c r="C3427" s="14" t="s">
        <v>340</v>
      </c>
      <c r="D3427" s="14" t="s">
        <v>341</v>
      </c>
      <c r="E3427" s="14" t="s">
        <v>344</v>
      </c>
      <c r="F3427" s="14" t="s">
        <v>343</v>
      </c>
      <c r="G3427" s="14" t="s">
        <v>343</v>
      </c>
      <c r="H3427" s="14" t="s">
        <v>343</v>
      </c>
      <c r="J3427" s="14">
        <v>1</v>
      </c>
      <c r="K3427" s="14">
        <v>1</v>
      </c>
      <c r="L3427" s="14">
        <v>1</v>
      </c>
      <c r="M3427" s="14">
        <v>67</v>
      </c>
      <c r="N3427" s="14">
        <v>69</v>
      </c>
      <c r="O3427" s="14">
        <v>26</v>
      </c>
      <c r="P3427" s="14">
        <v>1</v>
      </c>
      <c r="Q3427" s="14">
        <v>58</v>
      </c>
      <c r="R3427" s="14">
        <v>43</v>
      </c>
      <c r="S3427" s="14">
        <v>81</v>
      </c>
      <c r="T3427" s="14">
        <v>1</v>
      </c>
      <c r="U3427" s="14">
        <v>27</v>
      </c>
      <c r="V3427" s="14">
        <v>1</v>
      </c>
      <c r="W3427" s="14">
        <v>1</v>
      </c>
      <c r="X3427" s="14">
        <v>89</v>
      </c>
    </row>
    <row r="3428" spans="1:24" hidden="1" x14ac:dyDescent="0.3">
      <c r="A3428" s="14" t="s">
        <v>479</v>
      </c>
      <c r="B3428" s="14" t="s">
        <v>150</v>
      </c>
      <c r="C3428" s="14" t="s">
        <v>345</v>
      </c>
      <c r="D3428" s="14" t="s">
        <v>346</v>
      </c>
      <c r="E3428" s="14" t="s">
        <v>342</v>
      </c>
      <c r="F3428" s="14" t="s">
        <v>343</v>
      </c>
      <c r="G3428" s="14" t="s">
        <v>343</v>
      </c>
      <c r="H3428" s="14" t="s">
        <v>343</v>
      </c>
      <c r="U3428" s="14">
        <v>0.77</v>
      </c>
      <c r="V3428" s="14">
        <v>0.46</v>
      </c>
      <c r="W3428" s="14">
        <v>0.37</v>
      </c>
      <c r="X3428" s="14">
        <v>0.57999999999999996</v>
      </c>
    </row>
    <row r="3429" spans="1:24" hidden="1" x14ac:dyDescent="0.3">
      <c r="A3429" s="14" t="s">
        <v>479</v>
      </c>
      <c r="B3429" s="14" t="s">
        <v>150</v>
      </c>
      <c r="C3429" s="14" t="s">
        <v>345</v>
      </c>
      <c r="D3429" s="14" t="s">
        <v>346</v>
      </c>
      <c r="E3429" s="14" t="s">
        <v>344</v>
      </c>
      <c r="F3429" s="14" t="s">
        <v>343</v>
      </c>
      <c r="G3429" s="14" t="s">
        <v>343</v>
      </c>
      <c r="H3429" s="14" t="s">
        <v>343</v>
      </c>
      <c r="U3429" s="14">
        <v>16</v>
      </c>
      <c r="V3429" s="14">
        <v>128</v>
      </c>
      <c r="W3429" s="14">
        <v>135</v>
      </c>
      <c r="X3429" s="14">
        <v>95</v>
      </c>
    </row>
    <row r="3430" spans="1:24" hidden="1" x14ac:dyDescent="0.3">
      <c r="A3430" s="14" t="s">
        <v>479</v>
      </c>
      <c r="B3430" s="14" t="s">
        <v>150</v>
      </c>
      <c r="C3430" s="14" t="s">
        <v>347</v>
      </c>
      <c r="D3430" s="14" t="s">
        <v>348</v>
      </c>
      <c r="E3430" s="14" t="s">
        <v>342</v>
      </c>
      <c r="F3430" s="14" t="s">
        <v>343</v>
      </c>
      <c r="G3430" s="14" t="s">
        <v>343</v>
      </c>
      <c r="H3430" s="14" t="s">
        <v>343</v>
      </c>
      <c r="U3430" s="14">
        <v>0.53</v>
      </c>
      <c r="V3430" s="14">
        <v>0.52</v>
      </c>
      <c r="W3430" s="14">
        <v>0.5</v>
      </c>
      <c r="X3430" s="14">
        <v>0.51</v>
      </c>
    </row>
    <row r="3431" spans="1:24" hidden="1" x14ac:dyDescent="0.3">
      <c r="A3431" s="14" t="s">
        <v>479</v>
      </c>
      <c r="B3431" s="14" t="s">
        <v>150</v>
      </c>
      <c r="C3431" s="14" t="s">
        <v>347</v>
      </c>
      <c r="D3431" s="14" t="s">
        <v>348</v>
      </c>
      <c r="E3431" s="14" t="s">
        <v>344</v>
      </c>
      <c r="F3431" s="14" t="s">
        <v>343</v>
      </c>
      <c r="G3431" s="14" t="s">
        <v>343</v>
      </c>
      <c r="H3431" s="14" t="s">
        <v>343</v>
      </c>
      <c r="U3431" s="14">
        <v>127</v>
      </c>
      <c r="V3431" s="14">
        <v>131</v>
      </c>
      <c r="W3431" s="14">
        <v>136</v>
      </c>
      <c r="X3431" s="14">
        <v>128</v>
      </c>
    </row>
    <row r="3432" spans="1:24" hidden="1" x14ac:dyDescent="0.3">
      <c r="A3432" s="14" t="s">
        <v>479</v>
      </c>
      <c r="B3432" s="14" t="s">
        <v>150</v>
      </c>
      <c r="C3432" s="14" t="s">
        <v>349</v>
      </c>
      <c r="D3432" s="14" t="s">
        <v>350</v>
      </c>
      <c r="E3432" s="14" t="s">
        <v>342</v>
      </c>
      <c r="F3432" s="14" t="s">
        <v>343</v>
      </c>
      <c r="G3432" s="14" t="s">
        <v>343</v>
      </c>
      <c r="H3432" s="14" t="s">
        <v>343</v>
      </c>
      <c r="U3432" s="14">
        <v>0.24</v>
      </c>
      <c r="V3432" s="14">
        <v>0.24</v>
      </c>
      <c r="W3432" s="14">
        <v>0.24</v>
      </c>
      <c r="X3432" s="14">
        <v>0.24</v>
      </c>
    </row>
    <row r="3433" spans="1:24" hidden="1" x14ac:dyDescent="0.3">
      <c r="A3433" s="14" t="s">
        <v>479</v>
      </c>
      <c r="B3433" s="14" t="s">
        <v>150</v>
      </c>
      <c r="C3433" s="14" t="s">
        <v>349</v>
      </c>
      <c r="D3433" s="14" t="s">
        <v>350</v>
      </c>
      <c r="E3433" s="14" t="s">
        <v>344</v>
      </c>
      <c r="F3433" s="14" t="s">
        <v>343</v>
      </c>
      <c r="G3433" s="14" t="s">
        <v>343</v>
      </c>
      <c r="H3433" s="14" t="s">
        <v>343</v>
      </c>
      <c r="U3433" s="14">
        <v>115</v>
      </c>
      <c r="V3433" s="14">
        <v>119</v>
      </c>
      <c r="W3433" s="14">
        <v>127</v>
      </c>
      <c r="X3433" s="14">
        <v>118</v>
      </c>
    </row>
    <row r="3434" spans="1:24" hidden="1" x14ac:dyDescent="0.3">
      <c r="A3434" s="14" t="s">
        <v>479</v>
      </c>
      <c r="B3434" s="14" t="s">
        <v>150</v>
      </c>
      <c r="C3434" s="14" t="s">
        <v>351</v>
      </c>
      <c r="D3434" s="14" t="s">
        <v>352</v>
      </c>
      <c r="E3434" s="14" t="s">
        <v>342</v>
      </c>
      <c r="F3434" s="14" t="s">
        <v>343</v>
      </c>
      <c r="G3434" s="14" t="s">
        <v>343</v>
      </c>
      <c r="H3434" s="14" t="s">
        <v>343</v>
      </c>
      <c r="U3434" s="14">
        <v>0.97</v>
      </c>
      <c r="V3434" s="14">
        <v>0.97</v>
      </c>
      <c r="W3434" s="14">
        <v>1</v>
      </c>
      <c r="X3434" s="14">
        <v>0.83</v>
      </c>
    </row>
    <row r="3435" spans="1:24" hidden="1" x14ac:dyDescent="0.3">
      <c r="A3435" s="14" t="s">
        <v>479</v>
      </c>
      <c r="B3435" s="14" t="s">
        <v>150</v>
      </c>
      <c r="C3435" s="14" t="s">
        <v>351</v>
      </c>
      <c r="D3435" s="14" t="s">
        <v>352</v>
      </c>
      <c r="E3435" s="14" t="s">
        <v>344</v>
      </c>
      <c r="F3435" s="14" t="s">
        <v>343</v>
      </c>
      <c r="G3435" s="14" t="s">
        <v>343</v>
      </c>
      <c r="H3435" s="14" t="s">
        <v>343</v>
      </c>
      <c r="U3435" s="14">
        <v>70</v>
      </c>
      <c r="V3435" s="14">
        <v>77</v>
      </c>
      <c r="W3435" s="14">
        <v>1</v>
      </c>
      <c r="X3435" s="14">
        <v>92</v>
      </c>
    </row>
    <row r="3436" spans="1:24" hidden="1" x14ac:dyDescent="0.3">
      <c r="A3436" s="14" t="s">
        <v>479</v>
      </c>
      <c r="B3436" s="14" t="s">
        <v>150</v>
      </c>
      <c r="C3436" s="14" t="s">
        <v>353</v>
      </c>
      <c r="D3436" s="14" t="s">
        <v>354</v>
      </c>
      <c r="E3436" s="14" t="s">
        <v>342</v>
      </c>
      <c r="F3436" s="14" t="s">
        <v>343</v>
      </c>
      <c r="G3436" s="14" t="s">
        <v>343</v>
      </c>
      <c r="H3436" s="14" t="s">
        <v>343</v>
      </c>
      <c r="U3436" s="14">
        <v>1</v>
      </c>
      <c r="V3436" s="14">
        <v>1</v>
      </c>
      <c r="W3436" s="14">
        <v>1</v>
      </c>
      <c r="X3436" s="14">
        <v>1</v>
      </c>
    </row>
    <row r="3437" spans="1:24" hidden="1" x14ac:dyDescent="0.3">
      <c r="A3437" s="14" t="s">
        <v>479</v>
      </c>
      <c r="B3437" s="14" t="s">
        <v>150</v>
      </c>
      <c r="C3437" s="14" t="s">
        <v>353</v>
      </c>
      <c r="D3437" s="14" t="s">
        <v>354</v>
      </c>
      <c r="E3437" s="14" t="s">
        <v>344</v>
      </c>
      <c r="F3437" s="14" t="s">
        <v>343</v>
      </c>
      <c r="G3437" s="14" t="s">
        <v>343</v>
      </c>
      <c r="H3437" s="14" t="s">
        <v>343</v>
      </c>
      <c r="U3437" s="14">
        <v>1</v>
      </c>
      <c r="V3437" s="14">
        <v>1</v>
      </c>
      <c r="W3437" s="14">
        <v>1</v>
      </c>
      <c r="X3437" s="14">
        <v>1</v>
      </c>
    </row>
    <row r="3438" spans="1:24" hidden="1" x14ac:dyDescent="0.3">
      <c r="A3438" s="14" t="s">
        <v>479</v>
      </c>
      <c r="B3438" s="14" t="s">
        <v>150</v>
      </c>
      <c r="C3438" s="14" t="s">
        <v>380</v>
      </c>
      <c r="D3438" s="14" t="s">
        <v>381</v>
      </c>
      <c r="E3438" s="14" t="s">
        <v>342</v>
      </c>
      <c r="F3438" s="14" t="s">
        <v>343</v>
      </c>
      <c r="G3438" s="14" t="s">
        <v>343</v>
      </c>
      <c r="H3438" s="14" t="s">
        <v>343</v>
      </c>
      <c r="U3438" s="14">
        <v>1</v>
      </c>
      <c r="V3438" s="14">
        <v>1</v>
      </c>
      <c r="W3438" s="14">
        <v>1</v>
      </c>
      <c r="X3438" s="14">
        <v>1</v>
      </c>
    </row>
    <row r="3439" spans="1:24" hidden="1" x14ac:dyDescent="0.3">
      <c r="A3439" s="14" t="s">
        <v>479</v>
      </c>
      <c r="B3439" s="14" t="s">
        <v>150</v>
      </c>
      <c r="C3439" s="14" t="s">
        <v>380</v>
      </c>
      <c r="D3439" s="14" t="s">
        <v>381</v>
      </c>
      <c r="E3439" s="14" t="s">
        <v>344</v>
      </c>
      <c r="F3439" s="14" t="s">
        <v>343</v>
      </c>
      <c r="G3439" s="14" t="s">
        <v>343</v>
      </c>
      <c r="H3439" s="14" t="s">
        <v>343</v>
      </c>
      <c r="U3439" s="14">
        <v>65</v>
      </c>
      <c r="V3439" s="14">
        <v>1</v>
      </c>
      <c r="W3439" s="14">
        <v>1</v>
      </c>
      <c r="X3439" s="14">
        <v>1</v>
      </c>
    </row>
    <row r="3440" spans="1:24" hidden="1" x14ac:dyDescent="0.3">
      <c r="A3440" s="14" t="s">
        <v>479</v>
      </c>
      <c r="B3440" s="14" t="s">
        <v>150</v>
      </c>
      <c r="C3440" s="14" t="s">
        <v>355</v>
      </c>
      <c r="D3440" s="14" t="s">
        <v>356</v>
      </c>
      <c r="E3440" s="14" t="s">
        <v>342</v>
      </c>
      <c r="F3440" s="14" t="s">
        <v>343</v>
      </c>
      <c r="G3440" s="14" t="s">
        <v>343</v>
      </c>
      <c r="H3440" s="14" t="s">
        <v>343</v>
      </c>
      <c r="V3440" s="14">
        <v>1</v>
      </c>
      <c r="W3440" s="14">
        <v>1</v>
      </c>
      <c r="X3440" s="14">
        <v>0.93</v>
      </c>
    </row>
    <row r="3441" spans="1:24" hidden="1" x14ac:dyDescent="0.3">
      <c r="A3441" s="14" t="s">
        <v>479</v>
      </c>
      <c r="B3441" s="14" t="s">
        <v>150</v>
      </c>
      <c r="C3441" s="14" t="s">
        <v>355</v>
      </c>
      <c r="D3441" s="14" t="s">
        <v>356</v>
      </c>
      <c r="E3441" s="14" t="s">
        <v>344</v>
      </c>
      <c r="F3441" s="14" t="s">
        <v>343</v>
      </c>
      <c r="G3441" s="14" t="s">
        <v>343</v>
      </c>
      <c r="H3441" s="14" t="s">
        <v>343</v>
      </c>
      <c r="V3441" s="14">
        <v>1</v>
      </c>
      <c r="W3441" s="14">
        <v>1</v>
      </c>
      <c r="X3441" s="14">
        <v>118</v>
      </c>
    </row>
    <row r="3442" spans="1:24" hidden="1" x14ac:dyDescent="0.3">
      <c r="A3442" s="14" t="s">
        <v>479</v>
      </c>
      <c r="B3442" s="14" t="s">
        <v>150</v>
      </c>
      <c r="C3442" s="14" t="s">
        <v>357</v>
      </c>
      <c r="D3442" s="14" t="s">
        <v>358</v>
      </c>
      <c r="E3442" s="14" t="s">
        <v>342</v>
      </c>
      <c r="F3442" s="14" t="s">
        <v>343</v>
      </c>
      <c r="G3442" s="14" t="s">
        <v>343</v>
      </c>
      <c r="H3442" s="14" t="s">
        <v>343</v>
      </c>
      <c r="U3442" s="14">
        <v>1</v>
      </c>
      <c r="V3442" s="14">
        <v>1</v>
      </c>
      <c r="W3442" s="14">
        <v>1</v>
      </c>
      <c r="X3442" s="14">
        <v>1</v>
      </c>
    </row>
    <row r="3443" spans="1:24" hidden="1" x14ac:dyDescent="0.3">
      <c r="A3443" s="14" t="s">
        <v>479</v>
      </c>
      <c r="B3443" s="14" t="s">
        <v>150</v>
      </c>
      <c r="C3443" s="14" t="s">
        <v>357</v>
      </c>
      <c r="D3443" s="14" t="s">
        <v>358</v>
      </c>
      <c r="E3443" s="14" t="s">
        <v>344</v>
      </c>
      <c r="F3443" s="14" t="s">
        <v>343</v>
      </c>
      <c r="G3443" s="14" t="s">
        <v>343</v>
      </c>
      <c r="H3443" s="14" t="s">
        <v>343</v>
      </c>
      <c r="U3443" s="14">
        <v>1</v>
      </c>
      <c r="V3443" s="14">
        <v>1</v>
      </c>
      <c r="W3443" s="14">
        <v>1</v>
      </c>
      <c r="X3443" s="14">
        <v>1</v>
      </c>
    </row>
    <row r="3444" spans="1:24" hidden="1" x14ac:dyDescent="0.3">
      <c r="A3444" s="14" t="s">
        <v>479</v>
      </c>
      <c r="B3444" s="14" t="s">
        <v>150</v>
      </c>
      <c r="C3444" s="14" t="s">
        <v>359</v>
      </c>
      <c r="D3444" s="14" t="s">
        <v>360</v>
      </c>
      <c r="E3444" s="14" t="s">
        <v>342</v>
      </c>
      <c r="F3444" s="14" t="s">
        <v>343</v>
      </c>
      <c r="G3444" s="14" t="s">
        <v>343</v>
      </c>
      <c r="H3444" s="14" t="s">
        <v>343</v>
      </c>
      <c r="J3444" s="14">
        <v>0.51</v>
      </c>
      <c r="K3444" s="14">
        <v>0.56999999999999995</v>
      </c>
      <c r="L3444" s="14">
        <v>0.57999999999999996</v>
      </c>
      <c r="M3444" s="14">
        <v>0.59</v>
      </c>
      <c r="N3444" s="14">
        <v>0.6</v>
      </c>
      <c r="O3444" s="14">
        <v>0.6</v>
      </c>
      <c r="P3444" s="14">
        <v>0.59</v>
      </c>
      <c r="Q3444" s="14">
        <v>0.59</v>
      </c>
      <c r="R3444" s="14">
        <v>0.59</v>
      </c>
      <c r="S3444" s="14">
        <v>0.59</v>
      </c>
      <c r="T3444" s="14">
        <v>0.64</v>
      </c>
      <c r="U3444" s="14">
        <v>0.62</v>
      </c>
      <c r="V3444" s="14">
        <v>0.52</v>
      </c>
      <c r="W3444" s="14">
        <v>0.49</v>
      </c>
      <c r="X3444" s="14">
        <v>0.53</v>
      </c>
    </row>
    <row r="3445" spans="1:24" hidden="1" x14ac:dyDescent="0.3">
      <c r="A3445" s="14" t="s">
        <v>479</v>
      </c>
      <c r="B3445" s="14" t="s">
        <v>150</v>
      </c>
      <c r="C3445" s="14" t="s">
        <v>359</v>
      </c>
      <c r="D3445" s="14" t="s">
        <v>360</v>
      </c>
      <c r="E3445" s="14" t="s">
        <v>344</v>
      </c>
      <c r="F3445" s="14" t="s">
        <v>343</v>
      </c>
      <c r="G3445" s="14" t="s">
        <v>343</v>
      </c>
      <c r="H3445" s="14" t="s">
        <v>343</v>
      </c>
      <c r="J3445" s="14">
        <v>106</v>
      </c>
      <c r="K3445" s="14">
        <v>95</v>
      </c>
      <c r="L3445" s="14">
        <v>97</v>
      </c>
      <c r="M3445" s="14">
        <v>95</v>
      </c>
      <c r="N3445" s="14">
        <v>86</v>
      </c>
      <c r="O3445" s="14">
        <v>100</v>
      </c>
      <c r="P3445" s="14">
        <v>99</v>
      </c>
      <c r="Q3445" s="14">
        <v>110</v>
      </c>
      <c r="R3445" s="14">
        <v>117</v>
      </c>
      <c r="S3445" s="14">
        <v>112</v>
      </c>
      <c r="T3445" s="14">
        <v>94</v>
      </c>
      <c r="U3445" s="14">
        <v>101</v>
      </c>
      <c r="V3445" s="14">
        <v>131</v>
      </c>
      <c r="W3445" s="14">
        <v>138</v>
      </c>
      <c r="X3445" s="14">
        <v>127</v>
      </c>
    </row>
    <row r="3446" spans="1:24" x14ac:dyDescent="0.3">
      <c r="A3446" s="14" t="s">
        <v>479</v>
      </c>
      <c r="B3446" s="14" t="s">
        <v>150</v>
      </c>
      <c r="C3446" s="14" t="s">
        <v>361</v>
      </c>
      <c r="D3446" s="14" t="s">
        <v>362</v>
      </c>
      <c r="E3446" s="14" t="s">
        <v>342</v>
      </c>
      <c r="F3446" s="14" t="s">
        <v>343</v>
      </c>
      <c r="G3446" s="14" t="s">
        <v>343</v>
      </c>
      <c r="H3446" s="14" t="s">
        <v>343</v>
      </c>
      <c r="J3446" s="14">
        <v>0.95</v>
      </c>
      <c r="K3446" s="14">
        <v>0.95</v>
      </c>
      <c r="L3446" s="14">
        <v>0.95</v>
      </c>
      <c r="M3446" s="14">
        <v>0.96</v>
      </c>
      <c r="N3446" s="14">
        <v>0.96</v>
      </c>
      <c r="O3446" s="14">
        <v>0.96</v>
      </c>
      <c r="P3446" s="14">
        <v>0.96</v>
      </c>
      <c r="Q3446" s="14">
        <v>0.97</v>
      </c>
      <c r="R3446" s="14">
        <v>0.97</v>
      </c>
      <c r="S3446" s="14">
        <v>0.97</v>
      </c>
      <c r="T3446" s="14">
        <v>0.96</v>
      </c>
      <c r="U3446" s="14">
        <v>0.95</v>
      </c>
      <c r="V3446" s="14">
        <v>0.95</v>
      </c>
      <c r="W3446" s="14">
        <v>0.96</v>
      </c>
      <c r="X3446" s="14">
        <v>0.96</v>
      </c>
    </row>
    <row r="3447" spans="1:24" hidden="1" x14ac:dyDescent="0.3">
      <c r="A3447" s="14" t="s">
        <v>479</v>
      </c>
      <c r="B3447" s="14" t="s">
        <v>150</v>
      </c>
      <c r="C3447" s="14" t="s">
        <v>361</v>
      </c>
      <c r="D3447" s="14" t="s">
        <v>362</v>
      </c>
      <c r="E3447" s="14" t="s">
        <v>344</v>
      </c>
      <c r="F3447" s="14" t="s">
        <v>343</v>
      </c>
      <c r="G3447" s="14" t="s">
        <v>343</v>
      </c>
      <c r="H3447" s="14" t="s">
        <v>343</v>
      </c>
      <c r="J3447" s="14">
        <v>120</v>
      </c>
      <c r="K3447" s="14">
        <v>122</v>
      </c>
      <c r="L3447" s="14">
        <v>126</v>
      </c>
      <c r="M3447" s="14">
        <v>110</v>
      </c>
      <c r="N3447" s="14">
        <v>111</v>
      </c>
      <c r="O3447" s="14">
        <v>111</v>
      </c>
      <c r="P3447" s="14">
        <v>112</v>
      </c>
      <c r="Q3447" s="14">
        <v>125</v>
      </c>
      <c r="R3447" s="14">
        <v>130</v>
      </c>
      <c r="S3447" s="14">
        <v>129</v>
      </c>
      <c r="T3447" s="14">
        <v>133</v>
      </c>
      <c r="U3447" s="14">
        <v>144</v>
      </c>
      <c r="V3447" s="14">
        <v>147</v>
      </c>
      <c r="W3447" s="14">
        <v>148</v>
      </c>
      <c r="X3447" s="14">
        <v>138</v>
      </c>
    </row>
    <row r="3448" spans="1:24" hidden="1" x14ac:dyDescent="0.3">
      <c r="A3448" s="14" t="s">
        <v>479</v>
      </c>
      <c r="B3448" s="14" t="s">
        <v>150</v>
      </c>
      <c r="C3448" s="14" t="s">
        <v>363</v>
      </c>
      <c r="D3448" s="14" t="s">
        <v>364</v>
      </c>
      <c r="E3448" s="14" t="s">
        <v>342</v>
      </c>
      <c r="F3448" s="14" t="s">
        <v>343</v>
      </c>
      <c r="G3448" s="14" t="s">
        <v>343</v>
      </c>
      <c r="H3448" s="14" t="s">
        <v>343</v>
      </c>
      <c r="U3448" s="14">
        <v>1</v>
      </c>
      <c r="V3448" s="14">
        <v>1</v>
      </c>
      <c r="W3448" s="14">
        <v>1</v>
      </c>
      <c r="X3448" s="14">
        <v>1</v>
      </c>
    </row>
    <row r="3449" spans="1:24" hidden="1" x14ac:dyDescent="0.3">
      <c r="A3449" s="14" t="s">
        <v>479</v>
      </c>
      <c r="B3449" s="14" t="s">
        <v>150</v>
      </c>
      <c r="C3449" s="14" t="s">
        <v>363</v>
      </c>
      <c r="D3449" s="14" t="s">
        <v>364</v>
      </c>
      <c r="E3449" s="14" t="s">
        <v>344</v>
      </c>
      <c r="F3449" s="14" t="s">
        <v>343</v>
      </c>
      <c r="G3449" s="14" t="s">
        <v>343</v>
      </c>
      <c r="H3449" s="14" t="s">
        <v>343</v>
      </c>
      <c r="U3449" s="14">
        <v>145</v>
      </c>
      <c r="V3449" s="14">
        <v>149</v>
      </c>
      <c r="W3449" s="14">
        <v>141</v>
      </c>
      <c r="X3449" s="14">
        <v>131</v>
      </c>
    </row>
    <row r="3450" spans="1:24" hidden="1" x14ac:dyDescent="0.3">
      <c r="A3450" s="14" t="s">
        <v>479</v>
      </c>
      <c r="B3450" s="14" t="s">
        <v>150</v>
      </c>
      <c r="C3450" s="14" t="s">
        <v>365</v>
      </c>
      <c r="D3450" s="14" t="s">
        <v>366</v>
      </c>
      <c r="E3450" s="14" t="s">
        <v>342</v>
      </c>
      <c r="F3450" s="14" t="s">
        <v>343</v>
      </c>
      <c r="G3450" s="14" t="s">
        <v>343</v>
      </c>
      <c r="H3450" s="14" t="s">
        <v>343</v>
      </c>
      <c r="U3450" s="14">
        <v>0.93</v>
      </c>
      <c r="V3450" s="14">
        <v>0.93</v>
      </c>
      <c r="W3450" s="14">
        <v>0.93</v>
      </c>
      <c r="X3450" s="14">
        <v>0.94</v>
      </c>
    </row>
    <row r="3451" spans="1:24" hidden="1" x14ac:dyDescent="0.3">
      <c r="A3451" s="14" t="s">
        <v>479</v>
      </c>
      <c r="B3451" s="14" t="s">
        <v>150</v>
      </c>
      <c r="C3451" s="14" t="s">
        <v>365</v>
      </c>
      <c r="D3451" s="14" t="s">
        <v>366</v>
      </c>
      <c r="E3451" s="14" t="s">
        <v>344</v>
      </c>
      <c r="F3451" s="14" t="s">
        <v>343</v>
      </c>
      <c r="G3451" s="14" t="s">
        <v>343</v>
      </c>
      <c r="H3451" s="14" t="s">
        <v>343</v>
      </c>
      <c r="U3451" s="14">
        <v>140</v>
      </c>
      <c r="V3451" s="14">
        <v>141</v>
      </c>
      <c r="W3451" s="14">
        <v>145</v>
      </c>
      <c r="X3451" s="14">
        <v>137</v>
      </c>
    </row>
    <row r="3452" spans="1:24" hidden="1" x14ac:dyDescent="0.3">
      <c r="A3452" s="14" t="s">
        <v>479</v>
      </c>
      <c r="B3452" s="14" t="s">
        <v>150</v>
      </c>
      <c r="C3452" s="14" t="s">
        <v>367</v>
      </c>
      <c r="D3452" s="14" t="s">
        <v>368</v>
      </c>
      <c r="E3452" s="14" t="s">
        <v>342</v>
      </c>
      <c r="F3452" s="14" t="s">
        <v>343</v>
      </c>
      <c r="G3452" s="14" t="s">
        <v>343</v>
      </c>
      <c r="H3452" s="14" t="s">
        <v>343</v>
      </c>
      <c r="J3452" s="14">
        <v>0.64</v>
      </c>
      <c r="K3452" s="14">
        <v>0.65</v>
      </c>
      <c r="L3452" s="14">
        <v>0.65</v>
      </c>
      <c r="M3452" s="14">
        <v>0.65</v>
      </c>
      <c r="N3452" s="14">
        <v>0.65</v>
      </c>
      <c r="O3452" s="14">
        <v>0.66</v>
      </c>
      <c r="P3452" s="14">
        <v>0.66</v>
      </c>
      <c r="Q3452" s="14">
        <v>0.66</v>
      </c>
      <c r="R3452" s="14">
        <v>0.65</v>
      </c>
      <c r="S3452" s="14">
        <v>0.65</v>
      </c>
      <c r="T3452" s="14">
        <v>0.67</v>
      </c>
      <c r="U3452" s="14">
        <v>0.66</v>
      </c>
      <c r="V3452" s="14">
        <v>0.65</v>
      </c>
      <c r="W3452" s="14">
        <v>0.64</v>
      </c>
      <c r="X3452" s="14">
        <v>0.65</v>
      </c>
    </row>
    <row r="3453" spans="1:24" hidden="1" x14ac:dyDescent="0.3">
      <c r="A3453" s="14" t="s">
        <v>479</v>
      </c>
      <c r="B3453" s="14" t="s">
        <v>150</v>
      </c>
      <c r="C3453" s="14" t="s">
        <v>367</v>
      </c>
      <c r="D3453" s="14" t="s">
        <v>368</v>
      </c>
      <c r="E3453" s="14" t="s">
        <v>344</v>
      </c>
      <c r="F3453" s="14" t="s">
        <v>343</v>
      </c>
      <c r="G3453" s="14" t="s">
        <v>343</v>
      </c>
      <c r="H3453" s="14" t="s">
        <v>343</v>
      </c>
      <c r="J3453" s="14">
        <v>99</v>
      </c>
      <c r="K3453" s="14">
        <v>91</v>
      </c>
      <c r="L3453" s="14">
        <v>99</v>
      </c>
      <c r="M3453" s="14">
        <v>99</v>
      </c>
      <c r="N3453" s="14">
        <v>101</v>
      </c>
      <c r="O3453" s="14">
        <v>95</v>
      </c>
      <c r="P3453" s="14">
        <v>97</v>
      </c>
      <c r="Q3453" s="14">
        <v>105</v>
      </c>
      <c r="R3453" s="14">
        <v>113</v>
      </c>
      <c r="S3453" s="14">
        <v>115</v>
      </c>
      <c r="T3453" s="14">
        <v>106</v>
      </c>
      <c r="U3453" s="14">
        <v>113</v>
      </c>
      <c r="V3453" s="14">
        <v>123</v>
      </c>
      <c r="W3453" s="14">
        <v>128</v>
      </c>
      <c r="X3453" s="14">
        <v>117</v>
      </c>
    </row>
    <row r="3454" spans="1:24" hidden="1" x14ac:dyDescent="0.3">
      <c r="A3454" s="14" t="s">
        <v>479</v>
      </c>
      <c r="B3454" s="14" t="s">
        <v>150</v>
      </c>
      <c r="C3454" s="14" t="s">
        <v>369</v>
      </c>
      <c r="D3454" s="14" t="s">
        <v>370</v>
      </c>
      <c r="E3454" s="14" t="s">
        <v>342</v>
      </c>
      <c r="F3454" s="14" t="s">
        <v>343</v>
      </c>
      <c r="G3454" s="14" t="s">
        <v>343</v>
      </c>
      <c r="H3454" s="14" t="s">
        <v>343</v>
      </c>
      <c r="J3454" s="14">
        <v>0.08</v>
      </c>
      <c r="K3454" s="14">
        <v>0.08</v>
      </c>
      <c r="L3454" s="14">
        <v>0.06</v>
      </c>
      <c r="M3454" s="14">
        <v>0.04</v>
      </c>
      <c r="N3454" s="14">
        <v>0.04</v>
      </c>
      <c r="O3454" s="14">
        <v>0.09</v>
      </c>
      <c r="P3454" s="14">
        <v>0.09</v>
      </c>
      <c r="Q3454" s="14">
        <v>7.0000000000000007E-2</v>
      </c>
      <c r="R3454" s="14">
        <v>0.06</v>
      </c>
      <c r="S3454" s="14">
        <v>0.06</v>
      </c>
      <c r="T3454" s="14">
        <v>7.0000000000000007E-2</v>
      </c>
      <c r="U3454" s="14">
        <v>7.0000000000000007E-2</v>
      </c>
      <c r="V3454" s="14">
        <v>0.11</v>
      </c>
      <c r="W3454" s="14">
        <v>0.12</v>
      </c>
      <c r="X3454" s="14">
        <v>0.12</v>
      </c>
    </row>
    <row r="3455" spans="1:24" hidden="1" x14ac:dyDescent="0.3">
      <c r="A3455" s="14" t="s">
        <v>479</v>
      </c>
      <c r="B3455" s="14" t="s">
        <v>150</v>
      </c>
      <c r="C3455" s="14" t="s">
        <v>369</v>
      </c>
      <c r="D3455" s="14" t="s">
        <v>370</v>
      </c>
      <c r="E3455" s="14" t="s">
        <v>344</v>
      </c>
      <c r="F3455" s="14" t="s">
        <v>343</v>
      </c>
      <c r="G3455" s="14" t="s">
        <v>343</v>
      </c>
      <c r="H3455" s="14" t="s">
        <v>343</v>
      </c>
      <c r="J3455" s="14">
        <v>87</v>
      </c>
      <c r="K3455" s="14">
        <v>96</v>
      </c>
      <c r="L3455" s="14">
        <v>112</v>
      </c>
      <c r="M3455" s="14">
        <v>118</v>
      </c>
      <c r="N3455" s="14">
        <v>119</v>
      </c>
      <c r="O3455" s="14">
        <v>96</v>
      </c>
      <c r="P3455" s="14">
        <v>101</v>
      </c>
      <c r="Q3455" s="14">
        <v>120</v>
      </c>
      <c r="R3455" s="14">
        <v>133</v>
      </c>
      <c r="S3455" s="14">
        <v>133</v>
      </c>
      <c r="T3455" s="14">
        <v>128</v>
      </c>
      <c r="U3455" s="14">
        <v>132</v>
      </c>
      <c r="V3455" s="14">
        <v>115</v>
      </c>
      <c r="W3455" s="14">
        <v>117</v>
      </c>
      <c r="X3455" s="14">
        <v>114</v>
      </c>
    </row>
    <row r="3456" spans="1:24" hidden="1" x14ac:dyDescent="0.3">
      <c r="A3456" s="14" t="s">
        <v>479</v>
      </c>
      <c r="B3456" s="14" t="s">
        <v>150</v>
      </c>
      <c r="C3456" s="14" t="s">
        <v>371</v>
      </c>
      <c r="D3456" s="14" t="s">
        <v>372</v>
      </c>
      <c r="E3456" s="14" t="s">
        <v>342</v>
      </c>
      <c r="F3456" s="14" t="s">
        <v>343</v>
      </c>
      <c r="G3456" s="14" t="s">
        <v>343</v>
      </c>
      <c r="H3456" s="14" t="s">
        <v>343</v>
      </c>
      <c r="U3456" s="14">
        <v>0</v>
      </c>
      <c r="V3456" s="14">
        <v>0</v>
      </c>
      <c r="W3456" s="14">
        <v>0</v>
      </c>
      <c r="X3456" s="14">
        <v>0</v>
      </c>
    </row>
    <row r="3457" spans="1:24" hidden="1" x14ac:dyDescent="0.3">
      <c r="A3457" s="14" t="s">
        <v>479</v>
      </c>
      <c r="B3457" s="14" t="s">
        <v>150</v>
      </c>
      <c r="C3457" s="14" t="s">
        <v>371</v>
      </c>
      <c r="D3457" s="14" t="s">
        <v>372</v>
      </c>
      <c r="E3457" s="14" t="s">
        <v>344</v>
      </c>
      <c r="F3457" s="14" t="s">
        <v>343</v>
      </c>
      <c r="G3457" s="14" t="s">
        <v>343</v>
      </c>
      <c r="H3457" s="14" t="s">
        <v>343</v>
      </c>
      <c r="U3457" s="14">
        <v>71</v>
      </c>
      <c r="V3457" s="14">
        <v>73</v>
      </c>
      <c r="W3457" s="14">
        <v>76</v>
      </c>
      <c r="X3457" s="14">
        <v>78</v>
      </c>
    </row>
    <row r="3458" spans="1:24" hidden="1" x14ac:dyDescent="0.3">
      <c r="A3458" s="14" t="s">
        <v>479</v>
      </c>
      <c r="B3458" s="14" t="s">
        <v>150</v>
      </c>
      <c r="C3458" s="14" t="s">
        <v>373</v>
      </c>
      <c r="D3458" s="14" t="s">
        <v>374</v>
      </c>
      <c r="E3458" s="14" t="s">
        <v>342</v>
      </c>
      <c r="F3458" s="14" t="s">
        <v>343</v>
      </c>
      <c r="G3458" s="14" t="s">
        <v>343</v>
      </c>
      <c r="H3458" s="14" t="s">
        <v>343</v>
      </c>
      <c r="U3458" s="14">
        <v>0.21</v>
      </c>
      <c r="V3458" s="14">
        <v>0.39</v>
      </c>
      <c r="W3458" s="14">
        <v>0.43</v>
      </c>
      <c r="X3458" s="14">
        <v>0.43</v>
      </c>
    </row>
    <row r="3459" spans="1:24" hidden="1" x14ac:dyDescent="0.3">
      <c r="A3459" s="14" t="s">
        <v>479</v>
      </c>
      <c r="B3459" s="14" t="s">
        <v>150</v>
      </c>
      <c r="C3459" s="14" t="s">
        <v>373</v>
      </c>
      <c r="D3459" s="14" t="s">
        <v>374</v>
      </c>
      <c r="E3459" s="14" t="s">
        <v>344</v>
      </c>
      <c r="F3459" s="14" t="s">
        <v>343</v>
      </c>
      <c r="G3459" s="14" t="s">
        <v>343</v>
      </c>
      <c r="H3459" s="14" t="s">
        <v>343</v>
      </c>
      <c r="U3459" s="14">
        <v>80</v>
      </c>
      <c r="V3459" s="14">
        <v>45</v>
      </c>
      <c r="W3459" s="14">
        <v>55</v>
      </c>
      <c r="X3459" s="14">
        <v>53</v>
      </c>
    </row>
    <row r="3460" spans="1:24" hidden="1" x14ac:dyDescent="0.3">
      <c r="A3460" s="14" t="s">
        <v>479</v>
      </c>
      <c r="B3460" s="14" t="s">
        <v>150</v>
      </c>
      <c r="C3460" s="14" t="s">
        <v>375</v>
      </c>
      <c r="D3460" s="14" t="s">
        <v>376</v>
      </c>
      <c r="E3460" s="14" t="s">
        <v>342</v>
      </c>
      <c r="F3460" s="14" t="s">
        <v>343</v>
      </c>
      <c r="G3460" s="14" t="s">
        <v>343</v>
      </c>
      <c r="H3460" s="14" t="s">
        <v>343</v>
      </c>
      <c r="U3460" s="14">
        <v>0.06</v>
      </c>
      <c r="V3460" s="14">
        <v>0.05</v>
      </c>
      <c r="W3460" s="14">
        <v>0.05</v>
      </c>
      <c r="X3460" s="14">
        <v>0.05</v>
      </c>
    </row>
    <row r="3461" spans="1:24" hidden="1" x14ac:dyDescent="0.3">
      <c r="A3461" s="14" t="s">
        <v>479</v>
      </c>
      <c r="B3461" s="14" t="s">
        <v>150</v>
      </c>
      <c r="C3461" s="14" t="s">
        <v>375</v>
      </c>
      <c r="D3461" s="14" t="s">
        <v>376</v>
      </c>
      <c r="E3461" s="14" t="s">
        <v>344</v>
      </c>
      <c r="F3461" s="14" t="s">
        <v>343</v>
      </c>
      <c r="G3461" s="14" t="s">
        <v>343</v>
      </c>
      <c r="H3461" s="14" t="s">
        <v>343</v>
      </c>
      <c r="U3461" s="14">
        <v>141</v>
      </c>
      <c r="V3461" s="14">
        <v>148</v>
      </c>
      <c r="W3461" s="14">
        <v>151</v>
      </c>
      <c r="X3461" s="14">
        <v>141</v>
      </c>
    </row>
    <row r="3462" spans="1:24" hidden="1" x14ac:dyDescent="0.3">
      <c r="A3462" s="14" t="s">
        <v>480</v>
      </c>
      <c r="B3462" s="14" t="s">
        <v>158</v>
      </c>
      <c r="C3462" s="14" t="s">
        <v>340</v>
      </c>
      <c r="D3462" s="14" t="s">
        <v>341</v>
      </c>
      <c r="E3462" s="14" t="s">
        <v>342</v>
      </c>
      <c r="F3462" s="14" t="s">
        <v>343</v>
      </c>
      <c r="G3462" s="14" t="s">
        <v>343</v>
      </c>
      <c r="H3462" s="14" t="s">
        <v>343</v>
      </c>
      <c r="I3462" s="14">
        <v>0.99</v>
      </c>
      <c r="J3462" s="14">
        <v>0.99</v>
      </c>
      <c r="K3462" s="14">
        <v>0.98</v>
      </c>
      <c r="L3462" s="14">
        <v>0.98</v>
      </c>
      <c r="M3462" s="14">
        <v>0.99</v>
      </c>
      <c r="N3462" s="14">
        <v>0.99</v>
      </c>
      <c r="O3462" s="14">
        <v>0.99</v>
      </c>
      <c r="P3462" s="14">
        <v>0.99</v>
      </c>
      <c r="Q3462" s="14">
        <v>0.99</v>
      </c>
      <c r="R3462" s="14">
        <v>0.99</v>
      </c>
      <c r="S3462" s="14">
        <v>1</v>
      </c>
      <c r="T3462" s="14">
        <v>1</v>
      </c>
      <c r="U3462" s="14">
        <v>1</v>
      </c>
      <c r="V3462" s="14">
        <v>1</v>
      </c>
      <c r="W3462" s="14">
        <v>1</v>
      </c>
      <c r="X3462" s="14">
        <v>0.99</v>
      </c>
    </row>
    <row r="3463" spans="1:24" hidden="1" x14ac:dyDescent="0.3">
      <c r="A3463" s="14" t="s">
        <v>480</v>
      </c>
      <c r="B3463" s="14" t="s">
        <v>158</v>
      </c>
      <c r="C3463" s="14" t="s">
        <v>340</v>
      </c>
      <c r="D3463" s="14" t="s">
        <v>341</v>
      </c>
      <c r="E3463" s="14" t="s">
        <v>344</v>
      </c>
      <c r="F3463" s="14" t="s">
        <v>343</v>
      </c>
      <c r="G3463" s="14" t="s">
        <v>343</v>
      </c>
      <c r="H3463" s="14" t="s">
        <v>343</v>
      </c>
      <c r="I3463" s="14">
        <v>44</v>
      </c>
      <c r="J3463" s="14">
        <v>49</v>
      </c>
      <c r="K3463" s="14">
        <v>86</v>
      </c>
      <c r="L3463" s="14">
        <v>90</v>
      </c>
      <c r="M3463" s="14">
        <v>61</v>
      </c>
      <c r="N3463" s="14">
        <v>61</v>
      </c>
      <c r="O3463" s="14">
        <v>69</v>
      </c>
      <c r="P3463" s="14">
        <v>70</v>
      </c>
      <c r="Q3463" s="14">
        <v>75</v>
      </c>
      <c r="R3463" s="14">
        <v>75</v>
      </c>
      <c r="S3463" s="14">
        <v>51</v>
      </c>
      <c r="T3463" s="14">
        <v>53</v>
      </c>
      <c r="U3463" s="14">
        <v>58</v>
      </c>
      <c r="V3463" s="14">
        <v>54</v>
      </c>
      <c r="W3463" s="14">
        <v>56</v>
      </c>
      <c r="X3463" s="14">
        <v>60</v>
      </c>
    </row>
    <row r="3464" spans="1:24" hidden="1" x14ac:dyDescent="0.3">
      <c r="A3464" s="14" t="s">
        <v>480</v>
      </c>
      <c r="B3464" s="14" t="s">
        <v>158</v>
      </c>
      <c r="C3464" s="14" t="s">
        <v>345</v>
      </c>
      <c r="D3464" s="14" t="s">
        <v>346</v>
      </c>
      <c r="E3464" s="14" t="s">
        <v>342</v>
      </c>
      <c r="F3464" s="14" t="s">
        <v>343</v>
      </c>
      <c r="G3464" s="14" t="s">
        <v>343</v>
      </c>
      <c r="H3464" s="14" t="s">
        <v>343</v>
      </c>
      <c r="U3464" s="14">
        <v>0.5</v>
      </c>
      <c r="V3464" s="14">
        <v>0.46</v>
      </c>
      <c r="W3464" s="14">
        <v>0.51</v>
      </c>
      <c r="X3464" s="14">
        <v>0.52</v>
      </c>
    </row>
    <row r="3465" spans="1:24" hidden="1" x14ac:dyDescent="0.3">
      <c r="A3465" s="14" t="s">
        <v>480</v>
      </c>
      <c r="B3465" s="14" t="s">
        <v>158</v>
      </c>
      <c r="C3465" s="14" t="s">
        <v>345</v>
      </c>
      <c r="D3465" s="14" t="s">
        <v>346</v>
      </c>
      <c r="E3465" s="14" t="s">
        <v>344</v>
      </c>
      <c r="F3465" s="14" t="s">
        <v>343</v>
      </c>
      <c r="G3465" s="14" t="s">
        <v>343</v>
      </c>
      <c r="H3465" s="14" t="s">
        <v>343</v>
      </c>
      <c r="U3465" s="14">
        <v>111</v>
      </c>
      <c r="V3465" s="14">
        <v>127</v>
      </c>
      <c r="W3465" s="14">
        <v>116</v>
      </c>
      <c r="X3465" s="14">
        <v>115</v>
      </c>
    </row>
    <row r="3466" spans="1:24" hidden="1" x14ac:dyDescent="0.3">
      <c r="A3466" s="14" t="s">
        <v>480</v>
      </c>
      <c r="B3466" s="14" t="s">
        <v>158</v>
      </c>
      <c r="C3466" s="14" t="s">
        <v>347</v>
      </c>
      <c r="D3466" s="14" t="s">
        <v>348</v>
      </c>
      <c r="E3466" s="14" t="s">
        <v>342</v>
      </c>
      <c r="F3466" s="14" t="s">
        <v>343</v>
      </c>
      <c r="G3466" s="14" t="s">
        <v>343</v>
      </c>
      <c r="H3466" s="14" t="s">
        <v>343</v>
      </c>
      <c r="U3466" s="14">
        <v>0.56999999999999995</v>
      </c>
      <c r="V3466" s="14">
        <v>0.56999999999999995</v>
      </c>
      <c r="W3466" s="14">
        <v>0.6</v>
      </c>
      <c r="X3466" s="14">
        <v>0.57999999999999996</v>
      </c>
    </row>
    <row r="3467" spans="1:24" hidden="1" x14ac:dyDescent="0.3">
      <c r="A3467" s="14" t="s">
        <v>480</v>
      </c>
      <c r="B3467" s="14" t="s">
        <v>158</v>
      </c>
      <c r="C3467" s="14" t="s">
        <v>347</v>
      </c>
      <c r="D3467" s="14" t="s">
        <v>348</v>
      </c>
      <c r="E3467" s="14" t="s">
        <v>344</v>
      </c>
      <c r="F3467" s="14" t="s">
        <v>343</v>
      </c>
      <c r="G3467" s="14" t="s">
        <v>343</v>
      </c>
      <c r="H3467" s="14" t="s">
        <v>343</v>
      </c>
      <c r="U3467" s="14">
        <v>124</v>
      </c>
      <c r="V3467" s="14">
        <v>128</v>
      </c>
      <c r="W3467" s="14">
        <v>129</v>
      </c>
      <c r="X3467" s="14">
        <v>123</v>
      </c>
    </row>
    <row r="3468" spans="1:24" hidden="1" x14ac:dyDescent="0.3">
      <c r="A3468" s="14" t="s">
        <v>480</v>
      </c>
      <c r="B3468" s="14" t="s">
        <v>158</v>
      </c>
      <c r="C3468" s="14" t="s">
        <v>349</v>
      </c>
      <c r="D3468" s="14" t="s">
        <v>350</v>
      </c>
      <c r="E3468" s="14" t="s">
        <v>342</v>
      </c>
      <c r="F3468" s="14" t="s">
        <v>343</v>
      </c>
      <c r="G3468" s="14" t="s">
        <v>343</v>
      </c>
      <c r="H3468" s="14" t="s">
        <v>343</v>
      </c>
      <c r="U3468" s="14">
        <v>0.57999999999999996</v>
      </c>
      <c r="V3468" s="14">
        <v>0.56000000000000005</v>
      </c>
      <c r="W3468" s="14">
        <v>0.56000000000000005</v>
      </c>
      <c r="X3468" s="14">
        <v>0.62</v>
      </c>
    </row>
    <row r="3469" spans="1:24" hidden="1" x14ac:dyDescent="0.3">
      <c r="A3469" s="14" t="s">
        <v>480</v>
      </c>
      <c r="B3469" s="14" t="s">
        <v>158</v>
      </c>
      <c r="C3469" s="14" t="s">
        <v>349</v>
      </c>
      <c r="D3469" s="14" t="s">
        <v>350</v>
      </c>
      <c r="E3469" s="14" t="s">
        <v>344</v>
      </c>
      <c r="F3469" s="14" t="s">
        <v>343</v>
      </c>
      <c r="G3469" s="14" t="s">
        <v>343</v>
      </c>
      <c r="H3469" s="14" t="s">
        <v>343</v>
      </c>
      <c r="U3469" s="14">
        <v>42</v>
      </c>
      <c r="V3469" s="14">
        <v>48</v>
      </c>
      <c r="W3469" s="14">
        <v>57</v>
      </c>
      <c r="X3469" s="14">
        <v>44</v>
      </c>
    </row>
    <row r="3470" spans="1:24" hidden="1" x14ac:dyDescent="0.3">
      <c r="A3470" s="14" t="s">
        <v>480</v>
      </c>
      <c r="B3470" s="14" t="s">
        <v>158</v>
      </c>
      <c r="C3470" s="14" t="s">
        <v>351</v>
      </c>
      <c r="D3470" s="14" t="s">
        <v>352</v>
      </c>
      <c r="E3470" s="14" t="s">
        <v>342</v>
      </c>
      <c r="F3470" s="14" t="s">
        <v>343</v>
      </c>
      <c r="G3470" s="14" t="s">
        <v>343</v>
      </c>
      <c r="H3470" s="14" t="s">
        <v>343</v>
      </c>
      <c r="U3470" s="14">
        <v>0.96</v>
      </c>
      <c r="V3470" s="14">
        <v>0.97</v>
      </c>
      <c r="W3470" s="14">
        <v>0.99</v>
      </c>
      <c r="X3470" s="14">
        <v>0.99</v>
      </c>
    </row>
    <row r="3471" spans="1:24" hidden="1" x14ac:dyDescent="0.3">
      <c r="A3471" s="14" t="s">
        <v>480</v>
      </c>
      <c r="B3471" s="14" t="s">
        <v>158</v>
      </c>
      <c r="C3471" s="14" t="s">
        <v>351</v>
      </c>
      <c r="D3471" s="14" t="s">
        <v>352</v>
      </c>
      <c r="E3471" s="14" t="s">
        <v>344</v>
      </c>
      <c r="F3471" s="14" t="s">
        <v>343</v>
      </c>
      <c r="G3471" s="14" t="s">
        <v>343</v>
      </c>
      <c r="H3471" s="14" t="s">
        <v>343</v>
      </c>
      <c r="U3471" s="14">
        <v>77</v>
      </c>
      <c r="V3471" s="14">
        <v>76</v>
      </c>
      <c r="W3471" s="14">
        <v>77</v>
      </c>
      <c r="X3471" s="14">
        <v>72</v>
      </c>
    </row>
    <row r="3472" spans="1:24" hidden="1" x14ac:dyDescent="0.3">
      <c r="A3472" s="14" t="s">
        <v>480</v>
      </c>
      <c r="B3472" s="14" t="s">
        <v>158</v>
      </c>
      <c r="C3472" s="14" t="s">
        <v>378</v>
      </c>
      <c r="D3472" s="14" t="s">
        <v>379</v>
      </c>
      <c r="E3472" s="14" t="s">
        <v>342</v>
      </c>
      <c r="F3472" s="14" t="s">
        <v>343</v>
      </c>
      <c r="G3472" s="14" t="s">
        <v>343</v>
      </c>
      <c r="H3472" s="14" t="s">
        <v>343</v>
      </c>
      <c r="S3472" s="14">
        <v>0.51</v>
      </c>
      <c r="U3472" s="14">
        <v>0.47</v>
      </c>
      <c r="V3472" s="14">
        <v>0.5</v>
      </c>
      <c r="W3472" s="14">
        <v>0.5</v>
      </c>
      <c r="X3472" s="14">
        <v>0.5</v>
      </c>
    </row>
    <row r="3473" spans="1:24" hidden="1" x14ac:dyDescent="0.3">
      <c r="A3473" s="14" t="s">
        <v>480</v>
      </c>
      <c r="B3473" s="14" t="s">
        <v>158</v>
      </c>
      <c r="C3473" s="14" t="s">
        <v>378</v>
      </c>
      <c r="D3473" s="14" t="s">
        <v>379</v>
      </c>
      <c r="E3473" s="14" t="s">
        <v>344</v>
      </c>
      <c r="F3473" s="14" t="s">
        <v>343</v>
      </c>
      <c r="G3473" s="14" t="s">
        <v>343</v>
      </c>
      <c r="H3473" s="14" t="s">
        <v>343</v>
      </c>
      <c r="S3473" s="14">
        <v>128</v>
      </c>
      <c r="U3473" s="14">
        <v>134</v>
      </c>
      <c r="V3473" s="14">
        <v>129</v>
      </c>
      <c r="W3473" s="14">
        <v>132</v>
      </c>
      <c r="X3473" s="14">
        <v>124</v>
      </c>
    </row>
    <row r="3474" spans="1:24" hidden="1" x14ac:dyDescent="0.3">
      <c r="A3474" s="14" t="s">
        <v>480</v>
      </c>
      <c r="B3474" s="14" t="s">
        <v>158</v>
      </c>
      <c r="C3474" s="14" t="s">
        <v>353</v>
      </c>
      <c r="D3474" s="14" t="s">
        <v>354</v>
      </c>
      <c r="E3474" s="14" t="s">
        <v>342</v>
      </c>
      <c r="F3474" s="14" t="s">
        <v>343</v>
      </c>
      <c r="G3474" s="14" t="s">
        <v>343</v>
      </c>
      <c r="H3474" s="14" t="s">
        <v>343</v>
      </c>
      <c r="U3474" s="14">
        <v>0.98</v>
      </c>
      <c r="V3474" s="14">
        <v>0.98</v>
      </c>
      <c r="W3474" s="14">
        <v>0.98</v>
      </c>
      <c r="X3474" s="14">
        <v>0.98</v>
      </c>
    </row>
    <row r="3475" spans="1:24" hidden="1" x14ac:dyDescent="0.3">
      <c r="A3475" s="14" t="s">
        <v>480</v>
      </c>
      <c r="B3475" s="14" t="s">
        <v>158</v>
      </c>
      <c r="C3475" s="14" t="s">
        <v>353</v>
      </c>
      <c r="D3475" s="14" t="s">
        <v>354</v>
      </c>
      <c r="E3475" s="14" t="s">
        <v>344</v>
      </c>
      <c r="F3475" s="14" t="s">
        <v>343</v>
      </c>
      <c r="G3475" s="14" t="s">
        <v>343</v>
      </c>
      <c r="H3475" s="14" t="s">
        <v>343</v>
      </c>
      <c r="U3475" s="14">
        <v>77</v>
      </c>
      <c r="V3475" s="14">
        <v>79</v>
      </c>
      <c r="W3475" s="14">
        <v>81</v>
      </c>
      <c r="X3475" s="14">
        <v>74</v>
      </c>
    </row>
    <row r="3476" spans="1:24" hidden="1" x14ac:dyDescent="0.3">
      <c r="A3476" s="14" t="s">
        <v>480</v>
      </c>
      <c r="B3476" s="14" t="s">
        <v>158</v>
      </c>
      <c r="C3476" s="14" t="s">
        <v>380</v>
      </c>
      <c r="D3476" s="14" t="s">
        <v>381</v>
      </c>
      <c r="E3476" s="14" t="s">
        <v>342</v>
      </c>
      <c r="F3476" s="14" t="s">
        <v>343</v>
      </c>
      <c r="G3476" s="14" t="s">
        <v>343</v>
      </c>
      <c r="H3476" s="14" t="s">
        <v>343</v>
      </c>
      <c r="U3476" s="14">
        <v>1</v>
      </c>
      <c r="V3476" s="14">
        <v>1</v>
      </c>
      <c r="W3476" s="14">
        <v>1</v>
      </c>
    </row>
    <row r="3477" spans="1:24" hidden="1" x14ac:dyDescent="0.3">
      <c r="A3477" s="14" t="s">
        <v>480</v>
      </c>
      <c r="B3477" s="14" t="s">
        <v>158</v>
      </c>
      <c r="C3477" s="14" t="s">
        <v>380</v>
      </c>
      <c r="D3477" s="14" t="s">
        <v>381</v>
      </c>
      <c r="E3477" s="14" t="s">
        <v>344</v>
      </c>
      <c r="F3477" s="14" t="s">
        <v>343</v>
      </c>
      <c r="G3477" s="14" t="s">
        <v>343</v>
      </c>
      <c r="H3477" s="14" t="s">
        <v>343</v>
      </c>
      <c r="U3477" s="14">
        <v>1</v>
      </c>
      <c r="V3477" s="14">
        <v>1</v>
      </c>
      <c r="W3477" s="14">
        <v>1</v>
      </c>
    </row>
    <row r="3478" spans="1:24" hidden="1" x14ac:dyDescent="0.3">
      <c r="A3478" s="14" t="s">
        <v>480</v>
      </c>
      <c r="B3478" s="14" t="s">
        <v>158</v>
      </c>
      <c r="C3478" s="14" t="s">
        <v>355</v>
      </c>
      <c r="D3478" s="14" t="s">
        <v>356</v>
      </c>
      <c r="E3478" s="14" t="s">
        <v>342</v>
      </c>
      <c r="F3478" s="14" t="s">
        <v>343</v>
      </c>
      <c r="G3478" s="14" t="s">
        <v>343</v>
      </c>
      <c r="H3478" s="14" t="s">
        <v>343</v>
      </c>
      <c r="U3478" s="14">
        <v>1</v>
      </c>
      <c r="V3478" s="14">
        <v>1</v>
      </c>
      <c r="W3478" s="14">
        <v>1</v>
      </c>
      <c r="X3478" s="14">
        <v>1</v>
      </c>
    </row>
    <row r="3479" spans="1:24" hidden="1" x14ac:dyDescent="0.3">
      <c r="A3479" s="14" t="s">
        <v>480</v>
      </c>
      <c r="B3479" s="14" t="s">
        <v>158</v>
      </c>
      <c r="C3479" s="14" t="s">
        <v>355</v>
      </c>
      <c r="D3479" s="14" t="s">
        <v>356</v>
      </c>
      <c r="E3479" s="14" t="s">
        <v>344</v>
      </c>
      <c r="F3479" s="14" t="s">
        <v>343</v>
      </c>
      <c r="G3479" s="14" t="s">
        <v>343</v>
      </c>
      <c r="H3479" s="14" t="s">
        <v>343</v>
      </c>
      <c r="U3479" s="14">
        <v>1</v>
      </c>
      <c r="V3479" s="14">
        <v>1</v>
      </c>
      <c r="W3479" s="14">
        <v>1</v>
      </c>
      <c r="X3479" s="14">
        <v>1</v>
      </c>
    </row>
    <row r="3480" spans="1:24" hidden="1" x14ac:dyDescent="0.3">
      <c r="A3480" s="14" t="s">
        <v>480</v>
      </c>
      <c r="B3480" s="14" t="s">
        <v>158</v>
      </c>
      <c r="C3480" s="14" t="s">
        <v>357</v>
      </c>
      <c r="D3480" s="14" t="s">
        <v>358</v>
      </c>
      <c r="E3480" s="14" t="s">
        <v>342</v>
      </c>
      <c r="F3480" s="14" t="s">
        <v>343</v>
      </c>
      <c r="G3480" s="14" t="s">
        <v>343</v>
      </c>
      <c r="H3480" s="14" t="s">
        <v>343</v>
      </c>
      <c r="U3480" s="14">
        <v>1</v>
      </c>
      <c r="V3480" s="14">
        <v>1</v>
      </c>
      <c r="W3480" s="14">
        <v>1</v>
      </c>
      <c r="X3480" s="14">
        <v>1</v>
      </c>
    </row>
    <row r="3481" spans="1:24" hidden="1" x14ac:dyDescent="0.3">
      <c r="A3481" s="14" t="s">
        <v>480</v>
      </c>
      <c r="B3481" s="14" t="s">
        <v>158</v>
      </c>
      <c r="C3481" s="14" t="s">
        <v>357</v>
      </c>
      <c r="D3481" s="14" t="s">
        <v>358</v>
      </c>
      <c r="E3481" s="14" t="s">
        <v>344</v>
      </c>
      <c r="F3481" s="14" t="s">
        <v>343</v>
      </c>
      <c r="G3481" s="14" t="s">
        <v>343</v>
      </c>
      <c r="H3481" s="14" t="s">
        <v>343</v>
      </c>
      <c r="U3481" s="14">
        <v>1</v>
      </c>
      <c r="V3481" s="14">
        <v>1</v>
      </c>
      <c r="W3481" s="14">
        <v>1</v>
      </c>
      <c r="X3481" s="14">
        <v>1</v>
      </c>
    </row>
    <row r="3482" spans="1:24" hidden="1" x14ac:dyDescent="0.3">
      <c r="A3482" s="14" t="s">
        <v>480</v>
      </c>
      <c r="B3482" s="14" t="s">
        <v>158</v>
      </c>
      <c r="C3482" s="14" t="s">
        <v>359</v>
      </c>
      <c r="D3482" s="14" t="s">
        <v>360</v>
      </c>
      <c r="E3482" s="14" t="s">
        <v>342</v>
      </c>
      <c r="F3482" s="14" t="s">
        <v>343</v>
      </c>
      <c r="G3482" s="14" t="s">
        <v>343</v>
      </c>
      <c r="H3482" s="14" t="s">
        <v>343</v>
      </c>
      <c r="I3482" s="14">
        <v>0.48</v>
      </c>
      <c r="J3482" s="14">
        <v>0.49</v>
      </c>
      <c r="K3482" s="14">
        <v>0.48</v>
      </c>
      <c r="L3482" s="14">
        <v>0.51</v>
      </c>
      <c r="M3482" s="14">
        <v>0.52</v>
      </c>
      <c r="N3482" s="14">
        <v>0.53</v>
      </c>
      <c r="O3482" s="14">
        <v>0.54</v>
      </c>
      <c r="P3482" s="14">
        <v>0.55000000000000004</v>
      </c>
      <c r="Q3482" s="14">
        <v>0.55000000000000004</v>
      </c>
      <c r="R3482" s="14">
        <v>0.55000000000000004</v>
      </c>
      <c r="S3482" s="14">
        <v>0.54</v>
      </c>
      <c r="T3482" s="14">
        <v>0.52</v>
      </c>
      <c r="U3482" s="14">
        <v>0.56999999999999995</v>
      </c>
      <c r="V3482" s="14">
        <v>0.56999999999999995</v>
      </c>
      <c r="W3482" s="14">
        <v>0.59</v>
      </c>
      <c r="X3482" s="14">
        <v>0.6</v>
      </c>
    </row>
    <row r="3483" spans="1:24" hidden="1" x14ac:dyDescent="0.3">
      <c r="A3483" s="14" t="s">
        <v>480</v>
      </c>
      <c r="B3483" s="14" t="s">
        <v>158</v>
      </c>
      <c r="C3483" s="14" t="s">
        <v>359</v>
      </c>
      <c r="D3483" s="14" t="s">
        <v>360</v>
      </c>
      <c r="E3483" s="14" t="s">
        <v>344</v>
      </c>
      <c r="F3483" s="14" t="s">
        <v>343</v>
      </c>
      <c r="G3483" s="14" t="s">
        <v>343</v>
      </c>
      <c r="H3483" s="14" t="s">
        <v>343</v>
      </c>
      <c r="I3483" s="14">
        <v>98</v>
      </c>
      <c r="J3483" s="14">
        <v>109</v>
      </c>
      <c r="K3483" s="14">
        <v>112</v>
      </c>
      <c r="L3483" s="14">
        <v>114</v>
      </c>
      <c r="M3483" s="14">
        <v>110</v>
      </c>
      <c r="N3483" s="14">
        <v>109</v>
      </c>
      <c r="O3483" s="14">
        <v>113</v>
      </c>
      <c r="P3483" s="14">
        <v>111</v>
      </c>
      <c r="Q3483" s="14">
        <v>120</v>
      </c>
      <c r="R3483" s="14">
        <v>126</v>
      </c>
      <c r="S3483" s="14">
        <v>122</v>
      </c>
      <c r="T3483" s="14">
        <v>124</v>
      </c>
      <c r="U3483" s="14">
        <v>122</v>
      </c>
      <c r="V3483" s="14">
        <v>124</v>
      </c>
      <c r="W3483" s="14">
        <v>122</v>
      </c>
      <c r="X3483" s="14">
        <v>113</v>
      </c>
    </row>
    <row r="3484" spans="1:24" x14ac:dyDescent="0.3">
      <c r="A3484" s="14" t="s">
        <v>480</v>
      </c>
      <c r="B3484" s="14" t="s">
        <v>158</v>
      </c>
      <c r="C3484" s="14" t="s">
        <v>361</v>
      </c>
      <c r="D3484" s="14" t="s">
        <v>362</v>
      </c>
      <c r="E3484" s="14" t="s">
        <v>342</v>
      </c>
      <c r="F3484" s="14" t="s">
        <v>343</v>
      </c>
      <c r="G3484" s="14" t="s">
        <v>343</v>
      </c>
      <c r="H3484" s="14" t="s">
        <v>343</v>
      </c>
      <c r="I3484" s="14">
        <v>0.98</v>
      </c>
      <c r="J3484" s="14">
        <v>0.98</v>
      </c>
      <c r="K3484" s="14">
        <v>0.98</v>
      </c>
      <c r="L3484" s="14">
        <v>0.98</v>
      </c>
      <c r="M3484" s="14">
        <v>0.98</v>
      </c>
      <c r="N3484" s="14">
        <v>0.98</v>
      </c>
      <c r="O3484" s="14">
        <v>0.98</v>
      </c>
      <c r="P3484" s="14">
        <v>0.98</v>
      </c>
      <c r="Q3484" s="14">
        <v>0.98</v>
      </c>
      <c r="R3484" s="14">
        <v>0.98</v>
      </c>
      <c r="S3484" s="14">
        <v>0.98</v>
      </c>
      <c r="T3484" s="14">
        <v>0.98</v>
      </c>
      <c r="U3484" s="14">
        <v>0.98</v>
      </c>
      <c r="V3484" s="14">
        <v>0.98</v>
      </c>
      <c r="W3484" s="14">
        <v>0.98</v>
      </c>
      <c r="X3484" s="14">
        <v>0.98</v>
      </c>
    </row>
    <row r="3485" spans="1:24" hidden="1" x14ac:dyDescent="0.3">
      <c r="A3485" s="14" t="s">
        <v>480</v>
      </c>
      <c r="B3485" s="14" t="s">
        <v>158</v>
      </c>
      <c r="C3485" s="14" t="s">
        <v>361</v>
      </c>
      <c r="D3485" s="14" t="s">
        <v>362</v>
      </c>
      <c r="E3485" s="14" t="s">
        <v>344</v>
      </c>
      <c r="F3485" s="14" t="s">
        <v>343</v>
      </c>
      <c r="G3485" s="14" t="s">
        <v>343</v>
      </c>
      <c r="H3485" s="14" t="s">
        <v>343</v>
      </c>
      <c r="I3485" s="14">
        <v>1</v>
      </c>
      <c r="J3485" s="14">
        <v>1</v>
      </c>
      <c r="K3485" s="14">
        <v>1</v>
      </c>
      <c r="L3485" s="14">
        <v>1</v>
      </c>
      <c r="M3485" s="14">
        <v>1</v>
      </c>
      <c r="N3485" s="14">
        <v>1</v>
      </c>
      <c r="O3485" s="14">
        <v>1</v>
      </c>
      <c r="P3485" s="14">
        <v>1</v>
      </c>
      <c r="Q3485" s="14">
        <v>1</v>
      </c>
      <c r="R3485" s="14">
        <v>1</v>
      </c>
      <c r="S3485" s="14">
        <v>1</v>
      </c>
      <c r="T3485" s="14">
        <v>58</v>
      </c>
      <c r="U3485" s="14">
        <v>50</v>
      </c>
      <c r="V3485" s="14">
        <v>46</v>
      </c>
      <c r="W3485" s="14">
        <v>58</v>
      </c>
      <c r="X3485" s="14">
        <v>54</v>
      </c>
    </row>
    <row r="3486" spans="1:24" hidden="1" x14ac:dyDescent="0.3">
      <c r="A3486" s="14" t="s">
        <v>480</v>
      </c>
      <c r="B3486" s="14" t="s">
        <v>158</v>
      </c>
      <c r="C3486" s="14" t="s">
        <v>363</v>
      </c>
      <c r="D3486" s="14" t="s">
        <v>364</v>
      </c>
      <c r="E3486" s="14" t="s">
        <v>342</v>
      </c>
      <c r="F3486" s="14" t="s">
        <v>343</v>
      </c>
      <c r="G3486" s="14" t="s">
        <v>343</v>
      </c>
      <c r="H3486" s="14" t="s">
        <v>343</v>
      </c>
      <c r="U3486" s="14">
        <v>1.06</v>
      </c>
      <c r="V3486" s="14">
        <v>1.06</v>
      </c>
      <c r="W3486" s="14">
        <v>1.04</v>
      </c>
      <c r="X3486" s="14">
        <v>1.05</v>
      </c>
    </row>
    <row r="3487" spans="1:24" hidden="1" x14ac:dyDescent="0.3">
      <c r="A3487" s="14" t="s">
        <v>480</v>
      </c>
      <c r="B3487" s="14" t="s">
        <v>158</v>
      </c>
      <c r="C3487" s="14" t="s">
        <v>363</v>
      </c>
      <c r="D3487" s="14" t="s">
        <v>364</v>
      </c>
      <c r="E3487" s="14" t="s">
        <v>344</v>
      </c>
      <c r="F3487" s="14" t="s">
        <v>343</v>
      </c>
      <c r="G3487" s="14" t="s">
        <v>343</v>
      </c>
      <c r="H3487" s="14" t="s">
        <v>343</v>
      </c>
      <c r="U3487" s="14">
        <v>60</v>
      </c>
      <c r="V3487" s="14">
        <v>62</v>
      </c>
      <c r="W3487" s="14">
        <v>67</v>
      </c>
      <c r="X3487" s="14">
        <v>60</v>
      </c>
    </row>
    <row r="3488" spans="1:24" hidden="1" x14ac:dyDescent="0.3">
      <c r="A3488" s="14" t="s">
        <v>480</v>
      </c>
      <c r="B3488" s="14" t="s">
        <v>158</v>
      </c>
      <c r="C3488" s="14" t="s">
        <v>365</v>
      </c>
      <c r="D3488" s="14" t="s">
        <v>366</v>
      </c>
      <c r="E3488" s="14" t="s">
        <v>342</v>
      </c>
      <c r="F3488" s="14" t="s">
        <v>343</v>
      </c>
      <c r="G3488" s="14" t="s">
        <v>343</v>
      </c>
      <c r="H3488" s="14" t="s">
        <v>343</v>
      </c>
      <c r="U3488" s="14">
        <v>0.94</v>
      </c>
      <c r="V3488" s="14">
        <v>0.94</v>
      </c>
      <c r="W3488" s="14">
        <v>0.94</v>
      </c>
      <c r="X3488" s="14">
        <v>0.94</v>
      </c>
    </row>
    <row r="3489" spans="1:24" hidden="1" x14ac:dyDescent="0.3">
      <c r="A3489" s="14" t="s">
        <v>480</v>
      </c>
      <c r="B3489" s="14" t="s">
        <v>158</v>
      </c>
      <c r="C3489" s="14" t="s">
        <v>365</v>
      </c>
      <c r="D3489" s="14" t="s">
        <v>366</v>
      </c>
      <c r="E3489" s="14" t="s">
        <v>344</v>
      </c>
      <c r="F3489" s="14" t="s">
        <v>343</v>
      </c>
      <c r="G3489" s="14" t="s">
        <v>343</v>
      </c>
      <c r="H3489" s="14" t="s">
        <v>343</v>
      </c>
      <c r="U3489" s="14">
        <v>1</v>
      </c>
      <c r="V3489" s="14">
        <v>1</v>
      </c>
      <c r="W3489" s="14">
        <v>1</v>
      </c>
      <c r="X3489" s="14">
        <v>1</v>
      </c>
    </row>
    <row r="3490" spans="1:24" hidden="1" x14ac:dyDescent="0.3">
      <c r="A3490" s="14" t="s">
        <v>480</v>
      </c>
      <c r="B3490" s="14" t="s">
        <v>158</v>
      </c>
      <c r="C3490" s="14" t="s">
        <v>367</v>
      </c>
      <c r="D3490" s="14" t="s">
        <v>368</v>
      </c>
      <c r="E3490" s="14" t="s">
        <v>342</v>
      </c>
      <c r="F3490" s="14" t="s">
        <v>343</v>
      </c>
      <c r="G3490" s="14" t="s">
        <v>343</v>
      </c>
      <c r="H3490" s="14" t="s">
        <v>343</v>
      </c>
      <c r="I3490" s="14">
        <v>0.65</v>
      </c>
      <c r="J3490" s="14">
        <v>0.64</v>
      </c>
      <c r="K3490" s="14">
        <v>0.64</v>
      </c>
      <c r="L3490" s="14">
        <v>0.65</v>
      </c>
      <c r="M3490" s="14">
        <v>0.66</v>
      </c>
      <c r="N3490" s="14">
        <v>0.66</v>
      </c>
      <c r="O3490" s="14">
        <v>0.67</v>
      </c>
      <c r="P3490" s="14">
        <v>0.69</v>
      </c>
      <c r="Q3490" s="14">
        <v>0.69</v>
      </c>
      <c r="R3490" s="14">
        <v>0.7</v>
      </c>
      <c r="S3490" s="14">
        <v>0.7</v>
      </c>
      <c r="T3490" s="14">
        <v>0.69</v>
      </c>
      <c r="U3490" s="14">
        <v>0.72</v>
      </c>
      <c r="V3490" s="14">
        <v>0.75</v>
      </c>
      <c r="W3490" s="14">
        <v>0.76</v>
      </c>
      <c r="X3490" s="14">
        <v>0.76</v>
      </c>
    </row>
    <row r="3491" spans="1:24" hidden="1" x14ac:dyDescent="0.3">
      <c r="A3491" s="14" t="s">
        <v>480</v>
      </c>
      <c r="B3491" s="14" t="s">
        <v>158</v>
      </c>
      <c r="C3491" s="14" t="s">
        <v>367</v>
      </c>
      <c r="D3491" s="14" t="s">
        <v>368</v>
      </c>
      <c r="E3491" s="14" t="s">
        <v>344</v>
      </c>
      <c r="F3491" s="14" t="s">
        <v>343</v>
      </c>
      <c r="G3491" s="14" t="s">
        <v>343</v>
      </c>
      <c r="H3491" s="14" t="s">
        <v>343</v>
      </c>
      <c r="I3491" s="14">
        <v>75</v>
      </c>
      <c r="J3491" s="14">
        <v>93</v>
      </c>
      <c r="K3491" s="14">
        <v>97</v>
      </c>
      <c r="L3491" s="14">
        <v>98</v>
      </c>
      <c r="M3491" s="14">
        <v>91</v>
      </c>
      <c r="N3491" s="14">
        <v>89</v>
      </c>
      <c r="O3491" s="14">
        <v>84</v>
      </c>
      <c r="P3491" s="14">
        <v>68</v>
      </c>
      <c r="Q3491" s="14">
        <v>80</v>
      </c>
      <c r="R3491" s="14">
        <v>71</v>
      </c>
      <c r="S3491" s="14">
        <v>66</v>
      </c>
      <c r="T3491" s="14">
        <v>81</v>
      </c>
      <c r="U3491" s="14">
        <v>50</v>
      </c>
      <c r="V3491" s="14">
        <v>25</v>
      </c>
      <c r="W3491" s="14">
        <v>34</v>
      </c>
      <c r="X3491" s="14">
        <v>31</v>
      </c>
    </row>
    <row r="3492" spans="1:24" hidden="1" x14ac:dyDescent="0.3">
      <c r="A3492" s="14" t="s">
        <v>480</v>
      </c>
      <c r="B3492" s="14" t="s">
        <v>158</v>
      </c>
      <c r="C3492" s="14" t="s">
        <v>369</v>
      </c>
      <c r="D3492" s="14" t="s">
        <v>370</v>
      </c>
      <c r="E3492" s="14" t="s">
        <v>342</v>
      </c>
      <c r="F3492" s="14" t="s">
        <v>343</v>
      </c>
      <c r="G3492" s="14" t="s">
        <v>343</v>
      </c>
      <c r="H3492" s="14" t="s">
        <v>343</v>
      </c>
      <c r="I3492" s="14">
        <v>0.13</v>
      </c>
      <c r="J3492" s="14">
        <v>0.12</v>
      </c>
      <c r="K3492" s="14">
        <v>0.14000000000000001</v>
      </c>
      <c r="L3492" s="14">
        <v>0.13</v>
      </c>
      <c r="M3492" s="14">
        <v>0.14000000000000001</v>
      </c>
      <c r="N3492" s="14">
        <v>0.14000000000000001</v>
      </c>
      <c r="O3492" s="14">
        <v>0.18</v>
      </c>
      <c r="P3492" s="14">
        <v>0.25</v>
      </c>
      <c r="Q3492" s="14">
        <v>0.24</v>
      </c>
      <c r="R3492" s="14">
        <v>0.28000000000000003</v>
      </c>
      <c r="S3492" s="14">
        <v>0.28000000000000003</v>
      </c>
      <c r="T3492" s="14">
        <v>0.28000000000000003</v>
      </c>
      <c r="U3492" s="14">
        <v>0.34</v>
      </c>
      <c r="V3492" s="14">
        <v>0.47</v>
      </c>
      <c r="W3492" s="14">
        <v>0.47</v>
      </c>
      <c r="X3492" s="14">
        <v>0.49</v>
      </c>
    </row>
    <row r="3493" spans="1:24" hidden="1" x14ac:dyDescent="0.3">
      <c r="A3493" s="14" t="s">
        <v>480</v>
      </c>
      <c r="B3493" s="14" t="s">
        <v>158</v>
      </c>
      <c r="C3493" s="14" t="s">
        <v>369</v>
      </c>
      <c r="D3493" s="14" t="s">
        <v>370</v>
      </c>
      <c r="E3493" s="14" t="s">
        <v>344</v>
      </c>
      <c r="F3493" s="14" t="s">
        <v>343</v>
      </c>
      <c r="G3493" s="14" t="s">
        <v>343</v>
      </c>
      <c r="H3493" s="14" t="s">
        <v>343</v>
      </c>
      <c r="I3493" s="14">
        <v>45</v>
      </c>
      <c r="J3493" s="14">
        <v>57</v>
      </c>
      <c r="K3493" s="14">
        <v>55</v>
      </c>
      <c r="L3493" s="14">
        <v>65</v>
      </c>
      <c r="M3493" s="14">
        <v>61</v>
      </c>
      <c r="N3493" s="14">
        <v>63</v>
      </c>
      <c r="O3493" s="14">
        <v>48</v>
      </c>
      <c r="P3493" s="14">
        <v>36</v>
      </c>
      <c r="Q3493" s="14">
        <v>39</v>
      </c>
      <c r="R3493" s="14">
        <v>34</v>
      </c>
      <c r="S3493" s="14">
        <v>34</v>
      </c>
      <c r="T3493" s="14">
        <v>34</v>
      </c>
      <c r="U3493" s="14">
        <v>27</v>
      </c>
      <c r="V3493" s="14">
        <v>14</v>
      </c>
      <c r="W3493" s="14">
        <v>18</v>
      </c>
      <c r="X3493" s="14">
        <v>15</v>
      </c>
    </row>
    <row r="3494" spans="1:24" hidden="1" x14ac:dyDescent="0.3">
      <c r="A3494" s="14" t="s">
        <v>480</v>
      </c>
      <c r="B3494" s="14" t="s">
        <v>158</v>
      </c>
      <c r="C3494" s="14" t="s">
        <v>371</v>
      </c>
      <c r="D3494" s="14" t="s">
        <v>372</v>
      </c>
      <c r="E3494" s="14" t="s">
        <v>342</v>
      </c>
      <c r="F3494" s="14" t="s">
        <v>343</v>
      </c>
      <c r="G3494" s="14" t="s">
        <v>343</v>
      </c>
      <c r="H3494" s="14" t="s">
        <v>343</v>
      </c>
      <c r="U3494" s="14">
        <v>0</v>
      </c>
      <c r="V3494" s="14">
        <v>0</v>
      </c>
      <c r="W3494" s="14">
        <v>0</v>
      </c>
      <c r="X3494" s="14">
        <v>0</v>
      </c>
    </row>
    <row r="3495" spans="1:24" hidden="1" x14ac:dyDescent="0.3">
      <c r="A3495" s="14" t="s">
        <v>480</v>
      </c>
      <c r="B3495" s="14" t="s">
        <v>158</v>
      </c>
      <c r="C3495" s="14" t="s">
        <v>371</v>
      </c>
      <c r="D3495" s="14" t="s">
        <v>372</v>
      </c>
      <c r="E3495" s="14" t="s">
        <v>344</v>
      </c>
      <c r="F3495" s="14" t="s">
        <v>343</v>
      </c>
      <c r="G3495" s="14" t="s">
        <v>343</v>
      </c>
      <c r="H3495" s="14" t="s">
        <v>343</v>
      </c>
      <c r="U3495" s="14">
        <v>71</v>
      </c>
      <c r="V3495" s="14">
        <v>73</v>
      </c>
      <c r="W3495" s="14">
        <v>76</v>
      </c>
      <c r="X3495" s="14">
        <v>78</v>
      </c>
    </row>
    <row r="3496" spans="1:24" hidden="1" x14ac:dyDescent="0.3">
      <c r="A3496" s="14" t="s">
        <v>480</v>
      </c>
      <c r="B3496" s="14" t="s">
        <v>158</v>
      </c>
      <c r="C3496" s="14" t="s">
        <v>373</v>
      </c>
      <c r="D3496" s="14" t="s">
        <v>374</v>
      </c>
      <c r="E3496" s="14" t="s">
        <v>342</v>
      </c>
      <c r="F3496" s="14" t="s">
        <v>343</v>
      </c>
      <c r="G3496" s="14" t="s">
        <v>343</v>
      </c>
      <c r="H3496" s="14" t="s">
        <v>343</v>
      </c>
      <c r="U3496" s="14">
        <v>0.19</v>
      </c>
      <c r="V3496" s="14">
        <v>0.73</v>
      </c>
      <c r="W3496" s="14">
        <v>0.73</v>
      </c>
      <c r="X3496" s="14">
        <v>0.73</v>
      </c>
    </row>
    <row r="3497" spans="1:24" hidden="1" x14ac:dyDescent="0.3">
      <c r="A3497" s="14" t="s">
        <v>480</v>
      </c>
      <c r="B3497" s="14" t="s">
        <v>158</v>
      </c>
      <c r="C3497" s="14" t="s">
        <v>373</v>
      </c>
      <c r="D3497" s="14" t="s">
        <v>374</v>
      </c>
      <c r="E3497" s="14" t="s">
        <v>344</v>
      </c>
      <c r="F3497" s="14" t="s">
        <v>343</v>
      </c>
      <c r="G3497" s="14" t="s">
        <v>343</v>
      </c>
      <c r="H3497" s="14" t="s">
        <v>343</v>
      </c>
      <c r="U3497" s="14">
        <v>89</v>
      </c>
      <c r="V3497" s="14">
        <v>15</v>
      </c>
      <c r="W3497" s="14">
        <v>20</v>
      </c>
      <c r="X3497" s="14">
        <v>20</v>
      </c>
    </row>
    <row r="3498" spans="1:24" hidden="1" x14ac:dyDescent="0.3">
      <c r="A3498" s="14" t="s">
        <v>480</v>
      </c>
      <c r="B3498" s="14" t="s">
        <v>158</v>
      </c>
      <c r="C3498" s="14" t="s">
        <v>375</v>
      </c>
      <c r="D3498" s="14" t="s">
        <v>376</v>
      </c>
      <c r="E3498" s="14" t="s">
        <v>342</v>
      </c>
      <c r="F3498" s="14" t="s">
        <v>343</v>
      </c>
      <c r="G3498" s="14" t="s">
        <v>343</v>
      </c>
      <c r="H3498" s="14" t="s">
        <v>343</v>
      </c>
      <c r="U3498" s="14">
        <v>0.93</v>
      </c>
      <c r="V3498" s="14">
        <v>0.93</v>
      </c>
      <c r="W3498" s="14">
        <v>0.93</v>
      </c>
      <c r="X3498" s="14">
        <v>1</v>
      </c>
    </row>
    <row r="3499" spans="1:24" hidden="1" x14ac:dyDescent="0.3">
      <c r="A3499" s="14" t="s">
        <v>480</v>
      </c>
      <c r="B3499" s="14" t="s">
        <v>158</v>
      </c>
      <c r="C3499" s="14" t="s">
        <v>375</v>
      </c>
      <c r="D3499" s="14" t="s">
        <v>376</v>
      </c>
      <c r="E3499" s="14" t="s">
        <v>344</v>
      </c>
      <c r="F3499" s="14" t="s">
        <v>343</v>
      </c>
      <c r="G3499" s="14" t="s">
        <v>343</v>
      </c>
      <c r="H3499" s="14" t="s">
        <v>343</v>
      </c>
      <c r="U3499" s="14">
        <v>4</v>
      </c>
      <c r="V3499" s="14">
        <v>4</v>
      </c>
      <c r="W3499" s="14">
        <v>6</v>
      </c>
      <c r="X3499" s="14">
        <v>1</v>
      </c>
    </row>
    <row r="3500" spans="1:24" hidden="1" x14ac:dyDescent="0.3">
      <c r="A3500" s="14" t="s">
        <v>481</v>
      </c>
      <c r="B3500" s="14" t="s">
        <v>178</v>
      </c>
      <c r="C3500" s="14" t="s">
        <v>340</v>
      </c>
      <c r="D3500" s="14" t="s">
        <v>341</v>
      </c>
      <c r="E3500" s="14" t="s">
        <v>342</v>
      </c>
      <c r="F3500" s="14" t="s">
        <v>343</v>
      </c>
      <c r="G3500" s="14" t="s">
        <v>343</v>
      </c>
      <c r="H3500" s="14" t="s">
        <v>343</v>
      </c>
      <c r="I3500" s="14">
        <v>0.98</v>
      </c>
      <c r="J3500" s="14">
        <v>0.98</v>
      </c>
      <c r="K3500" s="14">
        <v>0.99</v>
      </c>
      <c r="L3500" s="14">
        <v>0.99</v>
      </c>
      <c r="M3500" s="14">
        <v>0.99</v>
      </c>
      <c r="N3500" s="14">
        <v>0.99</v>
      </c>
      <c r="O3500" s="14">
        <v>0.99</v>
      </c>
      <c r="P3500" s="14">
        <v>0.99</v>
      </c>
      <c r="Q3500" s="14">
        <v>0.99</v>
      </c>
      <c r="R3500" s="14">
        <v>0.99</v>
      </c>
      <c r="S3500" s="14">
        <v>0.98</v>
      </c>
      <c r="T3500" s="14">
        <v>0.98</v>
      </c>
      <c r="U3500" s="14">
        <v>0.99</v>
      </c>
      <c r="V3500" s="14">
        <v>0.99</v>
      </c>
      <c r="W3500" s="14">
        <v>0.98</v>
      </c>
      <c r="X3500" s="14">
        <v>0.99</v>
      </c>
    </row>
    <row r="3501" spans="1:24" hidden="1" x14ac:dyDescent="0.3">
      <c r="A3501" s="14" t="s">
        <v>481</v>
      </c>
      <c r="B3501" s="14" t="s">
        <v>178</v>
      </c>
      <c r="C3501" s="14" t="s">
        <v>340</v>
      </c>
      <c r="D3501" s="14" t="s">
        <v>341</v>
      </c>
      <c r="E3501" s="14" t="s">
        <v>344</v>
      </c>
      <c r="F3501" s="14" t="s">
        <v>343</v>
      </c>
      <c r="G3501" s="14" t="s">
        <v>343</v>
      </c>
      <c r="H3501" s="14" t="s">
        <v>343</v>
      </c>
      <c r="I3501" s="14">
        <v>64</v>
      </c>
      <c r="J3501" s="14">
        <v>72</v>
      </c>
      <c r="K3501" s="14">
        <v>79</v>
      </c>
      <c r="L3501" s="14">
        <v>79</v>
      </c>
      <c r="M3501" s="14">
        <v>72</v>
      </c>
      <c r="N3501" s="14">
        <v>71</v>
      </c>
      <c r="O3501" s="14">
        <v>75</v>
      </c>
      <c r="P3501" s="14">
        <v>75</v>
      </c>
      <c r="Q3501" s="14">
        <v>77</v>
      </c>
      <c r="R3501" s="14">
        <v>80</v>
      </c>
      <c r="S3501" s="14">
        <v>91</v>
      </c>
      <c r="T3501" s="14">
        <v>90</v>
      </c>
      <c r="U3501" s="14">
        <v>68</v>
      </c>
      <c r="V3501" s="14">
        <v>87</v>
      </c>
      <c r="W3501" s="14">
        <v>99</v>
      </c>
      <c r="X3501" s="14">
        <v>76</v>
      </c>
    </row>
    <row r="3502" spans="1:24" hidden="1" x14ac:dyDescent="0.3">
      <c r="A3502" s="14" t="s">
        <v>481</v>
      </c>
      <c r="B3502" s="14" t="s">
        <v>178</v>
      </c>
      <c r="C3502" s="14" t="s">
        <v>345</v>
      </c>
      <c r="D3502" s="14" t="s">
        <v>346</v>
      </c>
      <c r="E3502" s="14" t="s">
        <v>342</v>
      </c>
      <c r="F3502" s="14" t="s">
        <v>343</v>
      </c>
      <c r="G3502" s="14" t="s">
        <v>343</v>
      </c>
      <c r="H3502" s="14" t="s">
        <v>343</v>
      </c>
      <c r="U3502" s="14">
        <v>0.6</v>
      </c>
      <c r="V3502" s="14">
        <v>0.59</v>
      </c>
      <c r="W3502" s="14">
        <v>0.59</v>
      </c>
      <c r="X3502" s="14">
        <v>0.61</v>
      </c>
    </row>
    <row r="3503" spans="1:24" hidden="1" x14ac:dyDescent="0.3">
      <c r="A3503" s="14" t="s">
        <v>481</v>
      </c>
      <c r="B3503" s="14" t="s">
        <v>178</v>
      </c>
      <c r="C3503" s="14" t="s">
        <v>345</v>
      </c>
      <c r="D3503" s="14" t="s">
        <v>346</v>
      </c>
      <c r="E3503" s="14" t="s">
        <v>344</v>
      </c>
      <c r="F3503" s="14" t="s">
        <v>343</v>
      </c>
      <c r="G3503" s="14" t="s">
        <v>343</v>
      </c>
      <c r="H3503" s="14" t="s">
        <v>343</v>
      </c>
      <c r="U3503" s="14">
        <v>82</v>
      </c>
      <c r="V3503" s="14">
        <v>88</v>
      </c>
      <c r="W3503" s="14">
        <v>84</v>
      </c>
      <c r="X3503" s="14">
        <v>86</v>
      </c>
    </row>
    <row r="3504" spans="1:24" hidden="1" x14ac:dyDescent="0.3">
      <c r="A3504" s="14" t="s">
        <v>481</v>
      </c>
      <c r="B3504" s="14" t="s">
        <v>178</v>
      </c>
      <c r="C3504" s="14" t="s">
        <v>347</v>
      </c>
      <c r="D3504" s="14" t="s">
        <v>348</v>
      </c>
      <c r="E3504" s="14" t="s">
        <v>342</v>
      </c>
      <c r="F3504" s="14" t="s">
        <v>343</v>
      </c>
      <c r="G3504" s="14" t="s">
        <v>343</v>
      </c>
      <c r="H3504" s="14" t="s">
        <v>343</v>
      </c>
      <c r="U3504" s="14">
        <v>0.66</v>
      </c>
      <c r="V3504" s="14">
        <v>0.66</v>
      </c>
      <c r="W3504" s="14">
        <v>0.71</v>
      </c>
      <c r="X3504" s="14">
        <v>0.67</v>
      </c>
    </row>
    <row r="3505" spans="1:24" hidden="1" x14ac:dyDescent="0.3">
      <c r="A3505" s="14" t="s">
        <v>481</v>
      </c>
      <c r="B3505" s="14" t="s">
        <v>178</v>
      </c>
      <c r="C3505" s="14" t="s">
        <v>347</v>
      </c>
      <c r="D3505" s="14" t="s">
        <v>348</v>
      </c>
      <c r="E3505" s="14" t="s">
        <v>344</v>
      </c>
      <c r="F3505" s="14" t="s">
        <v>343</v>
      </c>
      <c r="G3505" s="14" t="s">
        <v>343</v>
      </c>
      <c r="H3505" s="14" t="s">
        <v>343</v>
      </c>
      <c r="U3505" s="14">
        <v>111</v>
      </c>
      <c r="V3505" s="14">
        <v>111</v>
      </c>
      <c r="W3505" s="14">
        <v>108</v>
      </c>
      <c r="X3505" s="14">
        <v>105</v>
      </c>
    </row>
    <row r="3506" spans="1:24" hidden="1" x14ac:dyDescent="0.3">
      <c r="A3506" s="14" t="s">
        <v>481</v>
      </c>
      <c r="B3506" s="14" t="s">
        <v>178</v>
      </c>
      <c r="C3506" s="14" t="s">
        <v>349</v>
      </c>
      <c r="D3506" s="14" t="s">
        <v>350</v>
      </c>
      <c r="E3506" s="14" t="s">
        <v>342</v>
      </c>
      <c r="F3506" s="14" t="s">
        <v>343</v>
      </c>
      <c r="G3506" s="14" t="s">
        <v>343</v>
      </c>
      <c r="H3506" s="14" t="s">
        <v>343</v>
      </c>
      <c r="U3506" s="14">
        <v>0.32</v>
      </c>
      <c r="V3506" s="14">
        <v>0.37</v>
      </c>
      <c r="W3506" s="14">
        <v>0.36</v>
      </c>
      <c r="X3506" s="14">
        <v>0.26</v>
      </c>
    </row>
    <row r="3507" spans="1:24" hidden="1" x14ac:dyDescent="0.3">
      <c r="A3507" s="14" t="s">
        <v>481</v>
      </c>
      <c r="B3507" s="14" t="s">
        <v>178</v>
      </c>
      <c r="C3507" s="14" t="s">
        <v>349</v>
      </c>
      <c r="D3507" s="14" t="s">
        <v>350</v>
      </c>
      <c r="E3507" s="14" t="s">
        <v>344</v>
      </c>
      <c r="F3507" s="14" t="s">
        <v>343</v>
      </c>
      <c r="G3507" s="14" t="s">
        <v>343</v>
      </c>
      <c r="H3507" s="14" t="s">
        <v>343</v>
      </c>
      <c r="U3507" s="14">
        <v>102</v>
      </c>
      <c r="V3507" s="14">
        <v>100</v>
      </c>
      <c r="W3507" s="14">
        <v>105</v>
      </c>
      <c r="X3507" s="14">
        <v>114</v>
      </c>
    </row>
    <row r="3508" spans="1:24" hidden="1" x14ac:dyDescent="0.3">
      <c r="A3508" s="14" t="s">
        <v>481</v>
      </c>
      <c r="B3508" s="14" t="s">
        <v>178</v>
      </c>
      <c r="C3508" s="14" t="s">
        <v>351</v>
      </c>
      <c r="D3508" s="14" t="s">
        <v>352</v>
      </c>
      <c r="E3508" s="14" t="s">
        <v>342</v>
      </c>
      <c r="F3508" s="14" t="s">
        <v>343</v>
      </c>
      <c r="G3508" s="14" t="s">
        <v>343</v>
      </c>
      <c r="H3508" s="14" t="s">
        <v>343</v>
      </c>
      <c r="U3508" s="14">
        <v>1</v>
      </c>
      <c r="V3508" s="14">
        <v>1</v>
      </c>
      <c r="W3508" s="14">
        <v>1</v>
      </c>
      <c r="X3508" s="14">
        <v>1</v>
      </c>
    </row>
    <row r="3509" spans="1:24" hidden="1" x14ac:dyDescent="0.3">
      <c r="A3509" s="14" t="s">
        <v>481</v>
      </c>
      <c r="B3509" s="14" t="s">
        <v>178</v>
      </c>
      <c r="C3509" s="14" t="s">
        <v>351</v>
      </c>
      <c r="D3509" s="14" t="s">
        <v>352</v>
      </c>
      <c r="E3509" s="14" t="s">
        <v>344</v>
      </c>
      <c r="F3509" s="14" t="s">
        <v>343</v>
      </c>
      <c r="G3509" s="14" t="s">
        <v>343</v>
      </c>
      <c r="H3509" s="14" t="s">
        <v>343</v>
      </c>
      <c r="U3509" s="14">
        <v>1</v>
      </c>
      <c r="V3509" s="14">
        <v>1</v>
      </c>
      <c r="W3509" s="14">
        <v>1</v>
      </c>
      <c r="X3509" s="14">
        <v>1</v>
      </c>
    </row>
    <row r="3510" spans="1:24" hidden="1" x14ac:dyDescent="0.3">
      <c r="A3510" s="14" t="s">
        <v>481</v>
      </c>
      <c r="B3510" s="14" t="s">
        <v>178</v>
      </c>
      <c r="C3510" s="14" t="s">
        <v>378</v>
      </c>
      <c r="D3510" s="14" t="s">
        <v>379</v>
      </c>
      <c r="E3510" s="14" t="s">
        <v>342</v>
      </c>
      <c r="F3510" s="14" t="s">
        <v>343</v>
      </c>
      <c r="G3510" s="14" t="s">
        <v>343</v>
      </c>
      <c r="H3510" s="14" t="s">
        <v>343</v>
      </c>
      <c r="S3510" s="14">
        <v>0.72</v>
      </c>
      <c r="U3510" s="14">
        <v>0.61</v>
      </c>
      <c r="V3510" s="14">
        <v>0.63</v>
      </c>
      <c r="W3510" s="14">
        <v>0.65</v>
      </c>
      <c r="X3510" s="14">
        <v>0.6</v>
      </c>
    </row>
    <row r="3511" spans="1:24" hidden="1" x14ac:dyDescent="0.3">
      <c r="A3511" s="14" t="s">
        <v>481</v>
      </c>
      <c r="B3511" s="14" t="s">
        <v>178</v>
      </c>
      <c r="C3511" s="14" t="s">
        <v>378</v>
      </c>
      <c r="D3511" s="14" t="s">
        <v>379</v>
      </c>
      <c r="E3511" s="14" t="s">
        <v>344</v>
      </c>
      <c r="F3511" s="14" t="s">
        <v>343</v>
      </c>
      <c r="G3511" s="14" t="s">
        <v>343</v>
      </c>
      <c r="H3511" s="14" t="s">
        <v>343</v>
      </c>
      <c r="S3511" s="14">
        <v>32</v>
      </c>
      <c r="U3511" s="14">
        <v>91</v>
      </c>
      <c r="V3511" s="14">
        <v>83</v>
      </c>
      <c r="W3511" s="14">
        <v>84</v>
      </c>
      <c r="X3511" s="14">
        <v>100</v>
      </c>
    </row>
    <row r="3512" spans="1:24" hidden="1" x14ac:dyDescent="0.3">
      <c r="A3512" s="14" t="s">
        <v>481</v>
      </c>
      <c r="B3512" s="14" t="s">
        <v>178</v>
      </c>
      <c r="C3512" s="14" t="s">
        <v>353</v>
      </c>
      <c r="D3512" s="14" t="s">
        <v>354</v>
      </c>
      <c r="E3512" s="14" t="s">
        <v>342</v>
      </c>
      <c r="F3512" s="14" t="s">
        <v>343</v>
      </c>
      <c r="G3512" s="14" t="s">
        <v>343</v>
      </c>
      <c r="H3512" s="14" t="s">
        <v>343</v>
      </c>
      <c r="V3512" s="14">
        <v>0.98</v>
      </c>
      <c r="W3512" s="14">
        <v>0.98</v>
      </c>
      <c r="X3512" s="14">
        <v>0.98</v>
      </c>
    </row>
    <row r="3513" spans="1:24" hidden="1" x14ac:dyDescent="0.3">
      <c r="A3513" s="14" t="s">
        <v>481</v>
      </c>
      <c r="B3513" s="14" t="s">
        <v>178</v>
      </c>
      <c r="C3513" s="14" t="s">
        <v>353</v>
      </c>
      <c r="D3513" s="14" t="s">
        <v>354</v>
      </c>
      <c r="E3513" s="14" t="s">
        <v>344</v>
      </c>
      <c r="F3513" s="14" t="s">
        <v>343</v>
      </c>
      <c r="G3513" s="14" t="s">
        <v>343</v>
      </c>
      <c r="H3513" s="14" t="s">
        <v>343</v>
      </c>
      <c r="V3513" s="14">
        <v>85</v>
      </c>
      <c r="W3513" s="14">
        <v>87</v>
      </c>
      <c r="X3513" s="14">
        <v>80</v>
      </c>
    </row>
    <row r="3514" spans="1:24" hidden="1" x14ac:dyDescent="0.3">
      <c r="A3514" s="14" t="s">
        <v>481</v>
      </c>
      <c r="B3514" s="14" t="s">
        <v>178</v>
      </c>
      <c r="C3514" s="14" t="s">
        <v>380</v>
      </c>
      <c r="D3514" s="14" t="s">
        <v>381</v>
      </c>
      <c r="E3514" s="14" t="s">
        <v>342</v>
      </c>
      <c r="F3514" s="14" t="s">
        <v>343</v>
      </c>
      <c r="G3514" s="14" t="s">
        <v>343</v>
      </c>
      <c r="H3514" s="14" t="s">
        <v>343</v>
      </c>
      <c r="U3514" s="14">
        <v>1</v>
      </c>
      <c r="V3514" s="14">
        <v>1</v>
      </c>
      <c r="W3514" s="14">
        <v>1</v>
      </c>
      <c r="X3514" s="14">
        <v>1</v>
      </c>
    </row>
    <row r="3515" spans="1:24" hidden="1" x14ac:dyDescent="0.3">
      <c r="A3515" s="14" t="s">
        <v>481</v>
      </c>
      <c r="B3515" s="14" t="s">
        <v>178</v>
      </c>
      <c r="C3515" s="14" t="s">
        <v>380</v>
      </c>
      <c r="D3515" s="14" t="s">
        <v>381</v>
      </c>
      <c r="E3515" s="14" t="s">
        <v>344</v>
      </c>
      <c r="F3515" s="14" t="s">
        <v>343</v>
      </c>
      <c r="G3515" s="14" t="s">
        <v>343</v>
      </c>
      <c r="H3515" s="14" t="s">
        <v>343</v>
      </c>
      <c r="U3515" s="14">
        <v>78</v>
      </c>
      <c r="V3515" s="14">
        <v>1</v>
      </c>
      <c r="W3515" s="14">
        <v>76</v>
      </c>
      <c r="X3515" s="14">
        <v>78</v>
      </c>
    </row>
    <row r="3516" spans="1:24" hidden="1" x14ac:dyDescent="0.3">
      <c r="A3516" s="14" t="s">
        <v>481</v>
      </c>
      <c r="B3516" s="14" t="s">
        <v>178</v>
      </c>
      <c r="C3516" s="14" t="s">
        <v>355</v>
      </c>
      <c r="D3516" s="14" t="s">
        <v>356</v>
      </c>
      <c r="E3516" s="14" t="s">
        <v>342</v>
      </c>
      <c r="F3516" s="14" t="s">
        <v>343</v>
      </c>
      <c r="G3516" s="14" t="s">
        <v>343</v>
      </c>
      <c r="H3516" s="14" t="s">
        <v>343</v>
      </c>
      <c r="U3516" s="14">
        <v>0.98</v>
      </c>
      <c r="V3516" s="14">
        <v>0.97</v>
      </c>
      <c r="W3516" s="14">
        <v>0.92</v>
      </c>
      <c r="X3516" s="14">
        <v>0.98</v>
      </c>
    </row>
    <row r="3517" spans="1:24" hidden="1" x14ac:dyDescent="0.3">
      <c r="A3517" s="14" t="s">
        <v>481</v>
      </c>
      <c r="B3517" s="14" t="s">
        <v>178</v>
      </c>
      <c r="C3517" s="14" t="s">
        <v>355</v>
      </c>
      <c r="D3517" s="14" t="s">
        <v>356</v>
      </c>
      <c r="E3517" s="14" t="s">
        <v>344</v>
      </c>
      <c r="F3517" s="14" t="s">
        <v>343</v>
      </c>
      <c r="G3517" s="14" t="s">
        <v>343</v>
      </c>
      <c r="H3517" s="14" t="s">
        <v>343</v>
      </c>
      <c r="U3517" s="14">
        <v>116</v>
      </c>
      <c r="V3517" s="14">
        <v>121</v>
      </c>
      <c r="W3517" s="14">
        <v>133</v>
      </c>
      <c r="X3517" s="14">
        <v>95</v>
      </c>
    </row>
    <row r="3518" spans="1:24" hidden="1" x14ac:dyDescent="0.3">
      <c r="A3518" s="14" t="s">
        <v>481</v>
      </c>
      <c r="B3518" s="14" t="s">
        <v>178</v>
      </c>
      <c r="C3518" s="14" t="s">
        <v>357</v>
      </c>
      <c r="D3518" s="14" t="s">
        <v>358</v>
      </c>
      <c r="E3518" s="14" t="s">
        <v>342</v>
      </c>
      <c r="F3518" s="14" t="s">
        <v>343</v>
      </c>
      <c r="G3518" s="14" t="s">
        <v>343</v>
      </c>
      <c r="H3518" s="14" t="s">
        <v>343</v>
      </c>
      <c r="U3518" s="14">
        <v>1</v>
      </c>
      <c r="V3518" s="14">
        <v>1</v>
      </c>
      <c r="W3518" s="14">
        <v>1</v>
      </c>
      <c r="X3518" s="14">
        <v>1</v>
      </c>
    </row>
    <row r="3519" spans="1:24" hidden="1" x14ac:dyDescent="0.3">
      <c r="A3519" s="14" t="s">
        <v>481</v>
      </c>
      <c r="B3519" s="14" t="s">
        <v>178</v>
      </c>
      <c r="C3519" s="14" t="s">
        <v>357</v>
      </c>
      <c r="D3519" s="14" t="s">
        <v>358</v>
      </c>
      <c r="E3519" s="14" t="s">
        <v>344</v>
      </c>
      <c r="F3519" s="14" t="s">
        <v>343</v>
      </c>
      <c r="G3519" s="14" t="s">
        <v>343</v>
      </c>
      <c r="H3519" s="14" t="s">
        <v>343</v>
      </c>
      <c r="U3519" s="14">
        <v>1</v>
      </c>
      <c r="V3519" s="14">
        <v>1</v>
      </c>
      <c r="W3519" s="14">
        <v>1</v>
      </c>
      <c r="X3519" s="14">
        <v>1</v>
      </c>
    </row>
    <row r="3520" spans="1:24" hidden="1" x14ac:dyDescent="0.3">
      <c r="A3520" s="14" t="s">
        <v>481</v>
      </c>
      <c r="B3520" s="14" t="s">
        <v>178</v>
      </c>
      <c r="C3520" s="14" t="s">
        <v>359</v>
      </c>
      <c r="D3520" s="14" t="s">
        <v>360</v>
      </c>
      <c r="E3520" s="14" t="s">
        <v>342</v>
      </c>
      <c r="F3520" s="14" t="s">
        <v>343</v>
      </c>
      <c r="G3520" s="14" t="s">
        <v>343</v>
      </c>
      <c r="H3520" s="14" t="s">
        <v>343</v>
      </c>
      <c r="I3520" s="14">
        <v>0.67</v>
      </c>
      <c r="J3520" s="14">
        <v>0.67</v>
      </c>
      <c r="K3520" s="14">
        <v>0.65</v>
      </c>
      <c r="L3520" s="14">
        <v>0.67</v>
      </c>
      <c r="M3520" s="14">
        <v>0.68</v>
      </c>
      <c r="N3520" s="14">
        <v>0.68</v>
      </c>
      <c r="O3520" s="14">
        <v>0.66</v>
      </c>
      <c r="P3520" s="14">
        <v>0.66</v>
      </c>
      <c r="Q3520" s="14">
        <v>0.65</v>
      </c>
      <c r="R3520" s="14">
        <v>0.67</v>
      </c>
      <c r="S3520" s="14">
        <v>0.66</v>
      </c>
      <c r="T3520" s="14">
        <v>0.64</v>
      </c>
      <c r="U3520" s="14">
        <v>0.62</v>
      </c>
      <c r="V3520" s="14">
        <v>0.64</v>
      </c>
      <c r="W3520" s="14">
        <v>0.65</v>
      </c>
      <c r="X3520" s="14">
        <v>0.61</v>
      </c>
    </row>
    <row r="3521" spans="1:24" hidden="1" x14ac:dyDescent="0.3">
      <c r="A3521" s="14" t="s">
        <v>481</v>
      </c>
      <c r="B3521" s="14" t="s">
        <v>178</v>
      </c>
      <c r="C3521" s="14" t="s">
        <v>359</v>
      </c>
      <c r="D3521" s="14" t="s">
        <v>360</v>
      </c>
      <c r="E3521" s="14" t="s">
        <v>344</v>
      </c>
      <c r="F3521" s="14" t="s">
        <v>343</v>
      </c>
      <c r="G3521" s="14" t="s">
        <v>343</v>
      </c>
      <c r="H3521" s="14" t="s">
        <v>343</v>
      </c>
      <c r="I3521" s="14">
        <v>31</v>
      </c>
      <c r="J3521" s="14">
        <v>51</v>
      </c>
      <c r="K3521" s="14">
        <v>63</v>
      </c>
      <c r="L3521" s="14">
        <v>59</v>
      </c>
      <c r="M3521" s="14">
        <v>53</v>
      </c>
      <c r="N3521" s="14">
        <v>53</v>
      </c>
      <c r="O3521" s="14">
        <v>65</v>
      </c>
      <c r="P3521" s="14">
        <v>71</v>
      </c>
      <c r="Q3521" s="14">
        <v>80</v>
      </c>
      <c r="R3521" s="14">
        <v>70</v>
      </c>
      <c r="S3521" s="14">
        <v>79</v>
      </c>
      <c r="T3521" s="14">
        <v>96</v>
      </c>
      <c r="U3521" s="14">
        <v>103</v>
      </c>
      <c r="V3521" s="14">
        <v>100</v>
      </c>
      <c r="W3521" s="14">
        <v>97</v>
      </c>
      <c r="X3521" s="14">
        <v>106</v>
      </c>
    </row>
    <row r="3522" spans="1:24" x14ac:dyDescent="0.3">
      <c r="A3522" s="14" t="s">
        <v>481</v>
      </c>
      <c r="B3522" s="14" t="s">
        <v>178</v>
      </c>
      <c r="C3522" s="14" t="s">
        <v>361</v>
      </c>
      <c r="D3522" s="14" t="s">
        <v>362</v>
      </c>
      <c r="E3522" s="14" t="s">
        <v>342</v>
      </c>
      <c r="F3522" s="14" t="s">
        <v>343</v>
      </c>
      <c r="G3522" s="14" t="s">
        <v>343</v>
      </c>
      <c r="H3522" s="14" t="s">
        <v>343</v>
      </c>
      <c r="I3522" s="14">
        <v>0.96</v>
      </c>
      <c r="J3522" s="14">
        <v>0.96</v>
      </c>
      <c r="K3522" s="14">
        <v>0.96</v>
      </c>
      <c r="L3522" s="14">
        <v>0.96</v>
      </c>
      <c r="M3522" s="14">
        <v>0.96</v>
      </c>
      <c r="N3522" s="14">
        <v>0.96</v>
      </c>
      <c r="O3522" s="14">
        <v>0.95</v>
      </c>
      <c r="P3522" s="14">
        <v>0.95</v>
      </c>
      <c r="Q3522" s="14">
        <v>0.96</v>
      </c>
      <c r="R3522" s="14">
        <v>0.97</v>
      </c>
      <c r="S3522" s="14">
        <v>0.97</v>
      </c>
      <c r="T3522" s="14">
        <v>0.98</v>
      </c>
      <c r="U3522" s="14">
        <v>0.98</v>
      </c>
      <c r="V3522" s="14">
        <v>0.97</v>
      </c>
      <c r="W3522" s="14">
        <v>0.97</v>
      </c>
      <c r="X3522" s="14">
        <v>0.97</v>
      </c>
    </row>
    <row r="3523" spans="1:24" hidden="1" x14ac:dyDescent="0.3">
      <c r="A3523" s="14" t="s">
        <v>481</v>
      </c>
      <c r="B3523" s="14" t="s">
        <v>178</v>
      </c>
      <c r="C3523" s="14" t="s">
        <v>361</v>
      </c>
      <c r="D3523" s="14" t="s">
        <v>362</v>
      </c>
      <c r="E3523" s="14" t="s">
        <v>344</v>
      </c>
      <c r="F3523" s="14" t="s">
        <v>343</v>
      </c>
      <c r="G3523" s="14" t="s">
        <v>343</v>
      </c>
      <c r="H3523" s="14" t="s">
        <v>343</v>
      </c>
      <c r="I3523" s="14">
        <v>101</v>
      </c>
      <c r="J3523" s="14">
        <v>109</v>
      </c>
      <c r="K3523" s="14">
        <v>111</v>
      </c>
      <c r="L3523" s="14">
        <v>115</v>
      </c>
      <c r="M3523" s="14">
        <v>124</v>
      </c>
      <c r="N3523" s="14">
        <v>125</v>
      </c>
      <c r="O3523" s="14">
        <v>126</v>
      </c>
      <c r="P3523" s="14">
        <v>128</v>
      </c>
      <c r="Q3523" s="14">
        <v>131</v>
      </c>
      <c r="R3523" s="14">
        <v>120</v>
      </c>
      <c r="S3523" s="14">
        <v>119</v>
      </c>
      <c r="T3523" s="14">
        <v>65</v>
      </c>
      <c r="U3523" s="14">
        <v>73</v>
      </c>
      <c r="V3523" s="14">
        <v>89</v>
      </c>
      <c r="W3523" s="14">
        <v>85</v>
      </c>
      <c r="X3523" s="14">
        <v>73</v>
      </c>
    </row>
    <row r="3524" spans="1:24" hidden="1" x14ac:dyDescent="0.3">
      <c r="A3524" s="14" t="s">
        <v>481</v>
      </c>
      <c r="B3524" s="14" t="s">
        <v>178</v>
      </c>
      <c r="C3524" s="14" t="s">
        <v>363</v>
      </c>
      <c r="D3524" s="14" t="s">
        <v>364</v>
      </c>
      <c r="E3524" s="14" t="s">
        <v>342</v>
      </c>
      <c r="F3524" s="14" t="s">
        <v>343</v>
      </c>
      <c r="G3524" s="14" t="s">
        <v>343</v>
      </c>
      <c r="H3524" s="14" t="s">
        <v>343</v>
      </c>
      <c r="U3524" s="14">
        <v>1.05</v>
      </c>
      <c r="V3524" s="14">
        <v>1.05</v>
      </c>
      <c r="W3524" s="14">
        <v>1.03</v>
      </c>
      <c r="X3524" s="14">
        <v>1.03</v>
      </c>
    </row>
    <row r="3525" spans="1:24" hidden="1" x14ac:dyDescent="0.3">
      <c r="A3525" s="14" t="s">
        <v>481</v>
      </c>
      <c r="B3525" s="14" t="s">
        <v>178</v>
      </c>
      <c r="C3525" s="14" t="s">
        <v>363</v>
      </c>
      <c r="D3525" s="14" t="s">
        <v>364</v>
      </c>
      <c r="E3525" s="14" t="s">
        <v>344</v>
      </c>
      <c r="F3525" s="14" t="s">
        <v>343</v>
      </c>
      <c r="G3525" s="14" t="s">
        <v>343</v>
      </c>
      <c r="H3525" s="14" t="s">
        <v>343</v>
      </c>
      <c r="U3525" s="14">
        <v>81</v>
      </c>
      <c r="V3525" s="14">
        <v>84</v>
      </c>
      <c r="W3525" s="14">
        <v>87</v>
      </c>
      <c r="X3525" s="14">
        <v>78</v>
      </c>
    </row>
    <row r="3526" spans="1:24" hidden="1" x14ac:dyDescent="0.3">
      <c r="A3526" s="14" t="s">
        <v>481</v>
      </c>
      <c r="B3526" s="14" t="s">
        <v>178</v>
      </c>
      <c r="C3526" s="14" t="s">
        <v>365</v>
      </c>
      <c r="D3526" s="14" t="s">
        <v>366</v>
      </c>
      <c r="E3526" s="14" t="s">
        <v>342</v>
      </c>
      <c r="F3526" s="14" t="s">
        <v>343</v>
      </c>
      <c r="G3526" s="14" t="s">
        <v>343</v>
      </c>
      <c r="H3526" s="14" t="s">
        <v>343</v>
      </c>
      <c r="U3526" s="14">
        <v>0.94</v>
      </c>
      <c r="V3526" s="14">
        <v>0.94</v>
      </c>
      <c r="W3526" s="14">
        <v>0.94</v>
      </c>
      <c r="X3526" s="14">
        <v>0.94</v>
      </c>
    </row>
    <row r="3527" spans="1:24" hidden="1" x14ac:dyDescent="0.3">
      <c r="A3527" s="14" t="s">
        <v>481</v>
      </c>
      <c r="B3527" s="14" t="s">
        <v>178</v>
      </c>
      <c r="C3527" s="14" t="s">
        <v>365</v>
      </c>
      <c r="D3527" s="14" t="s">
        <v>366</v>
      </c>
      <c r="E3527" s="14" t="s">
        <v>344</v>
      </c>
      <c r="F3527" s="14" t="s">
        <v>343</v>
      </c>
      <c r="G3527" s="14" t="s">
        <v>343</v>
      </c>
      <c r="H3527" s="14" t="s">
        <v>343</v>
      </c>
      <c r="U3527" s="14">
        <v>1</v>
      </c>
      <c r="V3527" s="14">
        <v>128</v>
      </c>
      <c r="W3527" s="14">
        <v>127</v>
      </c>
      <c r="X3527" s="14">
        <v>1</v>
      </c>
    </row>
    <row r="3528" spans="1:24" hidden="1" x14ac:dyDescent="0.3">
      <c r="A3528" s="14" t="s">
        <v>481</v>
      </c>
      <c r="B3528" s="14" t="s">
        <v>178</v>
      </c>
      <c r="C3528" s="14" t="s">
        <v>367</v>
      </c>
      <c r="D3528" s="14" t="s">
        <v>368</v>
      </c>
      <c r="E3528" s="14" t="s">
        <v>342</v>
      </c>
      <c r="F3528" s="14" t="s">
        <v>343</v>
      </c>
      <c r="G3528" s="14" t="s">
        <v>343</v>
      </c>
      <c r="H3528" s="14" t="s">
        <v>343</v>
      </c>
      <c r="I3528" s="14">
        <v>0.7</v>
      </c>
      <c r="J3528" s="14">
        <v>0.7</v>
      </c>
      <c r="K3528" s="14">
        <v>0.69</v>
      </c>
      <c r="L3528" s="14">
        <v>0.7</v>
      </c>
      <c r="M3528" s="14">
        <v>0.7</v>
      </c>
      <c r="N3528" s="14">
        <v>0.7</v>
      </c>
      <c r="O3528" s="14">
        <v>0.7</v>
      </c>
      <c r="P3528" s="14">
        <v>0.7</v>
      </c>
      <c r="Q3528" s="14">
        <v>0.69</v>
      </c>
      <c r="R3528" s="14">
        <v>0.7</v>
      </c>
      <c r="S3528" s="14">
        <v>0.7</v>
      </c>
      <c r="T3528" s="14">
        <v>0.7</v>
      </c>
      <c r="U3528" s="14">
        <v>0.71</v>
      </c>
      <c r="V3528" s="14">
        <v>0.71</v>
      </c>
      <c r="W3528" s="14">
        <v>0.72</v>
      </c>
      <c r="X3528" s="14">
        <v>0.72</v>
      </c>
    </row>
    <row r="3529" spans="1:24" hidden="1" x14ac:dyDescent="0.3">
      <c r="A3529" s="14" t="s">
        <v>481</v>
      </c>
      <c r="B3529" s="14" t="s">
        <v>178</v>
      </c>
      <c r="C3529" s="14" t="s">
        <v>367</v>
      </c>
      <c r="D3529" s="14" t="s">
        <v>368</v>
      </c>
      <c r="E3529" s="14" t="s">
        <v>344</v>
      </c>
      <c r="F3529" s="14" t="s">
        <v>343</v>
      </c>
      <c r="G3529" s="14" t="s">
        <v>343</v>
      </c>
      <c r="H3529" s="14" t="s">
        <v>343</v>
      </c>
      <c r="I3529" s="14">
        <v>28</v>
      </c>
      <c r="J3529" s="14">
        <v>35</v>
      </c>
      <c r="K3529" s="14">
        <v>53</v>
      </c>
      <c r="L3529" s="14">
        <v>53</v>
      </c>
      <c r="M3529" s="14">
        <v>49</v>
      </c>
      <c r="N3529" s="14">
        <v>53</v>
      </c>
      <c r="O3529" s="14">
        <v>61</v>
      </c>
      <c r="P3529" s="14">
        <v>57</v>
      </c>
      <c r="Q3529" s="14">
        <v>70</v>
      </c>
      <c r="R3529" s="14">
        <v>69</v>
      </c>
      <c r="S3529" s="14">
        <v>73</v>
      </c>
      <c r="T3529" s="14">
        <v>67</v>
      </c>
      <c r="U3529" s="14">
        <v>66</v>
      </c>
      <c r="V3529" s="14">
        <v>70</v>
      </c>
      <c r="W3529" s="14">
        <v>73</v>
      </c>
      <c r="X3529" s="14">
        <v>69</v>
      </c>
    </row>
    <row r="3530" spans="1:24" hidden="1" x14ac:dyDescent="0.3">
      <c r="A3530" s="14" t="s">
        <v>481</v>
      </c>
      <c r="B3530" s="14" t="s">
        <v>178</v>
      </c>
      <c r="C3530" s="14" t="s">
        <v>369</v>
      </c>
      <c r="D3530" s="14" t="s">
        <v>370</v>
      </c>
      <c r="E3530" s="14" t="s">
        <v>342</v>
      </c>
      <c r="F3530" s="14" t="s">
        <v>343</v>
      </c>
      <c r="G3530" s="14" t="s">
        <v>343</v>
      </c>
      <c r="H3530" s="14" t="s">
        <v>343</v>
      </c>
      <c r="I3530" s="14">
        <v>0.17</v>
      </c>
      <c r="J3530" s="14">
        <v>0.17</v>
      </c>
      <c r="K3530" s="14">
        <v>0.17</v>
      </c>
      <c r="L3530" s="14">
        <v>0.16</v>
      </c>
      <c r="M3530" s="14">
        <v>0.18</v>
      </c>
      <c r="N3530" s="14">
        <v>0.17</v>
      </c>
      <c r="O3530" s="14">
        <v>0.18</v>
      </c>
      <c r="P3530" s="14">
        <v>0.2</v>
      </c>
      <c r="Q3530" s="14">
        <v>0.17</v>
      </c>
      <c r="R3530" s="14">
        <v>0.18</v>
      </c>
      <c r="S3530" s="14">
        <v>0.18</v>
      </c>
      <c r="T3530" s="14">
        <v>0.21</v>
      </c>
      <c r="U3530" s="14">
        <v>0.24</v>
      </c>
      <c r="V3530" s="14">
        <v>0.25</v>
      </c>
      <c r="W3530" s="14">
        <v>0.27</v>
      </c>
      <c r="X3530" s="14">
        <v>0.28999999999999998</v>
      </c>
    </row>
    <row r="3531" spans="1:24" hidden="1" x14ac:dyDescent="0.3">
      <c r="A3531" s="14" t="s">
        <v>481</v>
      </c>
      <c r="B3531" s="14" t="s">
        <v>178</v>
      </c>
      <c r="C3531" s="14" t="s">
        <v>369</v>
      </c>
      <c r="D3531" s="14" t="s">
        <v>370</v>
      </c>
      <c r="E3531" s="14" t="s">
        <v>344</v>
      </c>
      <c r="F3531" s="14" t="s">
        <v>343</v>
      </c>
      <c r="G3531" s="14" t="s">
        <v>343</v>
      </c>
      <c r="H3531" s="14" t="s">
        <v>343</v>
      </c>
      <c r="I3531" s="14">
        <v>28</v>
      </c>
      <c r="J3531" s="14">
        <v>30</v>
      </c>
      <c r="K3531" s="14">
        <v>42</v>
      </c>
      <c r="L3531" s="14">
        <v>44</v>
      </c>
      <c r="M3531" s="14">
        <v>43</v>
      </c>
      <c r="N3531" s="14">
        <v>49</v>
      </c>
      <c r="O3531" s="14">
        <v>45</v>
      </c>
      <c r="P3531" s="14">
        <v>40</v>
      </c>
      <c r="Q3531" s="14">
        <v>63</v>
      </c>
      <c r="R3531" s="14">
        <v>65</v>
      </c>
      <c r="S3531" s="14">
        <v>67</v>
      </c>
      <c r="T3531" s="14">
        <v>58</v>
      </c>
      <c r="U3531" s="14">
        <v>45</v>
      </c>
      <c r="V3531" s="14">
        <v>52</v>
      </c>
      <c r="W3531" s="14">
        <v>53</v>
      </c>
      <c r="X3531" s="14">
        <v>47</v>
      </c>
    </row>
    <row r="3532" spans="1:24" hidden="1" x14ac:dyDescent="0.3">
      <c r="A3532" s="14" t="s">
        <v>481</v>
      </c>
      <c r="B3532" s="14" t="s">
        <v>178</v>
      </c>
      <c r="C3532" s="14" t="s">
        <v>371</v>
      </c>
      <c r="D3532" s="14" t="s">
        <v>372</v>
      </c>
      <c r="E3532" s="14" t="s">
        <v>342</v>
      </c>
      <c r="F3532" s="14" t="s">
        <v>343</v>
      </c>
      <c r="G3532" s="14" t="s">
        <v>343</v>
      </c>
      <c r="H3532" s="14" t="s">
        <v>343</v>
      </c>
      <c r="U3532" s="14">
        <v>0</v>
      </c>
      <c r="V3532" s="14">
        <v>0</v>
      </c>
      <c r="W3532" s="14">
        <v>0</v>
      </c>
      <c r="X3532" s="14">
        <v>0</v>
      </c>
    </row>
    <row r="3533" spans="1:24" hidden="1" x14ac:dyDescent="0.3">
      <c r="A3533" s="14" t="s">
        <v>481</v>
      </c>
      <c r="B3533" s="14" t="s">
        <v>178</v>
      </c>
      <c r="C3533" s="14" t="s">
        <v>371</v>
      </c>
      <c r="D3533" s="14" t="s">
        <v>372</v>
      </c>
      <c r="E3533" s="14" t="s">
        <v>344</v>
      </c>
      <c r="F3533" s="14" t="s">
        <v>343</v>
      </c>
      <c r="G3533" s="14" t="s">
        <v>343</v>
      </c>
      <c r="H3533" s="14" t="s">
        <v>343</v>
      </c>
      <c r="U3533" s="14">
        <v>64</v>
      </c>
      <c r="V3533" s="14">
        <v>66</v>
      </c>
      <c r="W3533" s="14">
        <v>70</v>
      </c>
      <c r="X3533" s="14">
        <v>72</v>
      </c>
    </row>
    <row r="3534" spans="1:24" hidden="1" x14ac:dyDescent="0.3">
      <c r="A3534" s="14" t="s">
        <v>481</v>
      </c>
      <c r="B3534" s="14" t="s">
        <v>178</v>
      </c>
      <c r="C3534" s="14" t="s">
        <v>373</v>
      </c>
      <c r="D3534" s="14" t="s">
        <v>374</v>
      </c>
      <c r="E3534" s="14" t="s">
        <v>342</v>
      </c>
      <c r="F3534" s="14" t="s">
        <v>343</v>
      </c>
      <c r="G3534" s="14" t="s">
        <v>343</v>
      </c>
      <c r="H3534" s="14" t="s">
        <v>343</v>
      </c>
      <c r="U3534" s="14">
        <v>0.19</v>
      </c>
      <c r="V3534" s="14">
        <v>0.19</v>
      </c>
      <c r="W3534" s="14">
        <v>0.27</v>
      </c>
      <c r="X3534" s="14">
        <v>0.27</v>
      </c>
    </row>
    <row r="3535" spans="1:24" hidden="1" x14ac:dyDescent="0.3">
      <c r="A3535" s="14" t="s">
        <v>481</v>
      </c>
      <c r="B3535" s="14" t="s">
        <v>178</v>
      </c>
      <c r="C3535" s="14" t="s">
        <v>373</v>
      </c>
      <c r="D3535" s="14" t="s">
        <v>374</v>
      </c>
      <c r="E3535" s="14" t="s">
        <v>344</v>
      </c>
      <c r="F3535" s="14" t="s">
        <v>343</v>
      </c>
      <c r="G3535" s="14" t="s">
        <v>343</v>
      </c>
      <c r="H3535" s="14" t="s">
        <v>343</v>
      </c>
      <c r="U3535" s="14">
        <v>88</v>
      </c>
      <c r="V3535" s="14">
        <v>98</v>
      </c>
      <c r="W3535" s="14">
        <v>80</v>
      </c>
      <c r="X3535" s="14">
        <v>75</v>
      </c>
    </row>
    <row r="3536" spans="1:24" hidden="1" x14ac:dyDescent="0.3">
      <c r="A3536" s="14" t="s">
        <v>481</v>
      </c>
      <c r="B3536" s="14" t="s">
        <v>178</v>
      </c>
      <c r="C3536" s="14" t="s">
        <v>375</v>
      </c>
      <c r="D3536" s="14" t="s">
        <v>376</v>
      </c>
      <c r="E3536" s="14" t="s">
        <v>342</v>
      </c>
      <c r="F3536" s="14" t="s">
        <v>343</v>
      </c>
      <c r="G3536" s="14" t="s">
        <v>343</v>
      </c>
      <c r="H3536" s="14" t="s">
        <v>343</v>
      </c>
      <c r="U3536" s="14">
        <v>0.62</v>
      </c>
      <c r="V3536" s="14">
        <v>0.64</v>
      </c>
      <c r="W3536" s="14">
        <v>0.64</v>
      </c>
      <c r="X3536" s="14">
        <v>0.72</v>
      </c>
    </row>
    <row r="3537" spans="1:24" hidden="1" x14ac:dyDescent="0.3">
      <c r="A3537" s="14" t="s">
        <v>481</v>
      </c>
      <c r="B3537" s="14" t="s">
        <v>178</v>
      </c>
      <c r="C3537" s="14" t="s">
        <v>375</v>
      </c>
      <c r="D3537" s="14" t="s">
        <v>376</v>
      </c>
      <c r="E3537" s="14" t="s">
        <v>344</v>
      </c>
      <c r="F3537" s="14" t="s">
        <v>343</v>
      </c>
      <c r="G3537" s="14" t="s">
        <v>343</v>
      </c>
      <c r="H3537" s="14" t="s">
        <v>343</v>
      </c>
      <c r="U3537" s="14">
        <v>18</v>
      </c>
      <c r="V3537" s="14">
        <v>18</v>
      </c>
      <c r="W3537" s="14">
        <v>27</v>
      </c>
      <c r="X3537" s="14">
        <v>20</v>
      </c>
    </row>
    <row r="3538" spans="1:24" hidden="1" x14ac:dyDescent="0.3">
      <c r="A3538" s="14" t="s">
        <v>482</v>
      </c>
      <c r="B3538" s="14" t="s">
        <v>151</v>
      </c>
      <c r="C3538" s="14" t="s">
        <v>340</v>
      </c>
      <c r="D3538" s="14" t="s">
        <v>341</v>
      </c>
      <c r="E3538" s="14" t="s">
        <v>342</v>
      </c>
      <c r="F3538" s="14" t="s">
        <v>343</v>
      </c>
      <c r="G3538" s="14" t="s">
        <v>343</v>
      </c>
      <c r="H3538" s="14" t="s">
        <v>343</v>
      </c>
      <c r="I3538" s="14">
        <v>0.67</v>
      </c>
      <c r="J3538" s="14">
        <v>0.65</v>
      </c>
      <c r="K3538" s="14">
        <v>0.66</v>
      </c>
      <c r="L3538" s="14">
        <v>0.67</v>
      </c>
      <c r="M3538" s="14">
        <v>0.68</v>
      </c>
      <c r="N3538" s="14">
        <v>0.69</v>
      </c>
      <c r="O3538" s="14">
        <v>0.71</v>
      </c>
      <c r="P3538" s="14">
        <v>0.73</v>
      </c>
      <c r="Q3538" s="14">
        <v>0.73</v>
      </c>
      <c r="R3538" s="14">
        <v>0.76</v>
      </c>
      <c r="S3538" s="14">
        <v>0.73</v>
      </c>
      <c r="T3538" s="14">
        <v>0.74</v>
      </c>
      <c r="U3538" s="14">
        <v>0.74</v>
      </c>
      <c r="V3538" s="14">
        <v>0.76</v>
      </c>
      <c r="W3538" s="14">
        <v>0.76</v>
      </c>
      <c r="X3538" s="14">
        <v>0.76</v>
      </c>
    </row>
    <row r="3539" spans="1:24" hidden="1" x14ac:dyDescent="0.3">
      <c r="A3539" s="14" t="s">
        <v>482</v>
      </c>
      <c r="B3539" s="14" t="s">
        <v>151</v>
      </c>
      <c r="C3539" s="14" t="s">
        <v>340</v>
      </c>
      <c r="D3539" s="14" t="s">
        <v>341</v>
      </c>
      <c r="E3539" s="14" t="s">
        <v>344</v>
      </c>
      <c r="F3539" s="14" t="s">
        <v>343</v>
      </c>
      <c r="G3539" s="14" t="s">
        <v>343</v>
      </c>
      <c r="H3539" s="14" t="s">
        <v>343</v>
      </c>
      <c r="I3539" s="14">
        <v>111</v>
      </c>
      <c r="J3539" s="14">
        <v>126</v>
      </c>
      <c r="K3539" s="14">
        <v>127</v>
      </c>
      <c r="L3539" s="14">
        <v>131</v>
      </c>
      <c r="M3539" s="14">
        <v>131</v>
      </c>
      <c r="N3539" s="14">
        <v>132</v>
      </c>
      <c r="O3539" s="14">
        <v>132</v>
      </c>
      <c r="P3539" s="14">
        <v>132</v>
      </c>
      <c r="Q3539" s="14">
        <v>136</v>
      </c>
      <c r="R3539" s="14">
        <v>139</v>
      </c>
      <c r="S3539" s="14">
        <v>140</v>
      </c>
      <c r="T3539" s="14">
        <v>140</v>
      </c>
      <c r="U3539" s="14">
        <v>144</v>
      </c>
      <c r="V3539" s="14">
        <v>148</v>
      </c>
      <c r="W3539" s="14">
        <v>149</v>
      </c>
      <c r="X3539" s="14">
        <v>140</v>
      </c>
    </row>
    <row r="3540" spans="1:24" hidden="1" x14ac:dyDescent="0.3">
      <c r="A3540" s="14" t="s">
        <v>482</v>
      </c>
      <c r="B3540" s="14" t="s">
        <v>151</v>
      </c>
      <c r="C3540" s="14" t="s">
        <v>345</v>
      </c>
      <c r="D3540" s="14" t="s">
        <v>346</v>
      </c>
      <c r="E3540" s="14" t="s">
        <v>342</v>
      </c>
      <c r="F3540" s="14" t="s">
        <v>343</v>
      </c>
      <c r="G3540" s="14" t="s">
        <v>343</v>
      </c>
      <c r="H3540" s="14" t="s">
        <v>343</v>
      </c>
      <c r="U3540" s="14">
        <v>0.42</v>
      </c>
      <c r="V3540" s="14">
        <v>0.5</v>
      </c>
      <c r="W3540" s="14">
        <v>0.28000000000000003</v>
      </c>
      <c r="X3540" s="14">
        <v>0.53</v>
      </c>
    </row>
    <row r="3541" spans="1:24" hidden="1" x14ac:dyDescent="0.3">
      <c r="A3541" s="14" t="s">
        <v>482</v>
      </c>
      <c r="B3541" s="14" t="s">
        <v>151</v>
      </c>
      <c r="C3541" s="14" t="s">
        <v>345</v>
      </c>
      <c r="D3541" s="14" t="s">
        <v>346</v>
      </c>
      <c r="E3541" s="14" t="s">
        <v>344</v>
      </c>
      <c r="F3541" s="14" t="s">
        <v>343</v>
      </c>
      <c r="G3541" s="14" t="s">
        <v>343</v>
      </c>
      <c r="H3541" s="14" t="s">
        <v>343</v>
      </c>
      <c r="U3541" s="14">
        <v>125</v>
      </c>
      <c r="V3541" s="14">
        <v>117</v>
      </c>
      <c r="W3541" s="14">
        <v>141</v>
      </c>
      <c r="X3541" s="14">
        <v>113</v>
      </c>
    </row>
    <row r="3542" spans="1:24" hidden="1" x14ac:dyDescent="0.3">
      <c r="A3542" s="14" t="s">
        <v>482</v>
      </c>
      <c r="B3542" s="14" t="s">
        <v>151</v>
      </c>
      <c r="C3542" s="14" t="s">
        <v>347</v>
      </c>
      <c r="D3542" s="14" t="s">
        <v>348</v>
      </c>
      <c r="E3542" s="14" t="s">
        <v>342</v>
      </c>
      <c r="F3542" s="14" t="s">
        <v>343</v>
      </c>
      <c r="G3542" s="14" t="s">
        <v>343</v>
      </c>
      <c r="H3542" s="14" t="s">
        <v>343</v>
      </c>
      <c r="U3542" s="14">
        <v>0.74</v>
      </c>
      <c r="V3542" s="14">
        <v>0.77</v>
      </c>
      <c r="W3542" s="14">
        <v>0.72</v>
      </c>
      <c r="X3542" s="14">
        <v>0.72</v>
      </c>
    </row>
    <row r="3543" spans="1:24" hidden="1" x14ac:dyDescent="0.3">
      <c r="A3543" s="14" t="s">
        <v>482</v>
      </c>
      <c r="B3543" s="14" t="s">
        <v>151</v>
      </c>
      <c r="C3543" s="14" t="s">
        <v>347</v>
      </c>
      <c r="D3543" s="14" t="s">
        <v>348</v>
      </c>
      <c r="E3543" s="14" t="s">
        <v>344</v>
      </c>
      <c r="F3543" s="14" t="s">
        <v>343</v>
      </c>
      <c r="G3543" s="14" t="s">
        <v>343</v>
      </c>
      <c r="H3543" s="14" t="s">
        <v>343</v>
      </c>
      <c r="U3543" s="14">
        <v>90</v>
      </c>
      <c r="V3543" s="14">
        <v>89</v>
      </c>
      <c r="W3543" s="14">
        <v>104</v>
      </c>
      <c r="X3543" s="14">
        <v>92</v>
      </c>
    </row>
    <row r="3544" spans="1:24" hidden="1" x14ac:dyDescent="0.3">
      <c r="A3544" s="14" t="s">
        <v>482</v>
      </c>
      <c r="B3544" s="14" t="s">
        <v>151</v>
      </c>
      <c r="C3544" s="14" t="s">
        <v>349</v>
      </c>
      <c r="D3544" s="14" t="s">
        <v>350</v>
      </c>
      <c r="E3544" s="14" t="s">
        <v>342</v>
      </c>
      <c r="F3544" s="14" t="s">
        <v>343</v>
      </c>
      <c r="G3544" s="14" t="s">
        <v>343</v>
      </c>
      <c r="H3544" s="14" t="s">
        <v>343</v>
      </c>
      <c r="U3544" s="14">
        <v>0.22</v>
      </c>
      <c r="V3544" s="14">
        <v>0.67</v>
      </c>
      <c r="W3544" s="14">
        <v>0.21</v>
      </c>
      <c r="X3544" s="14">
        <v>0.21</v>
      </c>
    </row>
    <row r="3545" spans="1:24" hidden="1" x14ac:dyDescent="0.3">
      <c r="A3545" s="14" t="s">
        <v>482</v>
      </c>
      <c r="B3545" s="14" t="s">
        <v>151</v>
      </c>
      <c r="C3545" s="14" t="s">
        <v>349</v>
      </c>
      <c r="D3545" s="14" t="s">
        <v>350</v>
      </c>
      <c r="E3545" s="14" t="s">
        <v>344</v>
      </c>
      <c r="F3545" s="14" t="s">
        <v>343</v>
      </c>
      <c r="G3545" s="14" t="s">
        <v>343</v>
      </c>
      <c r="H3545" s="14" t="s">
        <v>343</v>
      </c>
      <c r="U3545" s="14">
        <v>121</v>
      </c>
      <c r="V3545" s="14">
        <v>25</v>
      </c>
      <c r="W3545" s="14">
        <v>130</v>
      </c>
      <c r="X3545" s="14">
        <v>124</v>
      </c>
    </row>
    <row r="3546" spans="1:24" hidden="1" x14ac:dyDescent="0.3">
      <c r="A3546" s="14" t="s">
        <v>482</v>
      </c>
      <c r="B3546" s="14" t="s">
        <v>151</v>
      </c>
      <c r="C3546" s="14" t="s">
        <v>351</v>
      </c>
      <c r="D3546" s="14" t="s">
        <v>352</v>
      </c>
      <c r="E3546" s="14" t="s">
        <v>342</v>
      </c>
      <c r="F3546" s="14" t="s">
        <v>343</v>
      </c>
      <c r="G3546" s="14" t="s">
        <v>343</v>
      </c>
      <c r="H3546" s="14" t="s">
        <v>343</v>
      </c>
      <c r="U3546" s="14">
        <v>0.32</v>
      </c>
      <c r="V3546" s="14">
        <v>0.27</v>
      </c>
      <c r="W3546" s="14">
        <v>0.28999999999999998</v>
      </c>
      <c r="X3546" s="14">
        <v>0.26</v>
      </c>
    </row>
    <row r="3547" spans="1:24" hidden="1" x14ac:dyDescent="0.3">
      <c r="A3547" s="14" t="s">
        <v>482</v>
      </c>
      <c r="B3547" s="14" t="s">
        <v>151</v>
      </c>
      <c r="C3547" s="14" t="s">
        <v>351</v>
      </c>
      <c r="D3547" s="14" t="s">
        <v>352</v>
      </c>
      <c r="E3547" s="14" t="s">
        <v>344</v>
      </c>
      <c r="F3547" s="14" t="s">
        <v>343</v>
      </c>
      <c r="G3547" s="14" t="s">
        <v>343</v>
      </c>
      <c r="H3547" s="14" t="s">
        <v>343</v>
      </c>
      <c r="U3547" s="14">
        <v>136</v>
      </c>
      <c r="V3547" s="14">
        <v>143</v>
      </c>
      <c r="W3547" s="14">
        <v>146</v>
      </c>
      <c r="X3547" s="14">
        <v>134</v>
      </c>
    </row>
    <row r="3548" spans="1:24" hidden="1" x14ac:dyDescent="0.3">
      <c r="A3548" s="14" t="s">
        <v>482</v>
      </c>
      <c r="B3548" s="14" t="s">
        <v>151</v>
      </c>
      <c r="C3548" s="14" t="s">
        <v>378</v>
      </c>
      <c r="D3548" s="14" t="s">
        <v>379</v>
      </c>
      <c r="E3548" s="14" t="s">
        <v>342</v>
      </c>
      <c r="F3548" s="14" t="s">
        <v>343</v>
      </c>
      <c r="G3548" s="14" t="s">
        <v>343</v>
      </c>
      <c r="H3548" s="14" t="s">
        <v>343</v>
      </c>
      <c r="S3548" s="14">
        <v>0.67</v>
      </c>
      <c r="U3548" s="14">
        <v>0.63</v>
      </c>
      <c r="V3548" s="14">
        <v>0.63</v>
      </c>
      <c r="W3548" s="14">
        <v>0.65</v>
      </c>
      <c r="X3548" s="14">
        <v>0.64</v>
      </c>
    </row>
    <row r="3549" spans="1:24" hidden="1" x14ac:dyDescent="0.3">
      <c r="A3549" s="14" t="s">
        <v>482</v>
      </c>
      <c r="B3549" s="14" t="s">
        <v>151</v>
      </c>
      <c r="C3549" s="14" t="s">
        <v>378</v>
      </c>
      <c r="D3549" s="14" t="s">
        <v>379</v>
      </c>
      <c r="E3549" s="14" t="s">
        <v>344</v>
      </c>
      <c r="F3549" s="14" t="s">
        <v>343</v>
      </c>
      <c r="G3549" s="14" t="s">
        <v>343</v>
      </c>
      <c r="H3549" s="14" t="s">
        <v>343</v>
      </c>
      <c r="S3549" s="14">
        <v>55</v>
      </c>
      <c r="U3549" s="14">
        <v>82</v>
      </c>
      <c r="V3549" s="14">
        <v>84</v>
      </c>
      <c r="W3549" s="14">
        <v>80</v>
      </c>
      <c r="X3549" s="14">
        <v>77</v>
      </c>
    </row>
    <row r="3550" spans="1:24" hidden="1" x14ac:dyDescent="0.3">
      <c r="A3550" s="14" t="s">
        <v>482</v>
      </c>
      <c r="B3550" s="14" t="s">
        <v>151</v>
      </c>
      <c r="C3550" s="14" t="s">
        <v>353</v>
      </c>
      <c r="D3550" s="14" t="s">
        <v>354</v>
      </c>
      <c r="E3550" s="14" t="s">
        <v>342</v>
      </c>
      <c r="F3550" s="14" t="s">
        <v>343</v>
      </c>
      <c r="G3550" s="14" t="s">
        <v>343</v>
      </c>
      <c r="H3550" s="14" t="s">
        <v>343</v>
      </c>
      <c r="U3550" s="14">
        <v>0.49</v>
      </c>
      <c r="V3550" s="14">
        <v>0.56000000000000005</v>
      </c>
      <c r="W3550" s="14">
        <v>0.56000000000000005</v>
      </c>
      <c r="X3550" s="14">
        <v>0.55000000000000004</v>
      </c>
    </row>
    <row r="3551" spans="1:24" hidden="1" x14ac:dyDescent="0.3">
      <c r="A3551" s="14" t="s">
        <v>482</v>
      </c>
      <c r="B3551" s="14" t="s">
        <v>151</v>
      </c>
      <c r="C3551" s="14" t="s">
        <v>353</v>
      </c>
      <c r="D3551" s="14" t="s">
        <v>354</v>
      </c>
      <c r="E3551" s="14" t="s">
        <v>344</v>
      </c>
      <c r="F3551" s="14" t="s">
        <v>343</v>
      </c>
      <c r="G3551" s="14" t="s">
        <v>343</v>
      </c>
      <c r="H3551" s="14" t="s">
        <v>343</v>
      </c>
      <c r="U3551" s="14">
        <v>140</v>
      </c>
      <c r="V3551" s="14">
        <v>147</v>
      </c>
      <c r="W3551" s="14">
        <v>149</v>
      </c>
      <c r="X3551" s="14">
        <v>139</v>
      </c>
    </row>
    <row r="3552" spans="1:24" hidden="1" x14ac:dyDescent="0.3">
      <c r="A3552" s="14" t="s">
        <v>482</v>
      </c>
      <c r="B3552" s="14" t="s">
        <v>151</v>
      </c>
      <c r="C3552" s="14" t="s">
        <v>380</v>
      </c>
      <c r="D3552" s="14" t="s">
        <v>381</v>
      </c>
      <c r="E3552" s="14" t="s">
        <v>342</v>
      </c>
      <c r="F3552" s="14" t="s">
        <v>343</v>
      </c>
      <c r="G3552" s="14" t="s">
        <v>343</v>
      </c>
      <c r="H3552" s="14" t="s">
        <v>343</v>
      </c>
      <c r="U3552" s="14">
        <v>0.89</v>
      </c>
      <c r="V3552" s="14">
        <v>0.9</v>
      </c>
      <c r="W3552" s="14">
        <v>0.9</v>
      </c>
      <c r="X3552" s="14">
        <v>0.9</v>
      </c>
    </row>
    <row r="3553" spans="1:24" hidden="1" x14ac:dyDescent="0.3">
      <c r="A3553" s="14" t="s">
        <v>482</v>
      </c>
      <c r="B3553" s="14" t="s">
        <v>151</v>
      </c>
      <c r="C3553" s="14" t="s">
        <v>380</v>
      </c>
      <c r="D3553" s="14" t="s">
        <v>381</v>
      </c>
      <c r="E3553" s="14" t="s">
        <v>344</v>
      </c>
      <c r="F3553" s="14" t="s">
        <v>343</v>
      </c>
      <c r="G3553" s="14" t="s">
        <v>343</v>
      </c>
      <c r="H3553" s="14" t="s">
        <v>343</v>
      </c>
      <c r="U3553" s="14">
        <v>130</v>
      </c>
      <c r="V3553" s="14">
        <v>138</v>
      </c>
      <c r="W3553" s="14">
        <v>139</v>
      </c>
      <c r="X3553" s="14">
        <v>111</v>
      </c>
    </row>
    <row r="3554" spans="1:24" hidden="1" x14ac:dyDescent="0.3">
      <c r="A3554" s="14" t="s">
        <v>482</v>
      </c>
      <c r="B3554" s="14" t="s">
        <v>151</v>
      </c>
      <c r="C3554" s="14" t="s">
        <v>355</v>
      </c>
      <c r="D3554" s="14" t="s">
        <v>356</v>
      </c>
      <c r="E3554" s="14" t="s">
        <v>342</v>
      </c>
      <c r="F3554" s="14" t="s">
        <v>343</v>
      </c>
      <c r="G3554" s="14" t="s">
        <v>343</v>
      </c>
      <c r="H3554" s="14" t="s">
        <v>343</v>
      </c>
      <c r="U3554" s="14">
        <v>0.8</v>
      </c>
      <c r="V3554" s="14">
        <v>0.81</v>
      </c>
      <c r="W3554" s="14">
        <v>0.81</v>
      </c>
      <c r="X3554" s="14">
        <v>0.82</v>
      </c>
    </row>
    <row r="3555" spans="1:24" hidden="1" x14ac:dyDescent="0.3">
      <c r="A3555" s="14" t="s">
        <v>482</v>
      </c>
      <c r="B3555" s="14" t="s">
        <v>151</v>
      </c>
      <c r="C3555" s="14" t="s">
        <v>355</v>
      </c>
      <c r="D3555" s="14" t="s">
        <v>356</v>
      </c>
      <c r="E3555" s="14" t="s">
        <v>344</v>
      </c>
      <c r="F3555" s="14" t="s">
        <v>343</v>
      </c>
      <c r="G3555" s="14" t="s">
        <v>343</v>
      </c>
      <c r="H3555" s="14" t="s">
        <v>343</v>
      </c>
      <c r="U3555" s="14">
        <v>139</v>
      </c>
      <c r="V3555" s="14">
        <v>142</v>
      </c>
      <c r="W3555" s="14">
        <v>143</v>
      </c>
      <c r="X3555" s="14">
        <v>128</v>
      </c>
    </row>
    <row r="3556" spans="1:24" hidden="1" x14ac:dyDescent="0.3">
      <c r="A3556" s="14" t="s">
        <v>482</v>
      </c>
      <c r="B3556" s="14" t="s">
        <v>151</v>
      </c>
      <c r="C3556" s="14" t="s">
        <v>357</v>
      </c>
      <c r="D3556" s="14" t="s">
        <v>358</v>
      </c>
      <c r="E3556" s="14" t="s">
        <v>342</v>
      </c>
      <c r="F3556" s="14" t="s">
        <v>343</v>
      </c>
      <c r="G3556" s="14" t="s">
        <v>343</v>
      </c>
      <c r="H3556" s="14" t="s">
        <v>343</v>
      </c>
      <c r="U3556" s="14">
        <v>0.42</v>
      </c>
      <c r="V3556" s="14">
        <v>0.42</v>
      </c>
      <c r="W3556" s="14">
        <v>0.42</v>
      </c>
      <c r="X3556" s="14">
        <v>0.42</v>
      </c>
    </row>
    <row r="3557" spans="1:24" hidden="1" x14ac:dyDescent="0.3">
      <c r="A3557" s="14" t="s">
        <v>482</v>
      </c>
      <c r="B3557" s="14" t="s">
        <v>151</v>
      </c>
      <c r="C3557" s="14" t="s">
        <v>357</v>
      </c>
      <c r="D3557" s="14" t="s">
        <v>358</v>
      </c>
      <c r="E3557" s="14" t="s">
        <v>344</v>
      </c>
      <c r="F3557" s="14" t="s">
        <v>343</v>
      </c>
      <c r="G3557" s="14" t="s">
        <v>343</v>
      </c>
      <c r="H3557" s="14" t="s">
        <v>343</v>
      </c>
      <c r="U3557" s="14">
        <v>138</v>
      </c>
      <c r="V3557" s="14">
        <v>146</v>
      </c>
      <c r="W3557" s="14">
        <v>147</v>
      </c>
      <c r="X3557" s="14">
        <v>134</v>
      </c>
    </row>
    <row r="3558" spans="1:24" hidden="1" x14ac:dyDescent="0.3">
      <c r="A3558" s="14" t="s">
        <v>482</v>
      </c>
      <c r="B3558" s="14" t="s">
        <v>151</v>
      </c>
      <c r="C3558" s="14" t="s">
        <v>359</v>
      </c>
      <c r="D3558" s="14" t="s">
        <v>360</v>
      </c>
      <c r="E3558" s="14" t="s">
        <v>342</v>
      </c>
      <c r="F3558" s="14" t="s">
        <v>343</v>
      </c>
      <c r="G3558" s="14" t="s">
        <v>343</v>
      </c>
      <c r="H3558" s="14" t="s">
        <v>343</v>
      </c>
      <c r="I3558" s="14">
        <v>0.67</v>
      </c>
      <c r="J3558" s="14">
        <v>0.69</v>
      </c>
      <c r="K3558" s="14">
        <v>0.71</v>
      </c>
      <c r="L3558" s="14">
        <v>0.6</v>
      </c>
      <c r="M3558" s="14">
        <v>0.51</v>
      </c>
      <c r="N3558" s="14">
        <v>0.53</v>
      </c>
      <c r="O3558" s="14">
        <v>0.56999999999999995</v>
      </c>
      <c r="P3558" s="14">
        <v>0.56999999999999995</v>
      </c>
      <c r="Q3558" s="14">
        <v>0.55000000000000004</v>
      </c>
      <c r="R3558" s="14">
        <v>0.6</v>
      </c>
      <c r="S3558" s="14">
        <v>0.59</v>
      </c>
      <c r="T3558" s="14">
        <v>0.52</v>
      </c>
      <c r="U3558" s="14">
        <v>0.51</v>
      </c>
      <c r="V3558" s="14">
        <v>0.59</v>
      </c>
      <c r="W3558" s="14">
        <v>0.48</v>
      </c>
      <c r="X3558" s="14">
        <v>0.52</v>
      </c>
    </row>
    <row r="3559" spans="1:24" hidden="1" x14ac:dyDescent="0.3">
      <c r="A3559" s="14" t="s">
        <v>482</v>
      </c>
      <c r="B3559" s="14" t="s">
        <v>151</v>
      </c>
      <c r="C3559" s="14" t="s">
        <v>359</v>
      </c>
      <c r="D3559" s="14" t="s">
        <v>360</v>
      </c>
      <c r="E3559" s="14" t="s">
        <v>344</v>
      </c>
      <c r="F3559" s="14" t="s">
        <v>343</v>
      </c>
      <c r="G3559" s="14" t="s">
        <v>343</v>
      </c>
      <c r="H3559" s="14" t="s">
        <v>343</v>
      </c>
      <c r="I3559" s="14">
        <v>35</v>
      </c>
      <c r="J3559" s="14">
        <v>33</v>
      </c>
      <c r="K3559" s="14">
        <v>29</v>
      </c>
      <c r="L3559" s="14">
        <v>92</v>
      </c>
      <c r="M3559" s="14">
        <v>113</v>
      </c>
      <c r="N3559" s="14">
        <v>111</v>
      </c>
      <c r="O3559" s="14">
        <v>103</v>
      </c>
      <c r="P3559" s="14">
        <v>107</v>
      </c>
      <c r="Q3559" s="14">
        <v>118</v>
      </c>
      <c r="R3559" s="14">
        <v>109</v>
      </c>
      <c r="S3559" s="14">
        <v>110</v>
      </c>
      <c r="T3559" s="14">
        <v>126</v>
      </c>
      <c r="U3559" s="14">
        <v>130</v>
      </c>
      <c r="V3559" s="14">
        <v>118</v>
      </c>
      <c r="W3559" s="14">
        <v>141</v>
      </c>
      <c r="X3559" s="14">
        <v>130</v>
      </c>
    </row>
    <row r="3560" spans="1:24" x14ac:dyDescent="0.3">
      <c r="A3560" s="14" t="s">
        <v>482</v>
      </c>
      <c r="B3560" s="14" t="s">
        <v>151</v>
      </c>
      <c r="C3560" s="14" t="s">
        <v>361</v>
      </c>
      <c r="D3560" s="14" t="s">
        <v>362</v>
      </c>
      <c r="E3560" s="14" t="s">
        <v>342</v>
      </c>
      <c r="F3560" s="14" t="s">
        <v>343</v>
      </c>
      <c r="G3560" s="14" t="s">
        <v>343</v>
      </c>
      <c r="H3560" s="14" t="s">
        <v>343</v>
      </c>
      <c r="I3560" s="14">
        <v>0.97</v>
      </c>
      <c r="J3560" s="14">
        <v>0.97</v>
      </c>
      <c r="K3560" s="14">
        <v>0.97</v>
      </c>
      <c r="L3560" s="14">
        <v>0.97</v>
      </c>
      <c r="M3560" s="14">
        <v>0.98</v>
      </c>
      <c r="N3560" s="14">
        <v>0.98</v>
      </c>
      <c r="O3560" s="14">
        <v>0.98</v>
      </c>
      <c r="P3560" s="14">
        <v>0.98</v>
      </c>
      <c r="Q3560" s="14">
        <v>0.95</v>
      </c>
      <c r="R3560" s="14">
        <v>0.95</v>
      </c>
      <c r="S3560" s="14">
        <v>0.95</v>
      </c>
      <c r="T3560" s="14">
        <v>0.96</v>
      </c>
      <c r="U3560" s="14">
        <v>0.96</v>
      </c>
      <c r="V3560" s="14">
        <v>0.96</v>
      </c>
      <c r="W3560" s="14">
        <v>0.96</v>
      </c>
      <c r="X3560" s="14">
        <v>0.96</v>
      </c>
    </row>
    <row r="3561" spans="1:24" hidden="1" x14ac:dyDescent="0.3">
      <c r="A3561" s="14" t="s">
        <v>482</v>
      </c>
      <c r="B3561" s="14" t="s">
        <v>151</v>
      </c>
      <c r="C3561" s="14" t="s">
        <v>361</v>
      </c>
      <c r="D3561" s="14" t="s">
        <v>362</v>
      </c>
      <c r="E3561" s="14" t="s">
        <v>344</v>
      </c>
      <c r="F3561" s="14" t="s">
        <v>343</v>
      </c>
      <c r="G3561" s="14" t="s">
        <v>343</v>
      </c>
      <c r="H3561" s="14" t="s">
        <v>343</v>
      </c>
      <c r="I3561" s="14">
        <v>91</v>
      </c>
      <c r="J3561" s="14">
        <v>98</v>
      </c>
      <c r="K3561" s="14">
        <v>99</v>
      </c>
      <c r="L3561" s="14">
        <v>104</v>
      </c>
      <c r="M3561" s="14">
        <v>55</v>
      </c>
      <c r="N3561" s="14">
        <v>55</v>
      </c>
      <c r="O3561" s="14">
        <v>57</v>
      </c>
      <c r="P3561" s="14">
        <v>54</v>
      </c>
      <c r="Q3561" s="14">
        <v>135</v>
      </c>
      <c r="R3561" s="14">
        <v>141</v>
      </c>
      <c r="S3561" s="14">
        <v>140</v>
      </c>
      <c r="T3561" s="14">
        <v>139</v>
      </c>
      <c r="U3561" s="14">
        <v>129</v>
      </c>
      <c r="V3561" s="14">
        <v>132</v>
      </c>
      <c r="W3561" s="14">
        <v>141</v>
      </c>
      <c r="X3561" s="14">
        <v>133</v>
      </c>
    </row>
    <row r="3562" spans="1:24" hidden="1" x14ac:dyDescent="0.3">
      <c r="A3562" s="14" t="s">
        <v>482</v>
      </c>
      <c r="B3562" s="14" t="s">
        <v>151</v>
      </c>
      <c r="C3562" s="14" t="s">
        <v>363</v>
      </c>
      <c r="D3562" s="14" t="s">
        <v>364</v>
      </c>
      <c r="E3562" s="14" t="s">
        <v>342</v>
      </c>
      <c r="F3562" s="14" t="s">
        <v>343</v>
      </c>
      <c r="G3562" s="14" t="s">
        <v>343</v>
      </c>
      <c r="H3562" s="14" t="s">
        <v>343</v>
      </c>
      <c r="U3562" s="14">
        <v>1.01</v>
      </c>
      <c r="V3562" s="14">
        <v>1.01</v>
      </c>
      <c r="W3562" s="14">
        <v>1</v>
      </c>
      <c r="X3562" s="14">
        <v>0.99</v>
      </c>
    </row>
    <row r="3563" spans="1:24" hidden="1" x14ac:dyDescent="0.3">
      <c r="A3563" s="14" t="s">
        <v>482</v>
      </c>
      <c r="B3563" s="14" t="s">
        <v>151</v>
      </c>
      <c r="C3563" s="14" t="s">
        <v>363</v>
      </c>
      <c r="D3563" s="14" t="s">
        <v>364</v>
      </c>
      <c r="E3563" s="14" t="s">
        <v>344</v>
      </c>
      <c r="F3563" s="14" t="s">
        <v>343</v>
      </c>
      <c r="G3563" s="14" t="s">
        <v>343</v>
      </c>
      <c r="H3563" s="14" t="s">
        <v>343</v>
      </c>
      <c r="U3563" s="14">
        <v>136</v>
      </c>
      <c r="V3563" s="14">
        <v>140</v>
      </c>
      <c r="W3563" s="14">
        <v>150</v>
      </c>
      <c r="X3563" s="14">
        <v>141</v>
      </c>
    </row>
    <row r="3564" spans="1:24" hidden="1" x14ac:dyDescent="0.3">
      <c r="A3564" s="14" t="s">
        <v>482</v>
      </c>
      <c r="B3564" s="14" t="s">
        <v>151</v>
      </c>
      <c r="C3564" s="14" t="s">
        <v>365</v>
      </c>
      <c r="D3564" s="14" t="s">
        <v>366</v>
      </c>
      <c r="E3564" s="14" t="s">
        <v>342</v>
      </c>
      <c r="F3564" s="14" t="s">
        <v>343</v>
      </c>
      <c r="G3564" s="14" t="s">
        <v>343</v>
      </c>
      <c r="H3564" s="14" t="s">
        <v>343</v>
      </c>
      <c r="U3564" s="14">
        <v>0.94</v>
      </c>
      <c r="V3564" s="14">
        <v>0.94</v>
      </c>
      <c r="W3564" s="14">
        <v>0.94</v>
      </c>
      <c r="X3564" s="14">
        <v>0.94</v>
      </c>
    </row>
    <row r="3565" spans="1:24" hidden="1" x14ac:dyDescent="0.3">
      <c r="A3565" s="14" t="s">
        <v>482</v>
      </c>
      <c r="B3565" s="14" t="s">
        <v>151</v>
      </c>
      <c r="C3565" s="14" t="s">
        <v>365</v>
      </c>
      <c r="D3565" s="14" t="s">
        <v>366</v>
      </c>
      <c r="E3565" s="14" t="s">
        <v>344</v>
      </c>
      <c r="F3565" s="14" t="s">
        <v>343</v>
      </c>
      <c r="G3565" s="14" t="s">
        <v>343</v>
      </c>
      <c r="H3565" s="14" t="s">
        <v>343</v>
      </c>
      <c r="U3565" s="14">
        <v>1</v>
      </c>
      <c r="V3565" s="14">
        <v>1</v>
      </c>
      <c r="W3565" s="14">
        <v>1</v>
      </c>
      <c r="X3565" s="14">
        <v>1</v>
      </c>
    </row>
    <row r="3566" spans="1:24" hidden="1" x14ac:dyDescent="0.3">
      <c r="A3566" s="14" t="s">
        <v>482</v>
      </c>
      <c r="B3566" s="14" t="s">
        <v>151</v>
      </c>
      <c r="C3566" s="14" t="s">
        <v>367</v>
      </c>
      <c r="D3566" s="14" t="s">
        <v>368</v>
      </c>
      <c r="E3566" s="14" t="s">
        <v>342</v>
      </c>
      <c r="F3566" s="14" t="s">
        <v>343</v>
      </c>
      <c r="G3566" s="14" t="s">
        <v>343</v>
      </c>
      <c r="H3566" s="14" t="s">
        <v>343</v>
      </c>
      <c r="I3566" s="14">
        <v>0.6</v>
      </c>
      <c r="J3566" s="14">
        <v>0.6</v>
      </c>
      <c r="K3566" s="14">
        <v>0.61</v>
      </c>
      <c r="L3566" s="14">
        <v>0.59</v>
      </c>
      <c r="M3566" s="14">
        <v>0.56999999999999995</v>
      </c>
      <c r="N3566" s="14">
        <v>0.57999999999999996</v>
      </c>
      <c r="O3566" s="14">
        <v>0.57999999999999996</v>
      </c>
      <c r="P3566" s="14">
        <v>0.59</v>
      </c>
      <c r="Q3566" s="14">
        <v>0.57999999999999996</v>
      </c>
      <c r="R3566" s="14">
        <v>0.6</v>
      </c>
      <c r="S3566" s="14">
        <v>0.59</v>
      </c>
      <c r="T3566" s="14">
        <v>0.57999999999999996</v>
      </c>
      <c r="U3566" s="14">
        <v>0.57999999999999996</v>
      </c>
      <c r="V3566" s="14">
        <v>0.62</v>
      </c>
      <c r="W3566" s="14">
        <v>0.59</v>
      </c>
      <c r="X3566" s="14">
        <v>0.6</v>
      </c>
    </row>
    <row r="3567" spans="1:24" hidden="1" x14ac:dyDescent="0.3">
      <c r="A3567" s="14" t="s">
        <v>482</v>
      </c>
      <c r="B3567" s="14" t="s">
        <v>151</v>
      </c>
      <c r="C3567" s="14" t="s">
        <v>367</v>
      </c>
      <c r="D3567" s="14" t="s">
        <v>368</v>
      </c>
      <c r="E3567" s="14" t="s">
        <v>344</v>
      </c>
      <c r="F3567" s="14" t="s">
        <v>343</v>
      </c>
      <c r="G3567" s="14" t="s">
        <v>343</v>
      </c>
      <c r="H3567" s="14" t="s">
        <v>343</v>
      </c>
      <c r="I3567" s="14">
        <v>99</v>
      </c>
      <c r="J3567" s="14">
        <v>112</v>
      </c>
      <c r="K3567" s="14">
        <v>109</v>
      </c>
      <c r="L3567" s="14">
        <v>127</v>
      </c>
      <c r="M3567" s="14">
        <v>131</v>
      </c>
      <c r="N3567" s="14">
        <v>132</v>
      </c>
      <c r="O3567" s="14">
        <v>128</v>
      </c>
      <c r="P3567" s="14">
        <v>128</v>
      </c>
      <c r="Q3567" s="14">
        <v>138</v>
      </c>
      <c r="R3567" s="14">
        <v>137</v>
      </c>
      <c r="S3567" s="14">
        <v>138</v>
      </c>
      <c r="T3567" s="14">
        <v>139</v>
      </c>
      <c r="U3567" s="14">
        <v>143</v>
      </c>
      <c r="V3567" s="14">
        <v>139</v>
      </c>
      <c r="W3567" s="14">
        <v>149</v>
      </c>
      <c r="X3567" s="14">
        <v>141</v>
      </c>
    </row>
    <row r="3568" spans="1:24" hidden="1" x14ac:dyDescent="0.3">
      <c r="A3568" s="14" t="s">
        <v>482</v>
      </c>
      <c r="B3568" s="14" t="s">
        <v>151</v>
      </c>
      <c r="C3568" s="14" t="s">
        <v>369</v>
      </c>
      <c r="D3568" s="14" t="s">
        <v>370</v>
      </c>
      <c r="E3568" s="14" t="s">
        <v>342</v>
      </c>
      <c r="F3568" s="14" t="s">
        <v>343</v>
      </c>
      <c r="G3568" s="14" t="s">
        <v>343</v>
      </c>
      <c r="H3568" s="14" t="s">
        <v>343</v>
      </c>
      <c r="I3568" s="14">
        <v>0.09</v>
      </c>
      <c r="J3568" s="14">
        <v>0.09</v>
      </c>
      <c r="K3568" s="14">
        <v>0.11</v>
      </c>
      <c r="L3568" s="14">
        <v>0.11</v>
      </c>
      <c r="M3568" s="14">
        <v>0.1</v>
      </c>
      <c r="N3568" s="14">
        <v>0.1</v>
      </c>
      <c r="O3568" s="14">
        <v>0.08</v>
      </c>
      <c r="P3568" s="14">
        <v>0.08</v>
      </c>
      <c r="Q3568" s="14">
        <v>0.08</v>
      </c>
      <c r="R3568" s="14">
        <v>0.09</v>
      </c>
      <c r="S3568" s="14">
        <v>0.09</v>
      </c>
      <c r="T3568" s="14">
        <v>0.12</v>
      </c>
      <c r="U3568" s="14">
        <v>0.12</v>
      </c>
      <c r="V3568" s="14">
        <v>0.17</v>
      </c>
      <c r="W3568" s="14">
        <v>0.17</v>
      </c>
      <c r="X3568" s="14">
        <v>0.17</v>
      </c>
    </row>
    <row r="3569" spans="1:24" hidden="1" x14ac:dyDescent="0.3">
      <c r="A3569" s="14" t="s">
        <v>482</v>
      </c>
      <c r="B3569" s="14" t="s">
        <v>151</v>
      </c>
      <c r="C3569" s="14" t="s">
        <v>369</v>
      </c>
      <c r="D3569" s="14" t="s">
        <v>370</v>
      </c>
      <c r="E3569" s="14" t="s">
        <v>344</v>
      </c>
      <c r="F3569" s="14" t="s">
        <v>343</v>
      </c>
      <c r="G3569" s="14" t="s">
        <v>343</v>
      </c>
      <c r="H3569" s="14" t="s">
        <v>343</v>
      </c>
      <c r="I3569" s="14">
        <v>67</v>
      </c>
      <c r="J3569" s="14">
        <v>75</v>
      </c>
      <c r="K3569" s="14">
        <v>74</v>
      </c>
      <c r="L3569" s="14">
        <v>78</v>
      </c>
      <c r="M3569" s="14">
        <v>81</v>
      </c>
      <c r="N3569" s="14">
        <v>81</v>
      </c>
      <c r="O3569" s="14">
        <v>101</v>
      </c>
      <c r="P3569" s="14">
        <v>106</v>
      </c>
      <c r="Q3569" s="14">
        <v>118</v>
      </c>
      <c r="R3569" s="14">
        <v>116</v>
      </c>
      <c r="S3569" s="14">
        <v>117</v>
      </c>
      <c r="T3569" s="14">
        <v>99</v>
      </c>
      <c r="U3569" s="14">
        <v>101</v>
      </c>
      <c r="V3569" s="14">
        <v>84</v>
      </c>
      <c r="W3569" s="14">
        <v>87</v>
      </c>
      <c r="X3569" s="14">
        <v>91</v>
      </c>
    </row>
    <row r="3570" spans="1:24" hidden="1" x14ac:dyDescent="0.3">
      <c r="A3570" s="14" t="s">
        <v>482</v>
      </c>
      <c r="B3570" s="14" t="s">
        <v>151</v>
      </c>
      <c r="C3570" s="14" t="s">
        <v>371</v>
      </c>
      <c r="D3570" s="14" t="s">
        <v>372</v>
      </c>
      <c r="E3570" s="14" t="s">
        <v>342</v>
      </c>
      <c r="F3570" s="14" t="s">
        <v>343</v>
      </c>
      <c r="G3570" s="14" t="s">
        <v>343</v>
      </c>
      <c r="H3570" s="14" t="s">
        <v>343</v>
      </c>
      <c r="U3570" s="14">
        <v>0.02</v>
      </c>
      <c r="V3570" s="14">
        <v>0.02</v>
      </c>
      <c r="W3570" s="14">
        <v>0.02</v>
      </c>
      <c r="X3570" s="14">
        <v>0.02</v>
      </c>
    </row>
    <row r="3571" spans="1:24" hidden="1" x14ac:dyDescent="0.3">
      <c r="A3571" s="14" t="s">
        <v>482</v>
      </c>
      <c r="B3571" s="14" t="s">
        <v>151</v>
      </c>
      <c r="C3571" s="14" t="s">
        <v>371</v>
      </c>
      <c r="D3571" s="14" t="s">
        <v>372</v>
      </c>
      <c r="E3571" s="14" t="s">
        <v>344</v>
      </c>
      <c r="F3571" s="14" t="s">
        <v>343</v>
      </c>
      <c r="G3571" s="14" t="s">
        <v>343</v>
      </c>
      <c r="H3571" s="14" t="s">
        <v>343</v>
      </c>
      <c r="U3571" s="14">
        <v>52</v>
      </c>
      <c r="V3571" s="14">
        <v>55</v>
      </c>
      <c r="W3571" s="14">
        <v>59</v>
      </c>
      <c r="X3571" s="14">
        <v>59</v>
      </c>
    </row>
    <row r="3572" spans="1:24" hidden="1" x14ac:dyDescent="0.3">
      <c r="A3572" s="14" t="s">
        <v>482</v>
      </c>
      <c r="B3572" s="14" t="s">
        <v>151</v>
      </c>
      <c r="C3572" s="14" t="s">
        <v>373</v>
      </c>
      <c r="D3572" s="14" t="s">
        <v>374</v>
      </c>
      <c r="E3572" s="14" t="s">
        <v>342</v>
      </c>
      <c r="F3572" s="14" t="s">
        <v>343</v>
      </c>
      <c r="G3572" s="14" t="s">
        <v>343</v>
      </c>
      <c r="H3572" s="14" t="s">
        <v>343</v>
      </c>
      <c r="U3572" s="14">
        <v>0.32</v>
      </c>
      <c r="V3572" s="14">
        <v>0.52</v>
      </c>
      <c r="W3572" s="14">
        <v>0.19</v>
      </c>
      <c r="X3572" s="14">
        <v>0.19</v>
      </c>
    </row>
    <row r="3573" spans="1:24" hidden="1" x14ac:dyDescent="0.3">
      <c r="A3573" s="14" t="s">
        <v>482</v>
      </c>
      <c r="B3573" s="14" t="s">
        <v>151</v>
      </c>
      <c r="C3573" s="14" t="s">
        <v>373</v>
      </c>
      <c r="D3573" s="14" t="s">
        <v>374</v>
      </c>
      <c r="E3573" s="14" t="s">
        <v>344</v>
      </c>
      <c r="F3573" s="14" t="s">
        <v>343</v>
      </c>
      <c r="G3573" s="14" t="s">
        <v>343</v>
      </c>
      <c r="H3573" s="14" t="s">
        <v>343</v>
      </c>
      <c r="U3573" s="14">
        <v>41</v>
      </c>
      <c r="V3573" s="14">
        <v>27</v>
      </c>
      <c r="W3573" s="14">
        <v>96</v>
      </c>
      <c r="X3573" s="14">
        <v>91</v>
      </c>
    </row>
    <row r="3574" spans="1:24" hidden="1" x14ac:dyDescent="0.3">
      <c r="A3574" s="14" t="s">
        <v>482</v>
      </c>
      <c r="B3574" s="14" t="s">
        <v>151</v>
      </c>
      <c r="C3574" s="14" t="s">
        <v>375</v>
      </c>
      <c r="D3574" s="14" t="s">
        <v>376</v>
      </c>
      <c r="E3574" s="14" t="s">
        <v>342</v>
      </c>
      <c r="F3574" s="14" t="s">
        <v>343</v>
      </c>
      <c r="G3574" s="14" t="s">
        <v>343</v>
      </c>
      <c r="H3574" s="14" t="s">
        <v>343</v>
      </c>
      <c r="U3574" s="14">
        <v>0.1</v>
      </c>
      <c r="V3574" s="14">
        <v>0.1</v>
      </c>
      <c r="W3574" s="14">
        <v>0.38</v>
      </c>
      <c r="X3574" s="14">
        <v>0.36</v>
      </c>
    </row>
    <row r="3575" spans="1:24" hidden="1" x14ac:dyDescent="0.3">
      <c r="A3575" s="14" t="s">
        <v>482</v>
      </c>
      <c r="B3575" s="14" t="s">
        <v>151</v>
      </c>
      <c r="C3575" s="14" t="s">
        <v>375</v>
      </c>
      <c r="D3575" s="14" t="s">
        <v>376</v>
      </c>
      <c r="E3575" s="14" t="s">
        <v>344</v>
      </c>
      <c r="F3575" s="14" t="s">
        <v>343</v>
      </c>
      <c r="G3575" s="14" t="s">
        <v>343</v>
      </c>
      <c r="H3575" s="14" t="s">
        <v>343</v>
      </c>
      <c r="U3575" s="14">
        <v>136</v>
      </c>
      <c r="V3575" s="14">
        <v>138</v>
      </c>
      <c r="W3575" s="14">
        <v>60</v>
      </c>
      <c r="X3575" s="14">
        <v>73</v>
      </c>
    </row>
    <row r="3576" spans="1:24" hidden="1" x14ac:dyDescent="0.3">
      <c r="A3576" s="14" t="s">
        <v>483</v>
      </c>
      <c r="B3576" s="14" t="s">
        <v>152</v>
      </c>
      <c r="C3576" s="14" t="s">
        <v>340</v>
      </c>
      <c r="D3576" s="14" t="s">
        <v>341</v>
      </c>
      <c r="E3576" s="14" t="s">
        <v>342</v>
      </c>
      <c r="F3576" s="14" t="s">
        <v>343</v>
      </c>
      <c r="G3576" s="14" t="s">
        <v>343</v>
      </c>
      <c r="H3576" s="14" t="s">
        <v>343</v>
      </c>
      <c r="I3576" s="14">
        <v>1</v>
      </c>
      <c r="J3576" s="14">
        <v>1</v>
      </c>
      <c r="K3576" s="14">
        <v>1</v>
      </c>
      <c r="L3576" s="14">
        <v>1</v>
      </c>
      <c r="M3576" s="14">
        <v>1</v>
      </c>
      <c r="N3576" s="14">
        <v>1</v>
      </c>
      <c r="O3576" s="14">
        <v>0.99</v>
      </c>
      <c r="P3576" s="14">
        <v>0.99</v>
      </c>
      <c r="Q3576" s="14">
        <v>1</v>
      </c>
      <c r="R3576" s="14">
        <v>1</v>
      </c>
      <c r="S3576" s="14">
        <v>0.95</v>
      </c>
      <c r="T3576" s="14">
        <v>1</v>
      </c>
      <c r="U3576" s="14">
        <v>1</v>
      </c>
      <c r="V3576" s="14">
        <v>1</v>
      </c>
      <c r="W3576" s="14">
        <v>1</v>
      </c>
      <c r="X3576" s="14">
        <v>1</v>
      </c>
    </row>
    <row r="3577" spans="1:24" hidden="1" x14ac:dyDescent="0.3">
      <c r="A3577" s="14" t="s">
        <v>483</v>
      </c>
      <c r="B3577" s="14" t="s">
        <v>152</v>
      </c>
      <c r="C3577" s="14" t="s">
        <v>340</v>
      </c>
      <c r="D3577" s="14" t="s">
        <v>341</v>
      </c>
      <c r="E3577" s="14" t="s">
        <v>344</v>
      </c>
      <c r="F3577" s="14" t="s">
        <v>343</v>
      </c>
      <c r="G3577" s="14" t="s">
        <v>343</v>
      </c>
      <c r="H3577" s="14" t="s">
        <v>343</v>
      </c>
      <c r="I3577" s="14">
        <v>25</v>
      </c>
      <c r="J3577" s="14">
        <v>31</v>
      </c>
      <c r="K3577" s="14">
        <v>47</v>
      </c>
      <c r="L3577" s="14">
        <v>47</v>
      </c>
      <c r="M3577" s="14">
        <v>1</v>
      </c>
      <c r="N3577" s="14">
        <v>1</v>
      </c>
      <c r="O3577" s="14">
        <v>59</v>
      </c>
      <c r="P3577" s="14">
        <v>58</v>
      </c>
      <c r="Q3577" s="14">
        <v>1</v>
      </c>
      <c r="R3577" s="14">
        <v>1</v>
      </c>
      <c r="S3577" s="14">
        <v>111</v>
      </c>
      <c r="T3577" s="14">
        <v>1</v>
      </c>
      <c r="U3577" s="14">
        <v>1</v>
      </c>
      <c r="V3577" s="14">
        <v>1</v>
      </c>
      <c r="W3577" s="14">
        <v>1</v>
      </c>
      <c r="X3577" s="14">
        <v>1</v>
      </c>
    </row>
    <row r="3578" spans="1:24" hidden="1" x14ac:dyDescent="0.3">
      <c r="A3578" s="14" t="s">
        <v>483</v>
      </c>
      <c r="B3578" s="14" t="s">
        <v>152</v>
      </c>
      <c r="C3578" s="14" t="s">
        <v>345</v>
      </c>
      <c r="D3578" s="14" t="s">
        <v>346</v>
      </c>
      <c r="E3578" s="14" t="s">
        <v>342</v>
      </c>
      <c r="F3578" s="14" t="s">
        <v>343</v>
      </c>
      <c r="G3578" s="14" t="s">
        <v>343</v>
      </c>
      <c r="H3578" s="14" t="s">
        <v>343</v>
      </c>
      <c r="U3578" s="14">
        <v>0.52</v>
      </c>
      <c r="V3578" s="14">
        <v>0.52</v>
      </c>
      <c r="W3578" s="14">
        <v>0.54</v>
      </c>
      <c r="X3578" s="14">
        <v>0.63</v>
      </c>
    </row>
    <row r="3579" spans="1:24" hidden="1" x14ac:dyDescent="0.3">
      <c r="A3579" s="14" t="s">
        <v>483</v>
      </c>
      <c r="B3579" s="14" t="s">
        <v>152</v>
      </c>
      <c r="C3579" s="14" t="s">
        <v>345</v>
      </c>
      <c r="D3579" s="14" t="s">
        <v>346</v>
      </c>
      <c r="E3579" s="14" t="s">
        <v>344</v>
      </c>
      <c r="F3579" s="14" t="s">
        <v>343</v>
      </c>
      <c r="G3579" s="14" t="s">
        <v>343</v>
      </c>
      <c r="H3579" s="14" t="s">
        <v>343</v>
      </c>
      <c r="U3579" s="14">
        <v>106</v>
      </c>
      <c r="V3579" s="14">
        <v>113</v>
      </c>
      <c r="W3579" s="14">
        <v>112</v>
      </c>
      <c r="X3579" s="14">
        <v>79</v>
      </c>
    </row>
    <row r="3580" spans="1:24" hidden="1" x14ac:dyDescent="0.3">
      <c r="A3580" s="14" t="s">
        <v>483</v>
      </c>
      <c r="B3580" s="14" t="s">
        <v>152</v>
      </c>
      <c r="C3580" s="14" t="s">
        <v>347</v>
      </c>
      <c r="D3580" s="14" t="s">
        <v>348</v>
      </c>
      <c r="E3580" s="14" t="s">
        <v>342</v>
      </c>
      <c r="F3580" s="14" t="s">
        <v>343</v>
      </c>
      <c r="G3580" s="14" t="s">
        <v>343</v>
      </c>
      <c r="H3580" s="14" t="s">
        <v>343</v>
      </c>
      <c r="U3580" s="14">
        <v>0.68</v>
      </c>
      <c r="V3580" s="14">
        <v>0.7</v>
      </c>
      <c r="W3580" s="14">
        <v>0.77</v>
      </c>
      <c r="X3580" s="14">
        <v>0.74</v>
      </c>
    </row>
    <row r="3581" spans="1:24" hidden="1" x14ac:dyDescent="0.3">
      <c r="A3581" s="14" t="s">
        <v>483</v>
      </c>
      <c r="B3581" s="14" t="s">
        <v>152</v>
      </c>
      <c r="C3581" s="14" t="s">
        <v>347</v>
      </c>
      <c r="D3581" s="14" t="s">
        <v>348</v>
      </c>
      <c r="E3581" s="14" t="s">
        <v>344</v>
      </c>
      <c r="F3581" s="14" t="s">
        <v>343</v>
      </c>
      <c r="G3581" s="14" t="s">
        <v>343</v>
      </c>
      <c r="H3581" s="14" t="s">
        <v>343</v>
      </c>
      <c r="U3581" s="14">
        <v>102</v>
      </c>
      <c r="V3581" s="14">
        <v>104</v>
      </c>
      <c r="W3581" s="14">
        <v>95</v>
      </c>
      <c r="X3581" s="14">
        <v>88</v>
      </c>
    </row>
    <row r="3582" spans="1:24" hidden="1" x14ac:dyDescent="0.3">
      <c r="A3582" s="14" t="s">
        <v>483</v>
      </c>
      <c r="B3582" s="14" t="s">
        <v>152</v>
      </c>
      <c r="C3582" s="14" t="s">
        <v>349</v>
      </c>
      <c r="D3582" s="14" t="s">
        <v>350</v>
      </c>
      <c r="E3582" s="14" t="s">
        <v>342</v>
      </c>
      <c r="F3582" s="14" t="s">
        <v>343</v>
      </c>
      <c r="G3582" s="14" t="s">
        <v>343</v>
      </c>
      <c r="H3582" s="14" t="s">
        <v>343</v>
      </c>
      <c r="U3582" s="14">
        <v>0.4</v>
      </c>
      <c r="V3582" s="14">
        <v>0.41</v>
      </c>
      <c r="W3582" s="14">
        <v>0.45</v>
      </c>
      <c r="X3582" s="14">
        <v>0.4</v>
      </c>
    </row>
    <row r="3583" spans="1:24" hidden="1" x14ac:dyDescent="0.3">
      <c r="A3583" s="14" t="s">
        <v>483</v>
      </c>
      <c r="B3583" s="14" t="s">
        <v>152</v>
      </c>
      <c r="C3583" s="14" t="s">
        <v>349</v>
      </c>
      <c r="D3583" s="14" t="s">
        <v>350</v>
      </c>
      <c r="E3583" s="14" t="s">
        <v>344</v>
      </c>
      <c r="F3583" s="14" t="s">
        <v>343</v>
      </c>
      <c r="G3583" s="14" t="s">
        <v>343</v>
      </c>
      <c r="H3583" s="14" t="s">
        <v>343</v>
      </c>
      <c r="U3583" s="14">
        <v>90</v>
      </c>
      <c r="V3583" s="14">
        <v>91</v>
      </c>
      <c r="W3583" s="14">
        <v>85</v>
      </c>
      <c r="X3583" s="14">
        <v>93</v>
      </c>
    </row>
    <row r="3584" spans="1:24" hidden="1" x14ac:dyDescent="0.3">
      <c r="A3584" s="14" t="s">
        <v>483</v>
      </c>
      <c r="B3584" s="14" t="s">
        <v>152</v>
      </c>
      <c r="C3584" s="14" t="s">
        <v>351</v>
      </c>
      <c r="D3584" s="14" t="s">
        <v>352</v>
      </c>
      <c r="E3584" s="14" t="s">
        <v>342</v>
      </c>
      <c r="F3584" s="14" t="s">
        <v>343</v>
      </c>
      <c r="G3584" s="14" t="s">
        <v>343</v>
      </c>
      <c r="H3584" s="14" t="s">
        <v>343</v>
      </c>
      <c r="U3584" s="14">
        <v>0.75</v>
      </c>
      <c r="V3584" s="14">
        <v>0.78</v>
      </c>
      <c r="W3584" s="14">
        <v>0.81</v>
      </c>
      <c r="X3584" s="14">
        <v>0.83</v>
      </c>
    </row>
    <row r="3585" spans="1:24" hidden="1" x14ac:dyDescent="0.3">
      <c r="A3585" s="14" t="s">
        <v>483</v>
      </c>
      <c r="B3585" s="14" t="s">
        <v>152</v>
      </c>
      <c r="C3585" s="14" t="s">
        <v>351</v>
      </c>
      <c r="D3585" s="14" t="s">
        <v>352</v>
      </c>
      <c r="E3585" s="14" t="s">
        <v>344</v>
      </c>
      <c r="F3585" s="14" t="s">
        <v>343</v>
      </c>
      <c r="G3585" s="14" t="s">
        <v>343</v>
      </c>
      <c r="H3585" s="14" t="s">
        <v>343</v>
      </c>
      <c r="U3585" s="14">
        <v>103</v>
      </c>
      <c r="V3585" s="14">
        <v>103</v>
      </c>
      <c r="W3585" s="14">
        <v>97</v>
      </c>
      <c r="X3585" s="14">
        <v>93</v>
      </c>
    </row>
    <row r="3586" spans="1:24" hidden="1" x14ac:dyDescent="0.3">
      <c r="A3586" s="14" t="s">
        <v>483</v>
      </c>
      <c r="B3586" s="14" t="s">
        <v>152</v>
      </c>
      <c r="C3586" s="14" t="s">
        <v>378</v>
      </c>
      <c r="D3586" s="14" t="s">
        <v>379</v>
      </c>
      <c r="E3586" s="14" t="s">
        <v>342</v>
      </c>
      <c r="F3586" s="14" t="s">
        <v>343</v>
      </c>
      <c r="G3586" s="14" t="s">
        <v>343</v>
      </c>
      <c r="H3586" s="14" t="s">
        <v>343</v>
      </c>
      <c r="S3586" s="14">
        <v>0.68</v>
      </c>
      <c r="U3586" s="14">
        <v>0.69</v>
      </c>
      <c r="V3586" s="14">
        <v>0.68</v>
      </c>
      <c r="W3586" s="14">
        <v>0.71</v>
      </c>
      <c r="X3586" s="14">
        <v>0.67</v>
      </c>
    </row>
    <row r="3587" spans="1:24" hidden="1" x14ac:dyDescent="0.3">
      <c r="A3587" s="14" t="s">
        <v>483</v>
      </c>
      <c r="B3587" s="14" t="s">
        <v>152</v>
      </c>
      <c r="C3587" s="14" t="s">
        <v>378</v>
      </c>
      <c r="D3587" s="14" t="s">
        <v>379</v>
      </c>
      <c r="E3587" s="14" t="s">
        <v>344</v>
      </c>
      <c r="F3587" s="14" t="s">
        <v>343</v>
      </c>
      <c r="G3587" s="14" t="s">
        <v>343</v>
      </c>
      <c r="H3587" s="14" t="s">
        <v>343</v>
      </c>
      <c r="S3587" s="14">
        <v>49</v>
      </c>
      <c r="U3587" s="14">
        <v>48</v>
      </c>
      <c r="V3587" s="14">
        <v>58</v>
      </c>
      <c r="W3587" s="14">
        <v>49</v>
      </c>
      <c r="X3587" s="14">
        <v>64</v>
      </c>
    </row>
    <row r="3588" spans="1:24" hidden="1" x14ac:dyDescent="0.3">
      <c r="A3588" s="14" t="s">
        <v>483</v>
      </c>
      <c r="B3588" s="14" t="s">
        <v>152</v>
      </c>
      <c r="C3588" s="14" t="s">
        <v>353</v>
      </c>
      <c r="D3588" s="14" t="s">
        <v>354</v>
      </c>
      <c r="E3588" s="14" t="s">
        <v>342</v>
      </c>
      <c r="F3588" s="14" t="s">
        <v>343</v>
      </c>
      <c r="G3588" s="14" t="s">
        <v>343</v>
      </c>
      <c r="H3588" s="14" t="s">
        <v>343</v>
      </c>
      <c r="U3588" s="14">
        <v>1</v>
      </c>
      <c r="V3588" s="14">
        <v>1</v>
      </c>
      <c r="W3588" s="14">
        <v>1</v>
      </c>
      <c r="X3588" s="14">
        <v>1</v>
      </c>
    </row>
    <row r="3589" spans="1:24" hidden="1" x14ac:dyDescent="0.3">
      <c r="A3589" s="14" t="s">
        <v>483</v>
      </c>
      <c r="B3589" s="14" t="s">
        <v>152</v>
      </c>
      <c r="C3589" s="14" t="s">
        <v>353</v>
      </c>
      <c r="D3589" s="14" t="s">
        <v>354</v>
      </c>
      <c r="E3589" s="14" t="s">
        <v>344</v>
      </c>
      <c r="F3589" s="14" t="s">
        <v>343</v>
      </c>
      <c r="G3589" s="14" t="s">
        <v>343</v>
      </c>
      <c r="H3589" s="14" t="s">
        <v>343</v>
      </c>
      <c r="U3589" s="14">
        <v>1</v>
      </c>
      <c r="V3589" s="14">
        <v>1</v>
      </c>
      <c r="W3589" s="14">
        <v>1</v>
      </c>
      <c r="X3589" s="14">
        <v>1</v>
      </c>
    </row>
    <row r="3590" spans="1:24" hidden="1" x14ac:dyDescent="0.3">
      <c r="A3590" s="14" t="s">
        <v>483</v>
      </c>
      <c r="B3590" s="14" t="s">
        <v>152</v>
      </c>
      <c r="C3590" s="14" t="s">
        <v>380</v>
      </c>
      <c r="D3590" s="14" t="s">
        <v>381</v>
      </c>
      <c r="E3590" s="14" t="s">
        <v>342</v>
      </c>
      <c r="F3590" s="14" t="s">
        <v>343</v>
      </c>
      <c r="G3590" s="14" t="s">
        <v>343</v>
      </c>
      <c r="H3590" s="14" t="s">
        <v>343</v>
      </c>
      <c r="U3590" s="14">
        <v>1</v>
      </c>
      <c r="V3590" s="14">
        <v>1</v>
      </c>
      <c r="W3590" s="14">
        <v>1</v>
      </c>
    </row>
    <row r="3591" spans="1:24" hidden="1" x14ac:dyDescent="0.3">
      <c r="A3591" s="14" t="s">
        <v>483</v>
      </c>
      <c r="B3591" s="14" t="s">
        <v>152</v>
      </c>
      <c r="C3591" s="14" t="s">
        <v>380</v>
      </c>
      <c r="D3591" s="14" t="s">
        <v>381</v>
      </c>
      <c r="E3591" s="14" t="s">
        <v>344</v>
      </c>
      <c r="F3591" s="14" t="s">
        <v>343</v>
      </c>
      <c r="G3591" s="14" t="s">
        <v>343</v>
      </c>
      <c r="H3591" s="14" t="s">
        <v>343</v>
      </c>
      <c r="U3591" s="14">
        <v>1</v>
      </c>
      <c r="V3591" s="14">
        <v>1</v>
      </c>
      <c r="W3591" s="14">
        <v>1</v>
      </c>
    </row>
    <row r="3592" spans="1:24" hidden="1" x14ac:dyDescent="0.3">
      <c r="A3592" s="14" t="s">
        <v>483</v>
      </c>
      <c r="B3592" s="14" t="s">
        <v>152</v>
      </c>
      <c r="C3592" s="14" t="s">
        <v>355</v>
      </c>
      <c r="D3592" s="14" t="s">
        <v>356</v>
      </c>
      <c r="E3592" s="14" t="s">
        <v>342</v>
      </c>
      <c r="F3592" s="14" t="s">
        <v>343</v>
      </c>
      <c r="G3592" s="14" t="s">
        <v>343</v>
      </c>
      <c r="H3592" s="14" t="s">
        <v>343</v>
      </c>
      <c r="U3592" s="14">
        <v>1</v>
      </c>
      <c r="V3592" s="14">
        <v>1</v>
      </c>
      <c r="W3592" s="14">
        <v>1</v>
      </c>
      <c r="X3592" s="14">
        <v>1</v>
      </c>
    </row>
    <row r="3593" spans="1:24" hidden="1" x14ac:dyDescent="0.3">
      <c r="A3593" s="14" t="s">
        <v>483</v>
      </c>
      <c r="B3593" s="14" t="s">
        <v>152</v>
      </c>
      <c r="C3593" s="14" t="s">
        <v>355</v>
      </c>
      <c r="D3593" s="14" t="s">
        <v>356</v>
      </c>
      <c r="E3593" s="14" t="s">
        <v>344</v>
      </c>
      <c r="F3593" s="14" t="s">
        <v>343</v>
      </c>
      <c r="G3593" s="14" t="s">
        <v>343</v>
      </c>
      <c r="H3593" s="14" t="s">
        <v>343</v>
      </c>
      <c r="U3593" s="14">
        <v>1</v>
      </c>
      <c r="V3593" s="14">
        <v>1</v>
      </c>
      <c r="W3593" s="14">
        <v>1</v>
      </c>
      <c r="X3593" s="14">
        <v>1</v>
      </c>
    </row>
    <row r="3594" spans="1:24" hidden="1" x14ac:dyDescent="0.3">
      <c r="A3594" s="14" t="s">
        <v>483</v>
      </c>
      <c r="B3594" s="14" t="s">
        <v>152</v>
      </c>
      <c r="C3594" s="14" t="s">
        <v>357</v>
      </c>
      <c r="D3594" s="14" t="s">
        <v>358</v>
      </c>
      <c r="E3594" s="14" t="s">
        <v>342</v>
      </c>
      <c r="F3594" s="14" t="s">
        <v>343</v>
      </c>
      <c r="G3594" s="14" t="s">
        <v>343</v>
      </c>
      <c r="H3594" s="14" t="s">
        <v>343</v>
      </c>
      <c r="U3594" s="14">
        <v>1</v>
      </c>
      <c r="V3594" s="14">
        <v>1</v>
      </c>
      <c r="W3594" s="14">
        <v>1</v>
      </c>
      <c r="X3594" s="14">
        <v>1</v>
      </c>
    </row>
    <row r="3595" spans="1:24" hidden="1" x14ac:dyDescent="0.3">
      <c r="A3595" s="14" t="s">
        <v>483</v>
      </c>
      <c r="B3595" s="14" t="s">
        <v>152</v>
      </c>
      <c r="C3595" s="14" t="s">
        <v>357</v>
      </c>
      <c r="D3595" s="14" t="s">
        <v>358</v>
      </c>
      <c r="E3595" s="14" t="s">
        <v>344</v>
      </c>
      <c r="F3595" s="14" t="s">
        <v>343</v>
      </c>
      <c r="G3595" s="14" t="s">
        <v>343</v>
      </c>
      <c r="H3595" s="14" t="s">
        <v>343</v>
      </c>
      <c r="U3595" s="14">
        <v>1</v>
      </c>
      <c r="V3595" s="14">
        <v>1</v>
      </c>
      <c r="W3595" s="14">
        <v>1</v>
      </c>
      <c r="X3595" s="14">
        <v>1</v>
      </c>
    </row>
    <row r="3596" spans="1:24" hidden="1" x14ac:dyDescent="0.3">
      <c r="A3596" s="14" t="s">
        <v>483</v>
      </c>
      <c r="B3596" s="14" t="s">
        <v>152</v>
      </c>
      <c r="C3596" s="14" t="s">
        <v>359</v>
      </c>
      <c r="D3596" s="14" t="s">
        <v>360</v>
      </c>
      <c r="E3596" s="14" t="s">
        <v>342</v>
      </c>
      <c r="F3596" s="14" t="s">
        <v>343</v>
      </c>
      <c r="G3596" s="14" t="s">
        <v>343</v>
      </c>
      <c r="H3596" s="14" t="s">
        <v>343</v>
      </c>
      <c r="I3596" s="14">
        <v>0.51</v>
      </c>
      <c r="J3596" s="14">
        <v>0.55000000000000004</v>
      </c>
      <c r="K3596" s="14">
        <v>0.56000000000000005</v>
      </c>
      <c r="L3596" s="14">
        <v>0.56000000000000005</v>
      </c>
      <c r="M3596" s="14">
        <v>0.54</v>
      </c>
      <c r="N3596" s="14">
        <v>0.53</v>
      </c>
      <c r="O3596" s="14">
        <v>0.55000000000000004</v>
      </c>
      <c r="P3596" s="14">
        <v>0.56999999999999995</v>
      </c>
      <c r="Q3596" s="14">
        <v>0.56999999999999995</v>
      </c>
      <c r="R3596" s="14">
        <v>0.56999999999999995</v>
      </c>
      <c r="S3596" s="14">
        <v>0.6</v>
      </c>
      <c r="T3596" s="14">
        <v>0.61</v>
      </c>
      <c r="U3596" s="14">
        <v>0.61</v>
      </c>
      <c r="V3596" s="14">
        <v>0.62</v>
      </c>
      <c r="W3596" s="14">
        <v>0.66</v>
      </c>
      <c r="X3596" s="14">
        <v>0.66</v>
      </c>
    </row>
    <row r="3597" spans="1:24" hidden="1" x14ac:dyDescent="0.3">
      <c r="A3597" s="14" t="s">
        <v>483</v>
      </c>
      <c r="B3597" s="14" t="s">
        <v>152</v>
      </c>
      <c r="C3597" s="14" t="s">
        <v>359</v>
      </c>
      <c r="D3597" s="14" t="s">
        <v>360</v>
      </c>
      <c r="E3597" s="14" t="s">
        <v>344</v>
      </c>
      <c r="F3597" s="14" t="s">
        <v>343</v>
      </c>
      <c r="G3597" s="14" t="s">
        <v>343</v>
      </c>
      <c r="H3597" s="14" t="s">
        <v>343</v>
      </c>
      <c r="I3597" s="14">
        <v>91</v>
      </c>
      <c r="J3597" s="14">
        <v>99</v>
      </c>
      <c r="K3597" s="14">
        <v>98</v>
      </c>
      <c r="L3597" s="14">
        <v>105</v>
      </c>
      <c r="M3597" s="14">
        <v>104</v>
      </c>
      <c r="N3597" s="14">
        <v>110</v>
      </c>
      <c r="O3597" s="14">
        <v>109</v>
      </c>
      <c r="P3597" s="14">
        <v>108</v>
      </c>
      <c r="Q3597" s="14">
        <v>116</v>
      </c>
      <c r="R3597" s="14">
        <v>122</v>
      </c>
      <c r="S3597" s="14">
        <v>108</v>
      </c>
      <c r="T3597" s="14">
        <v>107</v>
      </c>
      <c r="U3597" s="14">
        <v>106</v>
      </c>
      <c r="V3597" s="14">
        <v>106</v>
      </c>
      <c r="W3597" s="14">
        <v>94</v>
      </c>
      <c r="X3597" s="14">
        <v>89</v>
      </c>
    </row>
    <row r="3598" spans="1:24" x14ac:dyDescent="0.3">
      <c r="A3598" s="14" t="s">
        <v>483</v>
      </c>
      <c r="B3598" s="14" t="s">
        <v>152</v>
      </c>
      <c r="C3598" s="14" t="s">
        <v>361</v>
      </c>
      <c r="D3598" s="14" t="s">
        <v>362</v>
      </c>
      <c r="E3598" s="14" t="s">
        <v>342</v>
      </c>
      <c r="F3598" s="14" t="s">
        <v>343</v>
      </c>
      <c r="G3598" s="14" t="s">
        <v>343</v>
      </c>
      <c r="H3598" s="14" t="s">
        <v>343</v>
      </c>
      <c r="I3598" s="14">
        <v>0.97</v>
      </c>
      <c r="J3598" s="14">
        <v>0.97</v>
      </c>
      <c r="K3598" s="14">
        <v>0.97</v>
      </c>
      <c r="L3598" s="14">
        <v>0.97</v>
      </c>
      <c r="M3598" s="14">
        <v>0.97</v>
      </c>
      <c r="N3598" s="14">
        <v>0.97</v>
      </c>
      <c r="O3598" s="14">
        <v>0.97</v>
      </c>
      <c r="P3598" s="14">
        <v>0.97</v>
      </c>
      <c r="Q3598" s="14">
        <v>0.97</v>
      </c>
      <c r="R3598" s="14">
        <v>0.97</v>
      </c>
      <c r="S3598" s="14">
        <v>0.97</v>
      </c>
      <c r="T3598" s="14">
        <v>0.97</v>
      </c>
      <c r="U3598" s="14">
        <v>0.97</v>
      </c>
      <c r="V3598" s="14">
        <v>0.97</v>
      </c>
      <c r="W3598" s="14">
        <v>0.96</v>
      </c>
      <c r="X3598" s="14">
        <v>0.96</v>
      </c>
    </row>
    <row r="3599" spans="1:24" hidden="1" x14ac:dyDescent="0.3">
      <c r="A3599" s="14" t="s">
        <v>483</v>
      </c>
      <c r="B3599" s="14" t="s">
        <v>152</v>
      </c>
      <c r="C3599" s="14" t="s">
        <v>361</v>
      </c>
      <c r="D3599" s="14" t="s">
        <v>362</v>
      </c>
      <c r="E3599" s="14" t="s">
        <v>344</v>
      </c>
      <c r="F3599" s="14" t="s">
        <v>343</v>
      </c>
      <c r="G3599" s="14" t="s">
        <v>343</v>
      </c>
      <c r="H3599" s="14" t="s">
        <v>343</v>
      </c>
      <c r="I3599" s="14">
        <v>65</v>
      </c>
      <c r="J3599" s="14">
        <v>72</v>
      </c>
      <c r="K3599" s="14">
        <v>74</v>
      </c>
      <c r="L3599" s="14">
        <v>77</v>
      </c>
      <c r="M3599" s="14">
        <v>72</v>
      </c>
      <c r="N3599" s="14">
        <v>72</v>
      </c>
      <c r="O3599" s="14">
        <v>69</v>
      </c>
      <c r="P3599" s="14">
        <v>65</v>
      </c>
      <c r="Q3599" s="14">
        <v>98</v>
      </c>
      <c r="R3599" s="14">
        <v>108</v>
      </c>
      <c r="S3599" s="14">
        <v>107</v>
      </c>
      <c r="T3599" s="14">
        <v>102</v>
      </c>
      <c r="U3599" s="14">
        <v>114</v>
      </c>
      <c r="V3599" s="14">
        <v>116</v>
      </c>
      <c r="W3599" s="14">
        <v>116</v>
      </c>
      <c r="X3599" s="14">
        <v>106</v>
      </c>
    </row>
    <row r="3600" spans="1:24" hidden="1" x14ac:dyDescent="0.3">
      <c r="A3600" s="14" t="s">
        <v>483</v>
      </c>
      <c r="B3600" s="14" t="s">
        <v>152</v>
      </c>
      <c r="C3600" s="14" t="s">
        <v>363</v>
      </c>
      <c r="D3600" s="14" t="s">
        <v>364</v>
      </c>
      <c r="E3600" s="14" t="s">
        <v>342</v>
      </c>
      <c r="F3600" s="14" t="s">
        <v>343</v>
      </c>
      <c r="G3600" s="14" t="s">
        <v>343</v>
      </c>
      <c r="H3600" s="14" t="s">
        <v>343</v>
      </c>
      <c r="U3600" s="14">
        <v>1.03</v>
      </c>
      <c r="V3600" s="14">
        <v>1.03</v>
      </c>
      <c r="W3600" s="14">
        <v>1.01</v>
      </c>
      <c r="X3600" s="14">
        <v>1.01</v>
      </c>
    </row>
    <row r="3601" spans="1:24" hidden="1" x14ac:dyDescent="0.3">
      <c r="A3601" s="14" t="s">
        <v>483</v>
      </c>
      <c r="B3601" s="14" t="s">
        <v>152</v>
      </c>
      <c r="C3601" s="14" t="s">
        <v>363</v>
      </c>
      <c r="D3601" s="14" t="s">
        <v>364</v>
      </c>
      <c r="E3601" s="14" t="s">
        <v>344</v>
      </c>
      <c r="F3601" s="14" t="s">
        <v>343</v>
      </c>
      <c r="G3601" s="14" t="s">
        <v>343</v>
      </c>
      <c r="H3601" s="14" t="s">
        <v>343</v>
      </c>
      <c r="U3601" s="14">
        <v>120</v>
      </c>
      <c r="V3601" s="14">
        <v>124</v>
      </c>
      <c r="W3601" s="14">
        <v>122</v>
      </c>
      <c r="X3601" s="14">
        <v>114</v>
      </c>
    </row>
    <row r="3602" spans="1:24" hidden="1" x14ac:dyDescent="0.3">
      <c r="A3602" s="14" t="s">
        <v>483</v>
      </c>
      <c r="B3602" s="14" t="s">
        <v>152</v>
      </c>
      <c r="C3602" s="14" t="s">
        <v>365</v>
      </c>
      <c r="D3602" s="14" t="s">
        <v>366</v>
      </c>
      <c r="E3602" s="14" t="s">
        <v>342</v>
      </c>
      <c r="F3602" s="14" t="s">
        <v>343</v>
      </c>
      <c r="G3602" s="14" t="s">
        <v>343</v>
      </c>
      <c r="H3602" s="14" t="s">
        <v>343</v>
      </c>
      <c r="U3602" s="14">
        <v>0.94</v>
      </c>
      <c r="V3602" s="14">
        <v>0.94</v>
      </c>
      <c r="W3602" s="14">
        <v>0.94</v>
      </c>
      <c r="X3602" s="14">
        <v>0.94</v>
      </c>
    </row>
    <row r="3603" spans="1:24" hidden="1" x14ac:dyDescent="0.3">
      <c r="A3603" s="14" t="s">
        <v>483</v>
      </c>
      <c r="B3603" s="14" t="s">
        <v>152</v>
      </c>
      <c r="C3603" s="14" t="s">
        <v>365</v>
      </c>
      <c r="D3603" s="14" t="s">
        <v>366</v>
      </c>
      <c r="E3603" s="14" t="s">
        <v>344</v>
      </c>
      <c r="F3603" s="14" t="s">
        <v>343</v>
      </c>
      <c r="G3603" s="14" t="s">
        <v>343</v>
      </c>
      <c r="H3603" s="14" t="s">
        <v>343</v>
      </c>
      <c r="U3603" s="14">
        <v>114</v>
      </c>
      <c r="V3603" s="14">
        <v>112</v>
      </c>
      <c r="W3603" s="14">
        <v>116</v>
      </c>
      <c r="X3603" s="14">
        <v>111</v>
      </c>
    </row>
    <row r="3604" spans="1:24" hidden="1" x14ac:dyDescent="0.3">
      <c r="A3604" s="14" t="s">
        <v>483</v>
      </c>
      <c r="B3604" s="14" t="s">
        <v>152</v>
      </c>
      <c r="C3604" s="14" t="s">
        <v>367</v>
      </c>
      <c r="D3604" s="14" t="s">
        <v>368</v>
      </c>
      <c r="E3604" s="14" t="s">
        <v>342</v>
      </c>
      <c r="F3604" s="14" t="s">
        <v>343</v>
      </c>
      <c r="G3604" s="14" t="s">
        <v>343</v>
      </c>
      <c r="H3604" s="14" t="s">
        <v>343</v>
      </c>
      <c r="I3604" s="14">
        <v>0.65</v>
      </c>
      <c r="J3604" s="14">
        <v>0.66</v>
      </c>
      <c r="K3604" s="14">
        <v>0.66</v>
      </c>
      <c r="L3604" s="14">
        <v>0.66</v>
      </c>
      <c r="M3604" s="14">
        <v>0.67</v>
      </c>
      <c r="N3604" s="14">
        <v>0.67</v>
      </c>
      <c r="O3604" s="14">
        <v>0.67</v>
      </c>
      <c r="P3604" s="14">
        <v>0.68</v>
      </c>
      <c r="Q3604" s="14">
        <v>0.67</v>
      </c>
      <c r="R3604" s="14">
        <v>0.67</v>
      </c>
      <c r="S3604" s="14">
        <v>0.66</v>
      </c>
      <c r="T3604" s="14">
        <v>0.68</v>
      </c>
      <c r="U3604" s="14">
        <v>0.69</v>
      </c>
      <c r="V3604" s="14">
        <v>0.69</v>
      </c>
      <c r="W3604" s="14">
        <v>0.7</v>
      </c>
      <c r="X3604" s="14">
        <v>0.7</v>
      </c>
    </row>
    <row r="3605" spans="1:24" hidden="1" x14ac:dyDescent="0.3">
      <c r="A3605" s="14" t="s">
        <v>483</v>
      </c>
      <c r="B3605" s="14" t="s">
        <v>152</v>
      </c>
      <c r="C3605" s="14" t="s">
        <v>367</v>
      </c>
      <c r="D3605" s="14" t="s">
        <v>368</v>
      </c>
      <c r="E3605" s="14" t="s">
        <v>344</v>
      </c>
      <c r="F3605" s="14" t="s">
        <v>343</v>
      </c>
      <c r="G3605" s="14" t="s">
        <v>343</v>
      </c>
      <c r="H3605" s="14" t="s">
        <v>343</v>
      </c>
      <c r="I3605" s="14">
        <v>71</v>
      </c>
      <c r="J3605" s="14">
        <v>76</v>
      </c>
      <c r="K3605" s="14">
        <v>83</v>
      </c>
      <c r="L3605" s="14">
        <v>88</v>
      </c>
      <c r="M3605" s="14">
        <v>83</v>
      </c>
      <c r="N3605" s="14">
        <v>83</v>
      </c>
      <c r="O3605" s="14">
        <v>88</v>
      </c>
      <c r="P3605" s="14">
        <v>84</v>
      </c>
      <c r="Q3605" s="14">
        <v>99</v>
      </c>
      <c r="R3605" s="14">
        <v>104</v>
      </c>
      <c r="S3605" s="14">
        <v>108</v>
      </c>
      <c r="T3605" s="14">
        <v>93</v>
      </c>
      <c r="U3605" s="14">
        <v>91</v>
      </c>
      <c r="V3605" s="14">
        <v>90</v>
      </c>
      <c r="W3605" s="14">
        <v>84</v>
      </c>
      <c r="X3605" s="14">
        <v>85</v>
      </c>
    </row>
    <row r="3606" spans="1:24" hidden="1" x14ac:dyDescent="0.3">
      <c r="A3606" s="14" t="s">
        <v>483</v>
      </c>
      <c r="B3606" s="14" t="s">
        <v>152</v>
      </c>
      <c r="C3606" s="14" t="s">
        <v>369</v>
      </c>
      <c r="D3606" s="14" t="s">
        <v>370</v>
      </c>
      <c r="E3606" s="14" t="s">
        <v>342</v>
      </c>
      <c r="F3606" s="14" t="s">
        <v>343</v>
      </c>
      <c r="G3606" s="14" t="s">
        <v>343</v>
      </c>
      <c r="H3606" s="14" t="s">
        <v>343</v>
      </c>
      <c r="I3606" s="14">
        <v>0.13</v>
      </c>
      <c r="J3606" s="14">
        <v>0.13</v>
      </c>
      <c r="K3606" s="14">
        <v>0.12</v>
      </c>
      <c r="L3606" s="14">
        <v>0.12</v>
      </c>
      <c r="M3606" s="14">
        <v>0.16</v>
      </c>
      <c r="N3606" s="14">
        <v>0.16</v>
      </c>
      <c r="O3606" s="14">
        <v>0.15</v>
      </c>
      <c r="P3606" s="14">
        <v>0.17</v>
      </c>
      <c r="Q3606" s="14">
        <v>0.14000000000000001</v>
      </c>
      <c r="R3606" s="14">
        <v>0.13</v>
      </c>
      <c r="S3606" s="14">
        <v>0.14000000000000001</v>
      </c>
      <c r="T3606" s="14">
        <v>0.15</v>
      </c>
      <c r="U3606" s="14">
        <v>0.16</v>
      </c>
      <c r="V3606" s="14">
        <v>0.18</v>
      </c>
      <c r="W3606" s="14">
        <v>0.19</v>
      </c>
      <c r="X3606" s="14">
        <v>0.19</v>
      </c>
    </row>
    <row r="3607" spans="1:24" hidden="1" x14ac:dyDescent="0.3">
      <c r="A3607" s="14" t="s">
        <v>483</v>
      </c>
      <c r="B3607" s="14" t="s">
        <v>152</v>
      </c>
      <c r="C3607" s="14" t="s">
        <v>369</v>
      </c>
      <c r="D3607" s="14" t="s">
        <v>370</v>
      </c>
      <c r="E3607" s="14" t="s">
        <v>344</v>
      </c>
      <c r="F3607" s="14" t="s">
        <v>343</v>
      </c>
      <c r="G3607" s="14" t="s">
        <v>343</v>
      </c>
      <c r="H3607" s="14" t="s">
        <v>343</v>
      </c>
      <c r="I3607" s="14">
        <v>48</v>
      </c>
      <c r="J3607" s="14">
        <v>54</v>
      </c>
      <c r="K3607" s="14">
        <v>64</v>
      </c>
      <c r="L3607" s="14">
        <v>69</v>
      </c>
      <c r="M3607" s="14">
        <v>51</v>
      </c>
      <c r="N3607" s="14">
        <v>52</v>
      </c>
      <c r="O3607" s="14">
        <v>59</v>
      </c>
      <c r="P3607" s="14">
        <v>53</v>
      </c>
      <c r="Q3607" s="14">
        <v>76</v>
      </c>
      <c r="R3607" s="14">
        <v>86</v>
      </c>
      <c r="S3607" s="14">
        <v>82</v>
      </c>
      <c r="T3607" s="14">
        <v>85</v>
      </c>
      <c r="U3607" s="14">
        <v>81</v>
      </c>
      <c r="V3607" s="14">
        <v>78</v>
      </c>
      <c r="W3607" s="14">
        <v>80</v>
      </c>
      <c r="X3607" s="14">
        <v>82</v>
      </c>
    </row>
    <row r="3608" spans="1:24" hidden="1" x14ac:dyDescent="0.3">
      <c r="A3608" s="14" t="s">
        <v>483</v>
      </c>
      <c r="B3608" s="14" t="s">
        <v>152</v>
      </c>
      <c r="C3608" s="14" t="s">
        <v>371</v>
      </c>
      <c r="D3608" s="14" t="s">
        <v>372</v>
      </c>
      <c r="E3608" s="14" t="s">
        <v>342</v>
      </c>
      <c r="F3608" s="14" t="s">
        <v>343</v>
      </c>
      <c r="G3608" s="14" t="s">
        <v>343</v>
      </c>
      <c r="H3608" s="14" t="s">
        <v>343</v>
      </c>
      <c r="U3608" s="14">
        <v>0.23</v>
      </c>
      <c r="V3608" s="14">
        <v>0.23</v>
      </c>
      <c r="W3608" s="14">
        <v>0.23</v>
      </c>
      <c r="X3608" s="14">
        <v>0.23</v>
      </c>
    </row>
    <row r="3609" spans="1:24" hidden="1" x14ac:dyDescent="0.3">
      <c r="A3609" s="14" t="s">
        <v>483</v>
      </c>
      <c r="B3609" s="14" t="s">
        <v>152</v>
      </c>
      <c r="C3609" s="14" t="s">
        <v>371</v>
      </c>
      <c r="D3609" s="14" t="s">
        <v>372</v>
      </c>
      <c r="E3609" s="14" t="s">
        <v>344</v>
      </c>
      <c r="F3609" s="14" t="s">
        <v>343</v>
      </c>
      <c r="G3609" s="14" t="s">
        <v>343</v>
      </c>
      <c r="H3609" s="14" t="s">
        <v>343</v>
      </c>
      <c r="U3609" s="14">
        <v>17</v>
      </c>
      <c r="V3609" s="14">
        <v>17</v>
      </c>
      <c r="W3609" s="14">
        <v>17</v>
      </c>
      <c r="X3609" s="14">
        <v>17</v>
      </c>
    </row>
    <row r="3610" spans="1:24" hidden="1" x14ac:dyDescent="0.3">
      <c r="A3610" s="14" t="s">
        <v>483</v>
      </c>
      <c r="B3610" s="14" t="s">
        <v>152</v>
      </c>
      <c r="C3610" s="14" t="s">
        <v>373</v>
      </c>
      <c r="D3610" s="14" t="s">
        <v>374</v>
      </c>
      <c r="E3610" s="14" t="s">
        <v>342</v>
      </c>
      <c r="F3610" s="14" t="s">
        <v>343</v>
      </c>
      <c r="G3610" s="14" t="s">
        <v>343</v>
      </c>
      <c r="H3610" s="14" t="s">
        <v>343</v>
      </c>
      <c r="U3610" s="14">
        <v>7.0000000000000007E-2</v>
      </c>
      <c r="V3610" s="14">
        <v>0.17</v>
      </c>
      <c r="W3610" s="14">
        <v>0.18</v>
      </c>
      <c r="X3610" s="14">
        <v>0.18</v>
      </c>
    </row>
    <row r="3611" spans="1:24" hidden="1" x14ac:dyDescent="0.3">
      <c r="A3611" s="14" t="s">
        <v>483</v>
      </c>
      <c r="B3611" s="14" t="s">
        <v>152</v>
      </c>
      <c r="C3611" s="14" t="s">
        <v>373</v>
      </c>
      <c r="D3611" s="14" t="s">
        <v>374</v>
      </c>
      <c r="E3611" s="14" t="s">
        <v>344</v>
      </c>
      <c r="F3611" s="14" t="s">
        <v>343</v>
      </c>
      <c r="G3611" s="14" t="s">
        <v>343</v>
      </c>
      <c r="H3611" s="14" t="s">
        <v>343</v>
      </c>
      <c r="U3611" s="14">
        <v>126</v>
      </c>
      <c r="V3611" s="14">
        <v>102</v>
      </c>
      <c r="W3611" s="14">
        <v>102</v>
      </c>
      <c r="X3611" s="14">
        <v>97</v>
      </c>
    </row>
    <row r="3612" spans="1:24" hidden="1" x14ac:dyDescent="0.3">
      <c r="A3612" s="14" t="s">
        <v>483</v>
      </c>
      <c r="B3612" s="14" t="s">
        <v>152</v>
      </c>
      <c r="C3612" s="14" t="s">
        <v>375</v>
      </c>
      <c r="D3612" s="14" t="s">
        <v>376</v>
      </c>
      <c r="E3612" s="14" t="s">
        <v>342</v>
      </c>
      <c r="F3612" s="14" t="s">
        <v>343</v>
      </c>
      <c r="G3612" s="14" t="s">
        <v>343</v>
      </c>
      <c r="H3612" s="14" t="s">
        <v>343</v>
      </c>
      <c r="U3612" s="14">
        <v>0.14000000000000001</v>
      </c>
      <c r="V3612" s="14">
        <v>0.14000000000000001</v>
      </c>
      <c r="W3612" s="14">
        <v>0.16</v>
      </c>
      <c r="X3612" s="14">
        <v>0.16</v>
      </c>
    </row>
    <row r="3613" spans="1:24" hidden="1" x14ac:dyDescent="0.3">
      <c r="A3613" s="14" t="s">
        <v>483</v>
      </c>
      <c r="B3613" s="14" t="s">
        <v>152</v>
      </c>
      <c r="C3613" s="14" t="s">
        <v>375</v>
      </c>
      <c r="D3613" s="14" t="s">
        <v>376</v>
      </c>
      <c r="E3613" s="14" t="s">
        <v>344</v>
      </c>
      <c r="F3613" s="14" t="s">
        <v>343</v>
      </c>
      <c r="G3613" s="14" t="s">
        <v>343</v>
      </c>
      <c r="H3613" s="14" t="s">
        <v>343</v>
      </c>
      <c r="U3613" s="14">
        <v>122</v>
      </c>
      <c r="V3613" s="14">
        <v>130</v>
      </c>
      <c r="W3613" s="14">
        <v>129</v>
      </c>
      <c r="X3613" s="14">
        <v>123</v>
      </c>
    </row>
    <row r="3614" spans="1:24" hidden="1" x14ac:dyDescent="0.3">
      <c r="A3614" s="14" t="s">
        <v>484</v>
      </c>
      <c r="B3614" s="14" t="s">
        <v>166</v>
      </c>
      <c r="C3614" s="14" t="s">
        <v>340</v>
      </c>
      <c r="D3614" s="14" t="s">
        <v>341</v>
      </c>
      <c r="E3614" s="14" t="s">
        <v>342</v>
      </c>
      <c r="F3614" s="14" t="s">
        <v>343</v>
      </c>
      <c r="G3614" s="14" t="s">
        <v>343</v>
      </c>
      <c r="H3614" s="14" t="s">
        <v>343</v>
      </c>
      <c r="T3614" s="14">
        <v>0.98</v>
      </c>
      <c r="U3614" s="14">
        <v>0.98</v>
      </c>
      <c r="V3614" s="14">
        <v>0.98</v>
      </c>
      <c r="W3614" s="14">
        <v>0.98</v>
      </c>
      <c r="X3614" s="14">
        <v>0.98</v>
      </c>
    </row>
    <row r="3615" spans="1:24" hidden="1" x14ac:dyDescent="0.3">
      <c r="A3615" s="14" t="s">
        <v>484</v>
      </c>
      <c r="B3615" s="14" t="s">
        <v>166</v>
      </c>
      <c r="C3615" s="14" t="s">
        <v>340</v>
      </c>
      <c r="D3615" s="14" t="s">
        <v>341</v>
      </c>
      <c r="E3615" s="14" t="s">
        <v>344</v>
      </c>
      <c r="F3615" s="14" t="s">
        <v>343</v>
      </c>
      <c r="G3615" s="14" t="s">
        <v>343</v>
      </c>
      <c r="H3615" s="14" t="s">
        <v>343</v>
      </c>
      <c r="T3615" s="14">
        <v>95</v>
      </c>
      <c r="U3615" s="14">
        <v>98</v>
      </c>
      <c r="V3615" s="14">
        <v>99</v>
      </c>
      <c r="W3615" s="14">
        <v>102</v>
      </c>
      <c r="X3615" s="14">
        <v>96</v>
      </c>
    </row>
    <row r="3616" spans="1:24" hidden="1" x14ac:dyDescent="0.3">
      <c r="A3616" s="14" t="s">
        <v>484</v>
      </c>
      <c r="B3616" s="14" t="s">
        <v>166</v>
      </c>
      <c r="C3616" s="14" t="s">
        <v>345</v>
      </c>
      <c r="D3616" s="14" t="s">
        <v>346</v>
      </c>
      <c r="E3616" s="14" t="s">
        <v>342</v>
      </c>
      <c r="F3616" s="14" t="s">
        <v>343</v>
      </c>
      <c r="G3616" s="14" t="s">
        <v>343</v>
      </c>
      <c r="H3616" s="14" t="s">
        <v>343</v>
      </c>
      <c r="U3616" s="14">
        <v>0.79</v>
      </c>
      <c r="V3616" s="14">
        <v>0.52</v>
      </c>
      <c r="W3616" s="14">
        <v>0.56000000000000005</v>
      </c>
      <c r="X3616" s="14">
        <v>0.54</v>
      </c>
    </row>
    <row r="3617" spans="1:24" hidden="1" x14ac:dyDescent="0.3">
      <c r="A3617" s="14" t="s">
        <v>484</v>
      </c>
      <c r="B3617" s="14" t="s">
        <v>166</v>
      </c>
      <c r="C3617" s="14" t="s">
        <v>345</v>
      </c>
      <c r="D3617" s="14" t="s">
        <v>346</v>
      </c>
      <c r="E3617" s="14" t="s">
        <v>344</v>
      </c>
      <c r="F3617" s="14" t="s">
        <v>343</v>
      </c>
      <c r="G3617" s="14" t="s">
        <v>343</v>
      </c>
      <c r="H3617" s="14" t="s">
        <v>343</v>
      </c>
      <c r="U3617" s="14">
        <v>13</v>
      </c>
      <c r="V3617" s="14">
        <v>111</v>
      </c>
      <c r="W3617" s="14">
        <v>100</v>
      </c>
      <c r="X3617" s="14">
        <v>110</v>
      </c>
    </row>
    <row r="3618" spans="1:24" hidden="1" x14ac:dyDescent="0.3">
      <c r="A3618" s="14" t="s">
        <v>484</v>
      </c>
      <c r="B3618" s="14" t="s">
        <v>166</v>
      </c>
      <c r="C3618" s="14" t="s">
        <v>347</v>
      </c>
      <c r="D3618" s="14" t="s">
        <v>348</v>
      </c>
      <c r="E3618" s="14" t="s">
        <v>342</v>
      </c>
      <c r="F3618" s="14" t="s">
        <v>343</v>
      </c>
      <c r="G3618" s="14" t="s">
        <v>343</v>
      </c>
      <c r="H3618" s="14" t="s">
        <v>343</v>
      </c>
      <c r="U3618" s="14">
        <v>0.66</v>
      </c>
      <c r="V3618" s="14">
        <v>0.63</v>
      </c>
      <c r="W3618" s="14">
        <v>0.63</v>
      </c>
      <c r="X3618" s="14">
        <v>0.59</v>
      </c>
    </row>
    <row r="3619" spans="1:24" hidden="1" x14ac:dyDescent="0.3">
      <c r="A3619" s="14" t="s">
        <v>484</v>
      </c>
      <c r="B3619" s="14" t="s">
        <v>166</v>
      </c>
      <c r="C3619" s="14" t="s">
        <v>347</v>
      </c>
      <c r="D3619" s="14" t="s">
        <v>348</v>
      </c>
      <c r="E3619" s="14" t="s">
        <v>344</v>
      </c>
      <c r="F3619" s="14" t="s">
        <v>343</v>
      </c>
      <c r="G3619" s="14" t="s">
        <v>343</v>
      </c>
      <c r="H3619" s="14" t="s">
        <v>343</v>
      </c>
      <c r="U3619" s="14">
        <v>109</v>
      </c>
      <c r="V3619" s="14">
        <v>119</v>
      </c>
      <c r="W3619" s="14">
        <v>121</v>
      </c>
      <c r="X3619" s="14">
        <v>122</v>
      </c>
    </row>
    <row r="3620" spans="1:24" hidden="1" x14ac:dyDescent="0.3">
      <c r="A3620" s="14" t="s">
        <v>484</v>
      </c>
      <c r="B3620" s="14" t="s">
        <v>166</v>
      </c>
      <c r="C3620" s="14" t="s">
        <v>349</v>
      </c>
      <c r="D3620" s="14" t="s">
        <v>350</v>
      </c>
      <c r="E3620" s="14" t="s">
        <v>342</v>
      </c>
      <c r="F3620" s="14" t="s">
        <v>343</v>
      </c>
      <c r="G3620" s="14" t="s">
        <v>343</v>
      </c>
      <c r="H3620" s="14" t="s">
        <v>343</v>
      </c>
      <c r="U3620" s="14">
        <v>0.55000000000000004</v>
      </c>
      <c r="V3620" s="14">
        <v>0.48</v>
      </c>
      <c r="W3620" s="14">
        <v>0.56000000000000005</v>
      </c>
      <c r="X3620" s="14">
        <v>0.56000000000000005</v>
      </c>
    </row>
    <row r="3621" spans="1:24" hidden="1" x14ac:dyDescent="0.3">
      <c r="A3621" s="14" t="s">
        <v>484</v>
      </c>
      <c r="B3621" s="14" t="s">
        <v>166</v>
      </c>
      <c r="C3621" s="14" t="s">
        <v>349</v>
      </c>
      <c r="D3621" s="14" t="s">
        <v>350</v>
      </c>
      <c r="E3621" s="14" t="s">
        <v>344</v>
      </c>
      <c r="F3621" s="14" t="s">
        <v>343</v>
      </c>
      <c r="G3621" s="14" t="s">
        <v>343</v>
      </c>
      <c r="H3621" s="14" t="s">
        <v>343</v>
      </c>
      <c r="U3621" s="14">
        <v>49</v>
      </c>
      <c r="V3621" s="14">
        <v>71</v>
      </c>
      <c r="W3621" s="14">
        <v>60</v>
      </c>
      <c r="X3621" s="14">
        <v>58</v>
      </c>
    </row>
    <row r="3622" spans="1:24" hidden="1" x14ac:dyDescent="0.3">
      <c r="A3622" s="14" t="s">
        <v>484</v>
      </c>
      <c r="B3622" s="14" t="s">
        <v>166</v>
      </c>
      <c r="C3622" s="14" t="s">
        <v>351</v>
      </c>
      <c r="D3622" s="14" t="s">
        <v>352</v>
      </c>
      <c r="E3622" s="14" t="s">
        <v>342</v>
      </c>
      <c r="F3622" s="14" t="s">
        <v>343</v>
      </c>
      <c r="G3622" s="14" t="s">
        <v>343</v>
      </c>
      <c r="H3622" s="14" t="s">
        <v>343</v>
      </c>
      <c r="U3622" s="14">
        <v>1</v>
      </c>
      <c r="V3622" s="14">
        <v>1</v>
      </c>
      <c r="W3622" s="14">
        <v>1</v>
      </c>
      <c r="X3622" s="14">
        <v>1</v>
      </c>
    </row>
    <row r="3623" spans="1:24" hidden="1" x14ac:dyDescent="0.3">
      <c r="A3623" s="14" t="s">
        <v>484</v>
      </c>
      <c r="B3623" s="14" t="s">
        <v>166</v>
      </c>
      <c r="C3623" s="14" t="s">
        <v>351</v>
      </c>
      <c r="D3623" s="14" t="s">
        <v>352</v>
      </c>
      <c r="E3623" s="14" t="s">
        <v>344</v>
      </c>
      <c r="F3623" s="14" t="s">
        <v>343</v>
      </c>
      <c r="G3623" s="14" t="s">
        <v>343</v>
      </c>
      <c r="H3623" s="14" t="s">
        <v>343</v>
      </c>
      <c r="U3623" s="14">
        <v>1</v>
      </c>
      <c r="V3623" s="14">
        <v>1</v>
      </c>
      <c r="W3623" s="14">
        <v>1</v>
      </c>
      <c r="X3623" s="14">
        <v>1</v>
      </c>
    </row>
    <row r="3624" spans="1:24" hidden="1" x14ac:dyDescent="0.3">
      <c r="A3624" s="14" t="s">
        <v>484</v>
      </c>
      <c r="B3624" s="14" t="s">
        <v>166</v>
      </c>
      <c r="C3624" s="14" t="s">
        <v>353</v>
      </c>
      <c r="D3624" s="14" t="s">
        <v>354</v>
      </c>
      <c r="E3624" s="14" t="s">
        <v>342</v>
      </c>
      <c r="F3624" s="14" t="s">
        <v>343</v>
      </c>
      <c r="G3624" s="14" t="s">
        <v>343</v>
      </c>
      <c r="H3624" s="14" t="s">
        <v>343</v>
      </c>
      <c r="U3624" s="14">
        <v>0.9</v>
      </c>
      <c r="V3624" s="14">
        <v>0.9</v>
      </c>
      <c r="W3624" s="14">
        <v>0.9</v>
      </c>
      <c r="X3624" s="14">
        <v>0.93</v>
      </c>
    </row>
    <row r="3625" spans="1:24" hidden="1" x14ac:dyDescent="0.3">
      <c r="A3625" s="14" t="s">
        <v>484</v>
      </c>
      <c r="B3625" s="14" t="s">
        <v>166</v>
      </c>
      <c r="C3625" s="14" t="s">
        <v>353</v>
      </c>
      <c r="D3625" s="14" t="s">
        <v>354</v>
      </c>
      <c r="E3625" s="14" t="s">
        <v>344</v>
      </c>
      <c r="F3625" s="14" t="s">
        <v>343</v>
      </c>
      <c r="G3625" s="14" t="s">
        <v>343</v>
      </c>
      <c r="H3625" s="14" t="s">
        <v>343</v>
      </c>
      <c r="U3625" s="14">
        <v>102</v>
      </c>
      <c r="V3625" s="14">
        <v>109</v>
      </c>
      <c r="W3625" s="14">
        <v>110</v>
      </c>
      <c r="X3625" s="14">
        <v>99</v>
      </c>
    </row>
    <row r="3626" spans="1:24" hidden="1" x14ac:dyDescent="0.3">
      <c r="A3626" s="14" t="s">
        <v>484</v>
      </c>
      <c r="B3626" s="14" t="s">
        <v>166</v>
      </c>
      <c r="C3626" s="14" t="s">
        <v>380</v>
      </c>
      <c r="D3626" s="14" t="s">
        <v>381</v>
      </c>
      <c r="E3626" s="14" t="s">
        <v>342</v>
      </c>
      <c r="F3626" s="14" t="s">
        <v>343</v>
      </c>
      <c r="G3626" s="14" t="s">
        <v>343</v>
      </c>
      <c r="H3626" s="14" t="s">
        <v>343</v>
      </c>
      <c r="U3626" s="14">
        <v>0.99</v>
      </c>
      <c r="V3626" s="14">
        <v>0.99</v>
      </c>
      <c r="W3626" s="14">
        <v>0.99</v>
      </c>
    </row>
    <row r="3627" spans="1:24" hidden="1" x14ac:dyDescent="0.3">
      <c r="A3627" s="14" t="s">
        <v>484</v>
      </c>
      <c r="B3627" s="14" t="s">
        <v>166</v>
      </c>
      <c r="C3627" s="14" t="s">
        <v>380</v>
      </c>
      <c r="D3627" s="14" t="s">
        <v>381</v>
      </c>
      <c r="E3627" s="14" t="s">
        <v>344</v>
      </c>
      <c r="F3627" s="14" t="s">
        <v>343</v>
      </c>
      <c r="G3627" s="14" t="s">
        <v>343</v>
      </c>
      <c r="H3627" s="14" t="s">
        <v>343</v>
      </c>
      <c r="U3627" s="14">
        <v>103</v>
      </c>
      <c r="V3627" s="14">
        <v>115</v>
      </c>
      <c r="W3627" s="14">
        <v>115</v>
      </c>
    </row>
    <row r="3628" spans="1:24" hidden="1" x14ac:dyDescent="0.3">
      <c r="A3628" s="14" t="s">
        <v>484</v>
      </c>
      <c r="B3628" s="14" t="s">
        <v>166</v>
      </c>
      <c r="C3628" s="14" t="s">
        <v>355</v>
      </c>
      <c r="D3628" s="14" t="s">
        <v>356</v>
      </c>
      <c r="E3628" s="14" t="s">
        <v>342</v>
      </c>
      <c r="F3628" s="14" t="s">
        <v>343</v>
      </c>
      <c r="G3628" s="14" t="s">
        <v>343</v>
      </c>
      <c r="H3628" s="14" t="s">
        <v>343</v>
      </c>
      <c r="U3628" s="14">
        <v>1</v>
      </c>
      <c r="V3628" s="14">
        <v>1</v>
      </c>
      <c r="W3628" s="14">
        <v>1</v>
      </c>
      <c r="X3628" s="14">
        <v>1</v>
      </c>
    </row>
    <row r="3629" spans="1:24" hidden="1" x14ac:dyDescent="0.3">
      <c r="A3629" s="14" t="s">
        <v>484</v>
      </c>
      <c r="B3629" s="14" t="s">
        <v>166</v>
      </c>
      <c r="C3629" s="14" t="s">
        <v>355</v>
      </c>
      <c r="D3629" s="14" t="s">
        <v>356</v>
      </c>
      <c r="E3629" s="14" t="s">
        <v>344</v>
      </c>
      <c r="F3629" s="14" t="s">
        <v>343</v>
      </c>
      <c r="G3629" s="14" t="s">
        <v>343</v>
      </c>
      <c r="H3629" s="14" t="s">
        <v>343</v>
      </c>
      <c r="U3629" s="14">
        <v>1</v>
      </c>
      <c r="V3629" s="14">
        <v>1</v>
      </c>
      <c r="W3629" s="14">
        <v>1</v>
      </c>
      <c r="X3629" s="14">
        <v>1</v>
      </c>
    </row>
    <row r="3630" spans="1:24" hidden="1" x14ac:dyDescent="0.3">
      <c r="A3630" s="14" t="s">
        <v>484</v>
      </c>
      <c r="B3630" s="14" t="s">
        <v>166</v>
      </c>
      <c r="C3630" s="14" t="s">
        <v>357</v>
      </c>
      <c r="D3630" s="14" t="s">
        <v>358</v>
      </c>
      <c r="E3630" s="14" t="s">
        <v>342</v>
      </c>
      <c r="F3630" s="14" t="s">
        <v>343</v>
      </c>
      <c r="G3630" s="14" t="s">
        <v>343</v>
      </c>
      <c r="H3630" s="14" t="s">
        <v>343</v>
      </c>
      <c r="U3630" s="14">
        <v>1</v>
      </c>
      <c r="V3630" s="14">
        <v>1</v>
      </c>
      <c r="W3630" s="14">
        <v>1</v>
      </c>
      <c r="X3630" s="14">
        <v>1</v>
      </c>
    </row>
    <row r="3631" spans="1:24" hidden="1" x14ac:dyDescent="0.3">
      <c r="A3631" s="14" t="s">
        <v>484</v>
      </c>
      <c r="B3631" s="14" t="s">
        <v>166</v>
      </c>
      <c r="C3631" s="14" t="s">
        <v>357</v>
      </c>
      <c r="D3631" s="14" t="s">
        <v>358</v>
      </c>
      <c r="E3631" s="14" t="s">
        <v>344</v>
      </c>
      <c r="F3631" s="14" t="s">
        <v>343</v>
      </c>
      <c r="G3631" s="14" t="s">
        <v>343</v>
      </c>
      <c r="H3631" s="14" t="s">
        <v>343</v>
      </c>
      <c r="U3631" s="14">
        <v>1</v>
      </c>
      <c r="V3631" s="14">
        <v>1</v>
      </c>
      <c r="W3631" s="14">
        <v>1</v>
      </c>
      <c r="X3631" s="14">
        <v>1</v>
      </c>
    </row>
    <row r="3632" spans="1:24" hidden="1" x14ac:dyDescent="0.3">
      <c r="A3632" s="14" t="s">
        <v>484</v>
      </c>
      <c r="B3632" s="14" t="s">
        <v>166</v>
      </c>
      <c r="C3632" s="14" t="s">
        <v>359</v>
      </c>
      <c r="D3632" s="14" t="s">
        <v>360</v>
      </c>
      <c r="E3632" s="14" t="s">
        <v>342</v>
      </c>
      <c r="F3632" s="14" t="s">
        <v>343</v>
      </c>
      <c r="G3632" s="14" t="s">
        <v>343</v>
      </c>
      <c r="H3632" s="14" t="s">
        <v>343</v>
      </c>
      <c r="T3632" s="14">
        <v>0.75</v>
      </c>
      <c r="U3632" s="14">
        <v>0.74</v>
      </c>
      <c r="V3632" s="14">
        <v>0.63</v>
      </c>
      <c r="W3632" s="14">
        <v>0.66</v>
      </c>
      <c r="X3632" s="14">
        <v>0.64</v>
      </c>
    </row>
    <row r="3633" spans="1:24" hidden="1" x14ac:dyDescent="0.3">
      <c r="A3633" s="14" t="s">
        <v>484</v>
      </c>
      <c r="B3633" s="14" t="s">
        <v>166</v>
      </c>
      <c r="C3633" s="14" t="s">
        <v>359</v>
      </c>
      <c r="D3633" s="14" t="s">
        <v>360</v>
      </c>
      <c r="E3633" s="14" t="s">
        <v>344</v>
      </c>
      <c r="F3633" s="14" t="s">
        <v>343</v>
      </c>
      <c r="G3633" s="14" t="s">
        <v>343</v>
      </c>
      <c r="H3633" s="14" t="s">
        <v>343</v>
      </c>
      <c r="T3633" s="14">
        <v>26</v>
      </c>
      <c r="U3633" s="14">
        <v>35</v>
      </c>
      <c r="V3633" s="14">
        <v>102</v>
      </c>
      <c r="W3633" s="14">
        <v>93</v>
      </c>
      <c r="X3633" s="14">
        <v>101</v>
      </c>
    </row>
    <row r="3634" spans="1:24" hidden="1" x14ac:dyDescent="0.3">
      <c r="A3634" s="14" t="s">
        <v>484</v>
      </c>
      <c r="B3634" s="14" t="s">
        <v>166</v>
      </c>
      <c r="C3634" s="14" t="s">
        <v>361</v>
      </c>
      <c r="D3634" s="14" t="s">
        <v>362</v>
      </c>
      <c r="E3634" s="14" t="s">
        <v>342</v>
      </c>
      <c r="F3634" s="14" t="s">
        <v>343</v>
      </c>
      <c r="G3634" s="14" t="s">
        <v>343</v>
      </c>
      <c r="H3634" s="14" t="s">
        <v>343</v>
      </c>
      <c r="T3634" s="14">
        <v>0.98</v>
      </c>
      <c r="U3634" s="14">
        <v>0.98</v>
      </c>
      <c r="V3634" s="14">
        <v>0.98</v>
      </c>
      <c r="W3634" s="14">
        <v>0.98</v>
      </c>
      <c r="X3634" s="14">
        <v>0.98</v>
      </c>
    </row>
    <row r="3635" spans="1:24" hidden="1" x14ac:dyDescent="0.3">
      <c r="A3635" s="14" t="s">
        <v>484</v>
      </c>
      <c r="B3635" s="14" t="s">
        <v>166</v>
      </c>
      <c r="C3635" s="14" t="s">
        <v>361</v>
      </c>
      <c r="D3635" s="14" t="s">
        <v>362</v>
      </c>
      <c r="E3635" s="14" t="s">
        <v>344</v>
      </c>
      <c r="F3635" s="14" t="s">
        <v>343</v>
      </c>
      <c r="G3635" s="14" t="s">
        <v>343</v>
      </c>
      <c r="H3635" s="14" t="s">
        <v>343</v>
      </c>
      <c r="T3635" s="14">
        <v>66</v>
      </c>
      <c r="U3635" s="14">
        <v>61</v>
      </c>
      <c r="V3635" s="14">
        <v>57</v>
      </c>
      <c r="W3635" s="14">
        <v>1</v>
      </c>
      <c r="X3635" s="14">
        <v>1</v>
      </c>
    </row>
    <row r="3636" spans="1:24" hidden="1" x14ac:dyDescent="0.3">
      <c r="A3636" s="14" t="s">
        <v>484</v>
      </c>
      <c r="B3636" s="14" t="s">
        <v>166</v>
      </c>
      <c r="C3636" s="14" t="s">
        <v>363</v>
      </c>
      <c r="D3636" s="14" t="s">
        <v>364</v>
      </c>
      <c r="E3636" s="14" t="s">
        <v>342</v>
      </c>
      <c r="F3636" s="14" t="s">
        <v>343</v>
      </c>
      <c r="G3636" s="14" t="s">
        <v>343</v>
      </c>
      <c r="H3636" s="14" t="s">
        <v>343</v>
      </c>
      <c r="U3636" s="14">
        <v>1.05</v>
      </c>
      <c r="V3636" s="14">
        <v>1.05</v>
      </c>
      <c r="W3636" s="14">
        <v>1.06</v>
      </c>
      <c r="X3636" s="14">
        <v>1.06</v>
      </c>
    </row>
    <row r="3637" spans="1:24" hidden="1" x14ac:dyDescent="0.3">
      <c r="A3637" s="14" t="s">
        <v>484</v>
      </c>
      <c r="B3637" s="14" t="s">
        <v>166</v>
      </c>
      <c r="C3637" s="14" t="s">
        <v>363</v>
      </c>
      <c r="D3637" s="14" t="s">
        <v>364</v>
      </c>
      <c r="E3637" s="14" t="s">
        <v>344</v>
      </c>
      <c r="F3637" s="14" t="s">
        <v>343</v>
      </c>
      <c r="G3637" s="14" t="s">
        <v>343</v>
      </c>
      <c r="H3637" s="14" t="s">
        <v>343</v>
      </c>
      <c r="U3637" s="14">
        <v>69</v>
      </c>
      <c r="V3637" s="14">
        <v>71</v>
      </c>
      <c r="W3637" s="14">
        <v>1</v>
      </c>
      <c r="X3637" s="14">
        <v>1</v>
      </c>
    </row>
    <row r="3638" spans="1:24" hidden="1" x14ac:dyDescent="0.3">
      <c r="A3638" s="14" t="s">
        <v>484</v>
      </c>
      <c r="B3638" s="14" t="s">
        <v>166</v>
      </c>
      <c r="C3638" s="14" t="s">
        <v>365</v>
      </c>
      <c r="D3638" s="14" t="s">
        <v>366</v>
      </c>
      <c r="E3638" s="14" t="s">
        <v>342</v>
      </c>
      <c r="F3638" s="14" t="s">
        <v>343</v>
      </c>
      <c r="G3638" s="14" t="s">
        <v>343</v>
      </c>
      <c r="H3638" s="14" t="s">
        <v>343</v>
      </c>
      <c r="U3638" s="14">
        <v>0.94</v>
      </c>
      <c r="V3638" s="14">
        <v>0.94</v>
      </c>
      <c r="W3638" s="14">
        <v>0.94</v>
      </c>
      <c r="X3638" s="14">
        <v>0.94</v>
      </c>
    </row>
    <row r="3639" spans="1:24" hidden="1" x14ac:dyDescent="0.3">
      <c r="A3639" s="14" t="s">
        <v>484</v>
      </c>
      <c r="B3639" s="14" t="s">
        <v>166</v>
      </c>
      <c r="C3639" s="14" t="s">
        <v>365</v>
      </c>
      <c r="D3639" s="14" t="s">
        <v>366</v>
      </c>
      <c r="E3639" s="14" t="s">
        <v>344</v>
      </c>
      <c r="F3639" s="14" t="s">
        <v>343</v>
      </c>
      <c r="G3639" s="14" t="s">
        <v>343</v>
      </c>
      <c r="H3639" s="14" t="s">
        <v>343</v>
      </c>
      <c r="U3639" s="14">
        <v>1</v>
      </c>
      <c r="V3639" s="14">
        <v>1</v>
      </c>
      <c r="W3639" s="14">
        <v>1</v>
      </c>
      <c r="X3639" s="14">
        <v>1</v>
      </c>
    </row>
    <row r="3640" spans="1:24" hidden="1" x14ac:dyDescent="0.3">
      <c r="A3640" s="14" t="s">
        <v>484</v>
      </c>
      <c r="B3640" s="14" t="s">
        <v>166</v>
      </c>
      <c r="C3640" s="14" t="s">
        <v>367</v>
      </c>
      <c r="D3640" s="14" t="s">
        <v>368</v>
      </c>
      <c r="E3640" s="14" t="s">
        <v>342</v>
      </c>
      <c r="F3640" s="14" t="s">
        <v>343</v>
      </c>
      <c r="G3640" s="14" t="s">
        <v>343</v>
      </c>
      <c r="H3640" s="14" t="s">
        <v>343</v>
      </c>
      <c r="T3640" s="14">
        <v>0.69</v>
      </c>
      <c r="U3640" s="14">
        <v>0.69</v>
      </c>
      <c r="V3640" s="14">
        <v>0.66</v>
      </c>
      <c r="W3640" s="14">
        <v>0.68</v>
      </c>
      <c r="X3640" s="14">
        <v>0.68</v>
      </c>
    </row>
    <row r="3641" spans="1:24" hidden="1" x14ac:dyDescent="0.3">
      <c r="A3641" s="14" t="s">
        <v>484</v>
      </c>
      <c r="B3641" s="14" t="s">
        <v>166</v>
      </c>
      <c r="C3641" s="14" t="s">
        <v>367</v>
      </c>
      <c r="D3641" s="14" t="s">
        <v>368</v>
      </c>
      <c r="E3641" s="14" t="s">
        <v>344</v>
      </c>
      <c r="F3641" s="14" t="s">
        <v>343</v>
      </c>
      <c r="G3641" s="14" t="s">
        <v>343</v>
      </c>
      <c r="H3641" s="14" t="s">
        <v>343</v>
      </c>
      <c r="T3641" s="14">
        <v>83</v>
      </c>
      <c r="U3641" s="14">
        <v>88</v>
      </c>
      <c r="V3641" s="14">
        <v>114</v>
      </c>
      <c r="W3641" s="14">
        <v>109</v>
      </c>
      <c r="X3641" s="14">
        <v>106</v>
      </c>
    </row>
    <row r="3642" spans="1:24" hidden="1" x14ac:dyDescent="0.3">
      <c r="A3642" s="14" t="s">
        <v>484</v>
      </c>
      <c r="B3642" s="14" t="s">
        <v>166</v>
      </c>
      <c r="C3642" s="14" t="s">
        <v>369</v>
      </c>
      <c r="D3642" s="14" t="s">
        <v>370</v>
      </c>
      <c r="E3642" s="14" t="s">
        <v>342</v>
      </c>
      <c r="F3642" s="14" t="s">
        <v>343</v>
      </c>
      <c r="G3642" s="14" t="s">
        <v>343</v>
      </c>
      <c r="H3642" s="14" t="s">
        <v>343</v>
      </c>
      <c r="T3642" s="14">
        <v>0.06</v>
      </c>
      <c r="U3642" s="14">
        <v>7.0000000000000007E-2</v>
      </c>
      <c r="V3642" s="14">
        <v>0.08</v>
      </c>
      <c r="W3642" s="14">
        <v>0.11</v>
      </c>
      <c r="X3642" s="14">
        <v>0.11</v>
      </c>
    </row>
    <row r="3643" spans="1:24" hidden="1" x14ac:dyDescent="0.3">
      <c r="A3643" s="14" t="s">
        <v>484</v>
      </c>
      <c r="B3643" s="14" t="s">
        <v>166</v>
      </c>
      <c r="C3643" s="14" t="s">
        <v>369</v>
      </c>
      <c r="D3643" s="14" t="s">
        <v>370</v>
      </c>
      <c r="E3643" s="14" t="s">
        <v>344</v>
      </c>
      <c r="F3643" s="14" t="s">
        <v>343</v>
      </c>
      <c r="G3643" s="14" t="s">
        <v>343</v>
      </c>
      <c r="H3643" s="14" t="s">
        <v>343</v>
      </c>
      <c r="T3643" s="14">
        <v>132</v>
      </c>
      <c r="U3643" s="14">
        <v>133</v>
      </c>
      <c r="V3643" s="14">
        <v>133</v>
      </c>
      <c r="W3643" s="14">
        <v>120</v>
      </c>
      <c r="X3643" s="14">
        <v>118</v>
      </c>
    </row>
    <row r="3644" spans="1:24" hidden="1" x14ac:dyDescent="0.3">
      <c r="A3644" s="14" t="s">
        <v>484</v>
      </c>
      <c r="B3644" s="14" t="s">
        <v>166</v>
      </c>
      <c r="C3644" s="14" t="s">
        <v>371</v>
      </c>
      <c r="D3644" s="14" t="s">
        <v>372</v>
      </c>
      <c r="E3644" s="14" t="s">
        <v>342</v>
      </c>
      <c r="F3644" s="14" t="s">
        <v>343</v>
      </c>
      <c r="G3644" s="14" t="s">
        <v>343</v>
      </c>
      <c r="H3644" s="14" t="s">
        <v>343</v>
      </c>
      <c r="U3644" s="14">
        <v>0.05</v>
      </c>
      <c r="V3644" s="14">
        <v>7.0000000000000007E-2</v>
      </c>
      <c r="W3644" s="14">
        <v>0.11</v>
      </c>
      <c r="X3644" s="14">
        <v>0.11</v>
      </c>
    </row>
    <row r="3645" spans="1:24" hidden="1" x14ac:dyDescent="0.3">
      <c r="A3645" s="14" t="s">
        <v>484</v>
      </c>
      <c r="B3645" s="14" t="s">
        <v>166</v>
      </c>
      <c r="C3645" s="14" t="s">
        <v>371</v>
      </c>
      <c r="D3645" s="14" t="s">
        <v>372</v>
      </c>
      <c r="E3645" s="14" t="s">
        <v>344</v>
      </c>
      <c r="F3645" s="14" t="s">
        <v>343</v>
      </c>
      <c r="G3645" s="14" t="s">
        <v>343</v>
      </c>
      <c r="H3645" s="14" t="s">
        <v>343</v>
      </c>
      <c r="U3645" s="14">
        <v>44</v>
      </c>
      <c r="V3645" s="14">
        <v>39</v>
      </c>
      <c r="W3645" s="14">
        <v>32</v>
      </c>
      <c r="X3645" s="14">
        <v>30</v>
      </c>
    </row>
    <row r="3646" spans="1:24" hidden="1" x14ac:dyDescent="0.3">
      <c r="A3646" s="14" t="s">
        <v>484</v>
      </c>
      <c r="B3646" s="14" t="s">
        <v>166</v>
      </c>
      <c r="C3646" s="14" t="s">
        <v>373</v>
      </c>
      <c r="D3646" s="14" t="s">
        <v>374</v>
      </c>
      <c r="E3646" s="14" t="s">
        <v>342</v>
      </c>
      <c r="F3646" s="14" t="s">
        <v>343</v>
      </c>
      <c r="G3646" s="14" t="s">
        <v>343</v>
      </c>
      <c r="H3646" s="14" t="s">
        <v>343</v>
      </c>
      <c r="U3646" s="14">
        <v>0.05</v>
      </c>
      <c r="V3646" s="14">
        <v>0.04</v>
      </c>
      <c r="W3646" s="14">
        <v>0.04</v>
      </c>
      <c r="X3646" s="14">
        <v>0.04</v>
      </c>
    </row>
    <row r="3647" spans="1:24" hidden="1" x14ac:dyDescent="0.3">
      <c r="A3647" s="14" t="s">
        <v>484</v>
      </c>
      <c r="B3647" s="14" t="s">
        <v>166</v>
      </c>
      <c r="C3647" s="14" t="s">
        <v>373</v>
      </c>
      <c r="D3647" s="14" t="s">
        <v>374</v>
      </c>
      <c r="E3647" s="14" t="s">
        <v>344</v>
      </c>
      <c r="F3647" s="14" t="s">
        <v>343</v>
      </c>
      <c r="G3647" s="14" t="s">
        <v>343</v>
      </c>
      <c r="H3647" s="14" t="s">
        <v>343</v>
      </c>
      <c r="U3647" s="14">
        <v>135</v>
      </c>
      <c r="V3647" s="14">
        <v>142</v>
      </c>
      <c r="W3647" s="14">
        <v>144</v>
      </c>
      <c r="X3647" s="14">
        <v>136</v>
      </c>
    </row>
    <row r="3648" spans="1:24" hidden="1" x14ac:dyDescent="0.3">
      <c r="A3648" s="14" t="s">
        <v>484</v>
      </c>
      <c r="B3648" s="14" t="s">
        <v>166</v>
      </c>
      <c r="C3648" s="14" t="s">
        <v>375</v>
      </c>
      <c r="D3648" s="14" t="s">
        <v>376</v>
      </c>
      <c r="E3648" s="14" t="s">
        <v>342</v>
      </c>
      <c r="F3648" s="14" t="s">
        <v>343</v>
      </c>
      <c r="G3648" s="14" t="s">
        <v>343</v>
      </c>
      <c r="H3648" s="14" t="s">
        <v>343</v>
      </c>
      <c r="U3648" s="14">
        <v>0.11</v>
      </c>
      <c r="V3648" s="14">
        <v>0.13</v>
      </c>
      <c r="W3648" s="14">
        <v>0.18</v>
      </c>
      <c r="X3648" s="14">
        <v>0.18</v>
      </c>
    </row>
    <row r="3649" spans="1:24" hidden="1" x14ac:dyDescent="0.3">
      <c r="A3649" s="14" t="s">
        <v>484</v>
      </c>
      <c r="B3649" s="14" t="s">
        <v>166</v>
      </c>
      <c r="C3649" s="14" t="s">
        <v>375</v>
      </c>
      <c r="D3649" s="14" t="s">
        <v>376</v>
      </c>
      <c r="E3649" s="14" t="s">
        <v>344</v>
      </c>
      <c r="F3649" s="14" t="s">
        <v>343</v>
      </c>
      <c r="G3649" s="14" t="s">
        <v>343</v>
      </c>
      <c r="H3649" s="14" t="s">
        <v>343</v>
      </c>
      <c r="U3649" s="14">
        <v>129</v>
      </c>
      <c r="V3649" s="14">
        <v>132</v>
      </c>
      <c r="W3649" s="14">
        <v>121</v>
      </c>
      <c r="X3649" s="14">
        <v>114</v>
      </c>
    </row>
    <row r="3650" spans="1:24" hidden="1" x14ac:dyDescent="0.3">
      <c r="A3650" s="14" t="s">
        <v>485</v>
      </c>
      <c r="B3650" s="14" t="s">
        <v>162</v>
      </c>
      <c r="C3650" s="14" t="s">
        <v>340</v>
      </c>
      <c r="D3650" s="14" t="s">
        <v>341</v>
      </c>
      <c r="E3650" s="14" t="s">
        <v>342</v>
      </c>
      <c r="F3650" s="14" t="s">
        <v>343</v>
      </c>
      <c r="G3650" s="14" t="s">
        <v>343</v>
      </c>
      <c r="H3650" s="14" t="s">
        <v>343</v>
      </c>
      <c r="Q3650" s="14">
        <v>1</v>
      </c>
      <c r="R3650" s="14">
        <v>1</v>
      </c>
      <c r="S3650" s="14">
        <v>0.99</v>
      </c>
      <c r="T3650" s="14">
        <v>0.99</v>
      </c>
      <c r="U3650" s="14">
        <v>0.99</v>
      </c>
      <c r="V3650" s="14">
        <v>1</v>
      </c>
      <c r="W3650" s="14">
        <v>1</v>
      </c>
      <c r="X3650" s="14">
        <v>1</v>
      </c>
    </row>
    <row r="3651" spans="1:24" hidden="1" x14ac:dyDescent="0.3">
      <c r="A3651" s="14" t="s">
        <v>485</v>
      </c>
      <c r="B3651" s="14" t="s">
        <v>162</v>
      </c>
      <c r="C3651" s="14" t="s">
        <v>340</v>
      </c>
      <c r="D3651" s="14" t="s">
        <v>341</v>
      </c>
      <c r="E3651" s="14" t="s">
        <v>344</v>
      </c>
      <c r="F3651" s="14" t="s">
        <v>343</v>
      </c>
      <c r="G3651" s="14" t="s">
        <v>343</v>
      </c>
      <c r="H3651" s="14" t="s">
        <v>343</v>
      </c>
      <c r="Q3651" s="14">
        <v>55</v>
      </c>
      <c r="R3651" s="14">
        <v>49</v>
      </c>
      <c r="S3651" s="14">
        <v>79</v>
      </c>
      <c r="T3651" s="14">
        <v>83</v>
      </c>
      <c r="U3651" s="14">
        <v>71</v>
      </c>
      <c r="V3651" s="14">
        <v>49</v>
      </c>
      <c r="W3651" s="14">
        <v>50</v>
      </c>
      <c r="X3651" s="14">
        <v>43</v>
      </c>
    </row>
    <row r="3652" spans="1:24" hidden="1" x14ac:dyDescent="0.3">
      <c r="A3652" s="14" t="s">
        <v>485</v>
      </c>
      <c r="B3652" s="14" t="s">
        <v>162</v>
      </c>
      <c r="C3652" s="14" t="s">
        <v>345</v>
      </c>
      <c r="D3652" s="14" t="s">
        <v>346</v>
      </c>
      <c r="E3652" s="14" t="s">
        <v>342</v>
      </c>
      <c r="F3652" s="14" t="s">
        <v>343</v>
      </c>
      <c r="G3652" s="14" t="s">
        <v>343</v>
      </c>
      <c r="H3652" s="14" t="s">
        <v>343</v>
      </c>
      <c r="U3652" s="14">
        <v>0.69</v>
      </c>
      <c r="V3652" s="14">
        <v>0.72</v>
      </c>
      <c r="W3652" s="14">
        <v>0.72</v>
      </c>
      <c r="X3652" s="14">
        <v>0.72</v>
      </c>
    </row>
    <row r="3653" spans="1:24" hidden="1" x14ac:dyDescent="0.3">
      <c r="A3653" s="14" t="s">
        <v>485</v>
      </c>
      <c r="B3653" s="14" t="s">
        <v>162</v>
      </c>
      <c r="C3653" s="14" t="s">
        <v>345</v>
      </c>
      <c r="D3653" s="14" t="s">
        <v>346</v>
      </c>
      <c r="E3653" s="14" t="s">
        <v>344</v>
      </c>
      <c r="F3653" s="14" t="s">
        <v>343</v>
      </c>
      <c r="G3653" s="14" t="s">
        <v>343</v>
      </c>
      <c r="H3653" s="14" t="s">
        <v>343</v>
      </c>
      <c r="U3653" s="14">
        <v>36</v>
      </c>
      <c r="V3653" s="14">
        <v>36</v>
      </c>
      <c r="W3653" s="14">
        <v>36</v>
      </c>
      <c r="X3653" s="14">
        <v>37</v>
      </c>
    </row>
    <row r="3654" spans="1:24" hidden="1" x14ac:dyDescent="0.3">
      <c r="A3654" s="14" t="s">
        <v>485</v>
      </c>
      <c r="B3654" s="14" t="s">
        <v>162</v>
      </c>
      <c r="C3654" s="14" t="s">
        <v>347</v>
      </c>
      <c r="D3654" s="14" t="s">
        <v>348</v>
      </c>
      <c r="E3654" s="14" t="s">
        <v>342</v>
      </c>
      <c r="F3654" s="14" t="s">
        <v>343</v>
      </c>
      <c r="G3654" s="14" t="s">
        <v>343</v>
      </c>
      <c r="H3654" s="14" t="s">
        <v>343</v>
      </c>
      <c r="U3654" s="14">
        <v>0.81</v>
      </c>
      <c r="V3654" s="14">
        <v>0.8</v>
      </c>
      <c r="W3654" s="14">
        <v>0.8</v>
      </c>
      <c r="X3654" s="14">
        <v>0.77</v>
      </c>
    </row>
    <row r="3655" spans="1:24" hidden="1" x14ac:dyDescent="0.3">
      <c r="A3655" s="14" t="s">
        <v>485</v>
      </c>
      <c r="B3655" s="14" t="s">
        <v>162</v>
      </c>
      <c r="C3655" s="14" t="s">
        <v>347</v>
      </c>
      <c r="D3655" s="14" t="s">
        <v>348</v>
      </c>
      <c r="E3655" s="14" t="s">
        <v>344</v>
      </c>
      <c r="F3655" s="14" t="s">
        <v>343</v>
      </c>
      <c r="G3655" s="14" t="s">
        <v>343</v>
      </c>
      <c r="H3655" s="14" t="s">
        <v>343</v>
      </c>
      <c r="U3655" s="14">
        <v>74</v>
      </c>
      <c r="V3655" s="14">
        <v>83</v>
      </c>
      <c r="W3655" s="14">
        <v>83</v>
      </c>
      <c r="X3655" s="14">
        <v>74</v>
      </c>
    </row>
    <row r="3656" spans="1:24" hidden="1" x14ac:dyDescent="0.3">
      <c r="A3656" s="14" t="s">
        <v>485</v>
      </c>
      <c r="B3656" s="14" t="s">
        <v>162</v>
      </c>
      <c r="C3656" s="14" t="s">
        <v>349</v>
      </c>
      <c r="D3656" s="14" t="s">
        <v>350</v>
      </c>
      <c r="E3656" s="14" t="s">
        <v>342</v>
      </c>
      <c r="F3656" s="14" t="s">
        <v>343</v>
      </c>
      <c r="G3656" s="14" t="s">
        <v>343</v>
      </c>
      <c r="H3656" s="14" t="s">
        <v>343</v>
      </c>
      <c r="U3656" s="14">
        <v>0.28000000000000003</v>
      </c>
      <c r="V3656" s="14">
        <v>0.4</v>
      </c>
      <c r="W3656" s="14">
        <v>0.56000000000000005</v>
      </c>
      <c r="X3656" s="14">
        <v>0.47</v>
      </c>
    </row>
    <row r="3657" spans="1:24" hidden="1" x14ac:dyDescent="0.3">
      <c r="A3657" s="14" t="s">
        <v>485</v>
      </c>
      <c r="B3657" s="14" t="s">
        <v>162</v>
      </c>
      <c r="C3657" s="14" t="s">
        <v>349</v>
      </c>
      <c r="D3657" s="14" t="s">
        <v>350</v>
      </c>
      <c r="E3657" s="14" t="s">
        <v>344</v>
      </c>
      <c r="F3657" s="14" t="s">
        <v>343</v>
      </c>
      <c r="G3657" s="14" t="s">
        <v>343</v>
      </c>
      <c r="H3657" s="14" t="s">
        <v>343</v>
      </c>
      <c r="U3657" s="14">
        <v>106</v>
      </c>
      <c r="V3657" s="14">
        <v>92</v>
      </c>
      <c r="W3657" s="14">
        <v>59</v>
      </c>
      <c r="X3657" s="14">
        <v>82</v>
      </c>
    </row>
    <row r="3658" spans="1:24" hidden="1" x14ac:dyDescent="0.3">
      <c r="A3658" s="14" t="s">
        <v>485</v>
      </c>
      <c r="B3658" s="14" t="s">
        <v>162</v>
      </c>
      <c r="C3658" s="14" t="s">
        <v>351</v>
      </c>
      <c r="D3658" s="14" t="s">
        <v>352</v>
      </c>
      <c r="E3658" s="14" t="s">
        <v>342</v>
      </c>
      <c r="F3658" s="14" t="s">
        <v>343</v>
      </c>
      <c r="G3658" s="14" t="s">
        <v>343</v>
      </c>
      <c r="H3658" s="14" t="s">
        <v>343</v>
      </c>
      <c r="U3658" s="14">
        <v>1</v>
      </c>
      <c r="V3658" s="14">
        <v>1</v>
      </c>
      <c r="W3658" s="14">
        <v>1</v>
      </c>
      <c r="X3658" s="14">
        <v>1</v>
      </c>
    </row>
    <row r="3659" spans="1:24" hidden="1" x14ac:dyDescent="0.3">
      <c r="A3659" s="14" t="s">
        <v>485</v>
      </c>
      <c r="B3659" s="14" t="s">
        <v>162</v>
      </c>
      <c r="C3659" s="14" t="s">
        <v>351</v>
      </c>
      <c r="D3659" s="14" t="s">
        <v>352</v>
      </c>
      <c r="E3659" s="14" t="s">
        <v>344</v>
      </c>
      <c r="F3659" s="14" t="s">
        <v>343</v>
      </c>
      <c r="G3659" s="14" t="s">
        <v>343</v>
      </c>
      <c r="H3659" s="14" t="s">
        <v>343</v>
      </c>
      <c r="U3659" s="14">
        <v>1</v>
      </c>
      <c r="V3659" s="14">
        <v>1</v>
      </c>
      <c r="W3659" s="14">
        <v>1</v>
      </c>
      <c r="X3659" s="14">
        <v>1</v>
      </c>
    </row>
    <row r="3660" spans="1:24" hidden="1" x14ac:dyDescent="0.3">
      <c r="A3660" s="14" t="s">
        <v>485</v>
      </c>
      <c r="B3660" s="14" t="s">
        <v>162</v>
      </c>
      <c r="C3660" s="14" t="s">
        <v>378</v>
      </c>
      <c r="D3660" s="14" t="s">
        <v>379</v>
      </c>
      <c r="E3660" s="14" t="s">
        <v>342</v>
      </c>
      <c r="F3660" s="14" t="s">
        <v>343</v>
      </c>
      <c r="G3660" s="14" t="s">
        <v>343</v>
      </c>
      <c r="H3660" s="14" t="s">
        <v>343</v>
      </c>
      <c r="S3660" s="14">
        <v>0.64</v>
      </c>
      <c r="U3660" s="14">
        <v>0.7</v>
      </c>
      <c r="V3660" s="14">
        <v>0.69</v>
      </c>
      <c r="W3660" s="14">
        <v>0.72</v>
      </c>
      <c r="X3660" s="14">
        <v>0.74</v>
      </c>
    </row>
    <row r="3661" spans="1:24" hidden="1" x14ac:dyDescent="0.3">
      <c r="A3661" s="14" t="s">
        <v>485</v>
      </c>
      <c r="B3661" s="14" t="s">
        <v>162</v>
      </c>
      <c r="C3661" s="14" t="s">
        <v>378</v>
      </c>
      <c r="D3661" s="14" t="s">
        <v>379</v>
      </c>
      <c r="E3661" s="14" t="s">
        <v>344</v>
      </c>
      <c r="F3661" s="14" t="s">
        <v>343</v>
      </c>
      <c r="G3661" s="14" t="s">
        <v>343</v>
      </c>
      <c r="H3661" s="14" t="s">
        <v>343</v>
      </c>
      <c r="S3661" s="14">
        <v>74</v>
      </c>
      <c r="U3661" s="14">
        <v>41</v>
      </c>
      <c r="V3661" s="14">
        <v>53</v>
      </c>
      <c r="W3661" s="14">
        <v>36</v>
      </c>
      <c r="X3661" s="14">
        <v>28</v>
      </c>
    </row>
    <row r="3662" spans="1:24" hidden="1" x14ac:dyDescent="0.3">
      <c r="A3662" s="14" t="s">
        <v>485</v>
      </c>
      <c r="B3662" s="14" t="s">
        <v>162</v>
      </c>
      <c r="C3662" s="14" t="s">
        <v>353</v>
      </c>
      <c r="D3662" s="14" t="s">
        <v>354</v>
      </c>
      <c r="E3662" s="14" t="s">
        <v>342</v>
      </c>
      <c r="F3662" s="14" t="s">
        <v>343</v>
      </c>
      <c r="G3662" s="14" t="s">
        <v>343</v>
      </c>
      <c r="H3662" s="14" t="s">
        <v>343</v>
      </c>
      <c r="U3662" s="14">
        <v>0.98</v>
      </c>
      <c r="V3662" s="14">
        <v>0.99</v>
      </c>
      <c r="W3662" s="14">
        <v>0.99</v>
      </c>
      <c r="X3662" s="14">
        <v>0.99</v>
      </c>
    </row>
    <row r="3663" spans="1:24" hidden="1" x14ac:dyDescent="0.3">
      <c r="A3663" s="14" t="s">
        <v>485</v>
      </c>
      <c r="B3663" s="14" t="s">
        <v>162</v>
      </c>
      <c r="C3663" s="14" t="s">
        <v>353</v>
      </c>
      <c r="D3663" s="14" t="s">
        <v>354</v>
      </c>
      <c r="E3663" s="14" t="s">
        <v>344</v>
      </c>
      <c r="F3663" s="14" t="s">
        <v>343</v>
      </c>
      <c r="G3663" s="14" t="s">
        <v>343</v>
      </c>
      <c r="H3663" s="14" t="s">
        <v>343</v>
      </c>
      <c r="U3663" s="14">
        <v>76</v>
      </c>
      <c r="V3663" s="14">
        <v>76</v>
      </c>
      <c r="W3663" s="14">
        <v>77</v>
      </c>
      <c r="X3663" s="14">
        <v>72</v>
      </c>
    </row>
    <row r="3664" spans="1:24" hidden="1" x14ac:dyDescent="0.3">
      <c r="A3664" s="14" t="s">
        <v>485</v>
      </c>
      <c r="B3664" s="14" t="s">
        <v>162</v>
      </c>
      <c r="C3664" s="14" t="s">
        <v>380</v>
      </c>
      <c r="D3664" s="14" t="s">
        <v>381</v>
      </c>
      <c r="E3664" s="14" t="s">
        <v>342</v>
      </c>
      <c r="F3664" s="14" t="s">
        <v>343</v>
      </c>
      <c r="G3664" s="14" t="s">
        <v>343</v>
      </c>
      <c r="H3664" s="14" t="s">
        <v>343</v>
      </c>
      <c r="U3664" s="14">
        <v>0.99</v>
      </c>
      <c r="V3664" s="14">
        <v>1</v>
      </c>
      <c r="W3664" s="14">
        <v>1</v>
      </c>
      <c r="X3664" s="14">
        <v>1</v>
      </c>
    </row>
    <row r="3665" spans="1:24" hidden="1" x14ac:dyDescent="0.3">
      <c r="A3665" s="14" t="s">
        <v>485</v>
      </c>
      <c r="B3665" s="14" t="s">
        <v>162</v>
      </c>
      <c r="C3665" s="14" t="s">
        <v>380</v>
      </c>
      <c r="D3665" s="14" t="s">
        <v>381</v>
      </c>
      <c r="E3665" s="14" t="s">
        <v>344</v>
      </c>
      <c r="F3665" s="14" t="s">
        <v>343</v>
      </c>
      <c r="G3665" s="14" t="s">
        <v>343</v>
      </c>
      <c r="H3665" s="14" t="s">
        <v>343</v>
      </c>
      <c r="U3665" s="14">
        <v>94</v>
      </c>
      <c r="V3665" s="14">
        <v>1</v>
      </c>
      <c r="W3665" s="14">
        <v>1</v>
      </c>
      <c r="X3665" s="14">
        <v>1</v>
      </c>
    </row>
    <row r="3666" spans="1:24" hidden="1" x14ac:dyDescent="0.3">
      <c r="A3666" s="14" t="s">
        <v>485</v>
      </c>
      <c r="B3666" s="14" t="s">
        <v>162</v>
      </c>
      <c r="C3666" s="14" t="s">
        <v>355</v>
      </c>
      <c r="D3666" s="14" t="s">
        <v>356</v>
      </c>
      <c r="E3666" s="14" t="s">
        <v>342</v>
      </c>
      <c r="F3666" s="14" t="s">
        <v>343</v>
      </c>
      <c r="G3666" s="14" t="s">
        <v>343</v>
      </c>
      <c r="H3666" s="14" t="s">
        <v>343</v>
      </c>
      <c r="U3666" s="14">
        <v>1</v>
      </c>
      <c r="V3666" s="14">
        <v>1</v>
      </c>
      <c r="W3666" s="14">
        <v>1</v>
      </c>
      <c r="X3666" s="14">
        <v>1</v>
      </c>
    </row>
    <row r="3667" spans="1:24" hidden="1" x14ac:dyDescent="0.3">
      <c r="A3667" s="14" t="s">
        <v>485</v>
      </c>
      <c r="B3667" s="14" t="s">
        <v>162</v>
      </c>
      <c r="C3667" s="14" t="s">
        <v>355</v>
      </c>
      <c r="D3667" s="14" t="s">
        <v>356</v>
      </c>
      <c r="E3667" s="14" t="s">
        <v>344</v>
      </c>
      <c r="F3667" s="14" t="s">
        <v>343</v>
      </c>
      <c r="G3667" s="14" t="s">
        <v>343</v>
      </c>
      <c r="H3667" s="14" t="s">
        <v>343</v>
      </c>
      <c r="U3667" s="14">
        <v>107</v>
      </c>
      <c r="V3667" s="14">
        <v>1</v>
      </c>
      <c r="W3667" s="14">
        <v>1</v>
      </c>
      <c r="X3667" s="14">
        <v>1</v>
      </c>
    </row>
    <row r="3668" spans="1:24" hidden="1" x14ac:dyDescent="0.3">
      <c r="A3668" s="14" t="s">
        <v>485</v>
      </c>
      <c r="B3668" s="14" t="s">
        <v>162</v>
      </c>
      <c r="C3668" s="14" t="s">
        <v>357</v>
      </c>
      <c r="D3668" s="14" t="s">
        <v>358</v>
      </c>
      <c r="E3668" s="14" t="s">
        <v>342</v>
      </c>
      <c r="F3668" s="14" t="s">
        <v>343</v>
      </c>
      <c r="G3668" s="14" t="s">
        <v>343</v>
      </c>
      <c r="H3668" s="14" t="s">
        <v>343</v>
      </c>
      <c r="U3668" s="14">
        <v>1</v>
      </c>
      <c r="V3668" s="14">
        <v>1</v>
      </c>
      <c r="W3668" s="14">
        <v>1</v>
      </c>
      <c r="X3668" s="14">
        <v>1</v>
      </c>
    </row>
    <row r="3669" spans="1:24" hidden="1" x14ac:dyDescent="0.3">
      <c r="A3669" s="14" t="s">
        <v>485</v>
      </c>
      <c r="B3669" s="14" t="s">
        <v>162</v>
      </c>
      <c r="C3669" s="14" t="s">
        <v>357</v>
      </c>
      <c r="D3669" s="14" t="s">
        <v>358</v>
      </c>
      <c r="E3669" s="14" t="s">
        <v>344</v>
      </c>
      <c r="F3669" s="14" t="s">
        <v>343</v>
      </c>
      <c r="G3669" s="14" t="s">
        <v>343</v>
      </c>
      <c r="H3669" s="14" t="s">
        <v>343</v>
      </c>
      <c r="U3669" s="14">
        <v>1</v>
      </c>
      <c r="V3669" s="14">
        <v>1</v>
      </c>
      <c r="W3669" s="14">
        <v>1</v>
      </c>
      <c r="X3669" s="14">
        <v>1</v>
      </c>
    </row>
    <row r="3670" spans="1:24" hidden="1" x14ac:dyDescent="0.3">
      <c r="A3670" s="14" t="s">
        <v>485</v>
      </c>
      <c r="B3670" s="14" t="s">
        <v>162</v>
      </c>
      <c r="C3670" s="14" t="s">
        <v>359</v>
      </c>
      <c r="D3670" s="14" t="s">
        <v>360</v>
      </c>
      <c r="E3670" s="14" t="s">
        <v>342</v>
      </c>
      <c r="F3670" s="14" t="s">
        <v>343</v>
      </c>
      <c r="G3670" s="14" t="s">
        <v>343</v>
      </c>
      <c r="H3670" s="14" t="s">
        <v>343</v>
      </c>
      <c r="Q3670" s="14">
        <v>0.71</v>
      </c>
      <c r="R3670" s="14">
        <v>0.67</v>
      </c>
      <c r="S3670" s="14">
        <v>0.65</v>
      </c>
      <c r="T3670" s="14">
        <v>0.65</v>
      </c>
      <c r="U3670" s="14">
        <v>0.7</v>
      </c>
      <c r="V3670" s="14">
        <v>0.71</v>
      </c>
      <c r="W3670" s="14">
        <v>0.75</v>
      </c>
      <c r="X3670" s="14">
        <v>0.73</v>
      </c>
    </row>
    <row r="3671" spans="1:24" hidden="1" x14ac:dyDescent="0.3">
      <c r="A3671" s="14" t="s">
        <v>485</v>
      </c>
      <c r="B3671" s="14" t="s">
        <v>162</v>
      </c>
      <c r="C3671" s="14" t="s">
        <v>359</v>
      </c>
      <c r="D3671" s="14" t="s">
        <v>360</v>
      </c>
      <c r="E3671" s="14" t="s">
        <v>344</v>
      </c>
      <c r="F3671" s="14" t="s">
        <v>343</v>
      </c>
      <c r="G3671" s="14" t="s">
        <v>343</v>
      </c>
      <c r="H3671" s="14" t="s">
        <v>343</v>
      </c>
      <c r="Q3671" s="14">
        <v>49</v>
      </c>
      <c r="R3671" s="14">
        <v>73</v>
      </c>
      <c r="S3671" s="14">
        <v>88</v>
      </c>
      <c r="T3671" s="14">
        <v>88</v>
      </c>
      <c r="U3671" s="14">
        <v>57</v>
      </c>
      <c r="V3671" s="14">
        <v>56</v>
      </c>
      <c r="W3671" s="14">
        <v>37</v>
      </c>
      <c r="X3671" s="14">
        <v>45</v>
      </c>
    </row>
    <row r="3672" spans="1:24" x14ac:dyDescent="0.3">
      <c r="A3672" s="14" t="s">
        <v>485</v>
      </c>
      <c r="B3672" s="14" t="s">
        <v>162</v>
      </c>
      <c r="C3672" s="14" t="s">
        <v>361</v>
      </c>
      <c r="D3672" s="14" t="s">
        <v>362</v>
      </c>
      <c r="E3672" s="14" t="s">
        <v>342</v>
      </c>
      <c r="F3672" s="14" t="s">
        <v>343</v>
      </c>
      <c r="G3672" s="14" t="s">
        <v>343</v>
      </c>
      <c r="H3672" s="14" t="s">
        <v>343</v>
      </c>
      <c r="Q3672" s="14">
        <v>0.96</v>
      </c>
      <c r="R3672" s="14">
        <v>0.98</v>
      </c>
      <c r="S3672" s="14">
        <v>0.98</v>
      </c>
      <c r="T3672" s="14">
        <v>0.97</v>
      </c>
      <c r="U3672" s="14">
        <v>0.98</v>
      </c>
      <c r="V3672" s="14">
        <v>0.97</v>
      </c>
      <c r="W3672" s="14">
        <v>0.97</v>
      </c>
      <c r="X3672" s="14">
        <v>0.97</v>
      </c>
    </row>
    <row r="3673" spans="1:24" hidden="1" x14ac:dyDescent="0.3">
      <c r="A3673" s="14" t="s">
        <v>485</v>
      </c>
      <c r="B3673" s="14" t="s">
        <v>162</v>
      </c>
      <c r="C3673" s="14" t="s">
        <v>361</v>
      </c>
      <c r="D3673" s="14" t="s">
        <v>362</v>
      </c>
      <c r="E3673" s="14" t="s">
        <v>344</v>
      </c>
      <c r="F3673" s="14" t="s">
        <v>343</v>
      </c>
      <c r="G3673" s="14" t="s">
        <v>343</v>
      </c>
      <c r="H3673" s="14" t="s">
        <v>343</v>
      </c>
      <c r="Q3673" s="14">
        <v>129</v>
      </c>
      <c r="R3673" s="14">
        <v>62</v>
      </c>
      <c r="S3673" s="14">
        <v>60</v>
      </c>
      <c r="T3673" s="14">
        <v>75</v>
      </c>
      <c r="U3673" s="14">
        <v>42</v>
      </c>
      <c r="V3673" s="14">
        <v>106</v>
      </c>
      <c r="W3673" s="14">
        <v>84</v>
      </c>
      <c r="X3673" s="14">
        <v>72</v>
      </c>
    </row>
    <row r="3674" spans="1:24" hidden="1" x14ac:dyDescent="0.3">
      <c r="A3674" s="14" t="s">
        <v>485</v>
      </c>
      <c r="B3674" s="14" t="s">
        <v>162</v>
      </c>
      <c r="C3674" s="14" t="s">
        <v>363</v>
      </c>
      <c r="D3674" s="14" t="s">
        <v>364</v>
      </c>
      <c r="E3674" s="14" t="s">
        <v>342</v>
      </c>
      <c r="F3674" s="14" t="s">
        <v>343</v>
      </c>
      <c r="G3674" s="14" t="s">
        <v>343</v>
      </c>
      <c r="H3674" s="14" t="s">
        <v>343</v>
      </c>
      <c r="U3674" s="14">
        <v>1.06</v>
      </c>
      <c r="V3674" s="14">
        <v>1.06</v>
      </c>
      <c r="W3674" s="14">
        <v>1.05</v>
      </c>
      <c r="X3674" s="14">
        <v>1.05</v>
      </c>
    </row>
    <row r="3675" spans="1:24" hidden="1" x14ac:dyDescent="0.3">
      <c r="A3675" s="14" t="s">
        <v>485</v>
      </c>
      <c r="B3675" s="14" t="s">
        <v>162</v>
      </c>
      <c r="C3675" s="14" t="s">
        <v>363</v>
      </c>
      <c r="D3675" s="14" t="s">
        <v>364</v>
      </c>
      <c r="E3675" s="14" t="s">
        <v>344</v>
      </c>
      <c r="F3675" s="14" t="s">
        <v>343</v>
      </c>
      <c r="G3675" s="14" t="s">
        <v>343</v>
      </c>
      <c r="H3675" s="14" t="s">
        <v>343</v>
      </c>
      <c r="U3675" s="14">
        <v>1</v>
      </c>
      <c r="V3675" s="14">
        <v>1</v>
      </c>
      <c r="W3675" s="14">
        <v>54</v>
      </c>
      <c r="X3675" s="14">
        <v>50</v>
      </c>
    </row>
    <row r="3676" spans="1:24" hidden="1" x14ac:dyDescent="0.3">
      <c r="A3676" s="14" t="s">
        <v>485</v>
      </c>
      <c r="B3676" s="14" t="s">
        <v>162</v>
      </c>
      <c r="C3676" s="14" t="s">
        <v>365</v>
      </c>
      <c r="D3676" s="14" t="s">
        <v>366</v>
      </c>
      <c r="E3676" s="14" t="s">
        <v>342</v>
      </c>
      <c r="F3676" s="14" t="s">
        <v>343</v>
      </c>
      <c r="G3676" s="14" t="s">
        <v>343</v>
      </c>
      <c r="H3676" s="14" t="s">
        <v>343</v>
      </c>
      <c r="U3676" s="14">
        <v>0.94</v>
      </c>
      <c r="V3676" s="14">
        <v>0.93</v>
      </c>
      <c r="W3676" s="14">
        <v>0.93</v>
      </c>
      <c r="X3676" s="14">
        <v>0.94</v>
      </c>
    </row>
    <row r="3677" spans="1:24" hidden="1" x14ac:dyDescent="0.3">
      <c r="A3677" s="14" t="s">
        <v>485</v>
      </c>
      <c r="B3677" s="14" t="s">
        <v>162</v>
      </c>
      <c r="C3677" s="14" t="s">
        <v>365</v>
      </c>
      <c r="D3677" s="14" t="s">
        <v>366</v>
      </c>
      <c r="E3677" s="14" t="s">
        <v>344</v>
      </c>
      <c r="F3677" s="14" t="s">
        <v>343</v>
      </c>
      <c r="G3677" s="14" t="s">
        <v>343</v>
      </c>
      <c r="H3677" s="14" t="s">
        <v>343</v>
      </c>
      <c r="U3677" s="14">
        <v>114</v>
      </c>
      <c r="V3677" s="14">
        <v>144</v>
      </c>
      <c r="W3677" s="14">
        <v>146</v>
      </c>
      <c r="X3677" s="14">
        <v>136</v>
      </c>
    </row>
    <row r="3678" spans="1:24" hidden="1" x14ac:dyDescent="0.3">
      <c r="A3678" s="14" t="s">
        <v>485</v>
      </c>
      <c r="B3678" s="14" t="s">
        <v>162</v>
      </c>
      <c r="C3678" s="14" t="s">
        <v>367</v>
      </c>
      <c r="D3678" s="14" t="s">
        <v>368</v>
      </c>
      <c r="E3678" s="14" t="s">
        <v>342</v>
      </c>
      <c r="F3678" s="14" t="s">
        <v>343</v>
      </c>
      <c r="G3678" s="14" t="s">
        <v>343</v>
      </c>
      <c r="H3678" s="14" t="s">
        <v>343</v>
      </c>
      <c r="Q3678" s="14">
        <v>0.69</v>
      </c>
      <c r="R3678" s="14">
        <v>0.69</v>
      </c>
      <c r="S3678" s="14">
        <v>0.68</v>
      </c>
      <c r="T3678" s="14">
        <v>0.69</v>
      </c>
      <c r="U3678" s="14">
        <v>0.71</v>
      </c>
      <c r="V3678" s="14">
        <v>0.71</v>
      </c>
      <c r="W3678" s="14">
        <v>0.73</v>
      </c>
      <c r="X3678" s="14">
        <v>0.73</v>
      </c>
    </row>
    <row r="3679" spans="1:24" hidden="1" x14ac:dyDescent="0.3">
      <c r="A3679" s="14" t="s">
        <v>485</v>
      </c>
      <c r="B3679" s="14" t="s">
        <v>162</v>
      </c>
      <c r="C3679" s="14" t="s">
        <v>367</v>
      </c>
      <c r="D3679" s="14" t="s">
        <v>368</v>
      </c>
      <c r="E3679" s="14" t="s">
        <v>344</v>
      </c>
      <c r="F3679" s="14" t="s">
        <v>343</v>
      </c>
      <c r="G3679" s="14" t="s">
        <v>343</v>
      </c>
      <c r="H3679" s="14" t="s">
        <v>343</v>
      </c>
      <c r="Q3679" s="14">
        <v>74</v>
      </c>
      <c r="R3679" s="14">
        <v>79</v>
      </c>
      <c r="S3679" s="14">
        <v>89</v>
      </c>
      <c r="T3679" s="14">
        <v>77</v>
      </c>
      <c r="U3679" s="14">
        <v>69</v>
      </c>
      <c r="V3679" s="14">
        <v>71</v>
      </c>
      <c r="W3679" s="14">
        <v>48</v>
      </c>
      <c r="X3679" s="14">
        <v>54</v>
      </c>
    </row>
    <row r="3680" spans="1:24" hidden="1" x14ac:dyDescent="0.3">
      <c r="A3680" s="14" t="s">
        <v>485</v>
      </c>
      <c r="B3680" s="14" t="s">
        <v>162</v>
      </c>
      <c r="C3680" s="14" t="s">
        <v>369</v>
      </c>
      <c r="D3680" s="14" t="s">
        <v>370</v>
      </c>
      <c r="E3680" s="14" t="s">
        <v>342</v>
      </c>
      <c r="F3680" s="14" t="s">
        <v>343</v>
      </c>
      <c r="G3680" s="14" t="s">
        <v>343</v>
      </c>
      <c r="H3680" s="14" t="s">
        <v>343</v>
      </c>
      <c r="Q3680" s="14">
        <v>0.1</v>
      </c>
      <c r="R3680" s="14">
        <v>0.11</v>
      </c>
      <c r="S3680" s="14">
        <v>0.11</v>
      </c>
      <c r="T3680" s="14">
        <v>0.16</v>
      </c>
      <c r="U3680" s="14">
        <v>0.16</v>
      </c>
      <c r="V3680" s="14">
        <v>0.16</v>
      </c>
      <c r="W3680" s="14">
        <v>0.21</v>
      </c>
      <c r="X3680" s="14">
        <v>0.23</v>
      </c>
    </row>
    <row r="3681" spans="1:24" hidden="1" x14ac:dyDescent="0.3">
      <c r="A3681" s="14" t="s">
        <v>485</v>
      </c>
      <c r="B3681" s="14" t="s">
        <v>162</v>
      </c>
      <c r="C3681" s="14" t="s">
        <v>369</v>
      </c>
      <c r="D3681" s="14" t="s">
        <v>370</v>
      </c>
      <c r="E3681" s="14" t="s">
        <v>344</v>
      </c>
      <c r="F3681" s="14" t="s">
        <v>343</v>
      </c>
      <c r="G3681" s="14" t="s">
        <v>343</v>
      </c>
      <c r="H3681" s="14" t="s">
        <v>343</v>
      </c>
      <c r="Q3681" s="14">
        <v>104</v>
      </c>
      <c r="R3681" s="14">
        <v>94</v>
      </c>
      <c r="S3681" s="14">
        <v>93</v>
      </c>
      <c r="T3681" s="14">
        <v>79</v>
      </c>
      <c r="U3681" s="14">
        <v>83</v>
      </c>
      <c r="V3681" s="14">
        <v>91</v>
      </c>
      <c r="W3681" s="14">
        <v>70</v>
      </c>
      <c r="X3681" s="14">
        <v>64</v>
      </c>
    </row>
    <row r="3682" spans="1:24" hidden="1" x14ac:dyDescent="0.3">
      <c r="A3682" s="14" t="s">
        <v>485</v>
      </c>
      <c r="B3682" s="14" t="s">
        <v>162</v>
      </c>
      <c r="C3682" s="14" t="s">
        <v>371</v>
      </c>
      <c r="D3682" s="14" t="s">
        <v>372</v>
      </c>
      <c r="E3682" s="14" t="s">
        <v>342</v>
      </c>
      <c r="F3682" s="14" t="s">
        <v>343</v>
      </c>
      <c r="G3682" s="14" t="s">
        <v>343</v>
      </c>
      <c r="H3682" s="14" t="s">
        <v>343</v>
      </c>
      <c r="U3682" s="14">
        <v>0</v>
      </c>
      <c r="V3682" s="14">
        <v>0</v>
      </c>
      <c r="W3682" s="14">
        <v>0</v>
      </c>
      <c r="X3682" s="14">
        <v>0</v>
      </c>
    </row>
    <row r="3683" spans="1:24" hidden="1" x14ac:dyDescent="0.3">
      <c r="A3683" s="14" t="s">
        <v>485</v>
      </c>
      <c r="B3683" s="14" t="s">
        <v>162</v>
      </c>
      <c r="C3683" s="14" t="s">
        <v>371</v>
      </c>
      <c r="D3683" s="14" t="s">
        <v>372</v>
      </c>
      <c r="E3683" s="14" t="s">
        <v>344</v>
      </c>
      <c r="F3683" s="14" t="s">
        <v>343</v>
      </c>
      <c r="G3683" s="14" t="s">
        <v>343</v>
      </c>
      <c r="H3683" s="14" t="s">
        <v>343</v>
      </c>
      <c r="U3683" s="14">
        <v>71</v>
      </c>
      <c r="V3683" s="14">
        <v>73</v>
      </c>
      <c r="W3683" s="14">
        <v>76</v>
      </c>
      <c r="X3683" s="14">
        <v>78</v>
      </c>
    </row>
    <row r="3684" spans="1:24" hidden="1" x14ac:dyDescent="0.3">
      <c r="A3684" s="14" t="s">
        <v>485</v>
      </c>
      <c r="B3684" s="14" t="s">
        <v>162</v>
      </c>
      <c r="C3684" s="14" t="s">
        <v>373</v>
      </c>
      <c r="D3684" s="14" t="s">
        <v>374</v>
      </c>
      <c r="E3684" s="14" t="s">
        <v>342</v>
      </c>
      <c r="F3684" s="14" t="s">
        <v>343</v>
      </c>
      <c r="G3684" s="14" t="s">
        <v>343</v>
      </c>
      <c r="H3684" s="14" t="s">
        <v>343</v>
      </c>
      <c r="U3684" s="14">
        <v>0.25</v>
      </c>
      <c r="V3684" s="14">
        <v>0.27</v>
      </c>
      <c r="W3684" s="14">
        <v>0.44</v>
      </c>
      <c r="X3684" s="14">
        <v>0.44</v>
      </c>
    </row>
    <row r="3685" spans="1:24" hidden="1" x14ac:dyDescent="0.3">
      <c r="A3685" s="14" t="s">
        <v>485</v>
      </c>
      <c r="B3685" s="14" t="s">
        <v>162</v>
      </c>
      <c r="C3685" s="14" t="s">
        <v>373</v>
      </c>
      <c r="D3685" s="14" t="s">
        <v>374</v>
      </c>
      <c r="E3685" s="14" t="s">
        <v>344</v>
      </c>
      <c r="F3685" s="14" t="s">
        <v>343</v>
      </c>
      <c r="G3685" s="14" t="s">
        <v>343</v>
      </c>
      <c r="H3685" s="14" t="s">
        <v>343</v>
      </c>
      <c r="U3685" s="14">
        <v>68</v>
      </c>
      <c r="V3685" s="14">
        <v>81</v>
      </c>
      <c r="W3685" s="14">
        <v>50</v>
      </c>
      <c r="X3685" s="14">
        <v>48</v>
      </c>
    </row>
    <row r="3686" spans="1:24" hidden="1" x14ac:dyDescent="0.3">
      <c r="A3686" s="14" t="s">
        <v>485</v>
      </c>
      <c r="B3686" s="14" t="s">
        <v>162</v>
      </c>
      <c r="C3686" s="14" t="s">
        <v>375</v>
      </c>
      <c r="D3686" s="14" t="s">
        <v>376</v>
      </c>
      <c r="E3686" s="14" t="s">
        <v>342</v>
      </c>
      <c r="F3686" s="14" t="s">
        <v>343</v>
      </c>
      <c r="G3686" s="14" t="s">
        <v>343</v>
      </c>
      <c r="H3686" s="14" t="s">
        <v>343</v>
      </c>
      <c r="U3686" s="14">
        <v>0.31</v>
      </c>
      <c r="V3686" s="14">
        <v>0.31</v>
      </c>
      <c r="W3686" s="14">
        <v>0.33</v>
      </c>
      <c r="X3686" s="14">
        <v>0.37</v>
      </c>
    </row>
    <row r="3687" spans="1:24" hidden="1" x14ac:dyDescent="0.3">
      <c r="A3687" s="14" t="s">
        <v>485</v>
      </c>
      <c r="B3687" s="14" t="s">
        <v>162</v>
      </c>
      <c r="C3687" s="14" t="s">
        <v>375</v>
      </c>
      <c r="D3687" s="14" t="s">
        <v>376</v>
      </c>
      <c r="E3687" s="14" t="s">
        <v>344</v>
      </c>
      <c r="F3687" s="14" t="s">
        <v>343</v>
      </c>
      <c r="G3687" s="14" t="s">
        <v>343</v>
      </c>
      <c r="H3687" s="14" t="s">
        <v>343</v>
      </c>
      <c r="U3687" s="14">
        <v>63</v>
      </c>
      <c r="V3687" s="14">
        <v>68</v>
      </c>
      <c r="W3687" s="14">
        <v>78</v>
      </c>
      <c r="X3687" s="14">
        <v>68</v>
      </c>
    </row>
    <row r="3688" spans="1:24" hidden="1" x14ac:dyDescent="0.3">
      <c r="A3688" s="14" t="s">
        <v>486</v>
      </c>
      <c r="B3688" s="14" t="s">
        <v>161</v>
      </c>
      <c r="C3688" s="14" t="s">
        <v>340</v>
      </c>
      <c r="D3688" s="14" t="s">
        <v>341</v>
      </c>
      <c r="E3688" s="14" t="s">
        <v>342</v>
      </c>
      <c r="F3688" s="14" t="s">
        <v>343</v>
      </c>
      <c r="G3688" s="14" t="s">
        <v>343</v>
      </c>
      <c r="H3688" s="14" t="s">
        <v>343</v>
      </c>
      <c r="I3688" s="14">
        <v>1</v>
      </c>
      <c r="J3688" s="14">
        <v>1</v>
      </c>
      <c r="K3688" s="14">
        <v>1</v>
      </c>
      <c r="L3688" s="14">
        <v>1</v>
      </c>
      <c r="M3688" s="14">
        <v>0.99</v>
      </c>
      <c r="N3688" s="14">
        <v>0.99</v>
      </c>
      <c r="O3688" s="14">
        <v>0.99</v>
      </c>
      <c r="P3688" s="14">
        <v>0.99</v>
      </c>
      <c r="Q3688" s="14">
        <v>0.99</v>
      </c>
      <c r="R3688" s="14">
        <v>0.99</v>
      </c>
      <c r="S3688" s="14">
        <v>0.99</v>
      </c>
      <c r="T3688" s="14">
        <v>0.99</v>
      </c>
      <c r="U3688" s="14">
        <v>0.99</v>
      </c>
      <c r="V3688" s="14">
        <v>0.99</v>
      </c>
      <c r="W3688" s="14">
        <v>0.99</v>
      </c>
      <c r="X3688" s="14">
        <v>0.99</v>
      </c>
    </row>
    <row r="3689" spans="1:24" hidden="1" x14ac:dyDescent="0.3">
      <c r="A3689" s="14" t="s">
        <v>486</v>
      </c>
      <c r="B3689" s="14" t="s">
        <v>161</v>
      </c>
      <c r="C3689" s="14" t="s">
        <v>340</v>
      </c>
      <c r="D3689" s="14" t="s">
        <v>341</v>
      </c>
      <c r="E3689" s="14" t="s">
        <v>344</v>
      </c>
      <c r="F3689" s="14" t="s">
        <v>343</v>
      </c>
      <c r="G3689" s="14" t="s">
        <v>343</v>
      </c>
      <c r="H3689" s="14" t="s">
        <v>343</v>
      </c>
      <c r="I3689" s="14">
        <v>19</v>
      </c>
      <c r="J3689" s="14">
        <v>23</v>
      </c>
      <c r="K3689" s="14">
        <v>1</v>
      </c>
      <c r="L3689" s="14">
        <v>1</v>
      </c>
      <c r="M3689" s="14">
        <v>59</v>
      </c>
      <c r="N3689" s="14">
        <v>47</v>
      </c>
      <c r="O3689" s="14">
        <v>50</v>
      </c>
      <c r="P3689" s="14">
        <v>49</v>
      </c>
      <c r="Q3689" s="14">
        <v>69</v>
      </c>
      <c r="R3689" s="14">
        <v>73</v>
      </c>
      <c r="S3689" s="14">
        <v>66</v>
      </c>
      <c r="T3689" s="14">
        <v>65</v>
      </c>
      <c r="U3689" s="14">
        <v>70</v>
      </c>
      <c r="V3689" s="14">
        <v>71</v>
      </c>
      <c r="W3689" s="14">
        <v>73</v>
      </c>
      <c r="X3689" s="14">
        <v>63</v>
      </c>
    </row>
    <row r="3690" spans="1:24" hidden="1" x14ac:dyDescent="0.3">
      <c r="A3690" s="14" t="s">
        <v>486</v>
      </c>
      <c r="B3690" s="14" t="s">
        <v>161</v>
      </c>
      <c r="C3690" s="14" t="s">
        <v>345</v>
      </c>
      <c r="D3690" s="14" t="s">
        <v>346</v>
      </c>
      <c r="E3690" s="14" t="s">
        <v>342</v>
      </c>
      <c r="F3690" s="14" t="s">
        <v>343</v>
      </c>
      <c r="G3690" s="14" t="s">
        <v>343</v>
      </c>
      <c r="H3690" s="14" t="s">
        <v>343</v>
      </c>
      <c r="U3690" s="14">
        <v>0.74</v>
      </c>
      <c r="V3690" s="14">
        <v>0.66</v>
      </c>
      <c r="W3690" s="14">
        <v>0.67</v>
      </c>
      <c r="X3690" s="14">
        <v>0.66</v>
      </c>
    </row>
    <row r="3691" spans="1:24" hidden="1" x14ac:dyDescent="0.3">
      <c r="A3691" s="14" t="s">
        <v>486</v>
      </c>
      <c r="B3691" s="14" t="s">
        <v>161</v>
      </c>
      <c r="C3691" s="14" t="s">
        <v>345</v>
      </c>
      <c r="D3691" s="14" t="s">
        <v>346</v>
      </c>
      <c r="E3691" s="14" t="s">
        <v>344</v>
      </c>
      <c r="F3691" s="14" t="s">
        <v>343</v>
      </c>
      <c r="G3691" s="14" t="s">
        <v>343</v>
      </c>
      <c r="H3691" s="14" t="s">
        <v>343</v>
      </c>
      <c r="U3691" s="14">
        <v>19</v>
      </c>
      <c r="V3691" s="14">
        <v>52</v>
      </c>
      <c r="W3691" s="14">
        <v>54</v>
      </c>
      <c r="X3691" s="14">
        <v>64</v>
      </c>
    </row>
    <row r="3692" spans="1:24" hidden="1" x14ac:dyDescent="0.3">
      <c r="A3692" s="14" t="s">
        <v>486</v>
      </c>
      <c r="B3692" s="14" t="s">
        <v>161</v>
      </c>
      <c r="C3692" s="14" t="s">
        <v>347</v>
      </c>
      <c r="D3692" s="14" t="s">
        <v>348</v>
      </c>
      <c r="E3692" s="14" t="s">
        <v>342</v>
      </c>
      <c r="F3692" s="14" t="s">
        <v>343</v>
      </c>
      <c r="G3692" s="14" t="s">
        <v>343</v>
      </c>
      <c r="H3692" s="14" t="s">
        <v>343</v>
      </c>
      <c r="U3692" s="14">
        <v>0.81</v>
      </c>
      <c r="V3692" s="14">
        <v>0.81</v>
      </c>
      <c r="W3692" s="14">
        <v>0.8</v>
      </c>
      <c r="X3692" s="14">
        <v>0.77</v>
      </c>
    </row>
    <row r="3693" spans="1:24" hidden="1" x14ac:dyDescent="0.3">
      <c r="A3693" s="14" t="s">
        <v>486</v>
      </c>
      <c r="B3693" s="14" t="s">
        <v>161</v>
      </c>
      <c r="C3693" s="14" t="s">
        <v>347</v>
      </c>
      <c r="D3693" s="14" t="s">
        <v>348</v>
      </c>
      <c r="E3693" s="14" t="s">
        <v>344</v>
      </c>
      <c r="F3693" s="14" t="s">
        <v>343</v>
      </c>
      <c r="G3693" s="14" t="s">
        <v>343</v>
      </c>
      <c r="H3693" s="14" t="s">
        <v>343</v>
      </c>
      <c r="U3693" s="14">
        <v>75</v>
      </c>
      <c r="V3693" s="14">
        <v>81</v>
      </c>
      <c r="W3693" s="14">
        <v>85</v>
      </c>
      <c r="X3693" s="14">
        <v>71</v>
      </c>
    </row>
    <row r="3694" spans="1:24" hidden="1" x14ac:dyDescent="0.3">
      <c r="A3694" s="14" t="s">
        <v>486</v>
      </c>
      <c r="B3694" s="14" t="s">
        <v>161</v>
      </c>
      <c r="C3694" s="14" t="s">
        <v>349</v>
      </c>
      <c r="D3694" s="14" t="s">
        <v>350</v>
      </c>
      <c r="E3694" s="14" t="s">
        <v>342</v>
      </c>
      <c r="F3694" s="14" t="s">
        <v>343</v>
      </c>
      <c r="G3694" s="14" t="s">
        <v>343</v>
      </c>
      <c r="H3694" s="14" t="s">
        <v>343</v>
      </c>
      <c r="U3694" s="14">
        <v>0.74</v>
      </c>
      <c r="V3694" s="14">
        <v>0.64</v>
      </c>
      <c r="W3694" s="14">
        <v>0.78</v>
      </c>
      <c r="X3694" s="14">
        <v>0.99</v>
      </c>
    </row>
    <row r="3695" spans="1:24" hidden="1" x14ac:dyDescent="0.3">
      <c r="A3695" s="14" t="s">
        <v>486</v>
      </c>
      <c r="B3695" s="14" t="s">
        <v>161</v>
      </c>
      <c r="C3695" s="14" t="s">
        <v>349</v>
      </c>
      <c r="D3695" s="14" t="s">
        <v>350</v>
      </c>
      <c r="E3695" s="14" t="s">
        <v>344</v>
      </c>
      <c r="F3695" s="14" t="s">
        <v>343</v>
      </c>
      <c r="G3695" s="14" t="s">
        <v>343</v>
      </c>
      <c r="H3695" s="14" t="s">
        <v>343</v>
      </c>
      <c r="U3695" s="14">
        <v>15</v>
      </c>
      <c r="V3695" s="14">
        <v>29</v>
      </c>
      <c r="W3695" s="14">
        <v>24</v>
      </c>
      <c r="X3695" s="14">
        <v>11</v>
      </c>
    </row>
    <row r="3696" spans="1:24" hidden="1" x14ac:dyDescent="0.3">
      <c r="A3696" s="14" t="s">
        <v>486</v>
      </c>
      <c r="B3696" s="14" t="s">
        <v>161</v>
      </c>
      <c r="C3696" s="14" t="s">
        <v>351</v>
      </c>
      <c r="D3696" s="14" t="s">
        <v>352</v>
      </c>
      <c r="E3696" s="14" t="s">
        <v>342</v>
      </c>
      <c r="F3696" s="14" t="s">
        <v>343</v>
      </c>
      <c r="G3696" s="14" t="s">
        <v>343</v>
      </c>
      <c r="H3696" s="14" t="s">
        <v>343</v>
      </c>
      <c r="U3696" s="14">
        <v>1</v>
      </c>
      <c r="V3696" s="14">
        <v>1</v>
      </c>
      <c r="W3696" s="14">
        <v>1</v>
      </c>
      <c r="X3696" s="14">
        <v>1</v>
      </c>
    </row>
    <row r="3697" spans="1:24" hidden="1" x14ac:dyDescent="0.3">
      <c r="A3697" s="14" t="s">
        <v>486</v>
      </c>
      <c r="B3697" s="14" t="s">
        <v>161</v>
      </c>
      <c r="C3697" s="14" t="s">
        <v>351</v>
      </c>
      <c r="D3697" s="14" t="s">
        <v>352</v>
      </c>
      <c r="E3697" s="14" t="s">
        <v>344</v>
      </c>
      <c r="F3697" s="14" t="s">
        <v>343</v>
      </c>
      <c r="G3697" s="14" t="s">
        <v>343</v>
      </c>
      <c r="H3697" s="14" t="s">
        <v>343</v>
      </c>
      <c r="U3697" s="14">
        <v>1</v>
      </c>
      <c r="V3697" s="14">
        <v>1</v>
      </c>
      <c r="W3697" s="14">
        <v>1</v>
      </c>
      <c r="X3697" s="14">
        <v>1</v>
      </c>
    </row>
    <row r="3698" spans="1:24" hidden="1" x14ac:dyDescent="0.3">
      <c r="A3698" s="14" t="s">
        <v>486</v>
      </c>
      <c r="B3698" s="14" t="s">
        <v>161</v>
      </c>
      <c r="C3698" s="14" t="s">
        <v>378</v>
      </c>
      <c r="D3698" s="14" t="s">
        <v>379</v>
      </c>
      <c r="E3698" s="14" t="s">
        <v>342</v>
      </c>
      <c r="F3698" s="14" t="s">
        <v>343</v>
      </c>
      <c r="G3698" s="14" t="s">
        <v>343</v>
      </c>
      <c r="H3698" s="14" t="s">
        <v>343</v>
      </c>
      <c r="S3698" s="14">
        <v>0.74</v>
      </c>
      <c r="U3698" s="14">
        <v>0.72</v>
      </c>
      <c r="V3698" s="14">
        <v>0.73</v>
      </c>
      <c r="W3698" s="14">
        <v>0.73</v>
      </c>
      <c r="X3698" s="14">
        <v>0.63</v>
      </c>
    </row>
    <row r="3699" spans="1:24" hidden="1" x14ac:dyDescent="0.3">
      <c r="A3699" s="14" t="s">
        <v>486</v>
      </c>
      <c r="B3699" s="14" t="s">
        <v>161</v>
      </c>
      <c r="C3699" s="14" t="s">
        <v>378</v>
      </c>
      <c r="D3699" s="14" t="s">
        <v>379</v>
      </c>
      <c r="E3699" s="14" t="s">
        <v>344</v>
      </c>
      <c r="F3699" s="14" t="s">
        <v>343</v>
      </c>
      <c r="G3699" s="14" t="s">
        <v>343</v>
      </c>
      <c r="H3699" s="14" t="s">
        <v>343</v>
      </c>
      <c r="S3699" s="14">
        <v>28</v>
      </c>
      <c r="U3699" s="14">
        <v>31</v>
      </c>
      <c r="V3699" s="14">
        <v>26</v>
      </c>
      <c r="W3699" s="14">
        <v>32</v>
      </c>
      <c r="X3699" s="14">
        <v>81</v>
      </c>
    </row>
    <row r="3700" spans="1:24" hidden="1" x14ac:dyDescent="0.3">
      <c r="A3700" s="14" t="s">
        <v>486</v>
      </c>
      <c r="B3700" s="14" t="s">
        <v>161</v>
      </c>
      <c r="C3700" s="14" t="s">
        <v>353</v>
      </c>
      <c r="D3700" s="14" t="s">
        <v>354</v>
      </c>
      <c r="E3700" s="14" t="s">
        <v>342</v>
      </c>
      <c r="F3700" s="14" t="s">
        <v>343</v>
      </c>
      <c r="G3700" s="14" t="s">
        <v>343</v>
      </c>
      <c r="H3700" s="14" t="s">
        <v>343</v>
      </c>
      <c r="U3700" s="14">
        <v>1</v>
      </c>
      <c r="V3700" s="14">
        <v>1</v>
      </c>
      <c r="W3700" s="14">
        <v>1</v>
      </c>
      <c r="X3700" s="14">
        <v>1</v>
      </c>
    </row>
    <row r="3701" spans="1:24" hidden="1" x14ac:dyDescent="0.3">
      <c r="A3701" s="14" t="s">
        <v>486</v>
      </c>
      <c r="B3701" s="14" t="s">
        <v>161</v>
      </c>
      <c r="C3701" s="14" t="s">
        <v>353</v>
      </c>
      <c r="D3701" s="14" t="s">
        <v>354</v>
      </c>
      <c r="E3701" s="14" t="s">
        <v>344</v>
      </c>
      <c r="F3701" s="14" t="s">
        <v>343</v>
      </c>
      <c r="G3701" s="14" t="s">
        <v>343</v>
      </c>
      <c r="H3701" s="14" t="s">
        <v>343</v>
      </c>
      <c r="U3701" s="14">
        <v>1</v>
      </c>
      <c r="V3701" s="14">
        <v>1</v>
      </c>
      <c r="W3701" s="14">
        <v>1</v>
      </c>
      <c r="X3701" s="14">
        <v>1</v>
      </c>
    </row>
    <row r="3702" spans="1:24" hidden="1" x14ac:dyDescent="0.3">
      <c r="A3702" s="14" t="s">
        <v>486</v>
      </c>
      <c r="B3702" s="14" t="s">
        <v>161</v>
      </c>
      <c r="C3702" s="14" t="s">
        <v>380</v>
      </c>
      <c r="D3702" s="14" t="s">
        <v>381</v>
      </c>
      <c r="E3702" s="14" t="s">
        <v>342</v>
      </c>
      <c r="F3702" s="14" t="s">
        <v>343</v>
      </c>
      <c r="G3702" s="14" t="s">
        <v>343</v>
      </c>
      <c r="H3702" s="14" t="s">
        <v>343</v>
      </c>
      <c r="U3702" s="14">
        <v>0.98</v>
      </c>
      <c r="V3702" s="14">
        <v>0.98</v>
      </c>
      <c r="W3702" s="14">
        <v>0.98</v>
      </c>
      <c r="X3702" s="14">
        <v>0.99</v>
      </c>
    </row>
    <row r="3703" spans="1:24" hidden="1" x14ac:dyDescent="0.3">
      <c r="A3703" s="14" t="s">
        <v>486</v>
      </c>
      <c r="B3703" s="14" t="s">
        <v>161</v>
      </c>
      <c r="C3703" s="14" t="s">
        <v>380</v>
      </c>
      <c r="D3703" s="14" t="s">
        <v>381</v>
      </c>
      <c r="E3703" s="14" t="s">
        <v>344</v>
      </c>
      <c r="F3703" s="14" t="s">
        <v>343</v>
      </c>
      <c r="G3703" s="14" t="s">
        <v>343</v>
      </c>
      <c r="H3703" s="14" t="s">
        <v>343</v>
      </c>
      <c r="U3703" s="14">
        <v>110</v>
      </c>
      <c r="V3703" s="14">
        <v>119</v>
      </c>
      <c r="W3703" s="14">
        <v>119</v>
      </c>
      <c r="X3703" s="14">
        <v>99</v>
      </c>
    </row>
    <row r="3704" spans="1:24" hidden="1" x14ac:dyDescent="0.3">
      <c r="A3704" s="14" t="s">
        <v>486</v>
      </c>
      <c r="B3704" s="14" t="s">
        <v>161</v>
      </c>
      <c r="C3704" s="14" t="s">
        <v>355</v>
      </c>
      <c r="D3704" s="14" t="s">
        <v>356</v>
      </c>
      <c r="E3704" s="14" t="s">
        <v>342</v>
      </c>
      <c r="F3704" s="14" t="s">
        <v>343</v>
      </c>
      <c r="G3704" s="14" t="s">
        <v>343</v>
      </c>
      <c r="H3704" s="14" t="s">
        <v>343</v>
      </c>
      <c r="U3704" s="14">
        <v>1</v>
      </c>
      <c r="V3704" s="14">
        <v>1</v>
      </c>
      <c r="W3704" s="14">
        <v>1</v>
      </c>
      <c r="X3704" s="14">
        <v>1</v>
      </c>
    </row>
    <row r="3705" spans="1:24" hidden="1" x14ac:dyDescent="0.3">
      <c r="A3705" s="14" t="s">
        <v>486</v>
      </c>
      <c r="B3705" s="14" t="s">
        <v>161</v>
      </c>
      <c r="C3705" s="14" t="s">
        <v>355</v>
      </c>
      <c r="D3705" s="14" t="s">
        <v>356</v>
      </c>
      <c r="E3705" s="14" t="s">
        <v>344</v>
      </c>
      <c r="F3705" s="14" t="s">
        <v>343</v>
      </c>
      <c r="G3705" s="14" t="s">
        <v>343</v>
      </c>
      <c r="H3705" s="14" t="s">
        <v>343</v>
      </c>
      <c r="U3705" s="14">
        <v>1</v>
      </c>
      <c r="V3705" s="14">
        <v>1</v>
      </c>
      <c r="W3705" s="14">
        <v>1</v>
      </c>
      <c r="X3705" s="14">
        <v>1</v>
      </c>
    </row>
    <row r="3706" spans="1:24" hidden="1" x14ac:dyDescent="0.3">
      <c r="A3706" s="14" t="s">
        <v>486</v>
      </c>
      <c r="B3706" s="14" t="s">
        <v>161</v>
      </c>
      <c r="C3706" s="14" t="s">
        <v>357</v>
      </c>
      <c r="D3706" s="14" t="s">
        <v>358</v>
      </c>
      <c r="E3706" s="14" t="s">
        <v>342</v>
      </c>
      <c r="F3706" s="14" t="s">
        <v>343</v>
      </c>
      <c r="G3706" s="14" t="s">
        <v>343</v>
      </c>
      <c r="H3706" s="14" t="s">
        <v>343</v>
      </c>
      <c r="U3706" s="14">
        <v>1</v>
      </c>
      <c r="V3706" s="14">
        <v>1</v>
      </c>
      <c r="W3706" s="14">
        <v>1</v>
      </c>
      <c r="X3706" s="14">
        <v>1</v>
      </c>
    </row>
    <row r="3707" spans="1:24" hidden="1" x14ac:dyDescent="0.3">
      <c r="A3707" s="14" t="s">
        <v>486</v>
      </c>
      <c r="B3707" s="14" t="s">
        <v>161</v>
      </c>
      <c r="C3707" s="14" t="s">
        <v>357</v>
      </c>
      <c r="D3707" s="14" t="s">
        <v>358</v>
      </c>
      <c r="E3707" s="14" t="s">
        <v>344</v>
      </c>
      <c r="F3707" s="14" t="s">
        <v>343</v>
      </c>
      <c r="G3707" s="14" t="s">
        <v>343</v>
      </c>
      <c r="H3707" s="14" t="s">
        <v>343</v>
      </c>
      <c r="U3707" s="14">
        <v>1</v>
      </c>
      <c r="V3707" s="14">
        <v>1</v>
      </c>
      <c r="W3707" s="14">
        <v>1</v>
      </c>
      <c r="X3707" s="14">
        <v>1</v>
      </c>
    </row>
    <row r="3708" spans="1:24" hidden="1" x14ac:dyDescent="0.3">
      <c r="A3708" s="14" t="s">
        <v>486</v>
      </c>
      <c r="B3708" s="14" t="s">
        <v>161</v>
      </c>
      <c r="C3708" s="14" t="s">
        <v>359</v>
      </c>
      <c r="D3708" s="14" t="s">
        <v>360</v>
      </c>
      <c r="E3708" s="14" t="s">
        <v>342</v>
      </c>
      <c r="F3708" s="14" t="s">
        <v>343</v>
      </c>
      <c r="G3708" s="14" t="s">
        <v>343</v>
      </c>
      <c r="H3708" s="14" t="s">
        <v>343</v>
      </c>
      <c r="I3708" s="14">
        <v>0.7</v>
      </c>
      <c r="J3708" s="14">
        <v>0.67</v>
      </c>
      <c r="K3708" s="14">
        <v>0.76</v>
      </c>
      <c r="L3708" s="14">
        <v>0.83</v>
      </c>
      <c r="M3708" s="14">
        <v>0.87</v>
      </c>
      <c r="N3708" s="14">
        <v>0.85</v>
      </c>
      <c r="O3708" s="14">
        <v>0.84</v>
      </c>
      <c r="P3708" s="14">
        <v>0.83</v>
      </c>
      <c r="Q3708" s="14">
        <v>0.81</v>
      </c>
      <c r="R3708" s="14">
        <v>0.78</v>
      </c>
      <c r="S3708" s="14">
        <v>0.77</v>
      </c>
      <c r="T3708" s="14">
        <v>0.78</v>
      </c>
      <c r="U3708" s="14">
        <v>0.78</v>
      </c>
      <c r="V3708" s="14">
        <v>0.75</v>
      </c>
      <c r="W3708" s="14">
        <v>0.77</v>
      </c>
      <c r="X3708" s="14">
        <v>0.76</v>
      </c>
    </row>
    <row r="3709" spans="1:24" hidden="1" x14ac:dyDescent="0.3">
      <c r="A3709" s="14" t="s">
        <v>486</v>
      </c>
      <c r="B3709" s="14" t="s">
        <v>161</v>
      </c>
      <c r="C3709" s="14" t="s">
        <v>359</v>
      </c>
      <c r="D3709" s="14" t="s">
        <v>360</v>
      </c>
      <c r="E3709" s="14" t="s">
        <v>344</v>
      </c>
      <c r="F3709" s="14" t="s">
        <v>343</v>
      </c>
      <c r="G3709" s="14" t="s">
        <v>343</v>
      </c>
      <c r="H3709" s="14" t="s">
        <v>343</v>
      </c>
      <c r="I3709" s="14">
        <v>21</v>
      </c>
      <c r="J3709" s="14">
        <v>47</v>
      </c>
      <c r="K3709" s="14">
        <v>10</v>
      </c>
      <c r="L3709" s="14">
        <v>1</v>
      </c>
      <c r="M3709" s="14">
        <v>2</v>
      </c>
      <c r="N3709" s="14">
        <v>3</v>
      </c>
      <c r="O3709" s="14">
        <v>1</v>
      </c>
      <c r="P3709" s="14">
        <v>2</v>
      </c>
      <c r="Q3709" s="14">
        <v>10</v>
      </c>
      <c r="R3709" s="14">
        <v>22</v>
      </c>
      <c r="S3709" s="14">
        <v>23</v>
      </c>
      <c r="T3709" s="14">
        <v>20</v>
      </c>
      <c r="U3709" s="14">
        <v>20</v>
      </c>
      <c r="W3709" s="14">
        <v>23</v>
      </c>
      <c r="X3709" s="14">
        <v>26</v>
      </c>
    </row>
    <row r="3710" spans="1:24" x14ac:dyDescent="0.3">
      <c r="A3710" s="14" t="s">
        <v>486</v>
      </c>
      <c r="B3710" s="14" t="s">
        <v>161</v>
      </c>
      <c r="C3710" s="14" t="s">
        <v>361</v>
      </c>
      <c r="D3710" s="14" t="s">
        <v>362</v>
      </c>
      <c r="E3710" s="14" t="s">
        <v>342</v>
      </c>
      <c r="F3710" s="14" t="s">
        <v>343</v>
      </c>
      <c r="G3710" s="14" t="s">
        <v>343</v>
      </c>
      <c r="H3710" s="14" t="s">
        <v>343</v>
      </c>
      <c r="I3710" s="14">
        <v>0.98</v>
      </c>
      <c r="J3710" s="14">
        <v>0.98</v>
      </c>
      <c r="K3710" s="14">
        <v>0.98</v>
      </c>
      <c r="L3710" s="14">
        <v>0.98</v>
      </c>
      <c r="M3710" s="14">
        <v>0.98</v>
      </c>
      <c r="N3710" s="14">
        <v>0.98</v>
      </c>
      <c r="O3710" s="14">
        <v>0.98</v>
      </c>
      <c r="P3710" s="14">
        <v>0.98</v>
      </c>
      <c r="Q3710" s="14">
        <v>0.98</v>
      </c>
      <c r="R3710" s="14">
        <v>0.98</v>
      </c>
      <c r="S3710" s="14">
        <v>0.98</v>
      </c>
      <c r="T3710" s="14">
        <v>0.98</v>
      </c>
      <c r="U3710" s="14">
        <v>0.98</v>
      </c>
      <c r="V3710" s="14">
        <v>0.98</v>
      </c>
      <c r="W3710" s="14">
        <v>0.98</v>
      </c>
      <c r="X3710" s="14">
        <v>0.98</v>
      </c>
    </row>
    <row r="3711" spans="1:24" hidden="1" x14ac:dyDescent="0.3">
      <c r="A3711" s="14" t="s">
        <v>486</v>
      </c>
      <c r="B3711" s="14" t="s">
        <v>161</v>
      </c>
      <c r="C3711" s="14" t="s">
        <v>361</v>
      </c>
      <c r="D3711" s="14" t="s">
        <v>362</v>
      </c>
      <c r="E3711" s="14" t="s">
        <v>344</v>
      </c>
      <c r="F3711" s="14" t="s">
        <v>343</v>
      </c>
      <c r="G3711" s="14" t="s">
        <v>343</v>
      </c>
      <c r="H3711" s="14" t="s">
        <v>343</v>
      </c>
      <c r="I3711" s="14">
        <v>1</v>
      </c>
      <c r="J3711" s="14">
        <v>1</v>
      </c>
      <c r="K3711" s="14">
        <v>1</v>
      </c>
      <c r="L3711" s="14">
        <v>1</v>
      </c>
      <c r="M3711" s="14">
        <v>1</v>
      </c>
      <c r="N3711" s="14">
        <v>1</v>
      </c>
      <c r="O3711" s="14">
        <v>1</v>
      </c>
      <c r="P3711" s="14">
        <v>1</v>
      </c>
      <c r="Q3711" s="14">
        <v>1</v>
      </c>
      <c r="R3711" s="14">
        <v>1</v>
      </c>
      <c r="S3711" s="14">
        <v>1</v>
      </c>
      <c r="T3711" s="14">
        <v>1</v>
      </c>
      <c r="U3711" s="14">
        <v>1</v>
      </c>
      <c r="V3711" s="14">
        <v>1</v>
      </c>
      <c r="W3711" s="14">
        <v>1</v>
      </c>
      <c r="X3711" s="14">
        <v>1</v>
      </c>
    </row>
    <row r="3712" spans="1:24" hidden="1" x14ac:dyDescent="0.3">
      <c r="A3712" s="14" t="s">
        <v>486</v>
      </c>
      <c r="B3712" s="14" t="s">
        <v>161</v>
      </c>
      <c r="C3712" s="14" t="s">
        <v>363</v>
      </c>
      <c r="D3712" s="14" t="s">
        <v>364</v>
      </c>
      <c r="E3712" s="14" t="s">
        <v>342</v>
      </c>
      <c r="F3712" s="14" t="s">
        <v>343</v>
      </c>
      <c r="G3712" s="14" t="s">
        <v>343</v>
      </c>
      <c r="H3712" s="14" t="s">
        <v>343</v>
      </c>
      <c r="U3712" s="14">
        <v>1.06</v>
      </c>
      <c r="V3712" s="14">
        <v>1.06</v>
      </c>
      <c r="W3712" s="14">
        <v>1.06</v>
      </c>
      <c r="X3712" s="14">
        <v>1.06</v>
      </c>
    </row>
    <row r="3713" spans="1:24" hidden="1" x14ac:dyDescent="0.3">
      <c r="A3713" s="14" t="s">
        <v>486</v>
      </c>
      <c r="B3713" s="14" t="s">
        <v>161</v>
      </c>
      <c r="C3713" s="14" t="s">
        <v>363</v>
      </c>
      <c r="D3713" s="14" t="s">
        <v>364</v>
      </c>
      <c r="E3713" s="14" t="s">
        <v>344</v>
      </c>
      <c r="F3713" s="14" t="s">
        <v>343</v>
      </c>
      <c r="G3713" s="14" t="s">
        <v>343</v>
      </c>
      <c r="H3713" s="14" t="s">
        <v>343</v>
      </c>
      <c r="U3713" s="14">
        <v>1</v>
      </c>
      <c r="V3713" s="14">
        <v>1</v>
      </c>
      <c r="W3713" s="14">
        <v>1</v>
      </c>
      <c r="X3713" s="14">
        <v>1</v>
      </c>
    </row>
    <row r="3714" spans="1:24" hidden="1" x14ac:dyDescent="0.3">
      <c r="A3714" s="14" t="s">
        <v>486</v>
      </c>
      <c r="B3714" s="14" t="s">
        <v>161</v>
      </c>
      <c r="C3714" s="14" t="s">
        <v>365</v>
      </c>
      <c r="D3714" s="14" t="s">
        <v>366</v>
      </c>
      <c r="E3714" s="14" t="s">
        <v>342</v>
      </c>
      <c r="F3714" s="14" t="s">
        <v>343</v>
      </c>
      <c r="G3714" s="14" t="s">
        <v>343</v>
      </c>
      <c r="H3714" s="14" t="s">
        <v>343</v>
      </c>
      <c r="U3714" s="14">
        <v>0.94</v>
      </c>
      <c r="V3714" s="14">
        <v>0.94</v>
      </c>
      <c r="W3714" s="14">
        <v>0.94</v>
      </c>
      <c r="X3714" s="14">
        <v>0.94</v>
      </c>
    </row>
    <row r="3715" spans="1:24" hidden="1" x14ac:dyDescent="0.3">
      <c r="A3715" s="14" t="s">
        <v>486</v>
      </c>
      <c r="B3715" s="14" t="s">
        <v>161</v>
      </c>
      <c r="C3715" s="14" t="s">
        <v>365</v>
      </c>
      <c r="D3715" s="14" t="s">
        <v>366</v>
      </c>
      <c r="E3715" s="14" t="s">
        <v>344</v>
      </c>
      <c r="F3715" s="14" t="s">
        <v>343</v>
      </c>
      <c r="G3715" s="14" t="s">
        <v>343</v>
      </c>
      <c r="H3715" s="14" t="s">
        <v>343</v>
      </c>
      <c r="U3715" s="14">
        <v>1</v>
      </c>
      <c r="V3715" s="14">
        <v>1</v>
      </c>
      <c r="W3715" s="14">
        <v>1</v>
      </c>
      <c r="X3715" s="14">
        <v>1</v>
      </c>
    </row>
    <row r="3716" spans="1:24" hidden="1" x14ac:dyDescent="0.3">
      <c r="A3716" s="14" t="s">
        <v>486</v>
      </c>
      <c r="B3716" s="14" t="s">
        <v>161</v>
      </c>
      <c r="C3716" s="14" t="s">
        <v>367</v>
      </c>
      <c r="D3716" s="14" t="s">
        <v>368</v>
      </c>
      <c r="E3716" s="14" t="s">
        <v>342</v>
      </c>
      <c r="F3716" s="14" t="s">
        <v>343</v>
      </c>
      <c r="G3716" s="14" t="s">
        <v>343</v>
      </c>
      <c r="H3716" s="14" t="s">
        <v>343</v>
      </c>
      <c r="I3716" s="14">
        <v>0.68</v>
      </c>
      <c r="J3716" s="14">
        <v>0.67</v>
      </c>
      <c r="K3716" s="14">
        <v>0.7</v>
      </c>
      <c r="L3716" s="14">
        <v>0.72</v>
      </c>
      <c r="M3716" s="14">
        <v>0.72</v>
      </c>
      <c r="N3716" s="14">
        <v>0.71</v>
      </c>
      <c r="O3716" s="14">
        <v>0.71</v>
      </c>
      <c r="P3716" s="14">
        <v>0.72</v>
      </c>
      <c r="Q3716" s="14">
        <v>0.72</v>
      </c>
      <c r="R3716" s="14">
        <v>0.71</v>
      </c>
      <c r="S3716" s="14">
        <v>0.7</v>
      </c>
      <c r="T3716" s="14">
        <v>0.71</v>
      </c>
      <c r="U3716" s="14">
        <v>0.71</v>
      </c>
      <c r="V3716" s="14">
        <v>0.71</v>
      </c>
      <c r="W3716" s="14">
        <v>0.72</v>
      </c>
      <c r="X3716" s="14">
        <v>0.72</v>
      </c>
    </row>
    <row r="3717" spans="1:24" hidden="1" x14ac:dyDescent="0.3">
      <c r="A3717" s="14" t="s">
        <v>486</v>
      </c>
      <c r="B3717" s="14" t="s">
        <v>161</v>
      </c>
      <c r="C3717" s="14" t="s">
        <v>367</v>
      </c>
      <c r="D3717" s="14" t="s">
        <v>368</v>
      </c>
      <c r="E3717" s="14" t="s">
        <v>344</v>
      </c>
      <c r="F3717" s="14" t="s">
        <v>343</v>
      </c>
      <c r="G3717" s="14" t="s">
        <v>343</v>
      </c>
      <c r="H3717" s="14" t="s">
        <v>343</v>
      </c>
      <c r="I3717" s="14">
        <v>42</v>
      </c>
      <c r="J3717" s="14">
        <v>62</v>
      </c>
      <c r="K3717" s="14">
        <v>40</v>
      </c>
      <c r="L3717" s="14">
        <v>22</v>
      </c>
      <c r="M3717" s="14">
        <v>27</v>
      </c>
      <c r="N3717" s="14">
        <v>36</v>
      </c>
      <c r="O3717" s="14">
        <v>44</v>
      </c>
      <c r="P3717" s="14">
        <v>33</v>
      </c>
      <c r="Q3717" s="14">
        <v>42</v>
      </c>
      <c r="R3717" s="14">
        <v>56</v>
      </c>
      <c r="S3717" s="14">
        <v>58</v>
      </c>
      <c r="T3717" s="14">
        <v>53</v>
      </c>
      <c r="U3717" s="14">
        <v>58</v>
      </c>
      <c r="V3717" s="14">
        <v>79</v>
      </c>
      <c r="W3717" s="14">
        <v>69</v>
      </c>
      <c r="X3717" s="14">
        <v>70</v>
      </c>
    </row>
    <row r="3718" spans="1:24" hidden="1" x14ac:dyDescent="0.3">
      <c r="A3718" s="14" t="s">
        <v>486</v>
      </c>
      <c r="B3718" s="14" t="s">
        <v>161</v>
      </c>
      <c r="C3718" s="14" t="s">
        <v>369</v>
      </c>
      <c r="D3718" s="14" t="s">
        <v>370</v>
      </c>
      <c r="E3718" s="14" t="s">
        <v>342</v>
      </c>
      <c r="F3718" s="14" t="s">
        <v>343</v>
      </c>
      <c r="G3718" s="14" t="s">
        <v>343</v>
      </c>
      <c r="H3718" s="14" t="s">
        <v>343</v>
      </c>
      <c r="I3718" s="14">
        <v>0.05</v>
      </c>
      <c r="J3718" s="14">
        <v>0.05</v>
      </c>
      <c r="K3718" s="14">
        <v>0.08</v>
      </c>
      <c r="L3718" s="14">
        <v>0.08</v>
      </c>
      <c r="M3718" s="14">
        <v>0.03</v>
      </c>
      <c r="N3718" s="14">
        <v>0.03</v>
      </c>
      <c r="O3718" s="14">
        <v>0.03</v>
      </c>
      <c r="P3718" s="14">
        <v>7.0000000000000007E-2</v>
      </c>
      <c r="Q3718" s="14">
        <v>0.1</v>
      </c>
      <c r="R3718" s="14">
        <v>0.08</v>
      </c>
      <c r="S3718" s="14">
        <v>0.08</v>
      </c>
      <c r="T3718" s="14">
        <v>0.1</v>
      </c>
      <c r="U3718" s="14">
        <v>0.1</v>
      </c>
      <c r="V3718" s="14">
        <v>0.1</v>
      </c>
      <c r="W3718" s="14">
        <v>0.12</v>
      </c>
      <c r="X3718" s="14">
        <v>0.12</v>
      </c>
    </row>
    <row r="3719" spans="1:24" hidden="1" x14ac:dyDescent="0.3">
      <c r="A3719" s="14" t="s">
        <v>486</v>
      </c>
      <c r="B3719" s="14" t="s">
        <v>161</v>
      </c>
      <c r="C3719" s="14" t="s">
        <v>369</v>
      </c>
      <c r="D3719" s="14" t="s">
        <v>370</v>
      </c>
      <c r="E3719" s="14" t="s">
        <v>344</v>
      </c>
      <c r="F3719" s="14" t="s">
        <v>343</v>
      </c>
      <c r="G3719" s="14" t="s">
        <v>343</v>
      </c>
      <c r="H3719" s="14" t="s">
        <v>343</v>
      </c>
      <c r="I3719" s="14">
        <v>101</v>
      </c>
      <c r="J3719" s="14">
        <v>113</v>
      </c>
      <c r="K3719" s="14">
        <v>95</v>
      </c>
      <c r="L3719" s="14">
        <v>100</v>
      </c>
      <c r="M3719" s="14">
        <v>124</v>
      </c>
      <c r="N3719" s="14">
        <v>125</v>
      </c>
      <c r="O3719" s="14">
        <v>127</v>
      </c>
      <c r="P3719" s="14">
        <v>108</v>
      </c>
      <c r="Q3719" s="14">
        <v>103</v>
      </c>
      <c r="R3719" s="14">
        <v>117</v>
      </c>
      <c r="S3719" s="14">
        <v>119</v>
      </c>
      <c r="T3719" s="14">
        <v>107</v>
      </c>
      <c r="V3719" s="14">
        <v>120</v>
      </c>
      <c r="W3719" s="14">
        <v>116</v>
      </c>
      <c r="X3719" s="14">
        <v>113</v>
      </c>
    </row>
    <row r="3720" spans="1:24" hidden="1" x14ac:dyDescent="0.3">
      <c r="A3720" s="14" t="s">
        <v>486</v>
      </c>
      <c r="B3720" s="14" t="s">
        <v>161</v>
      </c>
      <c r="C3720" s="14" t="s">
        <v>371</v>
      </c>
      <c r="D3720" s="14" t="s">
        <v>372</v>
      </c>
      <c r="E3720" s="14" t="s">
        <v>342</v>
      </c>
      <c r="F3720" s="14" t="s">
        <v>343</v>
      </c>
      <c r="G3720" s="14" t="s">
        <v>343</v>
      </c>
      <c r="H3720" s="14" t="s">
        <v>343</v>
      </c>
      <c r="U3720" s="14">
        <v>0</v>
      </c>
      <c r="V3720" s="14">
        <v>0</v>
      </c>
      <c r="W3720" s="14">
        <v>0</v>
      </c>
      <c r="X3720" s="14">
        <v>0</v>
      </c>
    </row>
    <row r="3721" spans="1:24" hidden="1" x14ac:dyDescent="0.3">
      <c r="A3721" s="14" t="s">
        <v>486</v>
      </c>
      <c r="B3721" s="14" t="s">
        <v>161</v>
      </c>
      <c r="C3721" s="14" t="s">
        <v>371</v>
      </c>
      <c r="D3721" s="14" t="s">
        <v>372</v>
      </c>
      <c r="E3721" s="14" t="s">
        <v>344</v>
      </c>
      <c r="F3721" s="14" t="s">
        <v>343</v>
      </c>
      <c r="G3721" s="14" t="s">
        <v>343</v>
      </c>
      <c r="H3721" s="14" t="s">
        <v>343</v>
      </c>
      <c r="U3721" s="14">
        <v>67</v>
      </c>
      <c r="V3721" s="14">
        <v>69</v>
      </c>
      <c r="W3721" s="14">
        <v>72</v>
      </c>
      <c r="X3721" s="14">
        <v>74</v>
      </c>
    </row>
    <row r="3722" spans="1:24" hidden="1" x14ac:dyDescent="0.3">
      <c r="A3722" s="14" t="s">
        <v>486</v>
      </c>
      <c r="B3722" s="14" t="s">
        <v>161</v>
      </c>
      <c r="C3722" s="14" t="s">
        <v>373</v>
      </c>
      <c r="D3722" s="14" t="s">
        <v>374</v>
      </c>
      <c r="E3722" s="14" t="s">
        <v>342</v>
      </c>
      <c r="F3722" s="14" t="s">
        <v>343</v>
      </c>
      <c r="G3722" s="14" t="s">
        <v>343</v>
      </c>
      <c r="H3722" s="14" t="s">
        <v>343</v>
      </c>
      <c r="U3722" s="14">
        <v>0.15</v>
      </c>
      <c r="V3722" s="14">
        <v>0.15</v>
      </c>
      <c r="W3722" s="14">
        <v>0.23</v>
      </c>
      <c r="X3722" s="14">
        <v>0.23</v>
      </c>
    </row>
    <row r="3723" spans="1:24" hidden="1" x14ac:dyDescent="0.3">
      <c r="A3723" s="14" t="s">
        <v>486</v>
      </c>
      <c r="B3723" s="14" t="s">
        <v>161</v>
      </c>
      <c r="C3723" s="14" t="s">
        <v>373</v>
      </c>
      <c r="D3723" s="14" t="s">
        <v>374</v>
      </c>
      <c r="E3723" s="14" t="s">
        <v>344</v>
      </c>
      <c r="F3723" s="14" t="s">
        <v>343</v>
      </c>
      <c r="G3723" s="14" t="s">
        <v>343</v>
      </c>
      <c r="H3723" s="14" t="s">
        <v>343</v>
      </c>
      <c r="U3723" s="14">
        <v>100</v>
      </c>
      <c r="V3723" s="14">
        <v>107</v>
      </c>
      <c r="W3723" s="14">
        <v>85</v>
      </c>
      <c r="X3723" s="14">
        <v>80</v>
      </c>
    </row>
    <row r="3724" spans="1:24" hidden="1" x14ac:dyDescent="0.3">
      <c r="A3724" s="14" t="s">
        <v>486</v>
      </c>
      <c r="B3724" s="14" t="s">
        <v>161</v>
      </c>
      <c r="C3724" s="14" t="s">
        <v>375</v>
      </c>
      <c r="D3724" s="14" t="s">
        <v>376</v>
      </c>
      <c r="E3724" s="14" t="s">
        <v>342</v>
      </c>
      <c r="F3724" s="14" t="s">
        <v>343</v>
      </c>
      <c r="G3724" s="14" t="s">
        <v>343</v>
      </c>
      <c r="H3724" s="14" t="s">
        <v>343</v>
      </c>
      <c r="U3724" s="14">
        <v>0.21</v>
      </c>
      <c r="V3724" s="14">
        <v>0.21</v>
      </c>
      <c r="W3724" s="14">
        <v>0.21</v>
      </c>
      <c r="X3724" s="14">
        <v>0.21</v>
      </c>
    </row>
    <row r="3725" spans="1:24" hidden="1" x14ac:dyDescent="0.3">
      <c r="A3725" s="14" t="s">
        <v>486</v>
      </c>
      <c r="B3725" s="14" t="s">
        <v>161</v>
      </c>
      <c r="C3725" s="14" t="s">
        <v>375</v>
      </c>
      <c r="D3725" s="14" t="s">
        <v>376</v>
      </c>
      <c r="E3725" s="14" t="s">
        <v>344</v>
      </c>
      <c r="F3725" s="14" t="s">
        <v>343</v>
      </c>
      <c r="G3725" s="14" t="s">
        <v>343</v>
      </c>
      <c r="H3725" s="14" t="s">
        <v>343</v>
      </c>
      <c r="U3725" s="14">
        <v>101</v>
      </c>
      <c r="V3725" s="14">
        <v>106</v>
      </c>
      <c r="W3725" s="14">
        <v>113</v>
      </c>
      <c r="X3725" s="14">
        <v>111</v>
      </c>
    </row>
    <row r="3726" spans="1:24" hidden="1" x14ac:dyDescent="0.3">
      <c r="A3726" s="14" t="s">
        <v>487</v>
      </c>
      <c r="B3726" s="14" t="s">
        <v>165</v>
      </c>
      <c r="C3726" s="14" t="s">
        <v>340</v>
      </c>
      <c r="D3726" s="14" t="s">
        <v>341</v>
      </c>
      <c r="E3726" s="14" t="s">
        <v>342</v>
      </c>
      <c r="F3726" s="14" t="s">
        <v>343</v>
      </c>
      <c r="G3726" s="14" t="s">
        <v>343</v>
      </c>
      <c r="H3726" s="14" t="s">
        <v>343</v>
      </c>
      <c r="J3726" s="14">
        <v>0.75</v>
      </c>
      <c r="K3726" s="14">
        <v>0.8</v>
      </c>
      <c r="L3726" s="14">
        <v>0.78</v>
      </c>
      <c r="M3726" s="14">
        <v>0.81</v>
      </c>
      <c r="N3726" s="14">
        <v>0.81</v>
      </c>
      <c r="O3726" s="14">
        <v>0.83</v>
      </c>
      <c r="P3726" s="14">
        <v>0.84</v>
      </c>
      <c r="Q3726" s="14">
        <v>0.83</v>
      </c>
      <c r="R3726" s="14">
        <v>0.86</v>
      </c>
      <c r="S3726" s="14">
        <v>0.87</v>
      </c>
      <c r="T3726" s="14">
        <v>0.86</v>
      </c>
      <c r="U3726" s="14">
        <v>0.89</v>
      </c>
      <c r="V3726" s="14">
        <v>0.9</v>
      </c>
      <c r="W3726" s="14">
        <v>0.9</v>
      </c>
      <c r="X3726" s="14">
        <v>0.88</v>
      </c>
    </row>
    <row r="3727" spans="1:24" hidden="1" x14ac:dyDescent="0.3">
      <c r="A3727" s="14" t="s">
        <v>487</v>
      </c>
      <c r="B3727" s="14" t="s">
        <v>165</v>
      </c>
      <c r="C3727" s="14" t="s">
        <v>340</v>
      </c>
      <c r="D3727" s="14" t="s">
        <v>341</v>
      </c>
      <c r="E3727" s="14" t="s">
        <v>344</v>
      </c>
      <c r="F3727" s="14" t="s">
        <v>343</v>
      </c>
      <c r="G3727" s="14" t="s">
        <v>343</v>
      </c>
      <c r="H3727" s="14" t="s">
        <v>343</v>
      </c>
      <c r="J3727" s="14">
        <v>120</v>
      </c>
      <c r="K3727" s="14">
        <v>121</v>
      </c>
      <c r="L3727" s="14">
        <v>126</v>
      </c>
      <c r="M3727" s="14">
        <v>123</v>
      </c>
      <c r="N3727" s="14">
        <v>124</v>
      </c>
      <c r="O3727" s="14">
        <v>123</v>
      </c>
      <c r="P3727" s="14">
        <v>124</v>
      </c>
      <c r="Q3727" s="14">
        <v>129</v>
      </c>
      <c r="R3727" s="14">
        <v>129</v>
      </c>
      <c r="S3727" s="14">
        <v>129</v>
      </c>
      <c r="T3727" s="14">
        <v>130</v>
      </c>
      <c r="U3727" s="14">
        <v>131</v>
      </c>
      <c r="V3727" s="14">
        <v>130</v>
      </c>
      <c r="W3727" s="14">
        <v>130</v>
      </c>
      <c r="X3727" s="14">
        <v>130</v>
      </c>
    </row>
    <row r="3728" spans="1:24" hidden="1" x14ac:dyDescent="0.3">
      <c r="A3728" s="14" t="s">
        <v>487</v>
      </c>
      <c r="B3728" s="14" t="s">
        <v>165</v>
      </c>
      <c r="C3728" s="14" t="s">
        <v>345</v>
      </c>
      <c r="D3728" s="14" t="s">
        <v>346</v>
      </c>
      <c r="E3728" s="14" t="s">
        <v>342</v>
      </c>
      <c r="F3728" s="14" t="s">
        <v>343</v>
      </c>
      <c r="G3728" s="14" t="s">
        <v>343</v>
      </c>
      <c r="H3728" s="14" t="s">
        <v>343</v>
      </c>
      <c r="U3728" s="14">
        <v>0.85</v>
      </c>
      <c r="V3728" s="14">
        <v>0.75</v>
      </c>
      <c r="W3728" s="14">
        <v>0.78</v>
      </c>
      <c r="X3728" s="14">
        <v>0.77</v>
      </c>
    </row>
    <row r="3729" spans="1:24" hidden="1" x14ac:dyDescent="0.3">
      <c r="A3729" s="14" t="s">
        <v>487</v>
      </c>
      <c r="B3729" s="14" t="s">
        <v>165</v>
      </c>
      <c r="C3729" s="14" t="s">
        <v>345</v>
      </c>
      <c r="D3729" s="14" t="s">
        <v>346</v>
      </c>
      <c r="E3729" s="14" t="s">
        <v>344</v>
      </c>
      <c r="F3729" s="14" t="s">
        <v>343</v>
      </c>
      <c r="G3729" s="14" t="s">
        <v>343</v>
      </c>
      <c r="H3729" s="14" t="s">
        <v>343</v>
      </c>
      <c r="U3729" s="14">
        <v>8</v>
      </c>
      <c r="V3729" s="14">
        <v>21</v>
      </c>
      <c r="W3729" s="14">
        <v>19</v>
      </c>
      <c r="X3729" s="14">
        <v>22</v>
      </c>
    </row>
    <row r="3730" spans="1:24" hidden="1" x14ac:dyDescent="0.3">
      <c r="A3730" s="14" t="s">
        <v>487</v>
      </c>
      <c r="B3730" s="14" t="s">
        <v>165</v>
      </c>
      <c r="C3730" s="14" t="s">
        <v>347</v>
      </c>
      <c r="D3730" s="14" t="s">
        <v>348</v>
      </c>
      <c r="E3730" s="14" t="s">
        <v>342</v>
      </c>
      <c r="F3730" s="14" t="s">
        <v>343</v>
      </c>
      <c r="G3730" s="14" t="s">
        <v>343</v>
      </c>
      <c r="H3730" s="14" t="s">
        <v>343</v>
      </c>
      <c r="U3730" s="14">
        <v>1</v>
      </c>
      <c r="V3730" s="14">
        <v>0.98</v>
      </c>
      <c r="W3730" s="14">
        <v>0.99</v>
      </c>
      <c r="X3730" s="14">
        <v>0.98</v>
      </c>
    </row>
    <row r="3731" spans="1:24" hidden="1" x14ac:dyDescent="0.3">
      <c r="A3731" s="14" t="s">
        <v>487</v>
      </c>
      <c r="B3731" s="14" t="s">
        <v>165</v>
      </c>
      <c r="C3731" s="14" t="s">
        <v>347</v>
      </c>
      <c r="D3731" s="14" t="s">
        <v>348</v>
      </c>
      <c r="E3731" s="14" t="s">
        <v>344</v>
      </c>
      <c r="F3731" s="14" t="s">
        <v>343</v>
      </c>
      <c r="G3731" s="14" t="s">
        <v>343</v>
      </c>
      <c r="H3731" s="14" t="s">
        <v>343</v>
      </c>
      <c r="U3731" s="14">
        <v>1</v>
      </c>
      <c r="V3731" s="14">
        <v>6</v>
      </c>
      <c r="W3731" s="14">
        <v>6</v>
      </c>
      <c r="X3731" s="14">
        <v>5</v>
      </c>
    </row>
    <row r="3732" spans="1:24" hidden="1" x14ac:dyDescent="0.3">
      <c r="A3732" s="14" t="s">
        <v>487</v>
      </c>
      <c r="B3732" s="14" t="s">
        <v>165</v>
      </c>
      <c r="C3732" s="14" t="s">
        <v>349</v>
      </c>
      <c r="D3732" s="14" t="s">
        <v>350</v>
      </c>
      <c r="E3732" s="14" t="s">
        <v>342</v>
      </c>
      <c r="F3732" s="14" t="s">
        <v>343</v>
      </c>
      <c r="G3732" s="14" t="s">
        <v>343</v>
      </c>
      <c r="H3732" s="14" t="s">
        <v>343</v>
      </c>
      <c r="U3732" s="14">
        <v>0.32</v>
      </c>
      <c r="V3732" s="14">
        <v>0.32</v>
      </c>
      <c r="W3732" s="14">
        <v>0.32</v>
      </c>
      <c r="X3732" s="14">
        <v>0.32</v>
      </c>
    </row>
    <row r="3733" spans="1:24" hidden="1" x14ac:dyDescent="0.3">
      <c r="A3733" s="14" t="s">
        <v>487</v>
      </c>
      <c r="B3733" s="14" t="s">
        <v>165</v>
      </c>
      <c r="C3733" s="14" t="s">
        <v>349</v>
      </c>
      <c r="D3733" s="14" t="s">
        <v>350</v>
      </c>
      <c r="E3733" s="14" t="s">
        <v>344</v>
      </c>
      <c r="F3733" s="14" t="s">
        <v>343</v>
      </c>
      <c r="G3733" s="14" t="s">
        <v>343</v>
      </c>
      <c r="H3733" s="14" t="s">
        <v>343</v>
      </c>
      <c r="U3733" s="14">
        <v>101</v>
      </c>
      <c r="V3733" s="14">
        <v>110</v>
      </c>
      <c r="W3733" s="14">
        <v>111</v>
      </c>
      <c r="X3733" s="14">
        <v>108</v>
      </c>
    </row>
    <row r="3734" spans="1:24" hidden="1" x14ac:dyDescent="0.3">
      <c r="A3734" s="14" t="s">
        <v>487</v>
      </c>
      <c r="B3734" s="14" t="s">
        <v>165</v>
      </c>
      <c r="C3734" s="14" t="s">
        <v>351</v>
      </c>
      <c r="D3734" s="14" t="s">
        <v>352</v>
      </c>
      <c r="E3734" s="14" t="s">
        <v>342</v>
      </c>
      <c r="F3734" s="14" t="s">
        <v>343</v>
      </c>
      <c r="G3734" s="14" t="s">
        <v>343</v>
      </c>
      <c r="H3734" s="14" t="s">
        <v>343</v>
      </c>
      <c r="U3734" s="14">
        <v>0.54</v>
      </c>
      <c r="V3734" s="14">
        <v>0.54</v>
      </c>
      <c r="W3734" s="14">
        <v>0.54</v>
      </c>
      <c r="X3734" s="14">
        <v>0.54</v>
      </c>
    </row>
    <row r="3735" spans="1:24" hidden="1" x14ac:dyDescent="0.3">
      <c r="A3735" s="14" t="s">
        <v>487</v>
      </c>
      <c r="B3735" s="14" t="s">
        <v>165</v>
      </c>
      <c r="C3735" s="14" t="s">
        <v>351</v>
      </c>
      <c r="D3735" s="14" t="s">
        <v>352</v>
      </c>
      <c r="E3735" s="14" t="s">
        <v>344</v>
      </c>
      <c r="F3735" s="14" t="s">
        <v>343</v>
      </c>
      <c r="G3735" s="14" t="s">
        <v>343</v>
      </c>
      <c r="H3735" s="14" t="s">
        <v>343</v>
      </c>
      <c r="U3735" s="14">
        <v>120</v>
      </c>
      <c r="V3735" s="14">
        <v>124</v>
      </c>
      <c r="W3735" s="14">
        <v>123</v>
      </c>
      <c r="X3735" s="14">
        <v>113</v>
      </c>
    </row>
    <row r="3736" spans="1:24" hidden="1" x14ac:dyDescent="0.3">
      <c r="A3736" s="14" t="s">
        <v>487</v>
      </c>
      <c r="B3736" s="14" t="s">
        <v>165</v>
      </c>
      <c r="C3736" s="14" t="s">
        <v>378</v>
      </c>
      <c r="D3736" s="14" t="s">
        <v>379</v>
      </c>
      <c r="E3736" s="14" t="s">
        <v>342</v>
      </c>
      <c r="F3736" s="14" t="s">
        <v>343</v>
      </c>
      <c r="G3736" s="14" t="s">
        <v>343</v>
      </c>
      <c r="H3736" s="14" t="s">
        <v>343</v>
      </c>
      <c r="S3736" s="14">
        <v>0.63</v>
      </c>
      <c r="U3736" s="14">
        <v>0.56000000000000005</v>
      </c>
      <c r="V3736" s="14">
        <v>0.56000000000000005</v>
      </c>
      <c r="W3736" s="14">
        <v>0.56000000000000005</v>
      </c>
      <c r="X3736" s="14">
        <v>0.56000000000000005</v>
      </c>
    </row>
    <row r="3737" spans="1:24" hidden="1" x14ac:dyDescent="0.3">
      <c r="A3737" s="14" t="s">
        <v>487</v>
      </c>
      <c r="B3737" s="14" t="s">
        <v>165</v>
      </c>
      <c r="C3737" s="14" t="s">
        <v>378</v>
      </c>
      <c r="D3737" s="14" t="s">
        <v>379</v>
      </c>
      <c r="E3737" s="14" t="s">
        <v>344</v>
      </c>
      <c r="F3737" s="14" t="s">
        <v>343</v>
      </c>
      <c r="G3737" s="14" t="s">
        <v>343</v>
      </c>
      <c r="H3737" s="14" t="s">
        <v>343</v>
      </c>
      <c r="S3737" s="14">
        <v>81</v>
      </c>
      <c r="U3737" s="14">
        <v>110</v>
      </c>
      <c r="V3737" s="14">
        <v>114</v>
      </c>
      <c r="W3737" s="14">
        <v>121</v>
      </c>
      <c r="X3737" s="14">
        <v>116</v>
      </c>
    </row>
    <row r="3738" spans="1:24" hidden="1" x14ac:dyDescent="0.3">
      <c r="A3738" s="14" t="s">
        <v>487</v>
      </c>
      <c r="B3738" s="14" t="s">
        <v>165</v>
      </c>
      <c r="C3738" s="14" t="s">
        <v>353</v>
      </c>
      <c r="D3738" s="14" t="s">
        <v>354</v>
      </c>
      <c r="E3738" s="14" t="s">
        <v>342</v>
      </c>
      <c r="F3738" s="14" t="s">
        <v>343</v>
      </c>
      <c r="G3738" s="14" t="s">
        <v>343</v>
      </c>
      <c r="H3738" s="14" t="s">
        <v>343</v>
      </c>
      <c r="U3738" s="14">
        <v>0.61</v>
      </c>
      <c r="V3738" s="14">
        <v>0.69</v>
      </c>
      <c r="W3738" s="14">
        <v>0.69</v>
      </c>
      <c r="X3738" s="14">
        <v>0.69</v>
      </c>
    </row>
    <row r="3739" spans="1:24" hidden="1" x14ac:dyDescent="0.3">
      <c r="A3739" s="14" t="s">
        <v>487</v>
      </c>
      <c r="B3739" s="14" t="s">
        <v>165</v>
      </c>
      <c r="C3739" s="14" t="s">
        <v>353</v>
      </c>
      <c r="D3739" s="14" t="s">
        <v>354</v>
      </c>
      <c r="E3739" s="14" t="s">
        <v>344</v>
      </c>
      <c r="F3739" s="14" t="s">
        <v>343</v>
      </c>
      <c r="G3739" s="14" t="s">
        <v>343</v>
      </c>
      <c r="H3739" s="14" t="s">
        <v>343</v>
      </c>
      <c r="U3739" s="14">
        <v>135</v>
      </c>
      <c r="V3739" s="14">
        <v>137</v>
      </c>
      <c r="W3739" s="14">
        <v>138</v>
      </c>
      <c r="X3739" s="14">
        <v>129</v>
      </c>
    </row>
    <row r="3740" spans="1:24" hidden="1" x14ac:dyDescent="0.3">
      <c r="A3740" s="14" t="s">
        <v>487</v>
      </c>
      <c r="B3740" s="14" t="s">
        <v>165</v>
      </c>
      <c r="C3740" s="14" t="s">
        <v>380</v>
      </c>
      <c r="D3740" s="14" t="s">
        <v>381</v>
      </c>
      <c r="E3740" s="14" t="s">
        <v>342</v>
      </c>
      <c r="F3740" s="14" t="s">
        <v>343</v>
      </c>
      <c r="G3740" s="14" t="s">
        <v>343</v>
      </c>
      <c r="H3740" s="14" t="s">
        <v>343</v>
      </c>
      <c r="U3740" s="14">
        <v>0.97</v>
      </c>
      <c r="V3740" s="14">
        <v>0.97</v>
      </c>
      <c r="W3740" s="14">
        <v>0.97</v>
      </c>
      <c r="X3740" s="14">
        <v>0.97</v>
      </c>
    </row>
    <row r="3741" spans="1:24" hidden="1" x14ac:dyDescent="0.3">
      <c r="A3741" s="14" t="s">
        <v>487</v>
      </c>
      <c r="B3741" s="14" t="s">
        <v>165</v>
      </c>
      <c r="C3741" s="14" t="s">
        <v>380</v>
      </c>
      <c r="D3741" s="14" t="s">
        <v>381</v>
      </c>
      <c r="E3741" s="14" t="s">
        <v>344</v>
      </c>
      <c r="F3741" s="14" t="s">
        <v>343</v>
      </c>
      <c r="G3741" s="14" t="s">
        <v>343</v>
      </c>
      <c r="H3741" s="14" t="s">
        <v>343</v>
      </c>
      <c r="U3741" s="14">
        <v>120</v>
      </c>
      <c r="V3741" s="14">
        <v>130</v>
      </c>
      <c r="W3741" s="14">
        <v>131</v>
      </c>
      <c r="X3741" s="14">
        <v>105</v>
      </c>
    </row>
    <row r="3742" spans="1:24" hidden="1" x14ac:dyDescent="0.3">
      <c r="A3742" s="14" t="s">
        <v>487</v>
      </c>
      <c r="B3742" s="14" t="s">
        <v>165</v>
      </c>
      <c r="C3742" s="14" t="s">
        <v>355</v>
      </c>
      <c r="D3742" s="14" t="s">
        <v>356</v>
      </c>
      <c r="E3742" s="14" t="s">
        <v>342</v>
      </c>
      <c r="F3742" s="14" t="s">
        <v>343</v>
      </c>
      <c r="G3742" s="14" t="s">
        <v>343</v>
      </c>
      <c r="H3742" s="14" t="s">
        <v>343</v>
      </c>
      <c r="U3742" s="14">
        <v>1</v>
      </c>
      <c r="V3742" s="14">
        <v>1</v>
      </c>
      <c r="W3742" s="14">
        <v>1</v>
      </c>
      <c r="X3742" s="14">
        <v>0.89</v>
      </c>
    </row>
    <row r="3743" spans="1:24" hidden="1" x14ac:dyDescent="0.3">
      <c r="A3743" s="14" t="s">
        <v>487</v>
      </c>
      <c r="B3743" s="14" t="s">
        <v>165</v>
      </c>
      <c r="C3743" s="14" t="s">
        <v>355</v>
      </c>
      <c r="D3743" s="14" t="s">
        <v>356</v>
      </c>
      <c r="E3743" s="14" t="s">
        <v>344</v>
      </c>
      <c r="F3743" s="14" t="s">
        <v>343</v>
      </c>
      <c r="G3743" s="14" t="s">
        <v>343</v>
      </c>
      <c r="H3743" s="14" t="s">
        <v>343</v>
      </c>
      <c r="U3743" s="14">
        <v>1</v>
      </c>
      <c r="V3743" s="14">
        <v>1</v>
      </c>
      <c r="W3743" s="14">
        <v>1</v>
      </c>
      <c r="X3743" s="14">
        <v>122</v>
      </c>
    </row>
    <row r="3744" spans="1:24" hidden="1" x14ac:dyDescent="0.3">
      <c r="A3744" s="14" t="s">
        <v>487</v>
      </c>
      <c r="B3744" s="14" t="s">
        <v>165</v>
      </c>
      <c r="C3744" s="14" t="s">
        <v>357</v>
      </c>
      <c r="D3744" s="14" t="s">
        <v>358</v>
      </c>
      <c r="E3744" s="14" t="s">
        <v>342</v>
      </c>
      <c r="F3744" s="14" t="s">
        <v>343</v>
      </c>
      <c r="G3744" s="14" t="s">
        <v>343</v>
      </c>
      <c r="H3744" s="14" t="s">
        <v>343</v>
      </c>
      <c r="U3744" s="14">
        <v>0.81</v>
      </c>
      <c r="V3744" s="14">
        <v>0.81</v>
      </c>
      <c r="W3744" s="14">
        <v>0.81</v>
      </c>
      <c r="X3744" s="14">
        <v>0.81</v>
      </c>
    </row>
    <row r="3745" spans="1:24" hidden="1" x14ac:dyDescent="0.3">
      <c r="A3745" s="14" t="s">
        <v>487</v>
      </c>
      <c r="B3745" s="14" t="s">
        <v>165</v>
      </c>
      <c r="C3745" s="14" t="s">
        <v>357</v>
      </c>
      <c r="D3745" s="14" t="s">
        <v>358</v>
      </c>
      <c r="E3745" s="14" t="s">
        <v>344</v>
      </c>
      <c r="F3745" s="14" t="s">
        <v>343</v>
      </c>
      <c r="G3745" s="14" t="s">
        <v>343</v>
      </c>
      <c r="H3745" s="14" t="s">
        <v>343</v>
      </c>
      <c r="U3745" s="14">
        <v>111</v>
      </c>
      <c r="V3745" s="14">
        <v>119</v>
      </c>
      <c r="W3745" s="14">
        <v>120</v>
      </c>
      <c r="X3745" s="14">
        <v>115</v>
      </c>
    </row>
    <row r="3746" spans="1:24" hidden="1" x14ac:dyDescent="0.3">
      <c r="A3746" s="14" t="s">
        <v>487</v>
      </c>
      <c r="B3746" s="14" t="s">
        <v>165</v>
      </c>
      <c r="C3746" s="14" t="s">
        <v>359</v>
      </c>
      <c r="D3746" s="14" t="s">
        <v>360</v>
      </c>
      <c r="E3746" s="14" t="s">
        <v>342</v>
      </c>
      <c r="F3746" s="14" t="s">
        <v>343</v>
      </c>
      <c r="G3746" s="14" t="s">
        <v>343</v>
      </c>
      <c r="H3746" s="14" t="s">
        <v>343</v>
      </c>
      <c r="J3746" s="14">
        <v>0.8</v>
      </c>
      <c r="K3746" s="14">
        <v>0.83</v>
      </c>
      <c r="L3746" s="14">
        <v>0.81</v>
      </c>
      <c r="M3746" s="14">
        <v>0.81</v>
      </c>
      <c r="N3746" s="14">
        <v>0.78</v>
      </c>
      <c r="O3746" s="14">
        <v>0.8</v>
      </c>
      <c r="P3746" s="14">
        <v>0.79</v>
      </c>
      <c r="Q3746" s="14">
        <v>0.79</v>
      </c>
      <c r="R3746" s="14">
        <v>0.77</v>
      </c>
      <c r="S3746" s="14">
        <v>0.8</v>
      </c>
      <c r="T3746" s="14">
        <v>0.79</v>
      </c>
      <c r="U3746" s="14">
        <v>0.68</v>
      </c>
      <c r="V3746" s="14">
        <v>0.65</v>
      </c>
      <c r="W3746" s="14">
        <v>0.66</v>
      </c>
      <c r="X3746" s="14">
        <v>0.65</v>
      </c>
    </row>
    <row r="3747" spans="1:24" hidden="1" x14ac:dyDescent="0.3">
      <c r="A3747" s="14" t="s">
        <v>487</v>
      </c>
      <c r="B3747" s="14" t="s">
        <v>165</v>
      </c>
      <c r="C3747" s="14" t="s">
        <v>359</v>
      </c>
      <c r="D3747" s="14" t="s">
        <v>360</v>
      </c>
      <c r="E3747" s="14" t="s">
        <v>344</v>
      </c>
      <c r="F3747" s="14" t="s">
        <v>343</v>
      </c>
      <c r="G3747" s="14" t="s">
        <v>343</v>
      </c>
      <c r="H3747" s="14" t="s">
        <v>343</v>
      </c>
      <c r="J3747" s="14">
        <v>1</v>
      </c>
      <c r="K3747" s="14">
        <v>1</v>
      </c>
      <c r="L3747" s="14">
        <v>3</v>
      </c>
      <c r="M3747" s="14">
        <v>5</v>
      </c>
      <c r="N3747" s="14">
        <v>9</v>
      </c>
      <c r="O3747" s="14">
        <v>9</v>
      </c>
      <c r="P3747" s="14">
        <v>11</v>
      </c>
      <c r="Q3747" s="14">
        <v>19</v>
      </c>
      <c r="R3747" s="14">
        <v>29</v>
      </c>
      <c r="S3747" s="14">
        <v>13</v>
      </c>
      <c r="T3747" s="14">
        <v>17</v>
      </c>
      <c r="U3747" s="14">
        <v>74</v>
      </c>
      <c r="V3747" s="14">
        <v>93</v>
      </c>
      <c r="W3747" s="14">
        <v>95</v>
      </c>
      <c r="X3747" s="14">
        <v>90</v>
      </c>
    </row>
    <row r="3748" spans="1:24" x14ac:dyDescent="0.3">
      <c r="A3748" s="14" t="s">
        <v>487</v>
      </c>
      <c r="B3748" s="14" t="s">
        <v>165</v>
      </c>
      <c r="C3748" s="14" t="s">
        <v>361</v>
      </c>
      <c r="D3748" s="14" t="s">
        <v>362</v>
      </c>
      <c r="E3748" s="14" t="s">
        <v>342</v>
      </c>
      <c r="F3748" s="14" t="s">
        <v>343</v>
      </c>
      <c r="G3748" s="14" t="s">
        <v>343</v>
      </c>
      <c r="H3748" s="14" t="s">
        <v>343</v>
      </c>
      <c r="J3748" s="14">
        <v>0.98</v>
      </c>
      <c r="K3748" s="14">
        <v>0.98</v>
      </c>
      <c r="L3748" s="14">
        <v>0.98</v>
      </c>
      <c r="M3748" s="14">
        <v>0.96</v>
      </c>
      <c r="N3748" s="14">
        <v>0.96</v>
      </c>
      <c r="O3748" s="14">
        <v>0.96</v>
      </c>
      <c r="P3748" s="14">
        <v>0.96</v>
      </c>
      <c r="Q3748" s="14">
        <v>0.97</v>
      </c>
      <c r="R3748" s="14">
        <v>0.97</v>
      </c>
      <c r="S3748" s="14">
        <v>0.97</v>
      </c>
      <c r="T3748" s="14">
        <v>0.98</v>
      </c>
      <c r="U3748" s="14">
        <v>0.98</v>
      </c>
      <c r="V3748" s="14">
        <v>0.98</v>
      </c>
      <c r="W3748" s="14">
        <v>0.98</v>
      </c>
      <c r="X3748" s="14">
        <v>0.98</v>
      </c>
    </row>
    <row r="3749" spans="1:24" hidden="1" x14ac:dyDescent="0.3">
      <c r="A3749" s="14" t="s">
        <v>487</v>
      </c>
      <c r="B3749" s="14" t="s">
        <v>165</v>
      </c>
      <c r="C3749" s="14" t="s">
        <v>361</v>
      </c>
      <c r="D3749" s="14" t="s">
        <v>362</v>
      </c>
      <c r="E3749" s="14" t="s">
        <v>344</v>
      </c>
      <c r="F3749" s="14" t="s">
        <v>343</v>
      </c>
      <c r="G3749" s="14" t="s">
        <v>343</v>
      </c>
      <c r="H3749" s="14" t="s">
        <v>343</v>
      </c>
      <c r="J3749" s="14">
        <v>57</v>
      </c>
      <c r="K3749" s="14">
        <v>59</v>
      </c>
      <c r="L3749" s="14">
        <v>62</v>
      </c>
      <c r="M3749" s="14">
        <v>110</v>
      </c>
      <c r="N3749" s="14">
        <v>111</v>
      </c>
      <c r="O3749" s="14">
        <v>111</v>
      </c>
      <c r="P3749" s="14">
        <v>112</v>
      </c>
      <c r="Q3749" s="14">
        <v>104</v>
      </c>
      <c r="R3749" s="14">
        <v>114</v>
      </c>
      <c r="S3749" s="14">
        <v>113</v>
      </c>
      <c r="T3749" s="14">
        <v>56</v>
      </c>
      <c r="U3749" s="14">
        <v>1</v>
      </c>
      <c r="V3749" s="14">
        <v>1</v>
      </c>
      <c r="W3749" s="14">
        <v>1</v>
      </c>
      <c r="X3749" s="14">
        <v>1</v>
      </c>
    </row>
    <row r="3750" spans="1:24" hidden="1" x14ac:dyDescent="0.3">
      <c r="A3750" s="14" t="s">
        <v>487</v>
      </c>
      <c r="B3750" s="14" t="s">
        <v>165</v>
      </c>
      <c r="C3750" s="14" t="s">
        <v>363</v>
      </c>
      <c r="D3750" s="14" t="s">
        <v>364</v>
      </c>
      <c r="E3750" s="14" t="s">
        <v>342</v>
      </c>
      <c r="F3750" s="14" t="s">
        <v>343</v>
      </c>
      <c r="G3750" s="14" t="s">
        <v>343</v>
      </c>
      <c r="H3750" s="14" t="s">
        <v>343</v>
      </c>
      <c r="U3750" s="14">
        <v>1.06</v>
      </c>
      <c r="V3750" s="14">
        <v>1.06</v>
      </c>
      <c r="W3750" s="14">
        <v>1.06</v>
      </c>
      <c r="X3750" s="14">
        <v>1.06</v>
      </c>
    </row>
    <row r="3751" spans="1:24" hidden="1" x14ac:dyDescent="0.3">
      <c r="A3751" s="14" t="s">
        <v>487</v>
      </c>
      <c r="B3751" s="14" t="s">
        <v>165</v>
      </c>
      <c r="C3751" s="14" t="s">
        <v>363</v>
      </c>
      <c r="D3751" s="14" t="s">
        <v>364</v>
      </c>
      <c r="E3751" s="14" t="s">
        <v>344</v>
      </c>
      <c r="F3751" s="14" t="s">
        <v>343</v>
      </c>
      <c r="G3751" s="14" t="s">
        <v>343</v>
      </c>
      <c r="H3751" s="14" t="s">
        <v>343</v>
      </c>
      <c r="U3751" s="14">
        <v>1</v>
      </c>
      <c r="V3751" s="14">
        <v>1</v>
      </c>
      <c r="W3751" s="14">
        <v>1</v>
      </c>
      <c r="X3751" s="14">
        <v>1</v>
      </c>
    </row>
    <row r="3752" spans="1:24" hidden="1" x14ac:dyDescent="0.3">
      <c r="A3752" s="14" t="s">
        <v>487</v>
      </c>
      <c r="B3752" s="14" t="s">
        <v>165</v>
      </c>
      <c r="C3752" s="14" t="s">
        <v>365</v>
      </c>
      <c r="D3752" s="14" t="s">
        <v>366</v>
      </c>
      <c r="E3752" s="14" t="s">
        <v>342</v>
      </c>
      <c r="F3752" s="14" t="s">
        <v>343</v>
      </c>
      <c r="G3752" s="14" t="s">
        <v>343</v>
      </c>
      <c r="H3752" s="14" t="s">
        <v>343</v>
      </c>
      <c r="U3752" s="14">
        <v>0.94</v>
      </c>
      <c r="V3752" s="14">
        <v>0.94</v>
      </c>
      <c r="W3752" s="14">
        <v>0.94</v>
      </c>
      <c r="X3752" s="14">
        <v>0.94</v>
      </c>
    </row>
    <row r="3753" spans="1:24" hidden="1" x14ac:dyDescent="0.3">
      <c r="A3753" s="14" t="s">
        <v>487</v>
      </c>
      <c r="B3753" s="14" t="s">
        <v>165</v>
      </c>
      <c r="C3753" s="14" t="s">
        <v>365</v>
      </c>
      <c r="D3753" s="14" t="s">
        <v>366</v>
      </c>
      <c r="E3753" s="14" t="s">
        <v>344</v>
      </c>
      <c r="F3753" s="14" t="s">
        <v>343</v>
      </c>
      <c r="G3753" s="14" t="s">
        <v>343</v>
      </c>
      <c r="H3753" s="14" t="s">
        <v>343</v>
      </c>
      <c r="U3753" s="14">
        <v>1</v>
      </c>
      <c r="V3753" s="14">
        <v>1</v>
      </c>
      <c r="W3753" s="14">
        <v>1</v>
      </c>
      <c r="X3753" s="14">
        <v>1</v>
      </c>
    </row>
    <row r="3754" spans="1:24" hidden="1" x14ac:dyDescent="0.3">
      <c r="A3754" s="14" t="s">
        <v>487</v>
      </c>
      <c r="B3754" s="14" t="s">
        <v>165</v>
      </c>
      <c r="C3754" s="14" t="s">
        <v>367</v>
      </c>
      <c r="D3754" s="14" t="s">
        <v>368</v>
      </c>
      <c r="E3754" s="14" t="s">
        <v>342</v>
      </c>
      <c r="F3754" s="14" t="s">
        <v>343</v>
      </c>
      <c r="G3754" s="14" t="s">
        <v>343</v>
      </c>
      <c r="H3754" s="14" t="s">
        <v>343</v>
      </c>
      <c r="J3754" s="14">
        <v>0.69</v>
      </c>
      <c r="K3754" s="14">
        <v>0.73</v>
      </c>
      <c r="L3754" s="14">
        <v>0.72</v>
      </c>
      <c r="M3754" s="14">
        <v>0.73</v>
      </c>
      <c r="N3754" s="14">
        <v>0.73</v>
      </c>
      <c r="O3754" s="14">
        <v>0.74</v>
      </c>
      <c r="P3754" s="14">
        <v>0.73</v>
      </c>
      <c r="Q3754" s="14">
        <v>0.74</v>
      </c>
      <c r="R3754" s="14">
        <v>0.74</v>
      </c>
      <c r="S3754" s="14">
        <v>0.75</v>
      </c>
      <c r="T3754" s="14">
        <v>0.74</v>
      </c>
      <c r="U3754" s="14">
        <v>0.72</v>
      </c>
      <c r="V3754" s="14">
        <v>0.72</v>
      </c>
      <c r="W3754" s="14">
        <v>0.76</v>
      </c>
      <c r="X3754" s="14">
        <v>0.75</v>
      </c>
    </row>
    <row r="3755" spans="1:24" hidden="1" x14ac:dyDescent="0.3">
      <c r="A3755" s="14" t="s">
        <v>487</v>
      </c>
      <c r="B3755" s="14" t="s">
        <v>165</v>
      </c>
      <c r="C3755" s="14" t="s">
        <v>367</v>
      </c>
      <c r="D3755" s="14" t="s">
        <v>368</v>
      </c>
      <c r="E3755" s="14" t="s">
        <v>344</v>
      </c>
      <c r="F3755" s="14" t="s">
        <v>343</v>
      </c>
      <c r="G3755" s="14" t="s">
        <v>343</v>
      </c>
      <c r="H3755" s="14" t="s">
        <v>343</v>
      </c>
      <c r="J3755" s="14">
        <v>43</v>
      </c>
      <c r="K3755" s="14">
        <v>18</v>
      </c>
      <c r="L3755" s="14">
        <v>26</v>
      </c>
      <c r="M3755" s="14">
        <v>22</v>
      </c>
      <c r="N3755" s="14">
        <v>26</v>
      </c>
      <c r="O3755" s="14">
        <v>23</v>
      </c>
      <c r="P3755" s="14">
        <v>26</v>
      </c>
      <c r="Q3755" s="14">
        <v>27</v>
      </c>
      <c r="R3755" s="14">
        <v>27</v>
      </c>
      <c r="S3755" s="14">
        <v>21</v>
      </c>
      <c r="T3755" s="14">
        <v>29</v>
      </c>
      <c r="U3755" s="14">
        <v>49</v>
      </c>
      <c r="V3755" s="14">
        <v>56</v>
      </c>
      <c r="W3755" s="14">
        <v>32</v>
      </c>
      <c r="X3755" s="14">
        <v>34</v>
      </c>
    </row>
    <row r="3756" spans="1:24" hidden="1" x14ac:dyDescent="0.3">
      <c r="A3756" s="14" t="s">
        <v>487</v>
      </c>
      <c r="B3756" s="14" t="s">
        <v>165</v>
      </c>
      <c r="C3756" s="14" t="s">
        <v>369</v>
      </c>
      <c r="D3756" s="14" t="s">
        <v>370</v>
      </c>
      <c r="E3756" s="14" t="s">
        <v>342</v>
      </c>
      <c r="F3756" s="14" t="s">
        <v>343</v>
      </c>
      <c r="G3756" s="14" t="s">
        <v>343</v>
      </c>
      <c r="H3756" s="14" t="s">
        <v>343</v>
      </c>
      <c r="J3756" s="14">
        <v>0.23</v>
      </c>
      <c r="K3756" s="14">
        <v>0.28999999999999998</v>
      </c>
      <c r="L3756" s="14">
        <v>0.3</v>
      </c>
      <c r="M3756" s="14">
        <v>0.35</v>
      </c>
      <c r="N3756" s="14">
        <v>0.35</v>
      </c>
      <c r="O3756" s="14">
        <v>0.35</v>
      </c>
      <c r="P3756" s="14">
        <v>0.35</v>
      </c>
      <c r="Q3756" s="14">
        <v>0.36</v>
      </c>
      <c r="R3756" s="14">
        <v>0.36</v>
      </c>
      <c r="S3756" s="14">
        <v>0.36</v>
      </c>
      <c r="T3756" s="14">
        <v>0.34</v>
      </c>
      <c r="U3756" s="14">
        <v>0.34</v>
      </c>
      <c r="V3756" s="14">
        <v>0.36</v>
      </c>
      <c r="W3756" s="14">
        <v>0.49</v>
      </c>
      <c r="X3756" s="14">
        <v>0.49</v>
      </c>
    </row>
    <row r="3757" spans="1:24" hidden="1" x14ac:dyDescent="0.3">
      <c r="A3757" s="14" t="s">
        <v>487</v>
      </c>
      <c r="B3757" s="14" t="s">
        <v>165</v>
      </c>
      <c r="C3757" s="14" t="s">
        <v>369</v>
      </c>
      <c r="D3757" s="14" t="s">
        <v>370</v>
      </c>
      <c r="E3757" s="14" t="s">
        <v>344</v>
      </c>
      <c r="F3757" s="14" t="s">
        <v>343</v>
      </c>
      <c r="G3757" s="14" t="s">
        <v>343</v>
      </c>
      <c r="H3757" s="14" t="s">
        <v>343</v>
      </c>
      <c r="J3757" s="14">
        <v>22</v>
      </c>
      <c r="K3757" s="14">
        <v>17</v>
      </c>
      <c r="L3757" s="14">
        <v>15</v>
      </c>
      <c r="M3757" s="14">
        <v>11</v>
      </c>
      <c r="N3757" s="14">
        <v>12</v>
      </c>
      <c r="O3757" s="14">
        <v>12</v>
      </c>
      <c r="P3757" s="14">
        <v>18</v>
      </c>
      <c r="Q3757" s="14">
        <v>19</v>
      </c>
      <c r="R3757" s="14">
        <v>21</v>
      </c>
      <c r="S3757" s="14">
        <v>21</v>
      </c>
      <c r="T3757" s="14">
        <v>24</v>
      </c>
      <c r="U3757" s="14">
        <v>26</v>
      </c>
      <c r="V3757" s="14">
        <v>26</v>
      </c>
      <c r="W3757" s="14">
        <v>13</v>
      </c>
      <c r="X3757" s="14">
        <v>14</v>
      </c>
    </row>
    <row r="3758" spans="1:24" hidden="1" x14ac:dyDescent="0.3">
      <c r="A3758" s="14" t="s">
        <v>487</v>
      </c>
      <c r="B3758" s="14" t="s">
        <v>165</v>
      </c>
      <c r="C3758" s="14" t="s">
        <v>371</v>
      </c>
      <c r="D3758" s="14" t="s">
        <v>372</v>
      </c>
      <c r="E3758" s="14" t="s">
        <v>342</v>
      </c>
      <c r="F3758" s="14" t="s">
        <v>343</v>
      </c>
      <c r="G3758" s="14" t="s">
        <v>343</v>
      </c>
      <c r="H3758" s="14" t="s">
        <v>343</v>
      </c>
      <c r="U3758" s="14">
        <v>0.13</v>
      </c>
      <c r="V3758" s="14">
        <v>0.13</v>
      </c>
      <c r="W3758" s="14">
        <v>0.13</v>
      </c>
      <c r="X3758" s="14">
        <v>0.13</v>
      </c>
    </row>
    <row r="3759" spans="1:24" hidden="1" x14ac:dyDescent="0.3">
      <c r="A3759" s="14" t="s">
        <v>487</v>
      </c>
      <c r="B3759" s="14" t="s">
        <v>165</v>
      </c>
      <c r="C3759" s="14" t="s">
        <v>371</v>
      </c>
      <c r="D3759" s="14" t="s">
        <v>372</v>
      </c>
      <c r="E3759" s="14" t="s">
        <v>344</v>
      </c>
      <c r="F3759" s="14" t="s">
        <v>343</v>
      </c>
      <c r="G3759" s="14" t="s">
        <v>343</v>
      </c>
      <c r="H3759" s="14" t="s">
        <v>343</v>
      </c>
      <c r="U3759" s="14">
        <v>21</v>
      </c>
      <c r="V3759" s="14">
        <v>24</v>
      </c>
      <c r="W3759" s="14">
        <v>24</v>
      </c>
      <c r="X3759" s="14">
        <v>23</v>
      </c>
    </row>
    <row r="3760" spans="1:24" hidden="1" x14ac:dyDescent="0.3">
      <c r="A3760" s="14" t="s">
        <v>487</v>
      </c>
      <c r="B3760" s="14" t="s">
        <v>165</v>
      </c>
      <c r="C3760" s="14" t="s">
        <v>373</v>
      </c>
      <c r="D3760" s="14" t="s">
        <v>374</v>
      </c>
      <c r="E3760" s="14" t="s">
        <v>342</v>
      </c>
      <c r="F3760" s="14" t="s">
        <v>343</v>
      </c>
      <c r="G3760" s="14" t="s">
        <v>343</v>
      </c>
      <c r="H3760" s="14" t="s">
        <v>343</v>
      </c>
      <c r="U3760" s="14">
        <v>0.31</v>
      </c>
      <c r="V3760" s="14">
        <v>0.4</v>
      </c>
      <c r="W3760" s="14">
        <v>0.84</v>
      </c>
      <c r="X3760" s="14">
        <v>0.83</v>
      </c>
    </row>
    <row r="3761" spans="1:24" hidden="1" x14ac:dyDescent="0.3">
      <c r="A3761" s="14" t="s">
        <v>487</v>
      </c>
      <c r="B3761" s="14" t="s">
        <v>165</v>
      </c>
      <c r="C3761" s="14" t="s">
        <v>373</v>
      </c>
      <c r="D3761" s="14" t="s">
        <v>374</v>
      </c>
      <c r="E3761" s="14" t="s">
        <v>344</v>
      </c>
      <c r="F3761" s="14" t="s">
        <v>343</v>
      </c>
      <c r="G3761" s="14" t="s">
        <v>343</v>
      </c>
      <c r="H3761" s="14" t="s">
        <v>343</v>
      </c>
      <c r="U3761" s="14">
        <v>46</v>
      </c>
      <c r="V3761" s="14">
        <v>43</v>
      </c>
      <c r="W3761" s="14">
        <v>15</v>
      </c>
      <c r="X3761" s="14">
        <v>15</v>
      </c>
    </row>
    <row r="3762" spans="1:24" hidden="1" x14ac:dyDescent="0.3">
      <c r="A3762" s="14" t="s">
        <v>487</v>
      </c>
      <c r="B3762" s="14" t="s">
        <v>165</v>
      </c>
      <c r="C3762" s="14" t="s">
        <v>375</v>
      </c>
      <c r="D3762" s="14" t="s">
        <v>376</v>
      </c>
      <c r="E3762" s="14" t="s">
        <v>342</v>
      </c>
      <c r="F3762" s="14" t="s">
        <v>343</v>
      </c>
      <c r="G3762" s="14" t="s">
        <v>343</v>
      </c>
      <c r="H3762" s="14" t="s">
        <v>343</v>
      </c>
      <c r="U3762" s="14">
        <v>0.66</v>
      </c>
      <c r="V3762" s="14">
        <v>0.66</v>
      </c>
      <c r="W3762" s="14">
        <v>0.74</v>
      </c>
      <c r="X3762" s="14">
        <v>0.74</v>
      </c>
    </row>
    <row r="3763" spans="1:24" hidden="1" x14ac:dyDescent="0.3">
      <c r="A3763" s="14" t="s">
        <v>487</v>
      </c>
      <c r="B3763" s="14" t="s">
        <v>165</v>
      </c>
      <c r="C3763" s="14" t="s">
        <v>375</v>
      </c>
      <c r="D3763" s="14" t="s">
        <v>376</v>
      </c>
      <c r="E3763" s="14" t="s">
        <v>344</v>
      </c>
      <c r="F3763" s="14" t="s">
        <v>343</v>
      </c>
      <c r="G3763" s="14" t="s">
        <v>343</v>
      </c>
      <c r="H3763" s="14" t="s">
        <v>343</v>
      </c>
      <c r="U3763" s="14">
        <v>13</v>
      </c>
      <c r="V3763" s="14">
        <v>17</v>
      </c>
      <c r="W3763" s="14">
        <v>16</v>
      </c>
      <c r="X3763" s="14">
        <v>18</v>
      </c>
    </row>
    <row r="3764" spans="1:24" hidden="1" x14ac:dyDescent="0.3">
      <c r="A3764" s="14" t="s">
        <v>488</v>
      </c>
      <c r="B3764" s="14" t="s">
        <v>155</v>
      </c>
      <c r="C3764" s="14" t="s">
        <v>340</v>
      </c>
      <c r="D3764" s="14" t="s">
        <v>341</v>
      </c>
      <c r="E3764" s="14" t="s">
        <v>342</v>
      </c>
      <c r="F3764" s="14" t="s">
        <v>343</v>
      </c>
      <c r="G3764" s="14" t="s">
        <v>343</v>
      </c>
      <c r="H3764" s="14" t="s">
        <v>343</v>
      </c>
      <c r="I3764" s="14">
        <v>0.82</v>
      </c>
      <c r="J3764" s="14">
        <v>0.83</v>
      </c>
      <c r="K3764" s="14">
        <v>0.86</v>
      </c>
      <c r="L3764" s="14">
        <v>0.85</v>
      </c>
      <c r="M3764" s="14">
        <v>0.85</v>
      </c>
      <c r="N3764" s="14">
        <v>0.86</v>
      </c>
      <c r="O3764" s="14">
        <v>0.86</v>
      </c>
      <c r="P3764" s="14">
        <v>0.86</v>
      </c>
      <c r="Q3764" s="14">
        <v>0.83</v>
      </c>
      <c r="R3764" s="14">
        <v>0.84</v>
      </c>
      <c r="S3764" s="14">
        <v>0.86</v>
      </c>
      <c r="T3764" s="14">
        <v>0.85</v>
      </c>
      <c r="U3764" s="14">
        <v>0.86</v>
      </c>
      <c r="V3764" s="14">
        <v>0.88</v>
      </c>
      <c r="W3764" s="14">
        <v>0.88</v>
      </c>
    </row>
    <row r="3765" spans="1:24" hidden="1" x14ac:dyDescent="0.3">
      <c r="A3765" s="14" t="s">
        <v>488</v>
      </c>
      <c r="B3765" s="14" t="s">
        <v>155</v>
      </c>
      <c r="C3765" s="14" t="s">
        <v>340</v>
      </c>
      <c r="D3765" s="14" t="s">
        <v>341</v>
      </c>
      <c r="E3765" s="14" t="s">
        <v>344</v>
      </c>
      <c r="F3765" s="14" t="s">
        <v>343</v>
      </c>
      <c r="G3765" s="14" t="s">
        <v>343</v>
      </c>
      <c r="H3765" s="14" t="s">
        <v>343</v>
      </c>
      <c r="I3765" s="14">
        <v>103</v>
      </c>
      <c r="J3765" s="14">
        <v>114</v>
      </c>
      <c r="K3765" s="14">
        <v>113</v>
      </c>
      <c r="L3765" s="14">
        <v>120</v>
      </c>
      <c r="M3765" s="14">
        <v>118</v>
      </c>
      <c r="N3765" s="14">
        <v>117</v>
      </c>
      <c r="O3765" s="14">
        <v>119</v>
      </c>
      <c r="P3765" s="14">
        <v>119</v>
      </c>
      <c r="Q3765" s="14">
        <v>130</v>
      </c>
      <c r="R3765" s="14">
        <v>132</v>
      </c>
      <c r="S3765" s="14">
        <v>131</v>
      </c>
      <c r="T3765" s="14">
        <v>131</v>
      </c>
      <c r="U3765" s="14">
        <v>134</v>
      </c>
      <c r="V3765" s="14">
        <v>137</v>
      </c>
      <c r="W3765" s="14">
        <v>138</v>
      </c>
    </row>
    <row r="3766" spans="1:24" hidden="1" x14ac:dyDescent="0.3">
      <c r="A3766" s="14" t="s">
        <v>488</v>
      </c>
      <c r="B3766" s="14" t="s">
        <v>155</v>
      </c>
      <c r="C3766" s="14" t="s">
        <v>345</v>
      </c>
      <c r="D3766" s="14" t="s">
        <v>346</v>
      </c>
      <c r="E3766" s="14" t="s">
        <v>342</v>
      </c>
      <c r="F3766" s="14" t="s">
        <v>343</v>
      </c>
      <c r="G3766" s="14" t="s">
        <v>343</v>
      </c>
      <c r="H3766" s="14" t="s">
        <v>343</v>
      </c>
      <c r="U3766" s="14">
        <v>0.34</v>
      </c>
      <c r="V3766" s="14">
        <v>0.35</v>
      </c>
      <c r="W3766" s="14">
        <v>0.34</v>
      </c>
    </row>
    <row r="3767" spans="1:24" hidden="1" x14ac:dyDescent="0.3">
      <c r="A3767" s="14" t="s">
        <v>488</v>
      </c>
      <c r="B3767" s="14" t="s">
        <v>155</v>
      </c>
      <c r="C3767" s="14" t="s">
        <v>345</v>
      </c>
      <c r="D3767" s="14" t="s">
        <v>346</v>
      </c>
      <c r="E3767" s="14" t="s">
        <v>344</v>
      </c>
      <c r="F3767" s="14" t="s">
        <v>343</v>
      </c>
      <c r="G3767" s="14" t="s">
        <v>343</v>
      </c>
      <c r="H3767" s="14" t="s">
        <v>343</v>
      </c>
      <c r="U3767" s="14">
        <v>128</v>
      </c>
      <c r="V3767" s="14">
        <v>134</v>
      </c>
      <c r="W3767" s="14">
        <v>138</v>
      </c>
    </row>
    <row r="3768" spans="1:24" hidden="1" x14ac:dyDescent="0.3">
      <c r="A3768" s="14" t="s">
        <v>488</v>
      </c>
      <c r="B3768" s="14" t="s">
        <v>155</v>
      </c>
      <c r="C3768" s="14" t="s">
        <v>347</v>
      </c>
      <c r="D3768" s="14" t="s">
        <v>348</v>
      </c>
      <c r="E3768" s="14" t="s">
        <v>342</v>
      </c>
      <c r="F3768" s="14" t="s">
        <v>343</v>
      </c>
      <c r="G3768" s="14" t="s">
        <v>343</v>
      </c>
      <c r="H3768" s="14" t="s">
        <v>343</v>
      </c>
      <c r="U3768" s="14">
        <v>0.47</v>
      </c>
      <c r="V3768" s="14">
        <v>0.47</v>
      </c>
      <c r="W3768" s="14">
        <v>0.46</v>
      </c>
    </row>
    <row r="3769" spans="1:24" hidden="1" x14ac:dyDescent="0.3">
      <c r="A3769" s="14" t="s">
        <v>488</v>
      </c>
      <c r="B3769" s="14" t="s">
        <v>155</v>
      </c>
      <c r="C3769" s="14" t="s">
        <v>347</v>
      </c>
      <c r="D3769" s="14" t="s">
        <v>348</v>
      </c>
      <c r="E3769" s="14" t="s">
        <v>344</v>
      </c>
      <c r="F3769" s="14" t="s">
        <v>343</v>
      </c>
      <c r="G3769" s="14" t="s">
        <v>343</v>
      </c>
      <c r="H3769" s="14" t="s">
        <v>343</v>
      </c>
      <c r="U3769" s="14">
        <v>132</v>
      </c>
      <c r="V3769" s="14">
        <v>138</v>
      </c>
      <c r="W3769" s="14">
        <v>141</v>
      </c>
    </row>
    <row r="3770" spans="1:24" hidden="1" x14ac:dyDescent="0.3">
      <c r="A3770" s="14" t="s">
        <v>488</v>
      </c>
      <c r="B3770" s="14" t="s">
        <v>155</v>
      </c>
      <c r="C3770" s="14" t="s">
        <v>378</v>
      </c>
      <c r="D3770" s="14" t="s">
        <v>379</v>
      </c>
      <c r="E3770" s="14" t="s">
        <v>342</v>
      </c>
      <c r="F3770" s="14" t="s">
        <v>343</v>
      </c>
      <c r="G3770" s="14" t="s">
        <v>343</v>
      </c>
      <c r="H3770" s="14" t="s">
        <v>343</v>
      </c>
      <c r="S3770" s="14">
        <v>0.56999999999999995</v>
      </c>
      <c r="U3770" s="14">
        <v>0.42</v>
      </c>
      <c r="V3770" s="14">
        <v>0.42</v>
      </c>
      <c r="W3770" s="14">
        <v>0.5</v>
      </c>
    </row>
    <row r="3771" spans="1:24" hidden="1" x14ac:dyDescent="0.3">
      <c r="A3771" s="14" t="s">
        <v>488</v>
      </c>
      <c r="B3771" s="14" t="s">
        <v>155</v>
      </c>
      <c r="C3771" s="14" t="s">
        <v>378</v>
      </c>
      <c r="D3771" s="14" t="s">
        <v>379</v>
      </c>
      <c r="E3771" s="14" t="s">
        <v>344</v>
      </c>
      <c r="F3771" s="14" t="s">
        <v>343</v>
      </c>
      <c r="G3771" s="14" t="s">
        <v>343</v>
      </c>
      <c r="H3771" s="14" t="s">
        <v>343</v>
      </c>
      <c r="S3771" s="14">
        <v>108</v>
      </c>
      <c r="U3771" s="14">
        <v>136</v>
      </c>
      <c r="V3771" s="14">
        <v>136</v>
      </c>
      <c r="W3771" s="14">
        <v>133</v>
      </c>
    </row>
    <row r="3772" spans="1:24" hidden="1" x14ac:dyDescent="0.3">
      <c r="A3772" s="14" t="s">
        <v>488</v>
      </c>
      <c r="B3772" s="14" t="s">
        <v>155</v>
      </c>
      <c r="C3772" s="14" t="s">
        <v>353</v>
      </c>
      <c r="D3772" s="14" t="s">
        <v>354</v>
      </c>
      <c r="E3772" s="14" t="s">
        <v>342</v>
      </c>
      <c r="F3772" s="14" t="s">
        <v>343</v>
      </c>
      <c r="G3772" s="14" t="s">
        <v>343</v>
      </c>
      <c r="H3772" s="14" t="s">
        <v>343</v>
      </c>
      <c r="U3772" s="14">
        <v>0.62</v>
      </c>
      <c r="V3772" s="14">
        <v>0.68</v>
      </c>
      <c r="W3772" s="14">
        <v>0.68</v>
      </c>
    </row>
    <row r="3773" spans="1:24" hidden="1" x14ac:dyDescent="0.3">
      <c r="A3773" s="14" t="s">
        <v>488</v>
      </c>
      <c r="B3773" s="14" t="s">
        <v>155</v>
      </c>
      <c r="C3773" s="14" t="s">
        <v>353</v>
      </c>
      <c r="D3773" s="14" t="s">
        <v>354</v>
      </c>
      <c r="E3773" s="14" t="s">
        <v>344</v>
      </c>
      <c r="F3773" s="14" t="s">
        <v>343</v>
      </c>
      <c r="G3773" s="14" t="s">
        <v>343</v>
      </c>
      <c r="H3773" s="14" t="s">
        <v>343</v>
      </c>
      <c r="U3773" s="14">
        <v>133</v>
      </c>
      <c r="V3773" s="14">
        <v>138</v>
      </c>
      <c r="W3773" s="14">
        <v>139</v>
      </c>
    </row>
    <row r="3774" spans="1:24" hidden="1" x14ac:dyDescent="0.3">
      <c r="A3774" s="14" t="s">
        <v>488</v>
      </c>
      <c r="B3774" s="14" t="s">
        <v>155</v>
      </c>
      <c r="C3774" s="14" t="s">
        <v>380</v>
      </c>
      <c r="D3774" s="14" t="s">
        <v>381</v>
      </c>
      <c r="E3774" s="14" t="s">
        <v>342</v>
      </c>
      <c r="F3774" s="14" t="s">
        <v>343</v>
      </c>
      <c r="G3774" s="14" t="s">
        <v>343</v>
      </c>
      <c r="H3774" s="14" t="s">
        <v>343</v>
      </c>
      <c r="U3774" s="14">
        <v>1</v>
      </c>
      <c r="V3774" s="14">
        <v>1</v>
      </c>
      <c r="W3774" s="14">
        <v>1</v>
      </c>
    </row>
    <row r="3775" spans="1:24" hidden="1" x14ac:dyDescent="0.3">
      <c r="A3775" s="14" t="s">
        <v>488</v>
      </c>
      <c r="B3775" s="14" t="s">
        <v>155</v>
      </c>
      <c r="C3775" s="14" t="s">
        <v>380</v>
      </c>
      <c r="D3775" s="14" t="s">
        <v>381</v>
      </c>
      <c r="E3775" s="14" t="s">
        <v>344</v>
      </c>
      <c r="F3775" s="14" t="s">
        <v>343</v>
      </c>
      <c r="G3775" s="14" t="s">
        <v>343</v>
      </c>
      <c r="H3775" s="14" t="s">
        <v>343</v>
      </c>
      <c r="U3775" s="14">
        <v>1</v>
      </c>
      <c r="V3775" s="14">
        <v>1</v>
      </c>
      <c r="W3775" s="14">
        <v>1</v>
      </c>
    </row>
    <row r="3776" spans="1:24" hidden="1" x14ac:dyDescent="0.3">
      <c r="A3776" s="14" t="s">
        <v>488</v>
      </c>
      <c r="B3776" s="14" t="s">
        <v>155</v>
      </c>
      <c r="C3776" s="14" t="s">
        <v>355</v>
      </c>
      <c r="D3776" s="14" t="s">
        <v>356</v>
      </c>
      <c r="E3776" s="14" t="s">
        <v>342</v>
      </c>
      <c r="F3776" s="14" t="s">
        <v>343</v>
      </c>
      <c r="G3776" s="14" t="s">
        <v>343</v>
      </c>
      <c r="H3776" s="14" t="s">
        <v>343</v>
      </c>
      <c r="U3776" s="14">
        <v>0.97</v>
      </c>
      <c r="V3776" s="14">
        <v>1</v>
      </c>
      <c r="W3776" s="14">
        <v>1</v>
      </c>
    </row>
    <row r="3777" spans="1:23" hidden="1" x14ac:dyDescent="0.3">
      <c r="A3777" s="14" t="s">
        <v>488</v>
      </c>
      <c r="B3777" s="14" t="s">
        <v>155</v>
      </c>
      <c r="C3777" s="14" t="s">
        <v>355</v>
      </c>
      <c r="D3777" s="14" t="s">
        <v>356</v>
      </c>
      <c r="E3777" s="14" t="s">
        <v>344</v>
      </c>
      <c r="F3777" s="14" t="s">
        <v>343</v>
      </c>
      <c r="G3777" s="14" t="s">
        <v>343</v>
      </c>
      <c r="H3777" s="14" t="s">
        <v>343</v>
      </c>
      <c r="U3777" s="14">
        <v>119</v>
      </c>
      <c r="V3777" s="14">
        <v>1</v>
      </c>
      <c r="W3777" s="14">
        <v>1</v>
      </c>
    </row>
    <row r="3778" spans="1:23" hidden="1" x14ac:dyDescent="0.3">
      <c r="A3778" s="14" t="s">
        <v>488</v>
      </c>
      <c r="B3778" s="14" t="s">
        <v>155</v>
      </c>
      <c r="C3778" s="14" t="s">
        <v>357</v>
      </c>
      <c r="D3778" s="14" t="s">
        <v>358</v>
      </c>
      <c r="E3778" s="14" t="s">
        <v>342</v>
      </c>
      <c r="F3778" s="14" t="s">
        <v>343</v>
      </c>
      <c r="G3778" s="14" t="s">
        <v>343</v>
      </c>
      <c r="H3778" s="14" t="s">
        <v>343</v>
      </c>
      <c r="U3778" s="14">
        <v>0.5</v>
      </c>
      <c r="V3778" s="14">
        <v>0.5</v>
      </c>
      <c r="W3778" s="14">
        <v>0.5</v>
      </c>
    </row>
    <row r="3779" spans="1:23" hidden="1" x14ac:dyDescent="0.3">
      <c r="A3779" s="14" t="s">
        <v>488</v>
      </c>
      <c r="B3779" s="14" t="s">
        <v>155</v>
      </c>
      <c r="C3779" s="14" t="s">
        <v>357</v>
      </c>
      <c r="D3779" s="14" t="s">
        <v>358</v>
      </c>
      <c r="E3779" s="14" t="s">
        <v>344</v>
      </c>
      <c r="F3779" s="14" t="s">
        <v>343</v>
      </c>
      <c r="G3779" s="14" t="s">
        <v>343</v>
      </c>
      <c r="H3779" s="14" t="s">
        <v>343</v>
      </c>
      <c r="U3779" s="14">
        <v>131</v>
      </c>
      <c r="V3779" s="14">
        <v>140</v>
      </c>
      <c r="W3779" s="14">
        <v>141</v>
      </c>
    </row>
    <row r="3780" spans="1:23" hidden="1" x14ac:dyDescent="0.3">
      <c r="A3780" s="14" t="s">
        <v>488</v>
      </c>
      <c r="B3780" s="14" t="s">
        <v>155</v>
      </c>
      <c r="C3780" s="14" t="s">
        <v>359</v>
      </c>
      <c r="D3780" s="14" t="s">
        <v>360</v>
      </c>
      <c r="E3780" s="14" t="s">
        <v>342</v>
      </c>
      <c r="F3780" s="14" t="s">
        <v>343</v>
      </c>
      <c r="G3780" s="14" t="s">
        <v>343</v>
      </c>
      <c r="H3780" s="14" t="s">
        <v>343</v>
      </c>
      <c r="I3780" s="14">
        <v>0.5</v>
      </c>
      <c r="J3780" s="14">
        <v>0.5</v>
      </c>
      <c r="K3780" s="14">
        <v>0.49</v>
      </c>
      <c r="L3780" s="14">
        <v>0.49</v>
      </c>
      <c r="M3780" s="14">
        <v>0.47</v>
      </c>
      <c r="N3780" s="14">
        <v>0.46</v>
      </c>
      <c r="O3780" s="14">
        <v>0.5</v>
      </c>
      <c r="P3780" s="14">
        <v>0.37</v>
      </c>
      <c r="Q3780" s="14">
        <v>0.47</v>
      </c>
      <c r="R3780" s="14">
        <v>0.45</v>
      </c>
      <c r="S3780" s="14">
        <v>0.47</v>
      </c>
      <c r="T3780" s="14">
        <v>0.42</v>
      </c>
      <c r="U3780" s="14">
        <v>0.41</v>
      </c>
      <c r="V3780" s="14">
        <v>0.41</v>
      </c>
      <c r="W3780" s="14">
        <v>0.44</v>
      </c>
    </row>
    <row r="3781" spans="1:23" hidden="1" x14ac:dyDescent="0.3">
      <c r="A3781" s="14" t="s">
        <v>488</v>
      </c>
      <c r="B3781" s="14" t="s">
        <v>155</v>
      </c>
      <c r="C3781" s="14" t="s">
        <v>359</v>
      </c>
      <c r="D3781" s="14" t="s">
        <v>360</v>
      </c>
      <c r="E3781" s="14" t="s">
        <v>344</v>
      </c>
      <c r="F3781" s="14" t="s">
        <v>343</v>
      </c>
      <c r="G3781" s="14" t="s">
        <v>343</v>
      </c>
      <c r="H3781" s="14" t="s">
        <v>343</v>
      </c>
      <c r="I3781" s="14">
        <v>93</v>
      </c>
      <c r="J3781" s="14">
        <v>108</v>
      </c>
      <c r="K3781" s="14">
        <v>108</v>
      </c>
      <c r="L3781" s="14">
        <v>117</v>
      </c>
      <c r="M3781" s="14">
        <v>118</v>
      </c>
      <c r="N3781" s="14">
        <v>120</v>
      </c>
      <c r="O3781" s="14">
        <v>119</v>
      </c>
      <c r="P3781" s="14">
        <v>131</v>
      </c>
      <c r="Q3781" s="14">
        <v>129</v>
      </c>
      <c r="R3781" s="14">
        <v>132</v>
      </c>
      <c r="S3781" s="14">
        <v>128</v>
      </c>
      <c r="T3781" s="14">
        <v>134</v>
      </c>
      <c r="U3781" s="14">
        <v>140</v>
      </c>
      <c r="V3781" s="14">
        <v>144</v>
      </c>
      <c r="W3781" s="14">
        <v>145</v>
      </c>
    </row>
    <row r="3782" spans="1:23" x14ac:dyDescent="0.3">
      <c r="A3782" s="14" t="s">
        <v>488</v>
      </c>
      <c r="B3782" s="14" t="s">
        <v>155</v>
      </c>
      <c r="C3782" s="14" t="s">
        <v>361</v>
      </c>
      <c r="D3782" s="14" t="s">
        <v>362</v>
      </c>
      <c r="E3782" s="14" t="s">
        <v>342</v>
      </c>
      <c r="F3782" s="14" t="s">
        <v>343</v>
      </c>
      <c r="G3782" s="14" t="s">
        <v>343</v>
      </c>
      <c r="H3782" s="14" t="s">
        <v>343</v>
      </c>
      <c r="I3782" s="14">
        <v>0.98</v>
      </c>
      <c r="J3782" s="14">
        <v>0.98</v>
      </c>
      <c r="K3782" s="14">
        <v>0.98</v>
      </c>
      <c r="L3782" s="14">
        <v>0.98</v>
      </c>
      <c r="M3782" s="14">
        <v>0.98</v>
      </c>
      <c r="N3782" s="14">
        <v>0.98</v>
      </c>
      <c r="O3782" s="14">
        <v>0.98</v>
      </c>
      <c r="Q3782" s="14">
        <v>0.97</v>
      </c>
      <c r="R3782" s="14">
        <v>0.97</v>
      </c>
      <c r="S3782" s="14">
        <v>0.97</v>
      </c>
      <c r="T3782" s="14">
        <v>0.97</v>
      </c>
      <c r="U3782" s="14">
        <v>0.97</v>
      </c>
      <c r="V3782" s="14">
        <v>0.97</v>
      </c>
      <c r="W3782" s="14">
        <v>0.96</v>
      </c>
    </row>
    <row r="3783" spans="1:23" hidden="1" x14ac:dyDescent="0.3">
      <c r="A3783" s="14" t="s">
        <v>488</v>
      </c>
      <c r="B3783" s="14" t="s">
        <v>155</v>
      </c>
      <c r="C3783" s="14" t="s">
        <v>361</v>
      </c>
      <c r="D3783" s="14" t="s">
        <v>362</v>
      </c>
      <c r="E3783" s="14" t="s">
        <v>344</v>
      </c>
      <c r="F3783" s="14" t="s">
        <v>343</v>
      </c>
      <c r="G3783" s="14" t="s">
        <v>343</v>
      </c>
      <c r="H3783" s="14" t="s">
        <v>343</v>
      </c>
      <c r="I3783" s="14">
        <v>1</v>
      </c>
      <c r="J3783" s="14">
        <v>1</v>
      </c>
      <c r="K3783" s="14">
        <v>1</v>
      </c>
      <c r="L3783" s="14">
        <v>1</v>
      </c>
      <c r="M3783" s="14">
        <v>1</v>
      </c>
      <c r="N3783" s="14">
        <v>1</v>
      </c>
      <c r="O3783" s="14">
        <v>1</v>
      </c>
      <c r="P3783" s="14">
        <v>1</v>
      </c>
      <c r="Q3783" s="14">
        <v>80</v>
      </c>
      <c r="R3783" s="14">
        <v>87</v>
      </c>
      <c r="S3783" s="14">
        <v>85</v>
      </c>
      <c r="T3783" s="14">
        <v>107</v>
      </c>
      <c r="U3783" s="14">
        <v>109</v>
      </c>
      <c r="V3783" s="14">
        <v>111</v>
      </c>
      <c r="W3783" s="14">
        <v>146</v>
      </c>
    </row>
    <row r="3784" spans="1:23" hidden="1" x14ac:dyDescent="0.3">
      <c r="A3784" s="14" t="s">
        <v>488</v>
      </c>
      <c r="B3784" s="14" t="s">
        <v>155</v>
      </c>
      <c r="C3784" s="14" t="s">
        <v>363</v>
      </c>
      <c r="D3784" s="14" t="s">
        <v>364</v>
      </c>
      <c r="E3784" s="14" t="s">
        <v>342</v>
      </c>
      <c r="F3784" s="14" t="s">
        <v>343</v>
      </c>
      <c r="G3784" s="14" t="s">
        <v>343</v>
      </c>
      <c r="H3784" s="14" t="s">
        <v>343</v>
      </c>
      <c r="U3784" s="14">
        <v>1.03</v>
      </c>
      <c r="V3784" s="14">
        <v>1.03</v>
      </c>
      <c r="W3784" s="14">
        <v>0.99</v>
      </c>
    </row>
    <row r="3785" spans="1:23" hidden="1" x14ac:dyDescent="0.3">
      <c r="A3785" s="14" t="s">
        <v>488</v>
      </c>
      <c r="B3785" s="14" t="s">
        <v>155</v>
      </c>
      <c r="C3785" s="14" t="s">
        <v>363</v>
      </c>
      <c r="D3785" s="14" t="s">
        <v>364</v>
      </c>
      <c r="E3785" s="14" t="s">
        <v>344</v>
      </c>
      <c r="F3785" s="14" t="s">
        <v>343</v>
      </c>
      <c r="G3785" s="14" t="s">
        <v>343</v>
      </c>
      <c r="H3785" s="14" t="s">
        <v>343</v>
      </c>
      <c r="U3785" s="14">
        <v>118</v>
      </c>
      <c r="V3785" s="14">
        <v>122</v>
      </c>
      <c r="W3785" s="14">
        <v>154</v>
      </c>
    </row>
    <row r="3786" spans="1:23" hidden="1" x14ac:dyDescent="0.3">
      <c r="A3786" s="14" t="s">
        <v>488</v>
      </c>
      <c r="B3786" s="14" t="s">
        <v>155</v>
      </c>
      <c r="C3786" s="14" t="s">
        <v>365</v>
      </c>
      <c r="D3786" s="14" t="s">
        <v>366</v>
      </c>
      <c r="E3786" s="14" t="s">
        <v>342</v>
      </c>
      <c r="F3786" s="14" t="s">
        <v>343</v>
      </c>
      <c r="G3786" s="14" t="s">
        <v>343</v>
      </c>
      <c r="H3786" s="14" t="s">
        <v>343</v>
      </c>
      <c r="U3786" s="14">
        <v>0.94</v>
      </c>
      <c r="V3786" s="14">
        <v>0.94</v>
      </c>
      <c r="W3786" s="14">
        <v>0.94</v>
      </c>
    </row>
    <row r="3787" spans="1:23" hidden="1" x14ac:dyDescent="0.3">
      <c r="A3787" s="14" t="s">
        <v>488</v>
      </c>
      <c r="B3787" s="14" t="s">
        <v>155</v>
      </c>
      <c r="C3787" s="14" t="s">
        <v>365</v>
      </c>
      <c r="D3787" s="14" t="s">
        <v>366</v>
      </c>
      <c r="E3787" s="14" t="s">
        <v>344</v>
      </c>
      <c r="F3787" s="14" t="s">
        <v>343</v>
      </c>
      <c r="G3787" s="14" t="s">
        <v>343</v>
      </c>
      <c r="H3787" s="14" t="s">
        <v>343</v>
      </c>
      <c r="U3787" s="14">
        <v>1</v>
      </c>
      <c r="V3787" s="14">
        <v>1</v>
      </c>
      <c r="W3787" s="14">
        <v>1</v>
      </c>
    </row>
    <row r="3788" spans="1:23" hidden="1" x14ac:dyDescent="0.3">
      <c r="A3788" s="14" t="s">
        <v>488</v>
      </c>
      <c r="B3788" s="14" t="s">
        <v>155</v>
      </c>
      <c r="C3788" s="14" t="s">
        <v>367</v>
      </c>
      <c r="D3788" s="14" t="s">
        <v>368</v>
      </c>
      <c r="E3788" s="14" t="s">
        <v>342</v>
      </c>
      <c r="F3788" s="14" t="s">
        <v>343</v>
      </c>
      <c r="G3788" s="14" t="s">
        <v>343</v>
      </c>
      <c r="H3788" s="14" t="s">
        <v>343</v>
      </c>
      <c r="I3788" s="14">
        <v>0.57999999999999996</v>
      </c>
      <c r="J3788" s="14">
        <v>0.6</v>
      </c>
      <c r="K3788" s="14">
        <v>0.61</v>
      </c>
      <c r="L3788" s="14">
        <v>0.61</v>
      </c>
      <c r="M3788" s="14">
        <v>0.62</v>
      </c>
      <c r="N3788" s="14">
        <v>0.62</v>
      </c>
      <c r="O3788" s="14">
        <v>0.61</v>
      </c>
      <c r="P3788" s="14">
        <v>0.57999999999999996</v>
      </c>
      <c r="Q3788" s="14">
        <v>0.6</v>
      </c>
      <c r="R3788" s="14">
        <v>0.61</v>
      </c>
      <c r="S3788" s="14">
        <v>0.62</v>
      </c>
      <c r="T3788" s="14">
        <v>0.61</v>
      </c>
      <c r="U3788" s="14">
        <v>0.61</v>
      </c>
      <c r="V3788" s="14">
        <v>0.61</v>
      </c>
      <c r="W3788" s="14">
        <v>0.61</v>
      </c>
    </row>
    <row r="3789" spans="1:23" hidden="1" x14ac:dyDescent="0.3">
      <c r="A3789" s="14" t="s">
        <v>488</v>
      </c>
      <c r="B3789" s="14" t="s">
        <v>155</v>
      </c>
      <c r="C3789" s="14" t="s">
        <v>367</v>
      </c>
      <c r="D3789" s="14" t="s">
        <v>368</v>
      </c>
      <c r="E3789" s="14" t="s">
        <v>344</v>
      </c>
      <c r="F3789" s="14" t="s">
        <v>343</v>
      </c>
      <c r="G3789" s="14" t="s">
        <v>343</v>
      </c>
      <c r="H3789" s="14" t="s">
        <v>343</v>
      </c>
      <c r="I3789" s="14">
        <v>106</v>
      </c>
      <c r="J3789" s="14">
        <v>111</v>
      </c>
      <c r="K3789" s="14">
        <v>110</v>
      </c>
      <c r="L3789" s="14">
        <v>119</v>
      </c>
      <c r="M3789" s="14">
        <v>113</v>
      </c>
      <c r="N3789" s="14">
        <v>114</v>
      </c>
      <c r="O3789" s="14">
        <v>119</v>
      </c>
      <c r="P3789" s="14">
        <v>132</v>
      </c>
      <c r="Q3789" s="14">
        <v>131</v>
      </c>
      <c r="R3789" s="14">
        <v>132</v>
      </c>
      <c r="S3789" s="14">
        <v>129</v>
      </c>
      <c r="T3789" s="14">
        <v>132</v>
      </c>
      <c r="U3789" s="14">
        <v>136</v>
      </c>
      <c r="V3789" s="14">
        <v>141</v>
      </c>
      <c r="W3789" s="14">
        <v>146</v>
      </c>
    </row>
    <row r="3790" spans="1:23" hidden="1" x14ac:dyDescent="0.3">
      <c r="A3790" s="14" t="s">
        <v>488</v>
      </c>
      <c r="B3790" s="14" t="s">
        <v>155</v>
      </c>
      <c r="C3790" s="14" t="s">
        <v>369</v>
      </c>
      <c r="D3790" s="14" t="s">
        <v>370</v>
      </c>
      <c r="E3790" s="14" t="s">
        <v>342</v>
      </c>
      <c r="F3790" s="14" t="s">
        <v>343</v>
      </c>
      <c r="G3790" s="14" t="s">
        <v>343</v>
      </c>
      <c r="H3790" s="14" t="s">
        <v>343</v>
      </c>
      <c r="I3790" s="14">
        <v>0.04</v>
      </c>
      <c r="J3790" s="14">
        <v>0.09</v>
      </c>
      <c r="K3790" s="14">
        <v>0.12</v>
      </c>
      <c r="L3790" s="14">
        <v>0.12</v>
      </c>
      <c r="M3790" s="14">
        <v>0.16</v>
      </c>
      <c r="N3790" s="14">
        <v>0.16</v>
      </c>
      <c r="O3790" s="14">
        <v>0.12</v>
      </c>
      <c r="P3790" s="14">
        <v>0.12</v>
      </c>
      <c r="Q3790" s="14">
        <v>0.14000000000000001</v>
      </c>
      <c r="R3790" s="14">
        <v>0.2</v>
      </c>
      <c r="S3790" s="14">
        <v>0.2</v>
      </c>
      <c r="T3790" s="14">
        <v>0.21</v>
      </c>
      <c r="U3790" s="14">
        <v>0.19</v>
      </c>
      <c r="V3790" s="14">
        <v>0.19</v>
      </c>
      <c r="W3790" s="14">
        <v>0.15</v>
      </c>
    </row>
    <row r="3791" spans="1:23" hidden="1" x14ac:dyDescent="0.3">
      <c r="A3791" s="14" t="s">
        <v>488</v>
      </c>
      <c r="B3791" s="14" t="s">
        <v>155</v>
      </c>
      <c r="C3791" s="14" t="s">
        <v>369</v>
      </c>
      <c r="D3791" s="14" t="s">
        <v>370</v>
      </c>
      <c r="E3791" s="14" t="s">
        <v>344</v>
      </c>
      <c r="F3791" s="14" t="s">
        <v>343</v>
      </c>
      <c r="G3791" s="14" t="s">
        <v>343</v>
      </c>
      <c r="H3791" s="14" t="s">
        <v>343</v>
      </c>
      <c r="I3791" s="14">
        <v>106</v>
      </c>
      <c r="J3791" s="14">
        <v>74</v>
      </c>
      <c r="K3791" s="14">
        <v>66</v>
      </c>
      <c r="L3791" s="14">
        <v>71</v>
      </c>
      <c r="M3791" s="14">
        <v>50</v>
      </c>
      <c r="N3791" s="14">
        <v>51</v>
      </c>
      <c r="O3791" s="14">
        <v>82</v>
      </c>
      <c r="P3791" s="14">
        <v>82</v>
      </c>
      <c r="Q3791" s="14">
        <v>77</v>
      </c>
      <c r="R3791" s="14">
        <v>57</v>
      </c>
      <c r="S3791" s="14">
        <v>59</v>
      </c>
      <c r="T3791" s="14">
        <v>57</v>
      </c>
      <c r="U3791" s="14">
        <v>64</v>
      </c>
      <c r="V3791" s="14">
        <v>72</v>
      </c>
      <c r="W3791" s="14">
        <v>101</v>
      </c>
    </row>
    <row r="3792" spans="1:23" hidden="1" x14ac:dyDescent="0.3">
      <c r="A3792" s="14" t="s">
        <v>488</v>
      </c>
      <c r="B3792" s="14" t="s">
        <v>155</v>
      </c>
      <c r="C3792" s="14" t="s">
        <v>371</v>
      </c>
      <c r="D3792" s="14" t="s">
        <v>372</v>
      </c>
      <c r="E3792" s="14" t="s">
        <v>342</v>
      </c>
      <c r="F3792" s="14" t="s">
        <v>343</v>
      </c>
      <c r="G3792" s="14" t="s">
        <v>343</v>
      </c>
      <c r="H3792" s="14" t="s">
        <v>343</v>
      </c>
      <c r="U3792" s="14">
        <v>0</v>
      </c>
      <c r="V3792" s="14">
        <v>0</v>
      </c>
      <c r="W3792" s="14">
        <v>0</v>
      </c>
    </row>
    <row r="3793" spans="1:24" hidden="1" x14ac:dyDescent="0.3">
      <c r="A3793" s="14" t="s">
        <v>488</v>
      </c>
      <c r="B3793" s="14" t="s">
        <v>155</v>
      </c>
      <c r="C3793" s="14" t="s">
        <v>371</v>
      </c>
      <c r="D3793" s="14" t="s">
        <v>372</v>
      </c>
      <c r="E3793" s="14" t="s">
        <v>344</v>
      </c>
      <c r="F3793" s="14" t="s">
        <v>343</v>
      </c>
      <c r="G3793" s="14" t="s">
        <v>343</v>
      </c>
      <c r="H3793" s="14" t="s">
        <v>343</v>
      </c>
      <c r="U3793" s="14">
        <v>71</v>
      </c>
      <c r="V3793" s="14">
        <v>73</v>
      </c>
      <c r="W3793" s="14">
        <v>76</v>
      </c>
    </row>
    <row r="3794" spans="1:24" hidden="1" x14ac:dyDescent="0.3">
      <c r="A3794" s="14" t="s">
        <v>488</v>
      </c>
      <c r="B3794" s="14" t="s">
        <v>155</v>
      </c>
      <c r="C3794" s="14" t="s">
        <v>373</v>
      </c>
      <c r="D3794" s="14" t="s">
        <v>374</v>
      </c>
      <c r="E3794" s="14" t="s">
        <v>342</v>
      </c>
      <c r="F3794" s="14" t="s">
        <v>343</v>
      </c>
      <c r="G3794" s="14" t="s">
        <v>343</v>
      </c>
      <c r="H3794" s="14" t="s">
        <v>343</v>
      </c>
      <c r="U3794" s="14">
        <v>0.44</v>
      </c>
      <c r="V3794" s="14">
        <v>0.47</v>
      </c>
      <c r="W3794" s="14">
        <v>0.28000000000000003</v>
      </c>
    </row>
    <row r="3795" spans="1:24" hidden="1" x14ac:dyDescent="0.3">
      <c r="A3795" s="14" t="s">
        <v>488</v>
      </c>
      <c r="B3795" s="14" t="s">
        <v>155</v>
      </c>
      <c r="C3795" s="14" t="s">
        <v>373</v>
      </c>
      <c r="D3795" s="14" t="s">
        <v>374</v>
      </c>
      <c r="E3795" s="14" t="s">
        <v>344</v>
      </c>
      <c r="F3795" s="14" t="s">
        <v>343</v>
      </c>
      <c r="G3795" s="14" t="s">
        <v>343</v>
      </c>
      <c r="H3795" s="14" t="s">
        <v>343</v>
      </c>
      <c r="U3795" s="14">
        <v>23</v>
      </c>
      <c r="V3795" s="14">
        <v>32</v>
      </c>
      <c r="W3795" s="14">
        <v>78</v>
      </c>
    </row>
    <row r="3796" spans="1:24" hidden="1" x14ac:dyDescent="0.3">
      <c r="A3796" s="14" t="s">
        <v>488</v>
      </c>
      <c r="B3796" s="14" t="s">
        <v>155</v>
      </c>
      <c r="C3796" s="14" t="s">
        <v>375</v>
      </c>
      <c r="D3796" s="14" t="s">
        <v>376</v>
      </c>
      <c r="E3796" s="14" t="s">
        <v>342</v>
      </c>
      <c r="F3796" s="14" t="s">
        <v>343</v>
      </c>
      <c r="G3796" s="14" t="s">
        <v>343</v>
      </c>
      <c r="H3796" s="14" t="s">
        <v>343</v>
      </c>
      <c r="U3796" s="14">
        <v>0.25</v>
      </c>
      <c r="V3796" s="14">
        <v>0.25</v>
      </c>
      <c r="W3796" s="14">
        <v>0.26</v>
      </c>
    </row>
    <row r="3797" spans="1:24" hidden="1" x14ac:dyDescent="0.3">
      <c r="A3797" s="14" t="s">
        <v>488</v>
      </c>
      <c r="B3797" s="14" t="s">
        <v>155</v>
      </c>
      <c r="C3797" s="14" t="s">
        <v>375</v>
      </c>
      <c r="D3797" s="14" t="s">
        <v>376</v>
      </c>
      <c r="E3797" s="14" t="s">
        <v>344</v>
      </c>
      <c r="F3797" s="14" t="s">
        <v>343</v>
      </c>
      <c r="G3797" s="14" t="s">
        <v>343</v>
      </c>
      <c r="H3797" s="14" t="s">
        <v>343</v>
      </c>
      <c r="U3797" s="14">
        <v>81</v>
      </c>
      <c r="V3797" s="14">
        <v>90</v>
      </c>
      <c r="W3797" s="14">
        <v>101</v>
      </c>
    </row>
    <row r="3798" spans="1:24" hidden="1" x14ac:dyDescent="0.3">
      <c r="A3798" s="14" t="s">
        <v>489</v>
      </c>
      <c r="B3798" s="14" t="s">
        <v>156</v>
      </c>
      <c r="C3798" s="14" t="s">
        <v>340</v>
      </c>
      <c r="D3798" s="14" t="s">
        <v>341</v>
      </c>
      <c r="E3798" s="14" t="s">
        <v>342</v>
      </c>
      <c r="F3798" s="14" t="s">
        <v>343</v>
      </c>
      <c r="G3798" s="14" t="s">
        <v>343</v>
      </c>
      <c r="H3798" s="14" t="s">
        <v>343</v>
      </c>
      <c r="I3798" s="14">
        <v>0.98</v>
      </c>
      <c r="J3798" s="14">
        <v>0.98</v>
      </c>
      <c r="K3798" s="14">
        <v>0.99</v>
      </c>
      <c r="L3798" s="14">
        <v>0.99</v>
      </c>
      <c r="M3798" s="14">
        <v>0.99</v>
      </c>
      <c r="N3798" s="14">
        <v>0.99</v>
      </c>
      <c r="O3798" s="14">
        <v>0.99</v>
      </c>
      <c r="P3798" s="14">
        <v>0.99</v>
      </c>
      <c r="Q3798" s="14">
        <v>0.99</v>
      </c>
      <c r="R3798" s="14">
        <v>0.99</v>
      </c>
      <c r="S3798" s="14">
        <v>0.99</v>
      </c>
      <c r="T3798" s="14">
        <v>0.99</v>
      </c>
      <c r="U3798" s="14">
        <v>0.99</v>
      </c>
      <c r="V3798" s="14">
        <v>0.99</v>
      </c>
      <c r="W3798" s="14">
        <v>0.99</v>
      </c>
      <c r="X3798" s="14">
        <v>0.99</v>
      </c>
    </row>
    <row r="3799" spans="1:24" hidden="1" x14ac:dyDescent="0.3">
      <c r="A3799" s="14" t="s">
        <v>489</v>
      </c>
      <c r="B3799" s="14" t="s">
        <v>156</v>
      </c>
      <c r="C3799" s="14" t="s">
        <v>340</v>
      </c>
      <c r="D3799" s="14" t="s">
        <v>341</v>
      </c>
      <c r="E3799" s="14" t="s">
        <v>344</v>
      </c>
      <c r="F3799" s="14" t="s">
        <v>343</v>
      </c>
      <c r="G3799" s="14" t="s">
        <v>343</v>
      </c>
      <c r="H3799" s="14" t="s">
        <v>343</v>
      </c>
      <c r="I3799" s="14">
        <v>64</v>
      </c>
      <c r="J3799" s="14">
        <v>75</v>
      </c>
      <c r="K3799" s="14">
        <v>77</v>
      </c>
      <c r="L3799" s="14">
        <v>80</v>
      </c>
      <c r="M3799" s="14">
        <v>76</v>
      </c>
      <c r="N3799" s="14">
        <v>74</v>
      </c>
      <c r="O3799" s="14">
        <v>73</v>
      </c>
      <c r="P3799" s="14">
        <v>72</v>
      </c>
      <c r="Q3799" s="14">
        <v>79</v>
      </c>
      <c r="R3799" s="14">
        <v>74</v>
      </c>
      <c r="S3799" s="14">
        <v>71</v>
      </c>
      <c r="T3799" s="14">
        <v>69</v>
      </c>
      <c r="U3799" s="14">
        <v>78</v>
      </c>
      <c r="V3799" s="14">
        <v>74</v>
      </c>
      <c r="W3799" s="14">
        <v>78</v>
      </c>
      <c r="X3799" s="14">
        <v>72</v>
      </c>
    </row>
    <row r="3800" spans="1:24" hidden="1" x14ac:dyDescent="0.3">
      <c r="A3800" s="14" t="s">
        <v>489</v>
      </c>
      <c r="B3800" s="14" t="s">
        <v>156</v>
      </c>
      <c r="C3800" s="14" t="s">
        <v>345</v>
      </c>
      <c r="D3800" s="14" t="s">
        <v>346</v>
      </c>
      <c r="E3800" s="14" t="s">
        <v>342</v>
      </c>
      <c r="F3800" s="14" t="s">
        <v>343</v>
      </c>
      <c r="G3800" s="14" t="s">
        <v>343</v>
      </c>
      <c r="H3800" s="14" t="s">
        <v>343</v>
      </c>
      <c r="U3800" s="14">
        <v>0.47</v>
      </c>
      <c r="V3800" s="14">
        <v>0.48</v>
      </c>
      <c r="W3800" s="14">
        <v>0.5</v>
      </c>
      <c r="X3800" s="14">
        <v>0.51</v>
      </c>
    </row>
    <row r="3801" spans="1:24" hidden="1" x14ac:dyDescent="0.3">
      <c r="A3801" s="14" t="s">
        <v>489</v>
      </c>
      <c r="B3801" s="14" t="s">
        <v>156</v>
      </c>
      <c r="C3801" s="14" t="s">
        <v>345</v>
      </c>
      <c r="D3801" s="14" t="s">
        <v>346</v>
      </c>
      <c r="E3801" s="14" t="s">
        <v>344</v>
      </c>
      <c r="F3801" s="14" t="s">
        <v>343</v>
      </c>
      <c r="G3801" s="14" t="s">
        <v>343</v>
      </c>
      <c r="H3801" s="14" t="s">
        <v>343</v>
      </c>
      <c r="U3801" s="14">
        <v>119</v>
      </c>
      <c r="V3801" s="14">
        <v>120</v>
      </c>
      <c r="W3801" s="14">
        <v>118</v>
      </c>
      <c r="X3801" s="14">
        <v>116</v>
      </c>
    </row>
    <row r="3802" spans="1:24" hidden="1" x14ac:dyDescent="0.3">
      <c r="A3802" s="14" t="s">
        <v>489</v>
      </c>
      <c r="B3802" s="14" t="s">
        <v>156</v>
      </c>
      <c r="C3802" s="14" t="s">
        <v>347</v>
      </c>
      <c r="D3802" s="14" t="s">
        <v>348</v>
      </c>
      <c r="E3802" s="14" t="s">
        <v>342</v>
      </c>
      <c r="F3802" s="14" t="s">
        <v>343</v>
      </c>
      <c r="G3802" s="14" t="s">
        <v>343</v>
      </c>
      <c r="H3802" s="14" t="s">
        <v>343</v>
      </c>
      <c r="U3802" s="14">
        <v>0.65</v>
      </c>
      <c r="V3802" s="14">
        <v>0.66</v>
      </c>
      <c r="W3802" s="14">
        <v>0.66</v>
      </c>
      <c r="X3802" s="14">
        <v>0.62</v>
      </c>
    </row>
    <row r="3803" spans="1:24" hidden="1" x14ac:dyDescent="0.3">
      <c r="A3803" s="14" t="s">
        <v>489</v>
      </c>
      <c r="B3803" s="14" t="s">
        <v>156</v>
      </c>
      <c r="C3803" s="14" t="s">
        <v>347</v>
      </c>
      <c r="D3803" s="14" t="s">
        <v>348</v>
      </c>
      <c r="E3803" s="14" t="s">
        <v>344</v>
      </c>
      <c r="F3803" s="14" t="s">
        <v>343</v>
      </c>
      <c r="G3803" s="14" t="s">
        <v>343</v>
      </c>
      <c r="H3803" s="14" t="s">
        <v>343</v>
      </c>
      <c r="U3803" s="14">
        <v>113</v>
      </c>
      <c r="V3803" s="14">
        <v>112</v>
      </c>
      <c r="W3803" s="14">
        <v>116</v>
      </c>
      <c r="X3803" s="14">
        <v>114</v>
      </c>
    </row>
    <row r="3804" spans="1:24" hidden="1" x14ac:dyDescent="0.3">
      <c r="A3804" s="14" t="s">
        <v>489</v>
      </c>
      <c r="B3804" s="14" t="s">
        <v>156</v>
      </c>
      <c r="C3804" s="14" t="s">
        <v>349</v>
      </c>
      <c r="D3804" s="14" t="s">
        <v>350</v>
      </c>
      <c r="E3804" s="14" t="s">
        <v>342</v>
      </c>
      <c r="F3804" s="14" t="s">
        <v>343</v>
      </c>
      <c r="G3804" s="14" t="s">
        <v>343</v>
      </c>
      <c r="H3804" s="14" t="s">
        <v>343</v>
      </c>
      <c r="U3804" s="14">
        <v>0.43</v>
      </c>
      <c r="V3804" s="14">
        <v>0.47</v>
      </c>
      <c r="W3804" s="14">
        <v>0.43</v>
      </c>
      <c r="X3804" s="14">
        <v>0.43</v>
      </c>
    </row>
    <row r="3805" spans="1:24" hidden="1" x14ac:dyDescent="0.3">
      <c r="A3805" s="14" t="s">
        <v>489</v>
      </c>
      <c r="B3805" s="14" t="s">
        <v>156</v>
      </c>
      <c r="C3805" s="14" t="s">
        <v>349</v>
      </c>
      <c r="D3805" s="14" t="s">
        <v>350</v>
      </c>
      <c r="E3805" s="14" t="s">
        <v>344</v>
      </c>
      <c r="F3805" s="14" t="s">
        <v>343</v>
      </c>
      <c r="G3805" s="14" t="s">
        <v>343</v>
      </c>
      <c r="H3805" s="14" t="s">
        <v>343</v>
      </c>
      <c r="U3805" s="14">
        <v>83</v>
      </c>
      <c r="V3805" s="14">
        <v>72</v>
      </c>
      <c r="W3805" s="14">
        <v>88</v>
      </c>
      <c r="X3805" s="14">
        <v>90</v>
      </c>
    </row>
    <row r="3806" spans="1:24" hidden="1" x14ac:dyDescent="0.3">
      <c r="A3806" s="14" t="s">
        <v>489</v>
      </c>
      <c r="B3806" s="14" t="s">
        <v>156</v>
      </c>
      <c r="C3806" s="14" t="s">
        <v>351</v>
      </c>
      <c r="D3806" s="14" t="s">
        <v>352</v>
      </c>
      <c r="E3806" s="14" t="s">
        <v>342</v>
      </c>
      <c r="F3806" s="14" t="s">
        <v>343</v>
      </c>
      <c r="G3806" s="14" t="s">
        <v>343</v>
      </c>
      <c r="H3806" s="14" t="s">
        <v>343</v>
      </c>
      <c r="U3806" s="14">
        <v>0.8</v>
      </c>
      <c r="V3806" s="14">
        <v>0.79</v>
      </c>
      <c r="W3806" s="14">
        <v>0.83</v>
      </c>
      <c r="X3806" s="14">
        <v>0.89</v>
      </c>
    </row>
    <row r="3807" spans="1:24" hidden="1" x14ac:dyDescent="0.3">
      <c r="A3807" s="14" t="s">
        <v>489</v>
      </c>
      <c r="B3807" s="14" t="s">
        <v>156</v>
      </c>
      <c r="C3807" s="14" t="s">
        <v>351</v>
      </c>
      <c r="D3807" s="14" t="s">
        <v>352</v>
      </c>
      <c r="E3807" s="14" t="s">
        <v>344</v>
      </c>
      <c r="F3807" s="14" t="s">
        <v>343</v>
      </c>
      <c r="G3807" s="14" t="s">
        <v>343</v>
      </c>
      <c r="H3807" s="14" t="s">
        <v>343</v>
      </c>
      <c r="U3807" s="14">
        <v>99</v>
      </c>
      <c r="V3807" s="14">
        <v>102</v>
      </c>
      <c r="W3807" s="14">
        <v>94</v>
      </c>
      <c r="X3807" s="14">
        <v>86</v>
      </c>
    </row>
    <row r="3808" spans="1:24" hidden="1" x14ac:dyDescent="0.3">
      <c r="A3808" s="14" t="s">
        <v>489</v>
      </c>
      <c r="B3808" s="14" t="s">
        <v>156</v>
      </c>
      <c r="C3808" s="14" t="s">
        <v>378</v>
      </c>
      <c r="D3808" s="14" t="s">
        <v>379</v>
      </c>
      <c r="E3808" s="14" t="s">
        <v>342</v>
      </c>
      <c r="F3808" s="14" t="s">
        <v>343</v>
      </c>
      <c r="G3808" s="14" t="s">
        <v>343</v>
      </c>
      <c r="H3808" s="14" t="s">
        <v>343</v>
      </c>
      <c r="S3808" s="14">
        <v>0.62</v>
      </c>
      <c r="U3808" s="14">
        <v>0.61</v>
      </c>
      <c r="V3808" s="14">
        <v>0.62</v>
      </c>
      <c r="W3808" s="14">
        <v>0.63</v>
      </c>
      <c r="X3808" s="14">
        <v>0.62</v>
      </c>
    </row>
    <row r="3809" spans="1:24" hidden="1" x14ac:dyDescent="0.3">
      <c r="A3809" s="14" t="s">
        <v>489</v>
      </c>
      <c r="B3809" s="14" t="s">
        <v>156</v>
      </c>
      <c r="C3809" s="14" t="s">
        <v>378</v>
      </c>
      <c r="D3809" s="14" t="s">
        <v>379</v>
      </c>
      <c r="E3809" s="14" t="s">
        <v>344</v>
      </c>
      <c r="F3809" s="14" t="s">
        <v>343</v>
      </c>
      <c r="G3809" s="14" t="s">
        <v>343</v>
      </c>
      <c r="H3809" s="14" t="s">
        <v>343</v>
      </c>
      <c r="S3809" s="14">
        <v>84</v>
      </c>
      <c r="U3809" s="14">
        <v>89</v>
      </c>
      <c r="V3809" s="14">
        <v>87</v>
      </c>
      <c r="W3809" s="14">
        <v>90</v>
      </c>
      <c r="X3809" s="14">
        <v>87</v>
      </c>
    </row>
    <row r="3810" spans="1:24" hidden="1" x14ac:dyDescent="0.3">
      <c r="A3810" s="14" t="s">
        <v>489</v>
      </c>
      <c r="B3810" s="14" t="s">
        <v>156</v>
      </c>
      <c r="C3810" s="14" t="s">
        <v>353</v>
      </c>
      <c r="D3810" s="14" t="s">
        <v>354</v>
      </c>
      <c r="E3810" s="14" t="s">
        <v>342</v>
      </c>
      <c r="F3810" s="14" t="s">
        <v>343</v>
      </c>
      <c r="G3810" s="14" t="s">
        <v>343</v>
      </c>
      <c r="H3810" s="14" t="s">
        <v>343</v>
      </c>
      <c r="U3810" s="14">
        <v>0.95</v>
      </c>
      <c r="V3810" s="14">
        <v>0.96</v>
      </c>
      <c r="W3810" s="14">
        <v>0.96</v>
      </c>
      <c r="X3810" s="14">
        <v>0.95</v>
      </c>
    </row>
    <row r="3811" spans="1:24" hidden="1" x14ac:dyDescent="0.3">
      <c r="A3811" s="14" t="s">
        <v>489</v>
      </c>
      <c r="B3811" s="14" t="s">
        <v>156</v>
      </c>
      <c r="C3811" s="14" t="s">
        <v>353</v>
      </c>
      <c r="D3811" s="14" t="s">
        <v>354</v>
      </c>
      <c r="E3811" s="14" t="s">
        <v>344</v>
      </c>
      <c r="F3811" s="14" t="s">
        <v>343</v>
      </c>
      <c r="G3811" s="14" t="s">
        <v>343</v>
      </c>
      <c r="H3811" s="14" t="s">
        <v>343</v>
      </c>
      <c r="U3811" s="14">
        <v>93</v>
      </c>
      <c r="V3811" s="14">
        <v>96</v>
      </c>
      <c r="W3811" s="14">
        <v>99</v>
      </c>
      <c r="X3811" s="14">
        <v>96</v>
      </c>
    </row>
    <row r="3812" spans="1:24" hidden="1" x14ac:dyDescent="0.3">
      <c r="A3812" s="14" t="s">
        <v>489</v>
      </c>
      <c r="B3812" s="14" t="s">
        <v>156</v>
      </c>
      <c r="C3812" s="14" t="s">
        <v>380</v>
      </c>
      <c r="D3812" s="14" t="s">
        <v>381</v>
      </c>
      <c r="E3812" s="14" t="s">
        <v>342</v>
      </c>
      <c r="F3812" s="14" t="s">
        <v>343</v>
      </c>
      <c r="G3812" s="14" t="s">
        <v>343</v>
      </c>
      <c r="H3812" s="14" t="s">
        <v>343</v>
      </c>
      <c r="U3812" s="14">
        <v>1</v>
      </c>
      <c r="V3812" s="14">
        <v>1</v>
      </c>
      <c r="W3812" s="14">
        <v>1</v>
      </c>
      <c r="X3812" s="14">
        <v>1</v>
      </c>
    </row>
    <row r="3813" spans="1:24" hidden="1" x14ac:dyDescent="0.3">
      <c r="A3813" s="14" t="s">
        <v>489</v>
      </c>
      <c r="B3813" s="14" t="s">
        <v>156</v>
      </c>
      <c r="C3813" s="14" t="s">
        <v>380</v>
      </c>
      <c r="D3813" s="14" t="s">
        <v>381</v>
      </c>
      <c r="E3813" s="14" t="s">
        <v>344</v>
      </c>
      <c r="F3813" s="14" t="s">
        <v>343</v>
      </c>
      <c r="G3813" s="14" t="s">
        <v>343</v>
      </c>
      <c r="H3813" s="14" t="s">
        <v>343</v>
      </c>
      <c r="U3813" s="14">
        <v>1</v>
      </c>
      <c r="V3813" s="14">
        <v>1</v>
      </c>
      <c r="W3813" s="14">
        <v>1</v>
      </c>
      <c r="X3813" s="14">
        <v>1</v>
      </c>
    </row>
    <row r="3814" spans="1:24" hidden="1" x14ac:dyDescent="0.3">
      <c r="A3814" s="14" t="s">
        <v>489</v>
      </c>
      <c r="B3814" s="14" t="s">
        <v>156</v>
      </c>
      <c r="C3814" s="14" t="s">
        <v>355</v>
      </c>
      <c r="D3814" s="14" t="s">
        <v>356</v>
      </c>
      <c r="E3814" s="14" t="s">
        <v>342</v>
      </c>
      <c r="F3814" s="14" t="s">
        <v>343</v>
      </c>
      <c r="G3814" s="14" t="s">
        <v>343</v>
      </c>
      <c r="H3814" s="14" t="s">
        <v>343</v>
      </c>
      <c r="U3814" s="14">
        <v>1</v>
      </c>
      <c r="V3814" s="14">
        <v>1</v>
      </c>
      <c r="W3814" s="14">
        <v>1</v>
      </c>
      <c r="X3814" s="14">
        <v>1</v>
      </c>
    </row>
    <row r="3815" spans="1:24" hidden="1" x14ac:dyDescent="0.3">
      <c r="A3815" s="14" t="s">
        <v>489</v>
      </c>
      <c r="B3815" s="14" t="s">
        <v>156</v>
      </c>
      <c r="C3815" s="14" t="s">
        <v>355</v>
      </c>
      <c r="D3815" s="14" t="s">
        <v>356</v>
      </c>
      <c r="E3815" s="14" t="s">
        <v>344</v>
      </c>
      <c r="F3815" s="14" t="s">
        <v>343</v>
      </c>
      <c r="G3815" s="14" t="s">
        <v>343</v>
      </c>
      <c r="H3815" s="14" t="s">
        <v>343</v>
      </c>
      <c r="U3815" s="14">
        <v>1</v>
      </c>
      <c r="V3815" s="14">
        <v>1</v>
      </c>
      <c r="W3815" s="14">
        <v>1</v>
      </c>
      <c r="X3815" s="14">
        <v>1</v>
      </c>
    </row>
    <row r="3816" spans="1:24" hidden="1" x14ac:dyDescent="0.3">
      <c r="A3816" s="14" t="s">
        <v>489</v>
      </c>
      <c r="B3816" s="14" t="s">
        <v>156</v>
      </c>
      <c r="C3816" s="14" t="s">
        <v>357</v>
      </c>
      <c r="D3816" s="14" t="s">
        <v>358</v>
      </c>
      <c r="E3816" s="14" t="s">
        <v>342</v>
      </c>
      <c r="F3816" s="14" t="s">
        <v>343</v>
      </c>
      <c r="G3816" s="14" t="s">
        <v>343</v>
      </c>
      <c r="H3816" s="14" t="s">
        <v>343</v>
      </c>
      <c r="U3816" s="14">
        <v>1</v>
      </c>
      <c r="V3816" s="14">
        <v>1</v>
      </c>
      <c r="W3816" s="14">
        <v>1</v>
      </c>
      <c r="X3816" s="14">
        <v>1</v>
      </c>
    </row>
    <row r="3817" spans="1:24" hidden="1" x14ac:dyDescent="0.3">
      <c r="A3817" s="14" t="s">
        <v>489</v>
      </c>
      <c r="B3817" s="14" t="s">
        <v>156</v>
      </c>
      <c r="C3817" s="14" t="s">
        <v>357</v>
      </c>
      <c r="D3817" s="14" t="s">
        <v>358</v>
      </c>
      <c r="E3817" s="14" t="s">
        <v>344</v>
      </c>
      <c r="F3817" s="14" t="s">
        <v>343</v>
      </c>
      <c r="G3817" s="14" t="s">
        <v>343</v>
      </c>
      <c r="H3817" s="14" t="s">
        <v>343</v>
      </c>
      <c r="U3817" s="14">
        <v>1</v>
      </c>
      <c r="V3817" s="14">
        <v>1</v>
      </c>
      <c r="W3817" s="14">
        <v>1</v>
      </c>
      <c r="X3817" s="14">
        <v>1</v>
      </c>
    </row>
    <row r="3818" spans="1:24" hidden="1" x14ac:dyDescent="0.3">
      <c r="A3818" s="14" t="s">
        <v>489</v>
      </c>
      <c r="B3818" s="14" t="s">
        <v>156</v>
      </c>
      <c r="C3818" s="14" t="s">
        <v>359</v>
      </c>
      <c r="D3818" s="14" t="s">
        <v>360</v>
      </c>
      <c r="E3818" s="14" t="s">
        <v>342</v>
      </c>
      <c r="F3818" s="14" t="s">
        <v>343</v>
      </c>
      <c r="G3818" s="14" t="s">
        <v>343</v>
      </c>
      <c r="H3818" s="14" t="s">
        <v>343</v>
      </c>
      <c r="I3818" s="14">
        <v>0.48</v>
      </c>
      <c r="J3818" s="14">
        <v>0.55000000000000004</v>
      </c>
      <c r="K3818" s="14">
        <v>0.53</v>
      </c>
      <c r="L3818" s="14">
        <v>0.55000000000000004</v>
      </c>
      <c r="M3818" s="14">
        <v>0.55000000000000004</v>
      </c>
      <c r="N3818" s="14">
        <v>0.54</v>
      </c>
      <c r="O3818" s="14">
        <v>0.55000000000000004</v>
      </c>
      <c r="P3818" s="14">
        <v>0.56999999999999995</v>
      </c>
      <c r="Q3818" s="14">
        <v>0.55000000000000004</v>
      </c>
      <c r="R3818" s="14">
        <v>0.53</v>
      </c>
      <c r="S3818" s="14">
        <v>0.55000000000000004</v>
      </c>
      <c r="U3818" s="14">
        <v>0.57999999999999996</v>
      </c>
      <c r="V3818" s="14">
        <v>0.6</v>
      </c>
      <c r="W3818" s="14">
        <v>0.6</v>
      </c>
      <c r="X3818" s="14">
        <v>0.6</v>
      </c>
    </row>
    <row r="3819" spans="1:24" hidden="1" x14ac:dyDescent="0.3">
      <c r="A3819" s="14" t="s">
        <v>489</v>
      </c>
      <c r="B3819" s="14" t="s">
        <v>156</v>
      </c>
      <c r="C3819" s="14" t="s">
        <v>359</v>
      </c>
      <c r="D3819" s="14" t="s">
        <v>360</v>
      </c>
      <c r="E3819" s="14" t="s">
        <v>344</v>
      </c>
      <c r="F3819" s="14" t="s">
        <v>343</v>
      </c>
      <c r="G3819" s="14" t="s">
        <v>343</v>
      </c>
      <c r="H3819" s="14" t="s">
        <v>343</v>
      </c>
      <c r="I3819" s="14">
        <v>95</v>
      </c>
      <c r="J3819" s="14">
        <v>100</v>
      </c>
      <c r="K3819" s="14">
        <v>103</v>
      </c>
      <c r="L3819" s="14">
        <v>109</v>
      </c>
      <c r="M3819" s="14">
        <v>103</v>
      </c>
      <c r="N3819" s="14">
        <v>105</v>
      </c>
      <c r="O3819" s="14">
        <v>108</v>
      </c>
      <c r="P3819" s="14">
        <v>105</v>
      </c>
      <c r="Q3819" s="14">
        <v>121</v>
      </c>
      <c r="R3819" s="14">
        <v>127</v>
      </c>
      <c r="S3819" s="14">
        <v>121</v>
      </c>
      <c r="T3819" s="14">
        <v>113</v>
      </c>
      <c r="U3819" s="14">
        <v>119</v>
      </c>
      <c r="V3819" s="14">
        <v>116</v>
      </c>
      <c r="W3819" s="14">
        <v>118</v>
      </c>
      <c r="X3819" s="14">
        <v>111</v>
      </c>
    </row>
    <row r="3820" spans="1:24" x14ac:dyDescent="0.3">
      <c r="A3820" s="14" t="s">
        <v>489</v>
      </c>
      <c r="B3820" s="14" t="s">
        <v>156</v>
      </c>
      <c r="C3820" s="14" t="s">
        <v>361</v>
      </c>
      <c r="D3820" s="14" t="s">
        <v>362</v>
      </c>
      <c r="E3820" s="14" t="s">
        <v>342</v>
      </c>
      <c r="F3820" s="14" t="s">
        <v>343</v>
      </c>
      <c r="G3820" s="14" t="s">
        <v>343</v>
      </c>
      <c r="H3820" s="14" t="s">
        <v>343</v>
      </c>
      <c r="I3820" s="14">
        <v>0.98</v>
      </c>
      <c r="J3820" s="14">
        <v>0.98</v>
      </c>
      <c r="K3820" s="14">
        <v>0.98</v>
      </c>
      <c r="L3820" s="14">
        <v>0.98</v>
      </c>
      <c r="M3820" s="14">
        <v>0.98</v>
      </c>
      <c r="N3820" s="14">
        <v>0.98</v>
      </c>
      <c r="O3820" s="14">
        <v>0.98</v>
      </c>
      <c r="P3820" s="14">
        <v>0.98</v>
      </c>
      <c r="Q3820" s="14">
        <v>0.98</v>
      </c>
      <c r="R3820" s="14">
        <v>0.98</v>
      </c>
      <c r="S3820" s="14">
        <v>0.98</v>
      </c>
      <c r="T3820" s="14">
        <v>0.98</v>
      </c>
      <c r="U3820" s="14">
        <v>0.98</v>
      </c>
      <c r="V3820" s="14">
        <v>0.98</v>
      </c>
      <c r="W3820" s="14">
        <v>0.98</v>
      </c>
      <c r="X3820" s="14">
        <v>0.98</v>
      </c>
    </row>
    <row r="3821" spans="1:24" hidden="1" x14ac:dyDescent="0.3">
      <c r="A3821" s="14" t="s">
        <v>489</v>
      </c>
      <c r="B3821" s="14" t="s">
        <v>156</v>
      </c>
      <c r="C3821" s="14" t="s">
        <v>361</v>
      </c>
      <c r="D3821" s="14" t="s">
        <v>362</v>
      </c>
      <c r="E3821" s="14" t="s">
        <v>344</v>
      </c>
      <c r="F3821" s="14" t="s">
        <v>343</v>
      </c>
      <c r="G3821" s="14" t="s">
        <v>343</v>
      </c>
      <c r="H3821" s="14" t="s">
        <v>343</v>
      </c>
      <c r="I3821" s="14">
        <v>1</v>
      </c>
      <c r="J3821" s="14">
        <v>1</v>
      </c>
      <c r="K3821" s="14">
        <v>1</v>
      </c>
      <c r="L3821" s="14">
        <v>1</v>
      </c>
      <c r="M3821" s="14">
        <v>1</v>
      </c>
      <c r="N3821" s="14">
        <v>1</v>
      </c>
      <c r="O3821" s="14">
        <v>1</v>
      </c>
      <c r="P3821" s="14">
        <v>1</v>
      </c>
      <c r="Q3821" s="14">
        <v>1</v>
      </c>
      <c r="R3821" s="14">
        <v>1</v>
      </c>
      <c r="S3821" s="14">
        <v>1</v>
      </c>
      <c r="T3821" s="14">
        <v>1</v>
      </c>
      <c r="U3821" s="14">
        <v>1</v>
      </c>
      <c r="V3821" s="14">
        <v>1</v>
      </c>
      <c r="W3821" s="14">
        <v>1</v>
      </c>
      <c r="X3821" s="14">
        <v>1</v>
      </c>
    </row>
    <row r="3822" spans="1:24" hidden="1" x14ac:dyDescent="0.3">
      <c r="A3822" s="14" t="s">
        <v>489</v>
      </c>
      <c r="B3822" s="14" t="s">
        <v>156</v>
      </c>
      <c r="C3822" s="14" t="s">
        <v>363</v>
      </c>
      <c r="D3822" s="14" t="s">
        <v>364</v>
      </c>
      <c r="E3822" s="14" t="s">
        <v>342</v>
      </c>
      <c r="F3822" s="14" t="s">
        <v>343</v>
      </c>
      <c r="G3822" s="14" t="s">
        <v>343</v>
      </c>
      <c r="H3822" s="14" t="s">
        <v>343</v>
      </c>
      <c r="U3822" s="14">
        <v>1.06</v>
      </c>
      <c r="V3822" s="14">
        <v>1.06</v>
      </c>
      <c r="W3822" s="14">
        <v>1.06</v>
      </c>
      <c r="X3822" s="14">
        <v>1.06</v>
      </c>
    </row>
    <row r="3823" spans="1:24" hidden="1" x14ac:dyDescent="0.3">
      <c r="A3823" s="14" t="s">
        <v>489</v>
      </c>
      <c r="B3823" s="14" t="s">
        <v>156</v>
      </c>
      <c r="C3823" s="14" t="s">
        <v>363</v>
      </c>
      <c r="D3823" s="14" t="s">
        <v>364</v>
      </c>
      <c r="E3823" s="14" t="s">
        <v>344</v>
      </c>
      <c r="F3823" s="14" t="s">
        <v>343</v>
      </c>
      <c r="G3823" s="14" t="s">
        <v>343</v>
      </c>
      <c r="H3823" s="14" t="s">
        <v>343</v>
      </c>
      <c r="U3823" s="14">
        <v>1</v>
      </c>
      <c r="V3823" s="14">
        <v>1</v>
      </c>
      <c r="W3823" s="14">
        <v>1</v>
      </c>
      <c r="X3823" s="14">
        <v>1</v>
      </c>
    </row>
    <row r="3824" spans="1:24" hidden="1" x14ac:dyDescent="0.3">
      <c r="A3824" s="14" t="s">
        <v>489</v>
      </c>
      <c r="B3824" s="14" t="s">
        <v>156</v>
      </c>
      <c r="C3824" s="14" t="s">
        <v>365</v>
      </c>
      <c r="D3824" s="14" t="s">
        <v>366</v>
      </c>
      <c r="E3824" s="14" t="s">
        <v>342</v>
      </c>
      <c r="F3824" s="14" t="s">
        <v>343</v>
      </c>
      <c r="G3824" s="14" t="s">
        <v>343</v>
      </c>
      <c r="H3824" s="14" t="s">
        <v>343</v>
      </c>
      <c r="U3824" s="14">
        <v>0.94</v>
      </c>
      <c r="V3824" s="14">
        <v>0.94</v>
      </c>
      <c r="W3824" s="14">
        <v>0.94</v>
      </c>
      <c r="X3824" s="14">
        <v>0.94</v>
      </c>
    </row>
    <row r="3825" spans="1:24" hidden="1" x14ac:dyDescent="0.3">
      <c r="A3825" s="14" t="s">
        <v>489</v>
      </c>
      <c r="B3825" s="14" t="s">
        <v>156</v>
      </c>
      <c r="C3825" s="14" t="s">
        <v>365</v>
      </c>
      <c r="D3825" s="14" t="s">
        <v>366</v>
      </c>
      <c r="E3825" s="14" t="s">
        <v>344</v>
      </c>
      <c r="F3825" s="14" t="s">
        <v>343</v>
      </c>
      <c r="G3825" s="14" t="s">
        <v>343</v>
      </c>
      <c r="H3825" s="14" t="s">
        <v>343</v>
      </c>
      <c r="U3825" s="14">
        <v>1</v>
      </c>
      <c r="V3825" s="14">
        <v>1</v>
      </c>
      <c r="W3825" s="14">
        <v>1</v>
      </c>
      <c r="X3825" s="14">
        <v>1</v>
      </c>
    </row>
    <row r="3826" spans="1:24" hidden="1" x14ac:dyDescent="0.3">
      <c r="A3826" s="14" t="s">
        <v>489</v>
      </c>
      <c r="B3826" s="14" t="s">
        <v>156</v>
      </c>
      <c r="C3826" s="14" t="s">
        <v>367</v>
      </c>
      <c r="D3826" s="14" t="s">
        <v>368</v>
      </c>
      <c r="E3826" s="14" t="s">
        <v>342</v>
      </c>
      <c r="F3826" s="14" t="s">
        <v>343</v>
      </c>
      <c r="G3826" s="14" t="s">
        <v>343</v>
      </c>
      <c r="H3826" s="14" t="s">
        <v>343</v>
      </c>
      <c r="I3826" s="14">
        <v>0.63</v>
      </c>
      <c r="J3826" s="14">
        <v>0.65</v>
      </c>
      <c r="K3826" s="14">
        <v>0.65</v>
      </c>
      <c r="L3826" s="14">
        <v>0.65</v>
      </c>
      <c r="M3826" s="14">
        <v>0.65</v>
      </c>
      <c r="N3826" s="14">
        <v>0.65</v>
      </c>
      <c r="O3826" s="14">
        <v>0.65</v>
      </c>
      <c r="P3826" s="14">
        <v>0.66</v>
      </c>
      <c r="Q3826" s="14">
        <v>0.65</v>
      </c>
      <c r="R3826" s="14">
        <v>0.65</v>
      </c>
      <c r="S3826" s="14">
        <v>0.65</v>
      </c>
      <c r="T3826" s="14">
        <v>0.66</v>
      </c>
      <c r="U3826" s="14">
        <v>0.66</v>
      </c>
      <c r="V3826" s="14">
        <v>0.66</v>
      </c>
      <c r="W3826" s="14">
        <v>0.68</v>
      </c>
      <c r="X3826" s="14">
        <v>0.68</v>
      </c>
    </row>
    <row r="3827" spans="1:24" hidden="1" x14ac:dyDescent="0.3">
      <c r="A3827" s="14" t="s">
        <v>489</v>
      </c>
      <c r="B3827" s="14" t="s">
        <v>156</v>
      </c>
      <c r="C3827" s="14" t="s">
        <v>367</v>
      </c>
      <c r="D3827" s="14" t="s">
        <v>368</v>
      </c>
      <c r="E3827" s="14" t="s">
        <v>344</v>
      </c>
      <c r="F3827" s="14" t="s">
        <v>343</v>
      </c>
      <c r="G3827" s="14" t="s">
        <v>343</v>
      </c>
      <c r="H3827" s="14" t="s">
        <v>343</v>
      </c>
      <c r="I3827" s="14">
        <v>88</v>
      </c>
      <c r="J3827" s="14">
        <v>85</v>
      </c>
      <c r="K3827" s="14">
        <v>95</v>
      </c>
      <c r="L3827" s="14">
        <v>96</v>
      </c>
      <c r="M3827" s="14">
        <v>95</v>
      </c>
      <c r="N3827" s="14">
        <v>95</v>
      </c>
      <c r="O3827" s="14">
        <v>98</v>
      </c>
      <c r="P3827" s="14">
        <v>98</v>
      </c>
      <c r="Q3827" s="14">
        <v>106</v>
      </c>
      <c r="R3827" s="14">
        <v>120</v>
      </c>
      <c r="S3827" s="14">
        <v>113</v>
      </c>
      <c r="T3827" s="14">
        <v>112</v>
      </c>
      <c r="U3827" s="14">
        <v>109</v>
      </c>
      <c r="V3827" s="14">
        <v>115</v>
      </c>
      <c r="W3827" s="14">
        <v>110</v>
      </c>
      <c r="X3827" s="14">
        <v>105</v>
      </c>
    </row>
    <row r="3828" spans="1:24" hidden="1" x14ac:dyDescent="0.3">
      <c r="A3828" s="14" t="s">
        <v>489</v>
      </c>
      <c r="B3828" s="14" t="s">
        <v>156</v>
      </c>
      <c r="C3828" s="14" t="s">
        <v>369</v>
      </c>
      <c r="D3828" s="14" t="s">
        <v>370</v>
      </c>
      <c r="E3828" s="14" t="s">
        <v>342</v>
      </c>
      <c r="F3828" s="14" t="s">
        <v>343</v>
      </c>
      <c r="G3828" s="14" t="s">
        <v>343</v>
      </c>
      <c r="H3828" s="14" t="s">
        <v>343</v>
      </c>
      <c r="I3828" s="14">
        <v>0.09</v>
      </c>
      <c r="J3828" s="14">
        <v>0.09</v>
      </c>
      <c r="K3828" s="14">
        <v>0.09</v>
      </c>
      <c r="L3828" s="14">
        <v>0.09</v>
      </c>
      <c r="M3828" s="14">
        <v>0.09</v>
      </c>
      <c r="N3828" s="14">
        <v>0.1</v>
      </c>
      <c r="O3828" s="14">
        <v>0.1</v>
      </c>
      <c r="P3828" s="14">
        <v>0.1</v>
      </c>
      <c r="Q3828" s="14">
        <v>0.1</v>
      </c>
      <c r="R3828" s="14">
        <v>0.08</v>
      </c>
      <c r="S3828" s="14">
        <v>0.09</v>
      </c>
      <c r="T3828" s="14">
        <v>0.09</v>
      </c>
      <c r="U3828" s="14">
        <v>0.1</v>
      </c>
      <c r="V3828" s="14">
        <v>0.09</v>
      </c>
      <c r="W3828" s="14">
        <v>0.14000000000000001</v>
      </c>
      <c r="X3828" s="14">
        <v>0.14000000000000001</v>
      </c>
    </row>
    <row r="3829" spans="1:24" hidden="1" x14ac:dyDescent="0.3">
      <c r="A3829" s="14" t="s">
        <v>489</v>
      </c>
      <c r="B3829" s="14" t="s">
        <v>156</v>
      </c>
      <c r="C3829" s="14" t="s">
        <v>369</v>
      </c>
      <c r="D3829" s="14" t="s">
        <v>370</v>
      </c>
      <c r="E3829" s="14" t="s">
        <v>344</v>
      </c>
      <c r="F3829" s="14" t="s">
        <v>343</v>
      </c>
      <c r="G3829" s="14" t="s">
        <v>343</v>
      </c>
      <c r="H3829" s="14" t="s">
        <v>343</v>
      </c>
      <c r="I3829" s="14">
        <v>73</v>
      </c>
      <c r="J3829" s="14">
        <v>82</v>
      </c>
      <c r="K3829" s="14">
        <v>90</v>
      </c>
      <c r="L3829" s="14">
        <v>92</v>
      </c>
      <c r="M3829" s="14">
        <v>91</v>
      </c>
      <c r="N3829" s="14">
        <v>86</v>
      </c>
      <c r="O3829" s="14">
        <v>88</v>
      </c>
      <c r="P3829" s="14">
        <v>93</v>
      </c>
      <c r="Q3829" s="14">
        <v>107</v>
      </c>
      <c r="R3829" s="14">
        <v>120</v>
      </c>
      <c r="S3829" s="14">
        <v>116</v>
      </c>
      <c r="T3829" s="14">
        <v>116</v>
      </c>
      <c r="U3829" s="14">
        <v>116</v>
      </c>
      <c r="V3829" s="14">
        <v>124</v>
      </c>
      <c r="W3829" s="14">
        <v>105</v>
      </c>
      <c r="X3829" s="14">
        <v>102</v>
      </c>
    </row>
    <row r="3830" spans="1:24" hidden="1" x14ac:dyDescent="0.3">
      <c r="A3830" s="14" t="s">
        <v>489</v>
      </c>
      <c r="B3830" s="14" t="s">
        <v>156</v>
      </c>
      <c r="C3830" s="14" t="s">
        <v>371</v>
      </c>
      <c r="D3830" s="14" t="s">
        <v>372</v>
      </c>
      <c r="E3830" s="14" t="s">
        <v>342</v>
      </c>
      <c r="F3830" s="14" t="s">
        <v>343</v>
      </c>
      <c r="G3830" s="14" t="s">
        <v>343</v>
      </c>
      <c r="H3830" s="14" t="s">
        <v>343</v>
      </c>
      <c r="U3830" s="14">
        <v>7.0000000000000007E-2</v>
      </c>
      <c r="V3830" s="14">
        <v>7.0000000000000007E-2</v>
      </c>
      <c r="W3830" s="14">
        <v>7.0000000000000007E-2</v>
      </c>
      <c r="X3830" s="14">
        <v>7.0000000000000007E-2</v>
      </c>
    </row>
    <row r="3831" spans="1:24" hidden="1" x14ac:dyDescent="0.3">
      <c r="A3831" s="14" t="s">
        <v>489</v>
      </c>
      <c r="B3831" s="14" t="s">
        <v>156</v>
      </c>
      <c r="C3831" s="14" t="s">
        <v>371</v>
      </c>
      <c r="D3831" s="14" t="s">
        <v>372</v>
      </c>
      <c r="E3831" s="14" t="s">
        <v>344</v>
      </c>
      <c r="F3831" s="14" t="s">
        <v>343</v>
      </c>
      <c r="G3831" s="14" t="s">
        <v>343</v>
      </c>
      <c r="H3831" s="14" t="s">
        <v>343</v>
      </c>
      <c r="U3831" s="14">
        <v>36</v>
      </c>
      <c r="V3831" s="14">
        <v>40</v>
      </c>
      <c r="W3831" s="14">
        <v>42</v>
      </c>
      <c r="X3831" s="14">
        <v>42</v>
      </c>
    </row>
    <row r="3832" spans="1:24" hidden="1" x14ac:dyDescent="0.3">
      <c r="A3832" s="14" t="s">
        <v>489</v>
      </c>
      <c r="B3832" s="14" t="s">
        <v>156</v>
      </c>
      <c r="C3832" s="14" t="s">
        <v>373</v>
      </c>
      <c r="D3832" s="14" t="s">
        <v>374</v>
      </c>
      <c r="E3832" s="14" t="s">
        <v>342</v>
      </c>
      <c r="F3832" s="14" t="s">
        <v>343</v>
      </c>
      <c r="G3832" s="14" t="s">
        <v>343</v>
      </c>
      <c r="H3832" s="14" t="s">
        <v>343</v>
      </c>
      <c r="U3832" s="14">
        <v>0.11</v>
      </c>
      <c r="V3832" s="14">
        <v>0.1</v>
      </c>
      <c r="W3832" s="14">
        <v>0.15</v>
      </c>
      <c r="X3832" s="14">
        <v>0.15</v>
      </c>
    </row>
    <row r="3833" spans="1:24" hidden="1" x14ac:dyDescent="0.3">
      <c r="A3833" s="14" t="s">
        <v>489</v>
      </c>
      <c r="B3833" s="14" t="s">
        <v>156</v>
      </c>
      <c r="C3833" s="14" t="s">
        <v>373</v>
      </c>
      <c r="D3833" s="14" t="s">
        <v>374</v>
      </c>
      <c r="E3833" s="14" t="s">
        <v>344</v>
      </c>
      <c r="F3833" s="14" t="s">
        <v>343</v>
      </c>
      <c r="G3833" s="14" t="s">
        <v>343</v>
      </c>
      <c r="H3833" s="14" t="s">
        <v>343</v>
      </c>
      <c r="U3833" s="14">
        <v>113</v>
      </c>
      <c r="V3833" s="14">
        <v>123</v>
      </c>
      <c r="W3833" s="14">
        <v>113</v>
      </c>
      <c r="X3833" s="14">
        <v>108</v>
      </c>
    </row>
    <row r="3834" spans="1:24" hidden="1" x14ac:dyDescent="0.3">
      <c r="A3834" s="14" t="s">
        <v>489</v>
      </c>
      <c r="B3834" s="14" t="s">
        <v>156</v>
      </c>
      <c r="C3834" s="14" t="s">
        <v>375</v>
      </c>
      <c r="D3834" s="14" t="s">
        <v>376</v>
      </c>
      <c r="E3834" s="14" t="s">
        <v>342</v>
      </c>
      <c r="F3834" s="14" t="s">
        <v>343</v>
      </c>
      <c r="G3834" s="14" t="s">
        <v>343</v>
      </c>
      <c r="H3834" s="14" t="s">
        <v>343</v>
      </c>
      <c r="U3834" s="14">
        <v>0.13</v>
      </c>
      <c r="V3834" s="14">
        <v>0.13</v>
      </c>
      <c r="W3834" s="14">
        <v>0.25</v>
      </c>
      <c r="X3834" s="14">
        <v>0.25</v>
      </c>
    </row>
    <row r="3835" spans="1:24" hidden="1" x14ac:dyDescent="0.3">
      <c r="A3835" s="14" t="s">
        <v>489</v>
      </c>
      <c r="B3835" s="14" t="s">
        <v>156</v>
      </c>
      <c r="C3835" s="14" t="s">
        <v>375</v>
      </c>
      <c r="D3835" s="14" t="s">
        <v>376</v>
      </c>
      <c r="E3835" s="14" t="s">
        <v>344</v>
      </c>
      <c r="F3835" s="14" t="s">
        <v>343</v>
      </c>
      <c r="G3835" s="14" t="s">
        <v>343</v>
      </c>
      <c r="H3835" s="14" t="s">
        <v>343</v>
      </c>
      <c r="U3835" s="14">
        <v>124</v>
      </c>
      <c r="V3835" s="14">
        <v>131</v>
      </c>
      <c r="W3835" s="14">
        <v>103</v>
      </c>
      <c r="X3835" s="14">
        <v>97</v>
      </c>
    </row>
    <row r="3836" spans="1:24" hidden="1" x14ac:dyDescent="0.3">
      <c r="A3836" s="14" t="s">
        <v>490</v>
      </c>
      <c r="B3836" s="14" t="s">
        <v>148</v>
      </c>
      <c r="C3836" s="14" t="s">
        <v>340</v>
      </c>
      <c r="D3836" s="14" t="s">
        <v>341</v>
      </c>
      <c r="E3836" s="14" t="s">
        <v>342</v>
      </c>
      <c r="F3836" s="14" t="s">
        <v>343</v>
      </c>
      <c r="G3836" s="14" t="s">
        <v>343</v>
      </c>
      <c r="H3836" s="14" t="s">
        <v>343</v>
      </c>
      <c r="I3836" s="14">
        <v>0.86</v>
      </c>
      <c r="J3836" s="14">
        <v>0.87</v>
      </c>
      <c r="K3836" s="14">
        <v>0.89</v>
      </c>
      <c r="L3836" s="14">
        <v>0.88</v>
      </c>
      <c r="M3836" s="14">
        <v>0.89</v>
      </c>
      <c r="N3836" s="14">
        <v>0.9</v>
      </c>
      <c r="O3836" s="14">
        <v>0.92</v>
      </c>
      <c r="P3836" s="14">
        <v>0.9</v>
      </c>
      <c r="Q3836" s="14">
        <v>0.89</v>
      </c>
      <c r="R3836" s="14">
        <v>0.91</v>
      </c>
      <c r="S3836" s="14">
        <v>0.92</v>
      </c>
      <c r="T3836" s="14">
        <v>0.91</v>
      </c>
      <c r="U3836" s="14">
        <v>0.91</v>
      </c>
      <c r="V3836" s="14">
        <v>0.92</v>
      </c>
      <c r="W3836" s="14">
        <v>0.92</v>
      </c>
      <c r="X3836" s="14">
        <v>0.76</v>
      </c>
    </row>
    <row r="3837" spans="1:24" hidden="1" x14ac:dyDescent="0.3">
      <c r="A3837" s="14" t="s">
        <v>490</v>
      </c>
      <c r="B3837" s="14" t="s">
        <v>148</v>
      </c>
      <c r="C3837" s="14" t="s">
        <v>340</v>
      </c>
      <c r="D3837" s="14" t="s">
        <v>341</v>
      </c>
      <c r="E3837" s="14" t="s">
        <v>344</v>
      </c>
      <c r="F3837" s="14" t="s">
        <v>343</v>
      </c>
      <c r="G3837" s="14" t="s">
        <v>343</v>
      </c>
      <c r="H3837" s="14" t="s">
        <v>343</v>
      </c>
      <c r="I3837" s="14">
        <v>96</v>
      </c>
      <c r="J3837" s="14">
        <v>108</v>
      </c>
      <c r="K3837" s="14">
        <v>107</v>
      </c>
      <c r="L3837" s="14">
        <v>113</v>
      </c>
      <c r="M3837" s="14">
        <v>112</v>
      </c>
      <c r="N3837" s="14">
        <v>112</v>
      </c>
      <c r="O3837" s="14">
        <v>111</v>
      </c>
      <c r="P3837" s="14">
        <v>112</v>
      </c>
      <c r="Q3837" s="14">
        <v>121</v>
      </c>
      <c r="R3837" s="14">
        <v>124</v>
      </c>
      <c r="S3837" s="14">
        <v>125</v>
      </c>
      <c r="T3837" s="14">
        <v>126</v>
      </c>
      <c r="U3837" s="14">
        <v>127</v>
      </c>
      <c r="V3837" s="14">
        <v>128</v>
      </c>
      <c r="W3837" s="14">
        <v>129</v>
      </c>
      <c r="X3837" s="14">
        <v>139</v>
      </c>
    </row>
    <row r="3838" spans="1:24" hidden="1" x14ac:dyDescent="0.3">
      <c r="A3838" s="14" t="s">
        <v>490</v>
      </c>
      <c r="B3838" s="14" t="s">
        <v>148</v>
      </c>
      <c r="C3838" s="14" t="s">
        <v>345</v>
      </c>
      <c r="D3838" s="14" t="s">
        <v>346</v>
      </c>
      <c r="E3838" s="14" t="s">
        <v>342</v>
      </c>
      <c r="F3838" s="14" t="s">
        <v>343</v>
      </c>
      <c r="G3838" s="14" t="s">
        <v>343</v>
      </c>
      <c r="H3838" s="14" t="s">
        <v>343</v>
      </c>
      <c r="U3838" s="14">
        <v>0.66</v>
      </c>
      <c r="V3838" s="14">
        <v>0.57999999999999996</v>
      </c>
      <c r="W3838" s="14">
        <v>0.59</v>
      </c>
      <c r="X3838" s="14">
        <v>0.62</v>
      </c>
    </row>
    <row r="3839" spans="1:24" hidden="1" x14ac:dyDescent="0.3">
      <c r="A3839" s="14" t="s">
        <v>490</v>
      </c>
      <c r="B3839" s="14" t="s">
        <v>148</v>
      </c>
      <c r="C3839" s="14" t="s">
        <v>345</v>
      </c>
      <c r="D3839" s="14" t="s">
        <v>346</v>
      </c>
      <c r="E3839" s="14" t="s">
        <v>344</v>
      </c>
      <c r="F3839" s="14" t="s">
        <v>343</v>
      </c>
      <c r="G3839" s="14" t="s">
        <v>343</v>
      </c>
      <c r="H3839" s="14" t="s">
        <v>343</v>
      </c>
      <c r="U3839" s="14">
        <v>55</v>
      </c>
      <c r="V3839" s="14">
        <v>90</v>
      </c>
      <c r="W3839" s="14">
        <v>85</v>
      </c>
      <c r="X3839" s="14">
        <v>81</v>
      </c>
    </row>
    <row r="3840" spans="1:24" hidden="1" x14ac:dyDescent="0.3">
      <c r="A3840" s="14" t="s">
        <v>490</v>
      </c>
      <c r="B3840" s="14" t="s">
        <v>148</v>
      </c>
      <c r="C3840" s="14" t="s">
        <v>347</v>
      </c>
      <c r="D3840" s="14" t="s">
        <v>348</v>
      </c>
      <c r="E3840" s="14" t="s">
        <v>342</v>
      </c>
      <c r="F3840" s="14" t="s">
        <v>343</v>
      </c>
      <c r="G3840" s="14" t="s">
        <v>343</v>
      </c>
      <c r="H3840" s="14" t="s">
        <v>343</v>
      </c>
      <c r="U3840" s="14">
        <v>0.9</v>
      </c>
      <c r="V3840" s="14">
        <v>0.9</v>
      </c>
      <c r="W3840" s="14">
        <v>0.91</v>
      </c>
      <c r="X3840" s="14">
        <v>0.9</v>
      </c>
    </row>
    <row r="3841" spans="1:24" hidden="1" x14ac:dyDescent="0.3">
      <c r="A3841" s="14" t="s">
        <v>490</v>
      </c>
      <c r="B3841" s="14" t="s">
        <v>148</v>
      </c>
      <c r="C3841" s="14" t="s">
        <v>347</v>
      </c>
      <c r="D3841" s="14" t="s">
        <v>348</v>
      </c>
      <c r="E3841" s="14" t="s">
        <v>344</v>
      </c>
      <c r="F3841" s="14" t="s">
        <v>343</v>
      </c>
      <c r="G3841" s="14" t="s">
        <v>343</v>
      </c>
      <c r="H3841" s="14" t="s">
        <v>343</v>
      </c>
      <c r="U3841" s="14">
        <v>39</v>
      </c>
      <c r="V3841" s="14">
        <v>36</v>
      </c>
      <c r="W3841" s="14">
        <v>32</v>
      </c>
      <c r="X3841" s="14">
        <v>17</v>
      </c>
    </row>
    <row r="3842" spans="1:24" hidden="1" x14ac:dyDescent="0.3">
      <c r="A3842" s="14" t="s">
        <v>490</v>
      </c>
      <c r="B3842" s="14" t="s">
        <v>148</v>
      </c>
      <c r="C3842" s="14" t="s">
        <v>349</v>
      </c>
      <c r="D3842" s="14" t="s">
        <v>350</v>
      </c>
      <c r="E3842" s="14" t="s">
        <v>342</v>
      </c>
      <c r="F3842" s="14" t="s">
        <v>343</v>
      </c>
      <c r="G3842" s="14" t="s">
        <v>343</v>
      </c>
      <c r="H3842" s="14" t="s">
        <v>343</v>
      </c>
      <c r="U3842" s="14">
        <v>0.19</v>
      </c>
      <c r="V3842" s="14">
        <v>0.18</v>
      </c>
      <c r="W3842" s="14">
        <v>0.18</v>
      </c>
      <c r="X3842" s="14">
        <v>0.18</v>
      </c>
    </row>
    <row r="3843" spans="1:24" hidden="1" x14ac:dyDescent="0.3">
      <c r="A3843" s="14" t="s">
        <v>490</v>
      </c>
      <c r="B3843" s="14" t="s">
        <v>148</v>
      </c>
      <c r="C3843" s="14" t="s">
        <v>349</v>
      </c>
      <c r="D3843" s="14" t="s">
        <v>350</v>
      </c>
      <c r="E3843" s="14" t="s">
        <v>344</v>
      </c>
      <c r="F3843" s="14" t="s">
        <v>343</v>
      </c>
      <c r="G3843" s="14" t="s">
        <v>343</v>
      </c>
      <c r="H3843" s="14" t="s">
        <v>343</v>
      </c>
      <c r="U3843" s="14">
        <v>123</v>
      </c>
      <c r="V3843" s="14">
        <v>129</v>
      </c>
      <c r="W3843" s="14">
        <v>135</v>
      </c>
      <c r="X3843" s="14">
        <v>126</v>
      </c>
    </row>
    <row r="3844" spans="1:24" hidden="1" x14ac:dyDescent="0.3">
      <c r="A3844" s="14" t="s">
        <v>490</v>
      </c>
      <c r="B3844" s="14" t="s">
        <v>148</v>
      </c>
      <c r="C3844" s="14" t="s">
        <v>351</v>
      </c>
      <c r="D3844" s="14" t="s">
        <v>352</v>
      </c>
      <c r="E3844" s="14" t="s">
        <v>342</v>
      </c>
      <c r="F3844" s="14" t="s">
        <v>343</v>
      </c>
      <c r="G3844" s="14" t="s">
        <v>343</v>
      </c>
      <c r="H3844" s="14" t="s">
        <v>343</v>
      </c>
      <c r="U3844" s="14">
        <v>0.55000000000000004</v>
      </c>
      <c r="V3844" s="14">
        <v>0.55000000000000004</v>
      </c>
      <c r="W3844" s="14">
        <v>0.55000000000000004</v>
      </c>
      <c r="X3844" s="14">
        <v>0.55000000000000004</v>
      </c>
    </row>
    <row r="3845" spans="1:24" hidden="1" x14ac:dyDescent="0.3">
      <c r="A3845" s="14" t="s">
        <v>490</v>
      </c>
      <c r="B3845" s="14" t="s">
        <v>148</v>
      </c>
      <c r="C3845" s="14" t="s">
        <v>351</v>
      </c>
      <c r="D3845" s="14" t="s">
        <v>352</v>
      </c>
      <c r="E3845" s="14" t="s">
        <v>344</v>
      </c>
      <c r="F3845" s="14" t="s">
        <v>343</v>
      </c>
      <c r="G3845" s="14" t="s">
        <v>343</v>
      </c>
      <c r="H3845" s="14" t="s">
        <v>343</v>
      </c>
      <c r="U3845" s="14">
        <v>119</v>
      </c>
      <c r="V3845" s="14">
        <v>123</v>
      </c>
      <c r="W3845" s="14">
        <v>122</v>
      </c>
      <c r="X3845" s="14">
        <v>112</v>
      </c>
    </row>
    <row r="3846" spans="1:24" hidden="1" x14ac:dyDescent="0.3">
      <c r="A3846" s="14" t="s">
        <v>490</v>
      </c>
      <c r="B3846" s="14" t="s">
        <v>148</v>
      </c>
      <c r="C3846" s="14" t="s">
        <v>378</v>
      </c>
      <c r="D3846" s="14" t="s">
        <v>379</v>
      </c>
      <c r="E3846" s="14" t="s">
        <v>342</v>
      </c>
      <c r="F3846" s="14" t="s">
        <v>343</v>
      </c>
      <c r="G3846" s="14" t="s">
        <v>343</v>
      </c>
      <c r="H3846" s="14" t="s">
        <v>343</v>
      </c>
      <c r="S3846" s="14">
        <v>0.69</v>
      </c>
      <c r="U3846" s="14">
        <v>0.62</v>
      </c>
      <c r="V3846" s="14">
        <v>0.64</v>
      </c>
      <c r="W3846" s="14">
        <v>0.7</v>
      </c>
      <c r="X3846" s="14">
        <v>0.68</v>
      </c>
    </row>
    <row r="3847" spans="1:24" hidden="1" x14ac:dyDescent="0.3">
      <c r="A3847" s="14" t="s">
        <v>490</v>
      </c>
      <c r="B3847" s="14" t="s">
        <v>148</v>
      </c>
      <c r="C3847" s="14" t="s">
        <v>378</v>
      </c>
      <c r="D3847" s="14" t="s">
        <v>379</v>
      </c>
      <c r="E3847" s="14" t="s">
        <v>344</v>
      </c>
      <c r="F3847" s="14" t="s">
        <v>343</v>
      </c>
      <c r="G3847" s="14" t="s">
        <v>343</v>
      </c>
      <c r="H3847" s="14" t="s">
        <v>343</v>
      </c>
      <c r="S3847" s="14">
        <v>45</v>
      </c>
      <c r="U3847" s="14">
        <v>86</v>
      </c>
      <c r="V3847" s="14">
        <v>77</v>
      </c>
      <c r="W3847" s="14">
        <v>55</v>
      </c>
      <c r="X3847" s="14">
        <v>61</v>
      </c>
    </row>
    <row r="3848" spans="1:24" hidden="1" x14ac:dyDescent="0.3">
      <c r="A3848" s="14" t="s">
        <v>490</v>
      </c>
      <c r="B3848" s="14" t="s">
        <v>148</v>
      </c>
      <c r="C3848" s="14" t="s">
        <v>353</v>
      </c>
      <c r="D3848" s="14" t="s">
        <v>354</v>
      </c>
      <c r="E3848" s="14" t="s">
        <v>342</v>
      </c>
      <c r="F3848" s="14" t="s">
        <v>343</v>
      </c>
      <c r="G3848" s="14" t="s">
        <v>343</v>
      </c>
      <c r="H3848" s="14" t="s">
        <v>343</v>
      </c>
      <c r="U3848" s="14">
        <v>0.79</v>
      </c>
      <c r="V3848" s="14">
        <v>0.79</v>
      </c>
      <c r="W3848" s="14">
        <v>0.79</v>
      </c>
      <c r="X3848" s="14">
        <v>0.79</v>
      </c>
    </row>
    <row r="3849" spans="1:24" hidden="1" x14ac:dyDescent="0.3">
      <c r="A3849" s="14" t="s">
        <v>490</v>
      </c>
      <c r="B3849" s="14" t="s">
        <v>148</v>
      </c>
      <c r="C3849" s="14" t="s">
        <v>353</v>
      </c>
      <c r="D3849" s="14" t="s">
        <v>354</v>
      </c>
      <c r="E3849" s="14" t="s">
        <v>344</v>
      </c>
      <c r="F3849" s="14" t="s">
        <v>343</v>
      </c>
      <c r="G3849" s="14" t="s">
        <v>343</v>
      </c>
      <c r="H3849" s="14" t="s">
        <v>343</v>
      </c>
      <c r="U3849" s="14">
        <v>118</v>
      </c>
      <c r="V3849" s="14">
        <v>128</v>
      </c>
      <c r="W3849" s="14">
        <v>130</v>
      </c>
      <c r="X3849" s="14">
        <v>122</v>
      </c>
    </row>
    <row r="3850" spans="1:24" hidden="1" x14ac:dyDescent="0.3">
      <c r="A3850" s="14" t="s">
        <v>490</v>
      </c>
      <c r="B3850" s="14" t="s">
        <v>148</v>
      </c>
      <c r="C3850" s="14" t="s">
        <v>380</v>
      </c>
      <c r="D3850" s="14" t="s">
        <v>381</v>
      </c>
      <c r="E3850" s="14" t="s">
        <v>342</v>
      </c>
      <c r="F3850" s="14" t="s">
        <v>343</v>
      </c>
      <c r="G3850" s="14" t="s">
        <v>343</v>
      </c>
      <c r="H3850" s="14" t="s">
        <v>343</v>
      </c>
      <c r="U3850" s="14">
        <v>1</v>
      </c>
      <c r="V3850" s="14">
        <v>1</v>
      </c>
      <c r="W3850" s="14">
        <v>1</v>
      </c>
    </row>
    <row r="3851" spans="1:24" hidden="1" x14ac:dyDescent="0.3">
      <c r="A3851" s="14" t="s">
        <v>490</v>
      </c>
      <c r="B3851" s="14" t="s">
        <v>148</v>
      </c>
      <c r="C3851" s="14" t="s">
        <v>380</v>
      </c>
      <c r="D3851" s="14" t="s">
        <v>381</v>
      </c>
      <c r="E3851" s="14" t="s">
        <v>344</v>
      </c>
      <c r="F3851" s="14" t="s">
        <v>343</v>
      </c>
      <c r="G3851" s="14" t="s">
        <v>343</v>
      </c>
      <c r="H3851" s="14" t="s">
        <v>343</v>
      </c>
      <c r="U3851" s="14">
        <v>1</v>
      </c>
      <c r="V3851" s="14">
        <v>1</v>
      </c>
      <c r="W3851" s="14">
        <v>1</v>
      </c>
    </row>
    <row r="3852" spans="1:24" hidden="1" x14ac:dyDescent="0.3">
      <c r="A3852" s="14" t="s">
        <v>490</v>
      </c>
      <c r="B3852" s="14" t="s">
        <v>148</v>
      </c>
      <c r="C3852" s="14" t="s">
        <v>355</v>
      </c>
      <c r="D3852" s="14" t="s">
        <v>356</v>
      </c>
      <c r="E3852" s="14" t="s">
        <v>342</v>
      </c>
      <c r="F3852" s="14" t="s">
        <v>343</v>
      </c>
      <c r="G3852" s="14" t="s">
        <v>343</v>
      </c>
      <c r="H3852" s="14" t="s">
        <v>343</v>
      </c>
      <c r="U3852" s="14">
        <v>0.96</v>
      </c>
      <c r="V3852" s="14">
        <v>1</v>
      </c>
      <c r="W3852" s="14">
        <v>1</v>
      </c>
      <c r="X3852" s="14">
        <v>0.83</v>
      </c>
    </row>
    <row r="3853" spans="1:24" hidden="1" x14ac:dyDescent="0.3">
      <c r="A3853" s="14" t="s">
        <v>490</v>
      </c>
      <c r="B3853" s="14" t="s">
        <v>148</v>
      </c>
      <c r="C3853" s="14" t="s">
        <v>355</v>
      </c>
      <c r="D3853" s="14" t="s">
        <v>356</v>
      </c>
      <c r="E3853" s="14" t="s">
        <v>344</v>
      </c>
      <c r="F3853" s="14" t="s">
        <v>343</v>
      </c>
      <c r="G3853" s="14" t="s">
        <v>343</v>
      </c>
      <c r="H3853" s="14" t="s">
        <v>343</v>
      </c>
      <c r="U3853" s="14">
        <v>126</v>
      </c>
      <c r="V3853" s="14">
        <v>1</v>
      </c>
      <c r="W3853" s="14">
        <v>1</v>
      </c>
      <c r="X3853" s="14">
        <v>126</v>
      </c>
    </row>
    <row r="3854" spans="1:24" hidden="1" x14ac:dyDescent="0.3">
      <c r="A3854" s="14" t="s">
        <v>490</v>
      </c>
      <c r="B3854" s="14" t="s">
        <v>148</v>
      </c>
      <c r="C3854" s="14" t="s">
        <v>357</v>
      </c>
      <c r="D3854" s="14" t="s">
        <v>358</v>
      </c>
      <c r="E3854" s="14" t="s">
        <v>342</v>
      </c>
      <c r="F3854" s="14" t="s">
        <v>343</v>
      </c>
      <c r="G3854" s="14" t="s">
        <v>343</v>
      </c>
      <c r="H3854" s="14" t="s">
        <v>343</v>
      </c>
      <c r="U3854" s="14">
        <v>0.64</v>
      </c>
      <c r="V3854" s="14">
        <v>0.62</v>
      </c>
      <c r="W3854" s="14">
        <v>0.62</v>
      </c>
      <c r="X3854" s="14">
        <v>0.59</v>
      </c>
    </row>
    <row r="3855" spans="1:24" hidden="1" x14ac:dyDescent="0.3">
      <c r="A3855" s="14" t="s">
        <v>490</v>
      </c>
      <c r="B3855" s="14" t="s">
        <v>148</v>
      </c>
      <c r="C3855" s="14" t="s">
        <v>357</v>
      </c>
      <c r="D3855" s="14" t="s">
        <v>358</v>
      </c>
      <c r="E3855" s="14" t="s">
        <v>344</v>
      </c>
      <c r="F3855" s="14" t="s">
        <v>343</v>
      </c>
      <c r="G3855" s="14" t="s">
        <v>343</v>
      </c>
      <c r="H3855" s="14" t="s">
        <v>343</v>
      </c>
      <c r="U3855" s="14">
        <v>125</v>
      </c>
      <c r="V3855" s="14">
        <v>133</v>
      </c>
      <c r="W3855" s="14">
        <v>134</v>
      </c>
      <c r="X3855" s="14">
        <v>128</v>
      </c>
    </row>
    <row r="3856" spans="1:24" hidden="1" x14ac:dyDescent="0.3">
      <c r="A3856" s="14" t="s">
        <v>490</v>
      </c>
      <c r="B3856" s="14" t="s">
        <v>148</v>
      </c>
      <c r="C3856" s="14" t="s">
        <v>359</v>
      </c>
      <c r="D3856" s="14" t="s">
        <v>360</v>
      </c>
      <c r="E3856" s="14" t="s">
        <v>342</v>
      </c>
      <c r="F3856" s="14" t="s">
        <v>343</v>
      </c>
      <c r="G3856" s="14" t="s">
        <v>343</v>
      </c>
      <c r="H3856" s="14" t="s">
        <v>343</v>
      </c>
      <c r="I3856" s="14">
        <v>0.66</v>
      </c>
      <c r="J3856" s="14">
        <v>0.68</v>
      </c>
      <c r="K3856" s="14">
        <v>0.69</v>
      </c>
      <c r="L3856" s="14">
        <v>0.69</v>
      </c>
      <c r="M3856" s="14">
        <v>0.7</v>
      </c>
      <c r="N3856" s="14">
        <v>0.7</v>
      </c>
      <c r="O3856" s="14">
        <v>0.82</v>
      </c>
      <c r="P3856" s="14">
        <v>0.83</v>
      </c>
      <c r="Q3856" s="14">
        <v>0.83</v>
      </c>
      <c r="R3856" s="14">
        <v>0.81</v>
      </c>
      <c r="S3856" s="14">
        <v>0.8</v>
      </c>
      <c r="T3856" s="14">
        <v>0.65</v>
      </c>
      <c r="U3856" s="14">
        <v>0.61</v>
      </c>
      <c r="V3856" s="14">
        <v>0.6</v>
      </c>
      <c r="W3856" s="14">
        <v>0.62</v>
      </c>
      <c r="X3856" s="14">
        <v>0.62</v>
      </c>
    </row>
    <row r="3857" spans="1:24" hidden="1" x14ac:dyDescent="0.3">
      <c r="A3857" s="14" t="s">
        <v>490</v>
      </c>
      <c r="B3857" s="14" t="s">
        <v>148</v>
      </c>
      <c r="C3857" s="14" t="s">
        <v>359</v>
      </c>
      <c r="D3857" s="14" t="s">
        <v>360</v>
      </c>
      <c r="E3857" s="14" t="s">
        <v>344</v>
      </c>
      <c r="F3857" s="14" t="s">
        <v>343</v>
      </c>
      <c r="G3857" s="14" t="s">
        <v>343</v>
      </c>
      <c r="H3857" s="14" t="s">
        <v>343</v>
      </c>
      <c r="I3857" s="14">
        <v>36</v>
      </c>
      <c r="J3857" s="14">
        <v>43</v>
      </c>
      <c r="K3857" s="14">
        <v>46</v>
      </c>
      <c r="L3857" s="14">
        <v>42</v>
      </c>
      <c r="M3857" s="14">
        <v>44</v>
      </c>
      <c r="N3857" s="14">
        <v>45</v>
      </c>
      <c r="O3857" s="14">
        <v>5</v>
      </c>
      <c r="P3857" s="14">
        <v>4</v>
      </c>
      <c r="Q3857" s="14">
        <v>3</v>
      </c>
      <c r="R3857" s="14">
        <v>12</v>
      </c>
      <c r="S3857" s="14">
        <v>12</v>
      </c>
      <c r="T3857" s="14">
        <v>85</v>
      </c>
      <c r="U3857" s="14">
        <v>109</v>
      </c>
      <c r="V3857" s="14">
        <v>113</v>
      </c>
      <c r="W3857" s="14">
        <v>111</v>
      </c>
      <c r="X3857" s="14">
        <v>104</v>
      </c>
    </row>
    <row r="3858" spans="1:24" x14ac:dyDescent="0.3">
      <c r="A3858" s="14" t="s">
        <v>490</v>
      </c>
      <c r="B3858" s="14" t="s">
        <v>148</v>
      </c>
      <c r="C3858" s="14" t="s">
        <v>361</v>
      </c>
      <c r="D3858" s="14" t="s">
        <v>362</v>
      </c>
      <c r="E3858" s="14" t="s">
        <v>342</v>
      </c>
      <c r="F3858" s="14" t="s">
        <v>343</v>
      </c>
      <c r="G3858" s="14" t="s">
        <v>343</v>
      </c>
      <c r="H3858" s="14" t="s">
        <v>343</v>
      </c>
      <c r="I3858" s="14">
        <v>0.96</v>
      </c>
      <c r="J3858" s="14">
        <v>0.96</v>
      </c>
      <c r="K3858" s="14">
        <v>0.96</v>
      </c>
      <c r="L3858" s="14">
        <v>0.96</v>
      </c>
      <c r="M3858" s="14">
        <v>0.97</v>
      </c>
      <c r="N3858" s="14">
        <v>0.97</v>
      </c>
      <c r="O3858" s="14">
        <v>0.97</v>
      </c>
      <c r="P3858" s="14">
        <v>0.97</v>
      </c>
      <c r="Q3858" s="14">
        <v>0.97</v>
      </c>
      <c r="R3858" s="14">
        <v>0.97</v>
      </c>
      <c r="S3858" s="14">
        <v>0.97</v>
      </c>
      <c r="T3858" s="14">
        <v>0.97</v>
      </c>
      <c r="U3858" s="14">
        <v>0.98</v>
      </c>
      <c r="V3858" s="14">
        <v>0.98</v>
      </c>
      <c r="W3858" s="14">
        <v>0.98</v>
      </c>
      <c r="X3858" s="14">
        <v>0.98</v>
      </c>
    </row>
    <row r="3859" spans="1:24" hidden="1" x14ac:dyDescent="0.3">
      <c r="A3859" s="14" t="s">
        <v>490</v>
      </c>
      <c r="B3859" s="14" t="s">
        <v>148</v>
      </c>
      <c r="C3859" s="14" t="s">
        <v>361</v>
      </c>
      <c r="D3859" s="14" t="s">
        <v>362</v>
      </c>
      <c r="E3859" s="14" t="s">
        <v>344</v>
      </c>
      <c r="F3859" s="14" t="s">
        <v>343</v>
      </c>
      <c r="G3859" s="14" t="s">
        <v>343</v>
      </c>
      <c r="H3859" s="14" t="s">
        <v>343</v>
      </c>
      <c r="I3859" s="14">
        <v>106</v>
      </c>
      <c r="J3859" s="14">
        <v>110</v>
      </c>
      <c r="K3859" s="14">
        <v>112</v>
      </c>
      <c r="L3859" s="14">
        <v>116</v>
      </c>
      <c r="M3859" s="14">
        <v>99</v>
      </c>
      <c r="N3859" s="14">
        <v>100</v>
      </c>
      <c r="O3859" s="14">
        <v>102</v>
      </c>
      <c r="P3859" s="14">
        <v>101</v>
      </c>
      <c r="Q3859" s="14">
        <v>110</v>
      </c>
      <c r="R3859" s="14">
        <v>78</v>
      </c>
      <c r="S3859" s="14">
        <v>75</v>
      </c>
      <c r="T3859" s="14">
        <v>77</v>
      </c>
      <c r="U3859" s="14">
        <v>1</v>
      </c>
      <c r="V3859" s="14">
        <v>1</v>
      </c>
      <c r="W3859" s="14">
        <v>1</v>
      </c>
      <c r="X3859" s="14">
        <v>1</v>
      </c>
    </row>
    <row r="3860" spans="1:24" hidden="1" x14ac:dyDescent="0.3">
      <c r="A3860" s="14" t="s">
        <v>490</v>
      </c>
      <c r="B3860" s="14" t="s">
        <v>148</v>
      </c>
      <c r="C3860" s="14" t="s">
        <v>363</v>
      </c>
      <c r="D3860" s="14" t="s">
        <v>364</v>
      </c>
      <c r="E3860" s="14" t="s">
        <v>342</v>
      </c>
      <c r="F3860" s="14" t="s">
        <v>343</v>
      </c>
      <c r="G3860" s="14" t="s">
        <v>343</v>
      </c>
      <c r="H3860" s="14" t="s">
        <v>343</v>
      </c>
      <c r="U3860" s="14">
        <v>1.06</v>
      </c>
      <c r="V3860" s="14">
        <v>1.06</v>
      </c>
      <c r="W3860" s="14">
        <v>1.06</v>
      </c>
      <c r="X3860" s="14">
        <v>1.06</v>
      </c>
    </row>
    <row r="3861" spans="1:24" hidden="1" x14ac:dyDescent="0.3">
      <c r="A3861" s="14" t="s">
        <v>490</v>
      </c>
      <c r="B3861" s="14" t="s">
        <v>148</v>
      </c>
      <c r="C3861" s="14" t="s">
        <v>363</v>
      </c>
      <c r="D3861" s="14" t="s">
        <v>364</v>
      </c>
      <c r="E3861" s="14" t="s">
        <v>344</v>
      </c>
      <c r="F3861" s="14" t="s">
        <v>343</v>
      </c>
      <c r="G3861" s="14" t="s">
        <v>343</v>
      </c>
      <c r="H3861" s="14" t="s">
        <v>343</v>
      </c>
      <c r="U3861" s="14">
        <v>1</v>
      </c>
      <c r="V3861" s="14">
        <v>1</v>
      </c>
      <c r="W3861" s="14">
        <v>1</v>
      </c>
      <c r="X3861" s="14">
        <v>1</v>
      </c>
    </row>
    <row r="3862" spans="1:24" hidden="1" x14ac:dyDescent="0.3">
      <c r="A3862" s="14" t="s">
        <v>490</v>
      </c>
      <c r="B3862" s="14" t="s">
        <v>148</v>
      </c>
      <c r="C3862" s="14" t="s">
        <v>365</v>
      </c>
      <c r="D3862" s="14" t="s">
        <v>366</v>
      </c>
      <c r="E3862" s="14" t="s">
        <v>342</v>
      </c>
      <c r="F3862" s="14" t="s">
        <v>343</v>
      </c>
      <c r="G3862" s="14" t="s">
        <v>343</v>
      </c>
      <c r="H3862" s="14" t="s">
        <v>343</v>
      </c>
      <c r="U3862" s="14">
        <v>0.94</v>
      </c>
      <c r="V3862" s="14">
        <v>0.94</v>
      </c>
      <c r="W3862" s="14">
        <v>0.94</v>
      </c>
      <c r="X3862" s="14">
        <v>0.94</v>
      </c>
    </row>
    <row r="3863" spans="1:24" hidden="1" x14ac:dyDescent="0.3">
      <c r="A3863" s="14" t="s">
        <v>490</v>
      </c>
      <c r="B3863" s="14" t="s">
        <v>148</v>
      </c>
      <c r="C3863" s="14" t="s">
        <v>365</v>
      </c>
      <c r="D3863" s="14" t="s">
        <v>366</v>
      </c>
      <c r="E3863" s="14" t="s">
        <v>344</v>
      </c>
      <c r="F3863" s="14" t="s">
        <v>343</v>
      </c>
      <c r="G3863" s="14" t="s">
        <v>343</v>
      </c>
      <c r="H3863" s="14" t="s">
        <v>343</v>
      </c>
      <c r="U3863" s="14">
        <v>1</v>
      </c>
      <c r="V3863" s="14">
        <v>1</v>
      </c>
      <c r="W3863" s="14">
        <v>1</v>
      </c>
      <c r="X3863" s="14">
        <v>1</v>
      </c>
    </row>
    <row r="3864" spans="1:24" hidden="1" x14ac:dyDescent="0.3">
      <c r="A3864" s="14" t="s">
        <v>490</v>
      </c>
      <c r="B3864" s="14" t="s">
        <v>148</v>
      </c>
      <c r="C3864" s="14" t="s">
        <v>367</v>
      </c>
      <c r="D3864" s="14" t="s">
        <v>368</v>
      </c>
      <c r="E3864" s="14" t="s">
        <v>342</v>
      </c>
      <c r="F3864" s="14" t="s">
        <v>343</v>
      </c>
      <c r="G3864" s="14" t="s">
        <v>343</v>
      </c>
      <c r="H3864" s="14" t="s">
        <v>343</v>
      </c>
      <c r="I3864" s="14">
        <v>0.64</v>
      </c>
      <c r="J3864" s="14">
        <v>0.65</v>
      </c>
      <c r="K3864" s="14">
        <v>0.67</v>
      </c>
      <c r="L3864" s="14">
        <v>0.67</v>
      </c>
      <c r="M3864" s="14">
        <v>0.68</v>
      </c>
      <c r="N3864" s="14">
        <v>0.68</v>
      </c>
      <c r="O3864" s="14">
        <v>0.72</v>
      </c>
      <c r="P3864" s="14">
        <v>0.71</v>
      </c>
      <c r="Q3864" s="14">
        <v>0.73</v>
      </c>
      <c r="R3864" s="14">
        <v>0.7</v>
      </c>
      <c r="S3864" s="14">
        <v>0.7</v>
      </c>
      <c r="T3864" s="14">
        <v>0.67</v>
      </c>
      <c r="U3864" s="14">
        <v>0.66</v>
      </c>
      <c r="V3864" s="14">
        <v>0.66</v>
      </c>
      <c r="W3864" s="14">
        <v>0.67</v>
      </c>
      <c r="X3864" s="14">
        <v>0.63</v>
      </c>
    </row>
    <row r="3865" spans="1:24" hidden="1" x14ac:dyDescent="0.3">
      <c r="A3865" s="14" t="s">
        <v>490</v>
      </c>
      <c r="B3865" s="14" t="s">
        <v>148</v>
      </c>
      <c r="C3865" s="14" t="s">
        <v>367</v>
      </c>
      <c r="D3865" s="14" t="s">
        <v>368</v>
      </c>
      <c r="E3865" s="14" t="s">
        <v>344</v>
      </c>
      <c r="F3865" s="14" t="s">
        <v>343</v>
      </c>
      <c r="G3865" s="14" t="s">
        <v>343</v>
      </c>
      <c r="H3865" s="14" t="s">
        <v>343</v>
      </c>
      <c r="I3865" s="14">
        <v>81</v>
      </c>
      <c r="J3865" s="14">
        <v>87</v>
      </c>
      <c r="K3865" s="14">
        <v>81</v>
      </c>
      <c r="L3865" s="14">
        <v>76</v>
      </c>
      <c r="M3865" s="14">
        <v>68</v>
      </c>
      <c r="N3865" s="14">
        <v>65</v>
      </c>
      <c r="O3865" s="14">
        <v>36</v>
      </c>
      <c r="P3865" s="14">
        <v>39</v>
      </c>
      <c r="Q3865" s="14">
        <v>34</v>
      </c>
      <c r="R3865" s="14">
        <v>68</v>
      </c>
      <c r="S3865" s="14">
        <v>67</v>
      </c>
      <c r="T3865" s="14">
        <v>101</v>
      </c>
      <c r="U3865" s="14">
        <v>112</v>
      </c>
      <c r="V3865" s="14">
        <v>116</v>
      </c>
      <c r="W3865" s="14">
        <v>115</v>
      </c>
      <c r="X3865" s="14">
        <v>132</v>
      </c>
    </row>
    <row r="3866" spans="1:24" hidden="1" x14ac:dyDescent="0.3">
      <c r="A3866" s="14" t="s">
        <v>490</v>
      </c>
      <c r="B3866" s="14" t="s">
        <v>148</v>
      </c>
      <c r="C3866" s="14" t="s">
        <v>369</v>
      </c>
      <c r="D3866" s="14" t="s">
        <v>370</v>
      </c>
      <c r="E3866" s="14" t="s">
        <v>342</v>
      </c>
      <c r="F3866" s="14" t="s">
        <v>343</v>
      </c>
      <c r="G3866" s="14" t="s">
        <v>343</v>
      </c>
      <c r="H3866" s="14" t="s">
        <v>343</v>
      </c>
      <c r="I3866" s="14">
        <v>0.09</v>
      </c>
      <c r="J3866" s="14">
        <v>0.09</v>
      </c>
      <c r="K3866" s="14">
        <v>0.12</v>
      </c>
      <c r="L3866" s="14">
        <v>0.16</v>
      </c>
      <c r="M3866" s="14">
        <v>0.17</v>
      </c>
      <c r="N3866" s="14">
        <v>0.17</v>
      </c>
      <c r="O3866" s="14">
        <v>0.16</v>
      </c>
      <c r="P3866" s="14">
        <v>0.17</v>
      </c>
      <c r="Q3866" s="14">
        <v>0.22</v>
      </c>
      <c r="R3866" s="14">
        <v>0.11</v>
      </c>
      <c r="S3866" s="14">
        <v>0.11</v>
      </c>
      <c r="T3866" s="14">
        <v>0.15</v>
      </c>
      <c r="U3866" s="14">
        <v>0.15</v>
      </c>
      <c r="V3866" s="14">
        <v>0.16</v>
      </c>
      <c r="W3866" s="14">
        <v>0.16</v>
      </c>
      <c r="X3866" s="14">
        <v>0.16</v>
      </c>
    </row>
    <row r="3867" spans="1:24" hidden="1" x14ac:dyDescent="0.3">
      <c r="A3867" s="14" t="s">
        <v>490</v>
      </c>
      <c r="B3867" s="14" t="s">
        <v>148</v>
      </c>
      <c r="C3867" s="14" t="s">
        <v>369</v>
      </c>
      <c r="D3867" s="14" t="s">
        <v>370</v>
      </c>
      <c r="E3867" s="14" t="s">
        <v>344</v>
      </c>
      <c r="F3867" s="14" t="s">
        <v>343</v>
      </c>
      <c r="G3867" s="14" t="s">
        <v>343</v>
      </c>
      <c r="H3867" s="14" t="s">
        <v>343</v>
      </c>
      <c r="I3867" s="14">
        <v>68</v>
      </c>
      <c r="J3867" s="14">
        <v>76</v>
      </c>
      <c r="K3867" s="14">
        <v>65</v>
      </c>
      <c r="L3867" s="14">
        <v>48</v>
      </c>
      <c r="M3867" s="14">
        <v>45</v>
      </c>
      <c r="N3867" s="14">
        <v>44</v>
      </c>
      <c r="O3867" s="14">
        <v>53</v>
      </c>
      <c r="P3867" s="14">
        <v>56</v>
      </c>
      <c r="Q3867" s="14">
        <v>41</v>
      </c>
      <c r="R3867" s="14">
        <v>95</v>
      </c>
      <c r="S3867" s="14">
        <v>94</v>
      </c>
      <c r="T3867" s="14">
        <v>81</v>
      </c>
      <c r="U3867" s="14">
        <v>84</v>
      </c>
      <c r="V3867" s="14">
        <v>90</v>
      </c>
      <c r="W3867" s="14">
        <v>93</v>
      </c>
      <c r="X3867" s="14">
        <v>92</v>
      </c>
    </row>
    <row r="3868" spans="1:24" hidden="1" x14ac:dyDescent="0.3">
      <c r="A3868" s="14" t="s">
        <v>490</v>
      </c>
      <c r="B3868" s="14" t="s">
        <v>148</v>
      </c>
      <c r="C3868" s="14" t="s">
        <v>371</v>
      </c>
      <c r="D3868" s="14" t="s">
        <v>372</v>
      </c>
      <c r="E3868" s="14" t="s">
        <v>342</v>
      </c>
      <c r="F3868" s="14" t="s">
        <v>343</v>
      </c>
      <c r="G3868" s="14" t="s">
        <v>343</v>
      </c>
      <c r="H3868" s="14" t="s">
        <v>343</v>
      </c>
      <c r="U3868" s="14">
        <v>0.04</v>
      </c>
      <c r="V3868" s="14">
        <v>0.04</v>
      </c>
      <c r="W3868" s="14">
        <v>0.04</v>
      </c>
      <c r="X3868" s="14">
        <v>0.04</v>
      </c>
    </row>
    <row r="3869" spans="1:24" hidden="1" x14ac:dyDescent="0.3">
      <c r="A3869" s="14" t="s">
        <v>490</v>
      </c>
      <c r="B3869" s="14" t="s">
        <v>148</v>
      </c>
      <c r="C3869" s="14" t="s">
        <v>371</v>
      </c>
      <c r="D3869" s="14" t="s">
        <v>372</v>
      </c>
      <c r="E3869" s="14" t="s">
        <v>344</v>
      </c>
      <c r="F3869" s="14" t="s">
        <v>343</v>
      </c>
      <c r="G3869" s="14" t="s">
        <v>343</v>
      </c>
      <c r="H3869" s="14" t="s">
        <v>343</v>
      </c>
      <c r="U3869" s="14">
        <v>45</v>
      </c>
      <c r="V3869" s="14">
        <v>47</v>
      </c>
      <c r="W3869" s="14">
        <v>53</v>
      </c>
      <c r="X3869" s="14">
        <v>52</v>
      </c>
    </row>
    <row r="3870" spans="1:24" hidden="1" x14ac:dyDescent="0.3">
      <c r="A3870" s="14" t="s">
        <v>490</v>
      </c>
      <c r="B3870" s="14" t="s">
        <v>148</v>
      </c>
      <c r="C3870" s="14" t="s">
        <v>373</v>
      </c>
      <c r="D3870" s="14" t="s">
        <v>374</v>
      </c>
      <c r="E3870" s="14" t="s">
        <v>342</v>
      </c>
      <c r="F3870" s="14" t="s">
        <v>343</v>
      </c>
      <c r="G3870" s="14" t="s">
        <v>343</v>
      </c>
      <c r="H3870" s="14" t="s">
        <v>343</v>
      </c>
      <c r="U3870" s="14">
        <v>0.28999999999999998</v>
      </c>
      <c r="V3870" s="14">
        <v>0.2</v>
      </c>
      <c r="W3870" s="14">
        <v>0.21</v>
      </c>
      <c r="X3870" s="14">
        <v>0.21</v>
      </c>
    </row>
    <row r="3871" spans="1:24" hidden="1" x14ac:dyDescent="0.3">
      <c r="A3871" s="14" t="s">
        <v>490</v>
      </c>
      <c r="B3871" s="14" t="s">
        <v>148</v>
      </c>
      <c r="C3871" s="14" t="s">
        <v>373</v>
      </c>
      <c r="D3871" s="14" t="s">
        <v>374</v>
      </c>
      <c r="E3871" s="14" t="s">
        <v>344</v>
      </c>
      <c r="F3871" s="14" t="s">
        <v>343</v>
      </c>
      <c r="G3871" s="14" t="s">
        <v>343</v>
      </c>
      <c r="H3871" s="14" t="s">
        <v>343</v>
      </c>
      <c r="U3871" s="14">
        <v>56</v>
      </c>
      <c r="V3871" s="14">
        <v>94</v>
      </c>
      <c r="W3871" s="14">
        <v>91</v>
      </c>
      <c r="X3871" s="14">
        <v>86</v>
      </c>
    </row>
    <row r="3872" spans="1:24" hidden="1" x14ac:dyDescent="0.3">
      <c r="A3872" s="14" t="s">
        <v>490</v>
      </c>
      <c r="B3872" s="14" t="s">
        <v>148</v>
      </c>
      <c r="C3872" s="14" t="s">
        <v>375</v>
      </c>
      <c r="D3872" s="14" t="s">
        <v>376</v>
      </c>
      <c r="E3872" s="14" t="s">
        <v>342</v>
      </c>
      <c r="F3872" s="14" t="s">
        <v>343</v>
      </c>
      <c r="G3872" s="14" t="s">
        <v>343</v>
      </c>
      <c r="H3872" s="14" t="s">
        <v>343</v>
      </c>
      <c r="U3872" s="14">
        <v>0.2</v>
      </c>
      <c r="V3872" s="14">
        <v>0.3</v>
      </c>
      <c r="W3872" s="14">
        <v>0.3</v>
      </c>
      <c r="X3872" s="14">
        <v>0.3</v>
      </c>
    </row>
    <row r="3873" spans="1:24" hidden="1" x14ac:dyDescent="0.3">
      <c r="A3873" s="14" t="s">
        <v>490</v>
      </c>
      <c r="B3873" s="14" t="s">
        <v>148</v>
      </c>
      <c r="C3873" s="14" t="s">
        <v>375</v>
      </c>
      <c r="D3873" s="14" t="s">
        <v>376</v>
      </c>
      <c r="E3873" s="14" t="s">
        <v>344</v>
      </c>
      <c r="F3873" s="14" t="s">
        <v>343</v>
      </c>
      <c r="G3873" s="14" t="s">
        <v>343</v>
      </c>
      <c r="H3873" s="14" t="s">
        <v>343</v>
      </c>
      <c r="U3873" s="14">
        <v>104</v>
      </c>
      <c r="V3873" s="14">
        <v>71</v>
      </c>
      <c r="W3873" s="14">
        <v>83</v>
      </c>
      <c r="X3873" s="14">
        <v>84</v>
      </c>
    </row>
    <row r="3874" spans="1:24" hidden="1" x14ac:dyDescent="0.3">
      <c r="A3874" s="14" t="s">
        <v>491</v>
      </c>
      <c r="B3874" s="14" t="s">
        <v>149</v>
      </c>
      <c r="C3874" s="14" t="s">
        <v>340</v>
      </c>
      <c r="D3874" s="14" t="s">
        <v>341</v>
      </c>
      <c r="E3874" s="14" t="s">
        <v>342</v>
      </c>
      <c r="F3874" s="14" t="s">
        <v>343</v>
      </c>
      <c r="G3874" s="14" t="s">
        <v>343</v>
      </c>
      <c r="H3874" s="14" t="s">
        <v>343</v>
      </c>
      <c r="I3874" s="14">
        <v>0.99</v>
      </c>
      <c r="J3874" s="14">
        <v>0.99</v>
      </c>
      <c r="K3874" s="14">
        <v>0.99</v>
      </c>
      <c r="L3874" s="14">
        <v>0.99</v>
      </c>
      <c r="M3874" s="14">
        <v>0.99</v>
      </c>
      <c r="N3874" s="14">
        <v>0.99</v>
      </c>
      <c r="O3874" s="14">
        <v>0.99</v>
      </c>
      <c r="P3874" s="14">
        <v>0.99</v>
      </c>
      <c r="Q3874" s="14">
        <v>0.97</v>
      </c>
      <c r="R3874" s="14">
        <v>0.97</v>
      </c>
      <c r="S3874" s="14">
        <v>0.98</v>
      </c>
      <c r="T3874" s="14">
        <v>0.99</v>
      </c>
      <c r="U3874" s="14">
        <v>1</v>
      </c>
      <c r="V3874" s="14">
        <v>0.99</v>
      </c>
      <c r="W3874" s="14">
        <v>0.99</v>
      </c>
      <c r="X3874" s="14">
        <v>1</v>
      </c>
    </row>
    <row r="3875" spans="1:24" hidden="1" x14ac:dyDescent="0.3">
      <c r="A3875" s="14" t="s">
        <v>491</v>
      </c>
      <c r="B3875" s="14" t="s">
        <v>149</v>
      </c>
      <c r="C3875" s="14" t="s">
        <v>340</v>
      </c>
      <c r="D3875" s="14" t="s">
        <v>341</v>
      </c>
      <c r="E3875" s="14" t="s">
        <v>344</v>
      </c>
      <c r="F3875" s="14" t="s">
        <v>343</v>
      </c>
      <c r="G3875" s="14" t="s">
        <v>343</v>
      </c>
      <c r="H3875" s="14" t="s">
        <v>343</v>
      </c>
      <c r="I3875" s="14">
        <v>62</v>
      </c>
      <c r="J3875" s="14">
        <v>71</v>
      </c>
      <c r="K3875" s="14">
        <v>75</v>
      </c>
      <c r="L3875" s="14">
        <v>77</v>
      </c>
      <c r="M3875" s="14">
        <v>65</v>
      </c>
      <c r="N3875" s="14">
        <v>65</v>
      </c>
      <c r="O3875" s="14">
        <v>72</v>
      </c>
      <c r="P3875" s="14">
        <v>73</v>
      </c>
      <c r="Q3875" s="14">
        <v>100</v>
      </c>
      <c r="R3875" s="14">
        <v>100</v>
      </c>
      <c r="S3875" s="14">
        <v>89</v>
      </c>
      <c r="T3875" s="14">
        <v>77</v>
      </c>
      <c r="U3875" s="14">
        <v>1</v>
      </c>
      <c r="V3875" s="14">
        <v>86</v>
      </c>
      <c r="W3875" s="14">
        <v>70</v>
      </c>
      <c r="X3875" s="14">
        <v>56</v>
      </c>
    </row>
    <row r="3876" spans="1:24" hidden="1" x14ac:dyDescent="0.3">
      <c r="A3876" s="14" t="s">
        <v>491</v>
      </c>
      <c r="B3876" s="14" t="s">
        <v>149</v>
      </c>
      <c r="C3876" s="14" t="s">
        <v>345</v>
      </c>
      <c r="D3876" s="14" t="s">
        <v>346</v>
      </c>
      <c r="E3876" s="14" t="s">
        <v>342</v>
      </c>
      <c r="F3876" s="14" t="s">
        <v>343</v>
      </c>
      <c r="G3876" s="14" t="s">
        <v>343</v>
      </c>
      <c r="H3876" s="14" t="s">
        <v>343</v>
      </c>
      <c r="U3876" s="14">
        <v>0.67</v>
      </c>
      <c r="V3876" s="14">
        <v>0.62</v>
      </c>
      <c r="W3876" s="14">
        <v>0.62</v>
      </c>
      <c r="X3876" s="14">
        <v>0.64</v>
      </c>
    </row>
    <row r="3877" spans="1:24" hidden="1" x14ac:dyDescent="0.3">
      <c r="A3877" s="14" t="s">
        <v>491</v>
      </c>
      <c r="B3877" s="14" t="s">
        <v>149</v>
      </c>
      <c r="C3877" s="14" t="s">
        <v>345</v>
      </c>
      <c r="D3877" s="14" t="s">
        <v>346</v>
      </c>
      <c r="E3877" s="14" t="s">
        <v>344</v>
      </c>
      <c r="F3877" s="14" t="s">
        <v>343</v>
      </c>
      <c r="G3877" s="14" t="s">
        <v>343</v>
      </c>
      <c r="H3877" s="14" t="s">
        <v>343</v>
      </c>
      <c r="U3877" s="14">
        <v>44</v>
      </c>
      <c r="V3877" s="14">
        <v>71</v>
      </c>
      <c r="W3877" s="14">
        <v>72</v>
      </c>
      <c r="X3877" s="14">
        <v>71</v>
      </c>
    </row>
    <row r="3878" spans="1:24" hidden="1" x14ac:dyDescent="0.3">
      <c r="A3878" s="14" t="s">
        <v>491</v>
      </c>
      <c r="B3878" s="14" t="s">
        <v>149</v>
      </c>
      <c r="C3878" s="14" t="s">
        <v>347</v>
      </c>
      <c r="D3878" s="14" t="s">
        <v>348</v>
      </c>
      <c r="E3878" s="14" t="s">
        <v>342</v>
      </c>
      <c r="F3878" s="14" t="s">
        <v>343</v>
      </c>
      <c r="G3878" s="14" t="s">
        <v>343</v>
      </c>
      <c r="H3878" s="14" t="s">
        <v>343</v>
      </c>
      <c r="U3878" s="14">
        <v>0.68</v>
      </c>
      <c r="V3878" s="14">
        <v>0.68</v>
      </c>
      <c r="W3878" s="14">
        <v>0.69</v>
      </c>
      <c r="X3878" s="14">
        <v>0.66</v>
      </c>
    </row>
    <row r="3879" spans="1:24" hidden="1" x14ac:dyDescent="0.3">
      <c r="A3879" s="14" t="s">
        <v>491</v>
      </c>
      <c r="B3879" s="14" t="s">
        <v>149</v>
      </c>
      <c r="C3879" s="14" t="s">
        <v>347</v>
      </c>
      <c r="D3879" s="14" t="s">
        <v>348</v>
      </c>
      <c r="E3879" s="14" t="s">
        <v>344</v>
      </c>
      <c r="F3879" s="14" t="s">
        <v>343</v>
      </c>
      <c r="G3879" s="14" t="s">
        <v>343</v>
      </c>
      <c r="H3879" s="14" t="s">
        <v>343</v>
      </c>
      <c r="U3879" s="14">
        <v>103</v>
      </c>
      <c r="V3879" s="14">
        <v>107</v>
      </c>
      <c r="W3879" s="14">
        <v>113</v>
      </c>
      <c r="X3879" s="14">
        <v>108</v>
      </c>
    </row>
    <row r="3880" spans="1:24" hidden="1" x14ac:dyDescent="0.3">
      <c r="A3880" s="14" t="s">
        <v>491</v>
      </c>
      <c r="B3880" s="14" t="s">
        <v>149</v>
      </c>
      <c r="C3880" s="14" t="s">
        <v>349</v>
      </c>
      <c r="D3880" s="14" t="s">
        <v>350</v>
      </c>
      <c r="E3880" s="14" t="s">
        <v>342</v>
      </c>
      <c r="F3880" s="14" t="s">
        <v>343</v>
      </c>
      <c r="G3880" s="14" t="s">
        <v>343</v>
      </c>
      <c r="H3880" s="14" t="s">
        <v>343</v>
      </c>
      <c r="U3880" s="14">
        <v>0.26</v>
      </c>
      <c r="V3880" s="14">
        <v>0.26</v>
      </c>
      <c r="W3880" s="14">
        <v>0.3</v>
      </c>
      <c r="X3880" s="14">
        <v>0.33</v>
      </c>
    </row>
    <row r="3881" spans="1:24" hidden="1" x14ac:dyDescent="0.3">
      <c r="A3881" s="14" t="s">
        <v>491</v>
      </c>
      <c r="B3881" s="14" t="s">
        <v>149</v>
      </c>
      <c r="C3881" s="14" t="s">
        <v>349</v>
      </c>
      <c r="D3881" s="14" t="s">
        <v>350</v>
      </c>
      <c r="E3881" s="14" t="s">
        <v>344</v>
      </c>
      <c r="F3881" s="14" t="s">
        <v>343</v>
      </c>
      <c r="G3881" s="14" t="s">
        <v>343</v>
      </c>
      <c r="H3881" s="14" t="s">
        <v>343</v>
      </c>
      <c r="U3881" s="14">
        <v>112</v>
      </c>
      <c r="V3881" s="14">
        <v>116</v>
      </c>
      <c r="W3881" s="14">
        <v>114</v>
      </c>
      <c r="X3881" s="14">
        <v>106</v>
      </c>
    </row>
    <row r="3882" spans="1:24" hidden="1" x14ac:dyDescent="0.3">
      <c r="A3882" s="14" t="s">
        <v>491</v>
      </c>
      <c r="B3882" s="14" t="s">
        <v>149</v>
      </c>
      <c r="C3882" s="14" t="s">
        <v>351</v>
      </c>
      <c r="D3882" s="14" t="s">
        <v>352</v>
      </c>
      <c r="E3882" s="14" t="s">
        <v>342</v>
      </c>
      <c r="F3882" s="14" t="s">
        <v>343</v>
      </c>
      <c r="G3882" s="14" t="s">
        <v>343</v>
      </c>
      <c r="H3882" s="14" t="s">
        <v>343</v>
      </c>
      <c r="U3882" s="14">
        <v>0.8</v>
      </c>
      <c r="V3882" s="14">
        <v>0.8</v>
      </c>
      <c r="W3882" s="14">
        <v>0.71</v>
      </c>
      <c r="X3882" s="14">
        <v>0.85</v>
      </c>
    </row>
    <row r="3883" spans="1:24" hidden="1" x14ac:dyDescent="0.3">
      <c r="A3883" s="14" t="s">
        <v>491</v>
      </c>
      <c r="B3883" s="14" t="s">
        <v>149</v>
      </c>
      <c r="C3883" s="14" t="s">
        <v>351</v>
      </c>
      <c r="D3883" s="14" t="s">
        <v>352</v>
      </c>
      <c r="E3883" s="14" t="s">
        <v>344</v>
      </c>
      <c r="F3883" s="14" t="s">
        <v>343</v>
      </c>
      <c r="G3883" s="14" t="s">
        <v>343</v>
      </c>
      <c r="H3883" s="14" t="s">
        <v>343</v>
      </c>
      <c r="U3883" s="14">
        <v>100</v>
      </c>
      <c r="V3883" s="14">
        <v>101</v>
      </c>
      <c r="W3883" s="14">
        <v>104</v>
      </c>
      <c r="X3883" s="14">
        <v>90</v>
      </c>
    </row>
    <row r="3884" spans="1:24" hidden="1" x14ac:dyDescent="0.3">
      <c r="A3884" s="14" t="s">
        <v>491</v>
      </c>
      <c r="B3884" s="14" t="s">
        <v>149</v>
      </c>
      <c r="C3884" s="14" t="s">
        <v>378</v>
      </c>
      <c r="D3884" s="14" t="s">
        <v>379</v>
      </c>
      <c r="E3884" s="14" t="s">
        <v>342</v>
      </c>
      <c r="F3884" s="14" t="s">
        <v>343</v>
      </c>
      <c r="G3884" s="14" t="s">
        <v>343</v>
      </c>
      <c r="H3884" s="14" t="s">
        <v>343</v>
      </c>
      <c r="S3884" s="14">
        <v>0.79</v>
      </c>
      <c r="U3884" s="14">
        <v>0.77</v>
      </c>
      <c r="V3884" s="14">
        <v>0.74</v>
      </c>
      <c r="W3884" s="14">
        <v>0.75</v>
      </c>
      <c r="X3884" s="14">
        <v>0.74</v>
      </c>
    </row>
    <row r="3885" spans="1:24" hidden="1" x14ac:dyDescent="0.3">
      <c r="A3885" s="14" t="s">
        <v>491</v>
      </c>
      <c r="B3885" s="14" t="s">
        <v>149</v>
      </c>
      <c r="C3885" s="14" t="s">
        <v>378</v>
      </c>
      <c r="D3885" s="14" t="s">
        <v>379</v>
      </c>
      <c r="E3885" s="14" t="s">
        <v>344</v>
      </c>
      <c r="F3885" s="14" t="s">
        <v>343</v>
      </c>
      <c r="G3885" s="14" t="s">
        <v>343</v>
      </c>
      <c r="H3885" s="14" t="s">
        <v>343</v>
      </c>
      <c r="S3885" s="14">
        <v>10</v>
      </c>
      <c r="U3885" s="14">
        <v>17</v>
      </c>
      <c r="V3885" s="14">
        <v>20</v>
      </c>
      <c r="W3885" s="14">
        <v>22</v>
      </c>
      <c r="X3885" s="14">
        <v>25</v>
      </c>
    </row>
    <row r="3886" spans="1:24" hidden="1" x14ac:dyDescent="0.3">
      <c r="A3886" s="14" t="s">
        <v>491</v>
      </c>
      <c r="B3886" s="14" t="s">
        <v>149</v>
      </c>
      <c r="C3886" s="14" t="s">
        <v>353</v>
      </c>
      <c r="D3886" s="14" t="s">
        <v>354</v>
      </c>
      <c r="E3886" s="14" t="s">
        <v>342</v>
      </c>
      <c r="F3886" s="14" t="s">
        <v>343</v>
      </c>
      <c r="G3886" s="14" t="s">
        <v>343</v>
      </c>
      <c r="H3886" s="14" t="s">
        <v>343</v>
      </c>
      <c r="V3886" s="14">
        <v>0.95</v>
      </c>
      <c r="W3886" s="14">
        <v>0.97</v>
      </c>
      <c r="X3886" s="14">
        <v>0.97</v>
      </c>
    </row>
    <row r="3887" spans="1:24" hidden="1" x14ac:dyDescent="0.3">
      <c r="A3887" s="14" t="s">
        <v>491</v>
      </c>
      <c r="B3887" s="14" t="s">
        <v>149</v>
      </c>
      <c r="C3887" s="14" t="s">
        <v>353</v>
      </c>
      <c r="D3887" s="14" t="s">
        <v>354</v>
      </c>
      <c r="E3887" s="14" t="s">
        <v>344</v>
      </c>
      <c r="F3887" s="14" t="s">
        <v>343</v>
      </c>
      <c r="G3887" s="14" t="s">
        <v>343</v>
      </c>
      <c r="H3887" s="14" t="s">
        <v>343</v>
      </c>
      <c r="V3887" s="14">
        <v>102</v>
      </c>
      <c r="W3887" s="14">
        <v>89</v>
      </c>
      <c r="X3887" s="14">
        <v>85</v>
      </c>
    </row>
    <row r="3888" spans="1:24" hidden="1" x14ac:dyDescent="0.3">
      <c r="A3888" s="14" t="s">
        <v>491</v>
      </c>
      <c r="B3888" s="14" t="s">
        <v>149</v>
      </c>
      <c r="C3888" s="14" t="s">
        <v>380</v>
      </c>
      <c r="D3888" s="14" t="s">
        <v>381</v>
      </c>
      <c r="E3888" s="14" t="s">
        <v>342</v>
      </c>
      <c r="F3888" s="14" t="s">
        <v>343</v>
      </c>
      <c r="G3888" s="14" t="s">
        <v>343</v>
      </c>
      <c r="H3888" s="14" t="s">
        <v>343</v>
      </c>
      <c r="U3888" s="14">
        <v>1</v>
      </c>
      <c r="V3888" s="14">
        <v>1</v>
      </c>
      <c r="W3888" s="14">
        <v>1</v>
      </c>
      <c r="X3888" s="14">
        <v>1</v>
      </c>
    </row>
    <row r="3889" spans="1:24" hidden="1" x14ac:dyDescent="0.3">
      <c r="A3889" s="14" t="s">
        <v>491</v>
      </c>
      <c r="B3889" s="14" t="s">
        <v>149</v>
      </c>
      <c r="C3889" s="14" t="s">
        <v>380</v>
      </c>
      <c r="D3889" s="14" t="s">
        <v>381</v>
      </c>
      <c r="E3889" s="14" t="s">
        <v>344</v>
      </c>
      <c r="F3889" s="14" t="s">
        <v>343</v>
      </c>
      <c r="G3889" s="14" t="s">
        <v>343</v>
      </c>
      <c r="H3889" s="14" t="s">
        <v>343</v>
      </c>
      <c r="U3889" s="14">
        <v>1</v>
      </c>
      <c r="V3889" s="14">
        <v>81</v>
      </c>
      <c r="W3889" s="14">
        <v>82</v>
      </c>
      <c r="X3889" s="14">
        <v>1</v>
      </c>
    </row>
    <row r="3890" spans="1:24" hidden="1" x14ac:dyDescent="0.3">
      <c r="A3890" s="14" t="s">
        <v>491</v>
      </c>
      <c r="B3890" s="14" t="s">
        <v>149</v>
      </c>
      <c r="C3890" s="14" t="s">
        <v>355</v>
      </c>
      <c r="D3890" s="14" t="s">
        <v>356</v>
      </c>
      <c r="E3890" s="14" t="s">
        <v>342</v>
      </c>
      <c r="F3890" s="14" t="s">
        <v>343</v>
      </c>
      <c r="G3890" s="14" t="s">
        <v>343</v>
      </c>
      <c r="H3890" s="14" t="s">
        <v>343</v>
      </c>
      <c r="U3890" s="14">
        <v>1</v>
      </c>
      <c r="V3890" s="14">
        <v>1</v>
      </c>
      <c r="W3890" s="14">
        <v>1</v>
      </c>
      <c r="X3890" s="14">
        <v>1</v>
      </c>
    </row>
    <row r="3891" spans="1:24" hidden="1" x14ac:dyDescent="0.3">
      <c r="A3891" s="14" t="s">
        <v>491</v>
      </c>
      <c r="B3891" s="14" t="s">
        <v>149</v>
      </c>
      <c r="C3891" s="14" t="s">
        <v>355</v>
      </c>
      <c r="D3891" s="14" t="s">
        <v>356</v>
      </c>
      <c r="E3891" s="14" t="s">
        <v>344</v>
      </c>
      <c r="F3891" s="14" t="s">
        <v>343</v>
      </c>
      <c r="G3891" s="14" t="s">
        <v>343</v>
      </c>
      <c r="H3891" s="14" t="s">
        <v>343</v>
      </c>
      <c r="U3891" s="14">
        <v>1</v>
      </c>
      <c r="V3891" s="14">
        <v>1</v>
      </c>
      <c r="W3891" s="14">
        <v>1</v>
      </c>
      <c r="X3891" s="14">
        <v>1</v>
      </c>
    </row>
    <row r="3892" spans="1:24" hidden="1" x14ac:dyDescent="0.3">
      <c r="A3892" s="14" t="s">
        <v>491</v>
      </c>
      <c r="B3892" s="14" t="s">
        <v>149</v>
      </c>
      <c r="C3892" s="14" t="s">
        <v>357</v>
      </c>
      <c r="D3892" s="14" t="s">
        <v>358</v>
      </c>
      <c r="E3892" s="14" t="s">
        <v>342</v>
      </c>
      <c r="F3892" s="14" t="s">
        <v>343</v>
      </c>
      <c r="G3892" s="14" t="s">
        <v>343</v>
      </c>
      <c r="H3892" s="14" t="s">
        <v>343</v>
      </c>
      <c r="U3892" s="14">
        <v>1</v>
      </c>
      <c r="V3892" s="14">
        <v>1</v>
      </c>
      <c r="W3892" s="14">
        <v>1</v>
      </c>
      <c r="X3892" s="14">
        <v>1</v>
      </c>
    </row>
    <row r="3893" spans="1:24" hidden="1" x14ac:dyDescent="0.3">
      <c r="A3893" s="14" t="s">
        <v>491</v>
      </c>
      <c r="B3893" s="14" t="s">
        <v>149</v>
      </c>
      <c r="C3893" s="14" t="s">
        <v>357</v>
      </c>
      <c r="D3893" s="14" t="s">
        <v>358</v>
      </c>
      <c r="E3893" s="14" t="s">
        <v>344</v>
      </c>
      <c r="F3893" s="14" t="s">
        <v>343</v>
      </c>
      <c r="G3893" s="14" t="s">
        <v>343</v>
      </c>
      <c r="H3893" s="14" t="s">
        <v>343</v>
      </c>
      <c r="U3893" s="14">
        <v>1</v>
      </c>
      <c r="V3893" s="14">
        <v>1</v>
      </c>
      <c r="W3893" s="14">
        <v>1</v>
      </c>
      <c r="X3893" s="14">
        <v>1</v>
      </c>
    </row>
    <row r="3894" spans="1:24" hidden="1" x14ac:dyDescent="0.3">
      <c r="A3894" s="14" t="s">
        <v>491</v>
      </c>
      <c r="B3894" s="14" t="s">
        <v>149</v>
      </c>
      <c r="C3894" s="14" t="s">
        <v>359</v>
      </c>
      <c r="D3894" s="14" t="s">
        <v>360</v>
      </c>
      <c r="E3894" s="14" t="s">
        <v>342</v>
      </c>
      <c r="F3894" s="14" t="s">
        <v>343</v>
      </c>
      <c r="G3894" s="14" t="s">
        <v>343</v>
      </c>
      <c r="H3894" s="14" t="s">
        <v>343</v>
      </c>
      <c r="I3894" s="14">
        <v>0.59</v>
      </c>
      <c r="J3894" s="14">
        <v>0.56999999999999995</v>
      </c>
      <c r="K3894" s="14">
        <v>0.55000000000000004</v>
      </c>
      <c r="L3894" s="14">
        <v>0.56999999999999995</v>
      </c>
      <c r="M3894" s="14">
        <v>0.57999999999999996</v>
      </c>
      <c r="N3894" s="14">
        <v>0.59</v>
      </c>
      <c r="O3894" s="14">
        <v>0.6</v>
      </c>
      <c r="P3894" s="14">
        <v>0.59</v>
      </c>
      <c r="Q3894" s="14">
        <v>0.62</v>
      </c>
      <c r="R3894" s="14">
        <v>0.63</v>
      </c>
      <c r="S3894" s="14">
        <v>0.66</v>
      </c>
      <c r="T3894" s="14">
        <v>0.65</v>
      </c>
      <c r="U3894" s="14">
        <v>0.66</v>
      </c>
      <c r="V3894" s="14">
        <v>0.64</v>
      </c>
      <c r="W3894" s="14">
        <v>0.64</v>
      </c>
      <c r="X3894" s="14">
        <v>0.66</v>
      </c>
    </row>
    <row r="3895" spans="1:24" hidden="1" x14ac:dyDescent="0.3">
      <c r="A3895" s="14" t="s">
        <v>491</v>
      </c>
      <c r="B3895" s="14" t="s">
        <v>149</v>
      </c>
      <c r="C3895" s="14" t="s">
        <v>359</v>
      </c>
      <c r="D3895" s="14" t="s">
        <v>360</v>
      </c>
      <c r="E3895" s="14" t="s">
        <v>344</v>
      </c>
      <c r="F3895" s="14" t="s">
        <v>343</v>
      </c>
      <c r="G3895" s="14" t="s">
        <v>343</v>
      </c>
      <c r="H3895" s="14" t="s">
        <v>343</v>
      </c>
      <c r="I3895" s="14">
        <v>68</v>
      </c>
      <c r="J3895" s="14">
        <v>93</v>
      </c>
      <c r="K3895" s="14">
        <v>100</v>
      </c>
      <c r="L3895" s="14">
        <v>103</v>
      </c>
      <c r="M3895" s="14">
        <v>99</v>
      </c>
      <c r="N3895" s="14">
        <v>95</v>
      </c>
      <c r="O3895" s="14">
        <v>98</v>
      </c>
      <c r="P3895" s="14">
        <v>100</v>
      </c>
      <c r="Q3895" s="14">
        <v>104</v>
      </c>
      <c r="R3895" s="14">
        <v>95</v>
      </c>
      <c r="S3895" s="14">
        <v>80</v>
      </c>
      <c r="T3895" s="14">
        <v>87</v>
      </c>
      <c r="U3895" s="14">
        <v>84</v>
      </c>
      <c r="V3895" s="14">
        <v>97</v>
      </c>
      <c r="W3895" s="14">
        <v>104</v>
      </c>
      <c r="X3895" s="14">
        <v>88</v>
      </c>
    </row>
    <row r="3896" spans="1:24" x14ac:dyDescent="0.3">
      <c r="A3896" s="14" t="s">
        <v>491</v>
      </c>
      <c r="B3896" s="14" t="s">
        <v>149</v>
      </c>
      <c r="C3896" s="14" t="s">
        <v>361</v>
      </c>
      <c r="D3896" s="14" t="s">
        <v>362</v>
      </c>
      <c r="E3896" s="14" t="s">
        <v>342</v>
      </c>
      <c r="F3896" s="14" t="s">
        <v>343</v>
      </c>
      <c r="G3896" s="14" t="s">
        <v>343</v>
      </c>
      <c r="H3896" s="14" t="s">
        <v>343</v>
      </c>
      <c r="I3896" s="14">
        <v>0.97</v>
      </c>
      <c r="J3896" s="14">
        <v>0.97</v>
      </c>
      <c r="K3896" s="14">
        <v>0.97</v>
      </c>
      <c r="L3896" s="14">
        <v>0.97</v>
      </c>
      <c r="M3896" s="14">
        <v>0.97</v>
      </c>
      <c r="N3896" s="14">
        <v>0.97</v>
      </c>
      <c r="O3896" s="14">
        <v>0.97</v>
      </c>
      <c r="P3896" s="14">
        <v>0.97</v>
      </c>
      <c r="Q3896" s="14">
        <v>0.97</v>
      </c>
      <c r="R3896" s="14">
        <v>0.97</v>
      </c>
      <c r="S3896" s="14">
        <v>0.97</v>
      </c>
      <c r="T3896" s="14">
        <v>0.98</v>
      </c>
      <c r="U3896" s="14">
        <v>0.97</v>
      </c>
      <c r="V3896" s="14">
        <v>0.97</v>
      </c>
      <c r="W3896" s="14">
        <v>0.97</v>
      </c>
      <c r="X3896" s="14">
        <v>0.97</v>
      </c>
    </row>
    <row r="3897" spans="1:24" hidden="1" x14ac:dyDescent="0.3">
      <c r="A3897" s="14" t="s">
        <v>491</v>
      </c>
      <c r="B3897" s="14" t="s">
        <v>149</v>
      </c>
      <c r="C3897" s="14" t="s">
        <v>361</v>
      </c>
      <c r="D3897" s="14" t="s">
        <v>362</v>
      </c>
      <c r="E3897" s="14" t="s">
        <v>344</v>
      </c>
      <c r="F3897" s="14" t="s">
        <v>343</v>
      </c>
      <c r="G3897" s="14" t="s">
        <v>343</v>
      </c>
      <c r="H3897" s="14" t="s">
        <v>343</v>
      </c>
      <c r="I3897" s="14">
        <v>80</v>
      </c>
      <c r="J3897" s="14">
        <v>97</v>
      </c>
      <c r="K3897" s="14">
        <v>98</v>
      </c>
      <c r="L3897" s="14">
        <v>103</v>
      </c>
      <c r="M3897" s="14">
        <v>76</v>
      </c>
      <c r="N3897" s="14">
        <v>78</v>
      </c>
      <c r="O3897" s="14">
        <v>78</v>
      </c>
      <c r="P3897" s="14">
        <v>75</v>
      </c>
      <c r="Q3897" s="14">
        <v>102</v>
      </c>
      <c r="R3897" s="14">
        <v>110</v>
      </c>
      <c r="S3897" s="14">
        <v>109</v>
      </c>
      <c r="T3897" s="14">
        <v>53</v>
      </c>
      <c r="U3897" s="14">
        <v>83</v>
      </c>
      <c r="V3897" s="14">
        <v>84</v>
      </c>
      <c r="W3897" s="14">
        <v>74</v>
      </c>
      <c r="X3897" s="14">
        <v>68</v>
      </c>
    </row>
    <row r="3898" spans="1:24" hidden="1" x14ac:dyDescent="0.3">
      <c r="A3898" s="14" t="s">
        <v>491</v>
      </c>
      <c r="B3898" s="14" t="s">
        <v>149</v>
      </c>
      <c r="C3898" s="14" t="s">
        <v>363</v>
      </c>
      <c r="D3898" s="14" t="s">
        <v>364</v>
      </c>
      <c r="E3898" s="14" t="s">
        <v>342</v>
      </c>
      <c r="F3898" s="14" t="s">
        <v>343</v>
      </c>
      <c r="G3898" s="14" t="s">
        <v>343</v>
      </c>
      <c r="H3898" s="14" t="s">
        <v>343</v>
      </c>
      <c r="U3898" s="14">
        <v>1.04</v>
      </c>
      <c r="V3898" s="14">
        <v>1.04</v>
      </c>
      <c r="W3898" s="14">
        <v>1.04</v>
      </c>
      <c r="X3898" s="14">
        <v>1.04</v>
      </c>
    </row>
    <row r="3899" spans="1:24" hidden="1" x14ac:dyDescent="0.3">
      <c r="A3899" s="14" t="s">
        <v>491</v>
      </c>
      <c r="B3899" s="14" t="s">
        <v>149</v>
      </c>
      <c r="C3899" s="14" t="s">
        <v>363</v>
      </c>
      <c r="D3899" s="14" t="s">
        <v>364</v>
      </c>
      <c r="E3899" s="14" t="s">
        <v>344</v>
      </c>
      <c r="F3899" s="14" t="s">
        <v>343</v>
      </c>
      <c r="G3899" s="14" t="s">
        <v>343</v>
      </c>
      <c r="H3899" s="14" t="s">
        <v>343</v>
      </c>
      <c r="U3899" s="14">
        <v>89</v>
      </c>
      <c r="V3899" s="14">
        <v>92</v>
      </c>
      <c r="W3899" s="14">
        <v>81</v>
      </c>
      <c r="X3899" s="14">
        <v>73</v>
      </c>
    </row>
    <row r="3900" spans="1:24" hidden="1" x14ac:dyDescent="0.3">
      <c r="A3900" s="14" t="s">
        <v>491</v>
      </c>
      <c r="B3900" s="14" t="s">
        <v>149</v>
      </c>
      <c r="C3900" s="14" t="s">
        <v>365</v>
      </c>
      <c r="D3900" s="14" t="s">
        <v>366</v>
      </c>
      <c r="E3900" s="14" t="s">
        <v>342</v>
      </c>
      <c r="F3900" s="14" t="s">
        <v>343</v>
      </c>
      <c r="G3900" s="14" t="s">
        <v>343</v>
      </c>
      <c r="H3900" s="14" t="s">
        <v>343</v>
      </c>
      <c r="U3900" s="14">
        <v>0.94</v>
      </c>
      <c r="V3900" s="14">
        <v>0.94</v>
      </c>
      <c r="W3900" s="14">
        <v>0.94</v>
      </c>
      <c r="X3900" s="14">
        <v>0.94</v>
      </c>
    </row>
    <row r="3901" spans="1:24" hidden="1" x14ac:dyDescent="0.3">
      <c r="A3901" s="14" t="s">
        <v>491</v>
      </c>
      <c r="B3901" s="14" t="s">
        <v>149</v>
      </c>
      <c r="C3901" s="14" t="s">
        <v>365</v>
      </c>
      <c r="D3901" s="14" t="s">
        <v>366</v>
      </c>
      <c r="E3901" s="14" t="s">
        <v>344</v>
      </c>
      <c r="F3901" s="14" t="s">
        <v>343</v>
      </c>
      <c r="G3901" s="14" t="s">
        <v>343</v>
      </c>
      <c r="H3901" s="14" t="s">
        <v>343</v>
      </c>
      <c r="U3901" s="14">
        <v>114</v>
      </c>
      <c r="V3901" s="14">
        <v>112</v>
      </c>
      <c r="W3901" s="14">
        <v>116</v>
      </c>
      <c r="X3901" s="14">
        <v>111</v>
      </c>
    </row>
    <row r="3902" spans="1:24" hidden="1" x14ac:dyDescent="0.3">
      <c r="A3902" s="14" t="s">
        <v>491</v>
      </c>
      <c r="B3902" s="14" t="s">
        <v>149</v>
      </c>
      <c r="C3902" s="14" t="s">
        <v>367</v>
      </c>
      <c r="D3902" s="14" t="s">
        <v>368</v>
      </c>
      <c r="E3902" s="14" t="s">
        <v>342</v>
      </c>
      <c r="F3902" s="14" t="s">
        <v>343</v>
      </c>
      <c r="G3902" s="14" t="s">
        <v>343</v>
      </c>
      <c r="H3902" s="14" t="s">
        <v>343</v>
      </c>
      <c r="I3902" s="14">
        <v>0.65</v>
      </c>
      <c r="J3902" s="14">
        <v>0.64</v>
      </c>
      <c r="K3902" s="14">
        <v>0.64</v>
      </c>
      <c r="L3902" s="14">
        <v>0.65</v>
      </c>
      <c r="M3902" s="14">
        <v>0.65</v>
      </c>
      <c r="N3902" s="14">
        <v>0.65</v>
      </c>
      <c r="O3902" s="14">
        <v>0.65</v>
      </c>
      <c r="P3902" s="14">
        <v>0.65</v>
      </c>
      <c r="Q3902" s="14">
        <v>0.65</v>
      </c>
      <c r="R3902" s="14">
        <v>0.66</v>
      </c>
      <c r="S3902" s="14">
        <v>0.67</v>
      </c>
      <c r="T3902" s="14">
        <v>0.67</v>
      </c>
      <c r="U3902" s="14">
        <v>0.68</v>
      </c>
      <c r="V3902" s="14">
        <v>0.68</v>
      </c>
      <c r="W3902" s="14">
        <v>0.68</v>
      </c>
      <c r="X3902" s="14">
        <v>0.68</v>
      </c>
    </row>
    <row r="3903" spans="1:24" hidden="1" x14ac:dyDescent="0.3">
      <c r="A3903" s="14" t="s">
        <v>491</v>
      </c>
      <c r="B3903" s="14" t="s">
        <v>149</v>
      </c>
      <c r="C3903" s="14" t="s">
        <v>367</v>
      </c>
      <c r="D3903" s="14" t="s">
        <v>368</v>
      </c>
      <c r="E3903" s="14" t="s">
        <v>344</v>
      </c>
      <c r="F3903" s="14" t="s">
        <v>343</v>
      </c>
      <c r="G3903" s="14" t="s">
        <v>343</v>
      </c>
      <c r="H3903" s="14" t="s">
        <v>343</v>
      </c>
      <c r="I3903" s="14">
        <v>72</v>
      </c>
      <c r="J3903" s="14">
        <v>92</v>
      </c>
      <c r="K3903" s="14">
        <v>96</v>
      </c>
      <c r="L3903" s="14">
        <v>100</v>
      </c>
      <c r="M3903" s="14">
        <v>98</v>
      </c>
      <c r="N3903" s="14">
        <v>97</v>
      </c>
      <c r="O3903" s="14">
        <v>100</v>
      </c>
      <c r="P3903" s="14">
        <v>102</v>
      </c>
      <c r="Q3903" s="14">
        <v>107</v>
      </c>
      <c r="R3903" s="14">
        <v>111</v>
      </c>
      <c r="S3903" s="14">
        <v>106</v>
      </c>
      <c r="T3903" s="14">
        <v>104</v>
      </c>
      <c r="U3903" s="14">
        <v>101</v>
      </c>
      <c r="V3903" s="14">
        <v>104</v>
      </c>
      <c r="W3903" s="14">
        <v>112</v>
      </c>
      <c r="X3903" s="14">
        <v>103</v>
      </c>
    </row>
    <row r="3904" spans="1:24" hidden="1" x14ac:dyDescent="0.3">
      <c r="A3904" s="14" t="s">
        <v>491</v>
      </c>
      <c r="B3904" s="14" t="s">
        <v>149</v>
      </c>
      <c r="C3904" s="14" t="s">
        <v>369</v>
      </c>
      <c r="D3904" s="14" t="s">
        <v>370</v>
      </c>
      <c r="E3904" s="14" t="s">
        <v>342</v>
      </c>
      <c r="F3904" s="14" t="s">
        <v>343</v>
      </c>
      <c r="G3904" s="14" t="s">
        <v>343</v>
      </c>
      <c r="H3904" s="14" t="s">
        <v>343</v>
      </c>
      <c r="I3904" s="14">
        <v>0.06</v>
      </c>
      <c r="J3904" s="14">
        <v>0.06</v>
      </c>
      <c r="K3904" s="14">
        <v>0.06</v>
      </c>
      <c r="L3904" s="14">
        <v>0.06</v>
      </c>
      <c r="M3904" s="14">
        <v>0.05</v>
      </c>
      <c r="N3904" s="14">
        <v>0.05</v>
      </c>
      <c r="O3904" s="14">
        <v>0.05</v>
      </c>
      <c r="P3904" s="14">
        <v>0.05</v>
      </c>
      <c r="Q3904" s="14">
        <v>0.05</v>
      </c>
      <c r="R3904" s="14">
        <v>0.05</v>
      </c>
      <c r="S3904" s="14">
        <v>0.05</v>
      </c>
      <c r="T3904" s="14">
        <v>0.06</v>
      </c>
      <c r="U3904" s="14">
        <v>7.0000000000000007E-2</v>
      </c>
      <c r="V3904" s="14">
        <v>0.11</v>
      </c>
      <c r="W3904" s="14">
        <v>0.1</v>
      </c>
      <c r="X3904" s="14">
        <v>0.1</v>
      </c>
    </row>
    <row r="3905" spans="1:24" hidden="1" x14ac:dyDescent="0.3">
      <c r="A3905" s="14" t="s">
        <v>491</v>
      </c>
      <c r="B3905" s="14" t="s">
        <v>149</v>
      </c>
      <c r="C3905" s="14" t="s">
        <v>369</v>
      </c>
      <c r="D3905" s="14" t="s">
        <v>370</v>
      </c>
      <c r="E3905" s="14" t="s">
        <v>344</v>
      </c>
      <c r="F3905" s="14" t="s">
        <v>343</v>
      </c>
      <c r="G3905" s="14" t="s">
        <v>343</v>
      </c>
      <c r="H3905" s="14" t="s">
        <v>343</v>
      </c>
      <c r="I3905" s="14">
        <v>90</v>
      </c>
      <c r="J3905" s="14">
        <v>101</v>
      </c>
      <c r="K3905" s="14">
        <v>109</v>
      </c>
      <c r="L3905" s="14">
        <v>113</v>
      </c>
      <c r="M3905" s="14">
        <v>110</v>
      </c>
      <c r="N3905" s="14">
        <v>115</v>
      </c>
      <c r="O3905" s="14">
        <v>120</v>
      </c>
      <c r="P3905" s="14">
        <v>121</v>
      </c>
      <c r="Q3905" s="14">
        <v>132</v>
      </c>
      <c r="R3905" s="14">
        <v>134</v>
      </c>
      <c r="S3905" s="14">
        <v>134</v>
      </c>
      <c r="T3905" s="14">
        <v>133</v>
      </c>
      <c r="U3905" s="14">
        <v>131</v>
      </c>
      <c r="V3905" s="14">
        <v>117</v>
      </c>
      <c r="W3905" s="14">
        <v>128</v>
      </c>
      <c r="X3905" s="14">
        <v>123</v>
      </c>
    </row>
    <row r="3906" spans="1:24" hidden="1" x14ac:dyDescent="0.3">
      <c r="A3906" s="14" t="s">
        <v>491</v>
      </c>
      <c r="B3906" s="14" t="s">
        <v>149</v>
      </c>
      <c r="C3906" s="14" t="s">
        <v>371</v>
      </c>
      <c r="D3906" s="14" t="s">
        <v>372</v>
      </c>
      <c r="E3906" s="14" t="s">
        <v>342</v>
      </c>
      <c r="F3906" s="14" t="s">
        <v>343</v>
      </c>
      <c r="G3906" s="14" t="s">
        <v>343</v>
      </c>
      <c r="H3906" s="14" t="s">
        <v>343</v>
      </c>
      <c r="U3906" s="14">
        <v>0</v>
      </c>
      <c r="V3906" s="14">
        <v>0</v>
      </c>
      <c r="W3906" s="14">
        <v>0</v>
      </c>
      <c r="X3906" s="14">
        <v>0</v>
      </c>
    </row>
    <row r="3907" spans="1:24" hidden="1" x14ac:dyDescent="0.3">
      <c r="A3907" s="14" t="s">
        <v>491</v>
      </c>
      <c r="B3907" s="14" t="s">
        <v>149</v>
      </c>
      <c r="C3907" s="14" t="s">
        <v>371</v>
      </c>
      <c r="D3907" s="14" t="s">
        <v>372</v>
      </c>
      <c r="E3907" s="14" t="s">
        <v>344</v>
      </c>
      <c r="F3907" s="14" t="s">
        <v>343</v>
      </c>
      <c r="G3907" s="14" t="s">
        <v>343</v>
      </c>
      <c r="H3907" s="14" t="s">
        <v>343</v>
      </c>
      <c r="U3907" s="14">
        <v>71</v>
      </c>
      <c r="V3907" s="14">
        <v>73</v>
      </c>
      <c r="W3907" s="14">
        <v>76</v>
      </c>
      <c r="X3907" s="14">
        <v>78</v>
      </c>
    </row>
    <row r="3908" spans="1:24" hidden="1" x14ac:dyDescent="0.3">
      <c r="A3908" s="14" t="s">
        <v>491</v>
      </c>
      <c r="B3908" s="14" t="s">
        <v>149</v>
      </c>
      <c r="C3908" s="14" t="s">
        <v>373</v>
      </c>
      <c r="D3908" s="14" t="s">
        <v>374</v>
      </c>
      <c r="E3908" s="14" t="s">
        <v>342</v>
      </c>
      <c r="F3908" s="14" t="s">
        <v>343</v>
      </c>
      <c r="G3908" s="14" t="s">
        <v>343</v>
      </c>
      <c r="H3908" s="14" t="s">
        <v>343</v>
      </c>
      <c r="U3908" s="14">
        <v>0.09</v>
      </c>
      <c r="V3908" s="14">
        <v>0.23</v>
      </c>
      <c r="W3908" s="14">
        <v>0.19</v>
      </c>
      <c r="X3908" s="14">
        <v>0.19</v>
      </c>
    </row>
    <row r="3909" spans="1:24" hidden="1" x14ac:dyDescent="0.3">
      <c r="A3909" s="14" t="s">
        <v>491</v>
      </c>
      <c r="B3909" s="14" t="s">
        <v>149</v>
      </c>
      <c r="C3909" s="14" t="s">
        <v>373</v>
      </c>
      <c r="D3909" s="14" t="s">
        <v>374</v>
      </c>
      <c r="E3909" s="14" t="s">
        <v>344</v>
      </c>
      <c r="F3909" s="14" t="s">
        <v>343</v>
      </c>
      <c r="G3909" s="14" t="s">
        <v>343</v>
      </c>
      <c r="H3909" s="14" t="s">
        <v>343</v>
      </c>
      <c r="U3909" s="14">
        <v>122</v>
      </c>
      <c r="V3909" s="14">
        <v>88</v>
      </c>
      <c r="W3909" s="14">
        <v>95</v>
      </c>
      <c r="X3909" s="14">
        <v>90</v>
      </c>
    </row>
    <row r="3910" spans="1:24" hidden="1" x14ac:dyDescent="0.3">
      <c r="A3910" s="14" t="s">
        <v>491</v>
      </c>
      <c r="B3910" s="14" t="s">
        <v>149</v>
      </c>
      <c r="C3910" s="14" t="s">
        <v>375</v>
      </c>
      <c r="D3910" s="14" t="s">
        <v>376</v>
      </c>
      <c r="E3910" s="14" t="s">
        <v>342</v>
      </c>
      <c r="F3910" s="14" t="s">
        <v>343</v>
      </c>
      <c r="G3910" s="14" t="s">
        <v>343</v>
      </c>
      <c r="H3910" s="14" t="s">
        <v>343</v>
      </c>
      <c r="U3910" s="14">
        <v>0.16</v>
      </c>
      <c r="V3910" s="14">
        <v>0.17</v>
      </c>
      <c r="W3910" s="14">
        <v>0.18</v>
      </c>
      <c r="X3910" s="14">
        <v>0.18</v>
      </c>
    </row>
    <row r="3911" spans="1:24" hidden="1" x14ac:dyDescent="0.3">
      <c r="A3911" s="14" t="s">
        <v>491</v>
      </c>
      <c r="B3911" s="14" t="s">
        <v>149</v>
      </c>
      <c r="C3911" s="14" t="s">
        <v>375</v>
      </c>
      <c r="D3911" s="14" t="s">
        <v>376</v>
      </c>
      <c r="E3911" s="14" t="s">
        <v>344</v>
      </c>
      <c r="F3911" s="14" t="s">
        <v>343</v>
      </c>
      <c r="G3911" s="14" t="s">
        <v>343</v>
      </c>
      <c r="H3911" s="14" t="s">
        <v>343</v>
      </c>
      <c r="U3911" s="14">
        <v>113</v>
      </c>
      <c r="V3911" s="14">
        <v>121</v>
      </c>
      <c r="W3911" s="14">
        <v>125</v>
      </c>
      <c r="X3911" s="14">
        <v>116</v>
      </c>
    </row>
    <row r="3912" spans="1:24" hidden="1" x14ac:dyDescent="0.3">
      <c r="A3912" s="14" t="s">
        <v>492</v>
      </c>
      <c r="B3912" s="14" t="s">
        <v>167</v>
      </c>
      <c r="C3912" s="14" t="s">
        <v>340</v>
      </c>
      <c r="D3912" s="14" t="s">
        <v>341</v>
      </c>
      <c r="E3912" s="14" t="s">
        <v>342</v>
      </c>
      <c r="F3912" s="14" t="s">
        <v>343</v>
      </c>
      <c r="G3912" s="14" t="s">
        <v>343</v>
      </c>
      <c r="H3912" s="14" t="s">
        <v>343</v>
      </c>
      <c r="I3912" s="14">
        <v>0.99</v>
      </c>
      <c r="J3912" s="14">
        <v>0.99</v>
      </c>
      <c r="K3912" s="14">
        <v>0.98</v>
      </c>
      <c r="L3912" s="14">
        <v>0.98</v>
      </c>
      <c r="M3912" s="14">
        <v>1</v>
      </c>
      <c r="N3912" s="14">
        <v>1</v>
      </c>
      <c r="O3912" s="14">
        <v>1</v>
      </c>
      <c r="P3912" s="14">
        <v>1</v>
      </c>
      <c r="Q3912" s="14">
        <v>1</v>
      </c>
      <c r="R3912" s="14">
        <v>1</v>
      </c>
      <c r="S3912" s="14">
        <v>1</v>
      </c>
      <c r="T3912" s="14">
        <v>1</v>
      </c>
      <c r="U3912" s="14">
        <v>1</v>
      </c>
      <c r="V3912" s="14">
        <v>1</v>
      </c>
      <c r="W3912" s="14">
        <v>1</v>
      </c>
      <c r="X3912" s="14">
        <v>1</v>
      </c>
    </row>
    <row r="3913" spans="1:24" hidden="1" x14ac:dyDescent="0.3">
      <c r="A3913" s="14" t="s">
        <v>492</v>
      </c>
      <c r="B3913" s="14" t="s">
        <v>167</v>
      </c>
      <c r="C3913" s="14" t="s">
        <v>340</v>
      </c>
      <c r="D3913" s="14" t="s">
        <v>341</v>
      </c>
      <c r="E3913" s="14" t="s">
        <v>344</v>
      </c>
      <c r="F3913" s="14" t="s">
        <v>343</v>
      </c>
      <c r="G3913" s="14" t="s">
        <v>343</v>
      </c>
      <c r="H3913" s="14" t="s">
        <v>343</v>
      </c>
      <c r="I3913" s="14">
        <v>43</v>
      </c>
      <c r="J3913" s="14">
        <v>46</v>
      </c>
      <c r="K3913" s="14">
        <v>83</v>
      </c>
      <c r="L3913" s="14">
        <v>85</v>
      </c>
      <c r="M3913" s="14">
        <v>34</v>
      </c>
      <c r="N3913" s="14">
        <v>34</v>
      </c>
      <c r="O3913" s="14">
        <v>31</v>
      </c>
      <c r="P3913" s="14">
        <v>1</v>
      </c>
      <c r="Q3913" s="14">
        <v>1</v>
      </c>
      <c r="R3913" s="14">
        <v>1</v>
      </c>
      <c r="S3913" s="14">
        <v>35</v>
      </c>
      <c r="T3913" s="14">
        <v>41</v>
      </c>
      <c r="U3913" s="14">
        <v>42</v>
      </c>
      <c r="V3913" s="14">
        <v>32</v>
      </c>
      <c r="W3913" s="14">
        <v>34</v>
      </c>
      <c r="X3913" s="14">
        <v>30</v>
      </c>
    </row>
    <row r="3914" spans="1:24" hidden="1" x14ac:dyDescent="0.3">
      <c r="A3914" s="14" t="s">
        <v>492</v>
      </c>
      <c r="B3914" s="14" t="s">
        <v>167</v>
      </c>
      <c r="C3914" s="14" t="s">
        <v>345</v>
      </c>
      <c r="D3914" s="14" t="s">
        <v>346</v>
      </c>
      <c r="E3914" s="14" t="s">
        <v>342</v>
      </c>
      <c r="F3914" s="14" t="s">
        <v>343</v>
      </c>
      <c r="G3914" s="14" t="s">
        <v>343</v>
      </c>
      <c r="H3914" s="14" t="s">
        <v>343</v>
      </c>
      <c r="U3914" s="14">
        <v>0.88</v>
      </c>
      <c r="V3914" s="14">
        <v>0.79</v>
      </c>
      <c r="W3914" s="14">
        <v>0.82</v>
      </c>
      <c r="X3914" s="14">
        <v>0.82</v>
      </c>
    </row>
    <row r="3915" spans="1:24" hidden="1" x14ac:dyDescent="0.3">
      <c r="A3915" s="14" t="s">
        <v>492</v>
      </c>
      <c r="B3915" s="14" t="s">
        <v>167</v>
      </c>
      <c r="C3915" s="14" t="s">
        <v>345</v>
      </c>
      <c r="D3915" s="14" t="s">
        <v>346</v>
      </c>
      <c r="E3915" s="14" t="s">
        <v>344</v>
      </c>
      <c r="F3915" s="14" t="s">
        <v>343</v>
      </c>
      <c r="G3915" s="14" t="s">
        <v>343</v>
      </c>
      <c r="H3915" s="14" t="s">
        <v>343</v>
      </c>
      <c r="U3915" s="14">
        <v>6</v>
      </c>
      <c r="V3915" s="14">
        <v>13</v>
      </c>
      <c r="W3915" s="14">
        <v>10</v>
      </c>
      <c r="X3915" s="14">
        <v>14</v>
      </c>
    </row>
    <row r="3916" spans="1:24" hidden="1" x14ac:dyDescent="0.3">
      <c r="A3916" s="14" t="s">
        <v>492</v>
      </c>
      <c r="B3916" s="14" t="s">
        <v>167</v>
      </c>
      <c r="C3916" s="14" t="s">
        <v>347</v>
      </c>
      <c r="D3916" s="14" t="s">
        <v>348</v>
      </c>
      <c r="E3916" s="14" t="s">
        <v>342</v>
      </c>
      <c r="F3916" s="14" t="s">
        <v>343</v>
      </c>
      <c r="G3916" s="14" t="s">
        <v>343</v>
      </c>
      <c r="H3916" s="14" t="s">
        <v>343</v>
      </c>
      <c r="U3916" s="14">
        <v>0.9</v>
      </c>
      <c r="V3916" s="14">
        <v>0.87</v>
      </c>
      <c r="W3916" s="14">
        <v>0.89</v>
      </c>
      <c r="X3916" s="14">
        <v>0.88</v>
      </c>
    </row>
    <row r="3917" spans="1:24" hidden="1" x14ac:dyDescent="0.3">
      <c r="A3917" s="14" t="s">
        <v>492</v>
      </c>
      <c r="B3917" s="14" t="s">
        <v>167</v>
      </c>
      <c r="C3917" s="14" t="s">
        <v>347</v>
      </c>
      <c r="D3917" s="14" t="s">
        <v>348</v>
      </c>
      <c r="E3917" s="14" t="s">
        <v>344</v>
      </c>
      <c r="F3917" s="14" t="s">
        <v>343</v>
      </c>
      <c r="G3917" s="14" t="s">
        <v>343</v>
      </c>
      <c r="H3917" s="14" t="s">
        <v>343</v>
      </c>
      <c r="U3917" s="14">
        <v>35</v>
      </c>
      <c r="V3917" s="14">
        <v>55</v>
      </c>
      <c r="W3917" s="14">
        <v>45</v>
      </c>
      <c r="X3917" s="14">
        <v>26</v>
      </c>
    </row>
    <row r="3918" spans="1:24" hidden="1" x14ac:dyDescent="0.3">
      <c r="A3918" s="14" t="s">
        <v>492</v>
      </c>
      <c r="B3918" s="14" t="s">
        <v>167</v>
      </c>
      <c r="C3918" s="14" t="s">
        <v>349</v>
      </c>
      <c r="D3918" s="14" t="s">
        <v>350</v>
      </c>
      <c r="E3918" s="14" t="s">
        <v>342</v>
      </c>
      <c r="F3918" s="14" t="s">
        <v>343</v>
      </c>
      <c r="G3918" s="14" t="s">
        <v>343</v>
      </c>
      <c r="H3918" s="14" t="s">
        <v>343</v>
      </c>
      <c r="U3918" s="14">
        <v>0.66</v>
      </c>
      <c r="V3918" s="14">
        <v>0.77</v>
      </c>
      <c r="W3918" s="14">
        <v>0.77</v>
      </c>
      <c r="X3918" s="14">
        <v>0.77</v>
      </c>
    </row>
    <row r="3919" spans="1:24" hidden="1" x14ac:dyDescent="0.3">
      <c r="A3919" s="14" t="s">
        <v>492</v>
      </c>
      <c r="B3919" s="14" t="s">
        <v>167</v>
      </c>
      <c r="C3919" s="14" t="s">
        <v>349</v>
      </c>
      <c r="D3919" s="14" t="s">
        <v>350</v>
      </c>
      <c r="E3919" s="14" t="s">
        <v>344</v>
      </c>
      <c r="F3919" s="14" t="s">
        <v>343</v>
      </c>
      <c r="G3919" s="14" t="s">
        <v>343</v>
      </c>
      <c r="H3919" s="14" t="s">
        <v>343</v>
      </c>
      <c r="U3919" s="14">
        <v>26</v>
      </c>
      <c r="V3919" s="14">
        <v>15</v>
      </c>
      <c r="W3919" s="14">
        <v>25</v>
      </c>
      <c r="X3919" s="14">
        <v>24</v>
      </c>
    </row>
    <row r="3920" spans="1:24" hidden="1" x14ac:dyDescent="0.3">
      <c r="A3920" s="14" t="s">
        <v>492</v>
      </c>
      <c r="B3920" s="14" t="s">
        <v>167</v>
      </c>
      <c r="C3920" s="14" t="s">
        <v>351</v>
      </c>
      <c r="D3920" s="14" t="s">
        <v>352</v>
      </c>
      <c r="E3920" s="14" t="s">
        <v>342</v>
      </c>
      <c r="F3920" s="14" t="s">
        <v>343</v>
      </c>
      <c r="G3920" s="14" t="s">
        <v>343</v>
      </c>
      <c r="H3920" s="14" t="s">
        <v>343</v>
      </c>
      <c r="U3920" s="14">
        <v>1</v>
      </c>
      <c r="V3920" s="14">
        <v>1</v>
      </c>
      <c r="W3920" s="14">
        <v>1</v>
      </c>
      <c r="X3920" s="14">
        <v>1</v>
      </c>
    </row>
    <row r="3921" spans="1:24" hidden="1" x14ac:dyDescent="0.3">
      <c r="A3921" s="14" t="s">
        <v>492</v>
      </c>
      <c r="B3921" s="14" t="s">
        <v>167</v>
      </c>
      <c r="C3921" s="14" t="s">
        <v>351</v>
      </c>
      <c r="D3921" s="14" t="s">
        <v>352</v>
      </c>
      <c r="E3921" s="14" t="s">
        <v>344</v>
      </c>
      <c r="F3921" s="14" t="s">
        <v>343</v>
      </c>
      <c r="G3921" s="14" t="s">
        <v>343</v>
      </c>
      <c r="H3921" s="14" t="s">
        <v>343</v>
      </c>
      <c r="U3921" s="14">
        <v>1</v>
      </c>
      <c r="V3921" s="14">
        <v>1</v>
      </c>
      <c r="W3921" s="14">
        <v>1</v>
      </c>
      <c r="X3921" s="14">
        <v>1</v>
      </c>
    </row>
    <row r="3922" spans="1:24" hidden="1" x14ac:dyDescent="0.3">
      <c r="A3922" s="14" t="s">
        <v>492</v>
      </c>
      <c r="B3922" s="14" t="s">
        <v>167</v>
      </c>
      <c r="C3922" s="14" t="s">
        <v>378</v>
      </c>
      <c r="D3922" s="14" t="s">
        <v>379</v>
      </c>
      <c r="E3922" s="14" t="s">
        <v>342</v>
      </c>
      <c r="F3922" s="14" t="s">
        <v>343</v>
      </c>
      <c r="G3922" s="14" t="s">
        <v>343</v>
      </c>
      <c r="H3922" s="14" t="s">
        <v>343</v>
      </c>
      <c r="S3922" s="14">
        <v>0.65</v>
      </c>
      <c r="U3922" s="14">
        <v>0.68</v>
      </c>
      <c r="V3922" s="14">
        <v>0.66</v>
      </c>
      <c r="W3922" s="14">
        <v>0.64</v>
      </c>
      <c r="X3922" s="14">
        <v>0.62</v>
      </c>
    </row>
    <row r="3923" spans="1:24" hidden="1" x14ac:dyDescent="0.3">
      <c r="A3923" s="14" t="s">
        <v>492</v>
      </c>
      <c r="B3923" s="14" t="s">
        <v>167</v>
      </c>
      <c r="C3923" s="14" t="s">
        <v>378</v>
      </c>
      <c r="D3923" s="14" t="s">
        <v>379</v>
      </c>
      <c r="E3923" s="14" t="s">
        <v>344</v>
      </c>
      <c r="F3923" s="14" t="s">
        <v>343</v>
      </c>
      <c r="G3923" s="14" t="s">
        <v>343</v>
      </c>
      <c r="H3923" s="14" t="s">
        <v>343</v>
      </c>
      <c r="S3923" s="14">
        <v>64</v>
      </c>
      <c r="U3923" s="14">
        <v>58</v>
      </c>
      <c r="V3923" s="14">
        <v>69</v>
      </c>
      <c r="W3923" s="14">
        <v>86</v>
      </c>
      <c r="X3923" s="14">
        <v>83</v>
      </c>
    </row>
    <row r="3924" spans="1:24" hidden="1" x14ac:dyDescent="0.3">
      <c r="A3924" s="14" t="s">
        <v>492</v>
      </c>
      <c r="B3924" s="14" t="s">
        <v>167</v>
      </c>
      <c r="C3924" s="14" t="s">
        <v>353</v>
      </c>
      <c r="D3924" s="14" t="s">
        <v>354</v>
      </c>
      <c r="E3924" s="14" t="s">
        <v>342</v>
      </c>
      <c r="F3924" s="14" t="s">
        <v>343</v>
      </c>
      <c r="G3924" s="14" t="s">
        <v>343</v>
      </c>
      <c r="H3924" s="14" t="s">
        <v>343</v>
      </c>
      <c r="U3924" s="14">
        <v>0.99</v>
      </c>
      <c r="V3924" s="14">
        <v>1</v>
      </c>
      <c r="W3924" s="14">
        <v>1</v>
      </c>
      <c r="X3924" s="14">
        <v>1</v>
      </c>
    </row>
    <row r="3925" spans="1:24" hidden="1" x14ac:dyDescent="0.3">
      <c r="A3925" s="14" t="s">
        <v>492</v>
      </c>
      <c r="B3925" s="14" t="s">
        <v>167</v>
      </c>
      <c r="C3925" s="14" t="s">
        <v>353</v>
      </c>
      <c r="D3925" s="14" t="s">
        <v>354</v>
      </c>
      <c r="E3925" s="14" t="s">
        <v>344</v>
      </c>
      <c r="F3925" s="14" t="s">
        <v>343</v>
      </c>
      <c r="G3925" s="14" t="s">
        <v>343</v>
      </c>
      <c r="H3925" s="14" t="s">
        <v>343</v>
      </c>
      <c r="U3925" s="14">
        <v>61</v>
      </c>
      <c r="V3925" s="14">
        <v>61</v>
      </c>
      <c r="W3925" s="14">
        <v>61</v>
      </c>
      <c r="X3925" s="14">
        <v>58</v>
      </c>
    </row>
    <row r="3926" spans="1:24" hidden="1" x14ac:dyDescent="0.3">
      <c r="A3926" s="14" t="s">
        <v>492</v>
      </c>
      <c r="B3926" s="14" t="s">
        <v>167</v>
      </c>
      <c r="C3926" s="14" t="s">
        <v>380</v>
      </c>
      <c r="D3926" s="14" t="s">
        <v>381</v>
      </c>
      <c r="E3926" s="14" t="s">
        <v>342</v>
      </c>
      <c r="F3926" s="14" t="s">
        <v>343</v>
      </c>
      <c r="G3926" s="14" t="s">
        <v>343</v>
      </c>
      <c r="H3926" s="14" t="s">
        <v>343</v>
      </c>
      <c r="U3926" s="14">
        <v>1</v>
      </c>
      <c r="V3926" s="14">
        <v>1</v>
      </c>
      <c r="W3926" s="14">
        <v>1</v>
      </c>
      <c r="X3926" s="14">
        <v>1</v>
      </c>
    </row>
    <row r="3927" spans="1:24" hidden="1" x14ac:dyDescent="0.3">
      <c r="A3927" s="14" t="s">
        <v>492</v>
      </c>
      <c r="B3927" s="14" t="s">
        <v>167</v>
      </c>
      <c r="C3927" s="14" t="s">
        <v>380</v>
      </c>
      <c r="D3927" s="14" t="s">
        <v>381</v>
      </c>
      <c r="E3927" s="14" t="s">
        <v>344</v>
      </c>
      <c r="F3927" s="14" t="s">
        <v>343</v>
      </c>
      <c r="G3927" s="14" t="s">
        <v>343</v>
      </c>
      <c r="H3927" s="14" t="s">
        <v>343</v>
      </c>
      <c r="U3927" s="14">
        <v>1</v>
      </c>
      <c r="V3927" s="14">
        <v>1</v>
      </c>
      <c r="W3927" s="14">
        <v>1</v>
      </c>
      <c r="X3927" s="14">
        <v>1</v>
      </c>
    </row>
    <row r="3928" spans="1:24" hidden="1" x14ac:dyDescent="0.3">
      <c r="A3928" s="14" t="s">
        <v>492</v>
      </c>
      <c r="B3928" s="14" t="s">
        <v>167</v>
      </c>
      <c r="C3928" s="14" t="s">
        <v>355</v>
      </c>
      <c r="D3928" s="14" t="s">
        <v>356</v>
      </c>
      <c r="E3928" s="14" t="s">
        <v>342</v>
      </c>
      <c r="F3928" s="14" t="s">
        <v>343</v>
      </c>
      <c r="G3928" s="14" t="s">
        <v>343</v>
      </c>
      <c r="H3928" s="14" t="s">
        <v>343</v>
      </c>
      <c r="U3928" s="14">
        <v>1</v>
      </c>
      <c r="V3928" s="14">
        <v>1</v>
      </c>
      <c r="W3928" s="14">
        <v>1</v>
      </c>
    </row>
    <row r="3929" spans="1:24" hidden="1" x14ac:dyDescent="0.3">
      <c r="A3929" s="14" t="s">
        <v>492</v>
      </c>
      <c r="B3929" s="14" t="s">
        <v>167</v>
      </c>
      <c r="C3929" s="14" t="s">
        <v>355</v>
      </c>
      <c r="D3929" s="14" t="s">
        <v>356</v>
      </c>
      <c r="E3929" s="14" t="s">
        <v>344</v>
      </c>
      <c r="F3929" s="14" t="s">
        <v>343</v>
      </c>
      <c r="G3929" s="14" t="s">
        <v>343</v>
      </c>
      <c r="H3929" s="14" t="s">
        <v>343</v>
      </c>
      <c r="U3929" s="14">
        <v>1</v>
      </c>
      <c r="V3929" s="14">
        <v>1</v>
      </c>
      <c r="W3929" s="14">
        <v>1</v>
      </c>
    </row>
    <row r="3930" spans="1:24" hidden="1" x14ac:dyDescent="0.3">
      <c r="A3930" s="14" t="s">
        <v>492</v>
      </c>
      <c r="B3930" s="14" t="s">
        <v>167</v>
      </c>
      <c r="C3930" s="14" t="s">
        <v>357</v>
      </c>
      <c r="D3930" s="14" t="s">
        <v>358</v>
      </c>
      <c r="E3930" s="14" t="s">
        <v>342</v>
      </c>
      <c r="F3930" s="14" t="s">
        <v>343</v>
      </c>
      <c r="G3930" s="14" t="s">
        <v>343</v>
      </c>
      <c r="H3930" s="14" t="s">
        <v>343</v>
      </c>
      <c r="U3930" s="14">
        <v>1</v>
      </c>
      <c r="V3930" s="14">
        <v>1</v>
      </c>
      <c r="W3930" s="14">
        <v>1</v>
      </c>
      <c r="X3930" s="14">
        <v>1</v>
      </c>
    </row>
    <row r="3931" spans="1:24" hidden="1" x14ac:dyDescent="0.3">
      <c r="A3931" s="14" t="s">
        <v>492</v>
      </c>
      <c r="B3931" s="14" t="s">
        <v>167</v>
      </c>
      <c r="C3931" s="14" t="s">
        <v>357</v>
      </c>
      <c r="D3931" s="14" t="s">
        <v>358</v>
      </c>
      <c r="E3931" s="14" t="s">
        <v>344</v>
      </c>
      <c r="F3931" s="14" t="s">
        <v>343</v>
      </c>
      <c r="G3931" s="14" t="s">
        <v>343</v>
      </c>
      <c r="H3931" s="14" t="s">
        <v>343</v>
      </c>
      <c r="U3931" s="14">
        <v>1</v>
      </c>
      <c r="V3931" s="14">
        <v>1</v>
      </c>
      <c r="W3931" s="14">
        <v>1</v>
      </c>
      <c r="X3931" s="14">
        <v>1</v>
      </c>
    </row>
    <row r="3932" spans="1:24" hidden="1" x14ac:dyDescent="0.3">
      <c r="A3932" s="14" t="s">
        <v>492</v>
      </c>
      <c r="B3932" s="14" t="s">
        <v>167</v>
      </c>
      <c r="C3932" s="14" t="s">
        <v>359</v>
      </c>
      <c r="D3932" s="14" t="s">
        <v>360</v>
      </c>
      <c r="E3932" s="14" t="s">
        <v>342</v>
      </c>
      <c r="F3932" s="14" t="s">
        <v>343</v>
      </c>
      <c r="G3932" s="14" t="s">
        <v>343</v>
      </c>
      <c r="H3932" s="14" t="s">
        <v>343</v>
      </c>
      <c r="I3932" s="14">
        <v>0.61</v>
      </c>
      <c r="J3932" s="14">
        <v>0.67</v>
      </c>
      <c r="K3932" s="14">
        <v>0.71</v>
      </c>
      <c r="L3932" s="14">
        <v>0.72</v>
      </c>
      <c r="M3932" s="14">
        <v>0.74</v>
      </c>
      <c r="N3932" s="14">
        <v>0.73</v>
      </c>
      <c r="O3932" s="14">
        <v>0.71</v>
      </c>
      <c r="P3932" s="14">
        <v>0.7</v>
      </c>
      <c r="Q3932" s="14">
        <v>0.73</v>
      </c>
      <c r="R3932" s="14">
        <v>0.78</v>
      </c>
      <c r="S3932" s="14">
        <v>0.78</v>
      </c>
      <c r="T3932" s="14">
        <v>0.81</v>
      </c>
      <c r="U3932" s="14">
        <v>0.8</v>
      </c>
      <c r="V3932" s="14">
        <v>0.79</v>
      </c>
      <c r="W3932" s="14">
        <v>0.79</v>
      </c>
      <c r="X3932" s="14">
        <v>0.78</v>
      </c>
    </row>
    <row r="3933" spans="1:24" hidden="1" x14ac:dyDescent="0.3">
      <c r="A3933" s="14" t="s">
        <v>492</v>
      </c>
      <c r="B3933" s="14" t="s">
        <v>167</v>
      </c>
      <c r="C3933" s="14" t="s">
        <v>359</v>
      </c>
      <c r="D3933" s="14" t="s">
        <v>360</v>
      </c>
      <c r="E3933" s="14" t="s">
        <v>344</v>
      </c>
      <c r="F3933" s="14" t="s">
        <v>343</v>
      </c>
      <c r="G3933" s="14" t="s">
        <v>343</v>
      </c>
      <c r="H3933" s="14" t="s">
        <v>343</v>
      </c>
      <c r="I3933" s="14">
        <v>57</v>
      </c>
      <c r="J3933" s="14">
        <v>44</v>
      </c>
      <c r="K3933" s="14">
        <v>30</v>
      </c>
      <c r="L3933" s="14">
        <v>32</v>
      </c>
      <c r="M3933" s="14">
        <v>27</v>
      </c>
      <c r="N3933" s="14">
        <v>31</v>
      </c>
      <c r="O3933" s="14">
        <v>43</v>
      </c>
      <c r="P3933" s="14">
        <v>53</v>
      </c>
      <c r="Q3933" s="14">
        <v>38</v>
      </c>
      <c r="R3933" s="14">
        <v>27</v>
      </c>
      <c r="S3933" s="14">
        <v>20</v>
      </c>
      <c r="T3933" s="14">
        <v>9</v>
      </c>
      <c r="U3933" s="14">
        <v>12</v>
      </c>
      <c r="V3933" s="14">
        <v>17</v>
      </c>
      <c r="W3933" s="14">
        <v>19</v>
      </c>
      <c r="X3933" s="14">
        <v>20</v>
      </c>
    </row>
    <row r="3934" spans="1:24" x14ac:dyDescent="0.3">
      <c r="A3934" s="14" t="s">
        <v>492</v>
      </c>
      <c r="B3934" s="14" t="s">
        <v>167</v>
      </c>
      <c r="C3934" s="14" t="s">
        <v>361</v>
      </c>
      <c r="D3934" s="14" t="s">
        <v>362</v>
      </c>
      <c r="E3934" s="14" t="s">
        <v>342</v>
      </c>
      <c r="F3934" s="14" t="s">
        <v>343</v>
      </c>
      <c r="G3934" s="14" t="s">
        <v>343</v>
      </c>
      <c r="H3934" s="14" t="s">
        <v>343</v>
      </c>
      <c r="I3934" s="14">
        <v>0.97</v>
      </c>
      <c r="J3934" s="14">
        <v>0.97</v>
      </c>
      <c r="K3934" s="14">
        <v>0.97</v>
      </c>
      <c r="L3934" s="14">
        <v>0.97</v>
      </c>
      <c r="M3934" s="14">
        <v>0.97</v>
      </c>
      <c r="N3934" s="14">
        <v>0.97</v>
      </c>
      <c r="O3934" s="14">
        <v>0.97</v>
      </c>
      <c r="P3934" s="14">
        <v>0.97</v>
      </c>
      <c r="Q3934" s="14">
        <v>0.98</v>
      </c>
      <c r="R3934" s="14">
        <v>0.98</v>
      </c>
      <c r="S3934" s="14">
        <v>0.98</v>
      </c>
      <c r="T3934" s="14">
        <v>0.98</v>
      </c>
      <c r="U3934" s="14">
        <v>0.98</v>
      </c>
      <c r="V3934" s="14">
        <v>0.98</v>
      </c>
      <c r="W3934" s="14">
        <v>0.98</v>
      </c>
      <c r="X3934" s="14">
        <v>0.98</v>
      </c>
    </row>
    <row r="3935" spans="1:24" hidden="1" x14ac:dyDescent="0.3">
      <c r="A3935" s="14" t="s">
        <v>492</v>
      </c>
      <c r="B3935" s="14" t="s">
        <v>167</v>
      </c>
      <c r="C3935" s="14" t="s">
        <v>361</v>
      </c>
      <c r="D3935" s="14" t="s">
        <v>362</v>
      </c>
      <c r="E3935" s="14" t="s">
        <v>344</v>
      </c>
      <c r="F3935" s="14" t="s">
        <v>343</v>
      </c>
      <c r="G3935" s="14" t="s">
        <v>343</v>
      </c>
      <c r="H3935" s="14" t="s">
        <v>343</v>
      </c>
      <c r="I3935" s="14">
        <v>93</v>
      </c>
      <c r="J3935" s="14">
        <v>103</v>
      </c>
      <c r="K3935" s="14">
        <v>104</v>
      </c>
      <c r="L3935" s="14">
        <v>108</v>
      </c>
      <c r="M3935" s="14">
        <v>104</v>
      </c>
      <c r="N3935" s="14">
        <v>105</v>
      </c>
      <c r="O3935" s="14">
        <v>106</v>
      </c>
      <c r="P3935" s="14">
        <v>105</v>
      </c>
      <c r="Q3935" s="14">
        <v>1</v>
      </c>
      <c r="R3935" s="14">
        <v>1</v>
      </c>
      <c r="S3935" s="14">
        <v>1</v>
      </c>
      <c r="T3935" s="14">
        <v>1</v>
      </c>
      <c r="U3935" s="14">
        <v>1</v>
      </c>
      <c r="V3935" s="14">
        <v>1</v>
      </c>
      <c r="W3935" s="14">
        <v>1</v>
      </c>
      <c r="X3935" s="14">
        <v>1</v>
      </c>
    </row>
    <row r="3936" spans="1:24" hidden="1" x14ac:dyDescent="0.3">
      <c r="A3936" s="14" t="s">
        <v>492</v>
      </c>
      <c r="B3936" s="14" t="s">
        <v>167</v>
      </c>
      <c r="C3936" s="14" t="s">
        <v>363</v>
      </c>
      <c r="D3936" s="14" t="s">
        <v>364</v>
      </c>
      <c r="E3936" s="14" t="s">
        <v>342</v>
      </c>
      <c r="F3936" s="14" t="s">
        <v>343</v>
      </c>
      <c r="G3936" s="14" t="s">
        <v>343</v>
      </c>
      <c r="H3936" s="14" t="s">
        <v>343</v>
      </c>
      <c r="U3936" s="14">
        <v>1.06</v>
      </c>
      <c r="V3936" s="14">
        <v>1.06</v>
      </c>
      <c r="W3936" s="14">
        <v>1.06</v>
      </c>
      <c r="X3936" s="14">
        <v>1.06</v>
      </c>
    </row>
    <row r="3937" spans="1:24" hidden="1" x14ac:dyDescent="0.3">
      <c r="A3937" s="14" t="s">
        <v>492</v>
      </c>
      <c r="B3937" s="14" t="s">
        <v>167</v>
      </c>
      <c r="C3937" s="14" t="s">
        <v>363</v>
      </c>
      <c r="D3937" s="14" t="s">
        <v>364</v>
      </c>
      <c r="E3937" s="14" t="s">
        <v>344</v>
      </c>
      <c r="F3937" s="14" t="s">
        <v>343</v>
      </c>
      <c r="G3937" s="14" t="s">
        <v>343</v>
      </c>
      <c r="H3937" s="14" t="s">
        <v>343</v>
      </c>
      <c r="U3937" s="14">
        <v>1</v>
      </c>
      <c r="V3937" s="14">
        <v>1</v>
      </c>
      <c r="W3937" s="14">
        <v>1</v>
      </c>
      <c r="X3937" s="14">
        <v>1</v>
      </c>
    </row>
    <row r="3938" spans="1:24" hidden="1" x14ac:dyDescent="0.3">
      <c r="A3938" s="14" t="s">
        <v>492</v>
      </c>
      <c r="B3938" s="14" t="s">
        <v>167</v>
      </c>
      <c r="C3938" s="14" t="s">
        <v>365</v>
      </c>
      <c r="D3938" s="14" t="s">
        <v>366</v>
      </c>
      <c r="E3938" s="14" t="s">
        <v>342</v>
      </c>
      <c r="F3938" s="14" t="s">
        <v>343</v>
      </c>
      <c r="G3938" s="14" t="s">
        <v>343</v>
      </c>
      <c r="H3938" s="14" t="s">
        <v>343</v>
      </c>
      <c r="U3938" s="14">
        <v>0.94</v>
      </c>
      <c r="V3938" s="14">
        <v>0.94</v>
      </c>
      <c r="W3938" s="14">
        <v>0.94</v>
      </c>
      <c r="X3938" s="14">
        <v>0.94</v>
      </c>
    </row>
    <row r="3939" spans="1:24" hidden="1" x14ac:dyDescent="0.3">
      <c r="A3939" s="14" t="s">
        <v>492</v>
      </c>
      <c r="B3939" s="14" t="s">
        <v>167</v>
      </c>
      <c r="C3939" s="14" t="s">
        <v>365</v>
      </c>
      <c r="D3939" s="14" t="s">
        <v>366</v>
      </c>
      <c r="E3939" s="14" t="s">
        <v>344</v>
      </c>
      <c r="F3939" s="14" t="s">
        <v>343</v>
      </c>
      <c r="G3939" s="14" t="s">
        <v>343</v>
      </c>
      <c r="H3939" s="14" t="s">
        <v>343</v>
      </c>
      <c r="U3939" s="14">
        <v>1</v>
      </c>
      <c r="V3939" s="14">
        <v>1</v>
      </c>
      <c r="W3939" s="14">
        <v>1</v>
      </c>
      <c r="X3939" s="14">
        <v>1</v>
      </c>
    </row>
    <row r="3940" spans="1:24" hidden="1" x14ac:dyDescent="0.3">
      <c r="A3940" s="14" t="s">
        <v>492</v>
      </c>
      <c r="B3940" s="14" t="s">
        <v>167</v>
      </c>
      <c r="C3940" s="14" t="s">
        <v>367</v>
      </c>
      <c r="D3940" s="14" t="s">
        <v>368</v>
      </c>
      <c r="E3940" s="14" t="s">
        <v>342</v>
      </c>
      <c r="F3940" s="14" t="s">
        <v>343</v>
      </c>
      <c r="G3940" s="14" t="s">
        <v>343</v>
      </c>
      <c r="H3940" s="14" t="s">
        <v>343</v>
      </c>
      <c r="I3940" s="14">
        <v>0.69</v>
      </c>
      <c r="J3940" s="14">
        <v>0.7</v>
      </c>
      <c r="K3940" s="14">
        <v>0.71</v>
      </c>
      <c r="L3940" s="14">
        <v>0.72</v>
      </c>
      <c r="M3940" s="14">
        <v>0.72</v>
      </c>
      <c r="N3940" s="14">
        <v>0.72</v>
      </c>
      <c r="O3940" s="14">
        <v>0.71</v>
      </c>
      <c r="P3940" s="14">
        <v>0.71</v>
      </c>
      <c r="Q3940" s="14">
        <v>0.72</v>
      </c>
      <c r="R3940" s="14">
        <v>0.76</v>
      </c>
      <c r="S3940" s="14">
        <v>0.76</v>
      </c>
      <c r="T3940" s="14">
        <v>0.78</v>
      </c>
      <c r="U3940" s="14">
        <v>0.79</v>
      </c>
      <c r="V3940" s="14">
        <v>0.78</v>
      </c>
      <c r="W3940" s="14">
        <v>0.81</v>
      </c>
      <c r="X3940" s="14">
        <v>0.81</v>
      </c>
    </row>
    <row r="3941" spans="1:24" hidden="1" x14ac:dyDescent="0.3">
      <c r="A3941" s="14" t="s">
        <v>492</v>
      </c>
      <c r="B3941" s="14" t="s">
        <v>167</v>
      </c>
      <c r="C3941" s="14" t="s">
        <v>367</v>
      </c>
      <c r="D3941" s="14" t="s">
        <v>368</v>
      </c>
      <c r="E3941" s="14" t="s">
        <v>344</v>
      </c>
      <c r="F3941" s="14" t="s">
        <v>343</v>
      </c>
      <c r="G3941" s="14" t="s">
        <v>343</v>
      </c>
      <c r="H3941" s="14" t="s">
        <v>343</v>
      </c>
      <c r="I3941" s="14">
        <v>38</v>
      </c>
      <c r="J3941" s="14">
        <v>29</v>
      </c>
      <c r="K3941" s="14">
        <v>30</v>
      </c>
      <c r="L3941" s="14">
        <v>32</v>
      </c>
      <c r="M3941" s="14">
        <v>25</v>
      </c>
      <c r="N3941" s="14">
        <v>32</v>
      </c>
      <c r="O3941" s="14">
        <v>41</v>
      </c>
      <c r="P3941" s="14">
        <v>44</v>
      </c>
      <c r="Q3941" s="14">
        <v>40</v>
      </c>
      <c r="R3941" s="14">
        <v>16</v>
      </c>
      <c r="S3941" s="14">
        <v>14</v>
      </c>
      <c r="T3941" s="14">
        <v>13</v>
      </c>
      <c r="U3941" s="14">
        <v>10</v>
      </c>
      <c r="V3941" s="14">
        <v>12</v>
      </c>
      <c r="W3941" s="14">
        <v>6</v>
      </c>
      <c r="X3941" s="14">
        <v>8</v>
      </c>
    </row>
    <row r="3942" spans="1:24" hidden="1" x14ac:dyDescent="0.3">
      <c r="A3942" s="14" t="s">
        <v>492</v>
      </c>
      <c r="B3942" s="14" t="s">
        <v>167</v>
      </c>
      <c r="C3942" s="14" t="s">
        <v>369</v>
      </c>
      <c r="D3942" s="14" t="s">
        <v>370</v>
      </c>
      <c r="E3942" s="14" t="s">
        <v>342</v>
      </c>
      <c r="F3942" s="14" t="s">
        <v>343</v>
      </c>
      <c r="G3942" s="14" t="s">
        <v>343</v>
      </c>
      <c r="H3942" s="14" t="s">
        <v>343</v>
      </c>
      <c r="I3942" s="14">
        <v>0.17</v>
      </c>
      <c r="J3942" s="14">
        <v>0.17</v>
      </c>
      <c r="K3942" s="14">
        <v>0.2</v>
      </c>
      <c r="L3942" s="14">
        <v>0.2</v>
      </c>
      <c r="M3942" s="14">
        <v>0.19</v>
      </c>
      <c r="N3942" s="14">
        <v>0.18</v>
      </c>
      <c r="O3942" s="14">
        <v>0.17</v>
      </c>
      <c r="P3942" s="14">
        <v>0.17</v>
      </c>
      <c r="Q3942" s="14">
        <v>0.18</v>
      </c>
      <c r="R3942" s="14">
        <v>0.28999999999999998</v>
      </c>
      <c r="S3942" s="14">
        <v>0.3</v>
      </c>
      <c r="T3942" s="14">
        <v>0.32</v>
      </c>
      <c r="U3942" s="14">
        <v>0.38</v>
      </c>
      <c r="V3942" s="14">
        <v>0.37</v>
      </c>
      <c r="W3942" s="14">
        <v>0.46</v>
      </c>
      <c r="X3942" s="14">
        <v>0.46</v>
      </c>
    </row>
    <row r="3943" spans="1:24" hidden="1" x14ac:dyDescent="0.3">
      <c r="A3943" s="14" t="s">
        <v>492</v>
      </c>
      <c r="B3943" s="14" t="s">
        <v>167</v>
      </c>
      <c r="C3943" s="14" t="s">
        <v>369</v>
      </c>
      <c r="D3943" s="14" t="s">
        <v>370</v>
      </c>
      <c r="E3943" s="14" t="s">
        <v>344</v>
      </c>
      <c r="F3943" s="14" t="s">
        <v>343</v>
      </c>
      <c r="G3943" s="14" t="s">
        <v>343</v>
      </c>
      <c r="H3943" s="14" t="s">
        <v>343</v>
      </c>
      <c r="I3943" s="14">
        <v>29</v>
      </c>
      <c r="J3943" s="14">
        <v>31</v>
      </c>
      <c r="K3943" s="14">
        <v>36</v>
      </c>
      <c r="L3943" s="14">
        <v>38</v>
      </c>
      <c r="M3943" s="14">
        <v>38</v>
      </c>
      <c r="N3943" s="14">
        <v>41</v>
      </c>
      <c r="O3943" s="14">
        <v>49</v>
      </c>
      <c r="P3943" s="14">
        <v>52</v>
      </c>
      <c r="Q3943" s="14">
        <v>62</v>
      </c>
      <c r="R3943" s="14">
        <v>33</v>
      </c>
      <c r="S3943" s="14">
        <v>31</v>
      </c>
      <c r="T3943" s="14">
        <v>26</v>
      </c>
      <c r="U3943" s="14">
        <v>20</v>
      </c>
      <c r="V3943" s="14">
        <v>24</v>
      </c>
      <c r="W3943" s="14">
        <v>19</v>
      </c>
      <c r="X3943" s="14">
        <v>19</v>
      </c>
    </row>
    <row r="3944" spans="1:24" hidden="1" x14ac:dyDescent="0.3">
      <c r="A3944" s="14" t="s">
        <v>492</v>
      </c>
      <c r="B3944" s="14" t="s">
        <v>167</v>
      </c>
      <c r="C3944" s="14" t="s">
        <v>371</v>
      </c>
      <c r="D3944" s="14" t="s">
        <v>372</v>
      </c>
      <c r="E3944" s="14" t="s">
        <v>342</v>
      </c>
      <c r="F3944" s="14" t="s">
        <v>343</v>
      </c>
      <c r="G3944" s="14" t="s">
        <v>343</v>
      </c>
      <c r="H3944" s="14" t="s">
        <v>343</v>
      </c>
      <c r="U3944" s="14">
        <v>7.0000000000000007E-2</v>
      </c>
      <c r="V3944" s="14">
        <v>0.09</v>
      </c>
      <c r="W3944" s="14">
        <v>0.13</v>
      </c>
      <c r="X3944" s="14">
        <v>0.13</v>
      </c>
    </row>
    <row r="3945" spans="1:24" hidden="1" x14ac:dyDescent="0.3">
      <c r="A3945" s="14" t="s">
        <v>492</v>
      </c>
      <c r="B3945" s="14" t="s">
        <v>167</v>
      </c>
      <c r="C3945" s="14" t="s">
        <v>371</v>
      </c>
      <c r="D3945" s="14" t="s">
        <v>372</v>
      </c>
      <c r="E3945" s="14" t="s">
        <v>344</v>
      </c>
      <c r="F3945" s="14" t="s">
        <v>343</v>
      </c>
      <c r="G3945" s="14" t="s">
        <v>343</v>
      </c>
      <c r="H3945" s="14" t="s">
        <v>343</v>
      </c>
      <c r="U3945" s="14">
        <v>34</v>
      </c>
      <c r="V3945" s="14">
        <v>31</v>
      </c>
      <c r="W3945" s="14">
        <v>25</v>
      </c>
      <c r="X3945" s="14">
        <v>24</v>
      </c>
    </row>
    <row r="3946" spans="1:24" hidden="1" x14ac:dyDescent="0.3">
      <c r="A3946" s="14" t="s">
        <v>492</v>
      </c>
      <c r="B3946" s="14" t="s">
        <v>167</v>
      </c>
      <c r="C3946" s="14" t="s">
        <v>373</v>
      </c>
      <c r="D3946" s="14" t="s">
        <v>374</v>
      </c>
      <c r="E3946" s="14" t="s">
        <v>342</v>
      </c>
      <c r="F3946" s="14" t="s">
        <v>343</v>
      </c>
      <c r="G3946" s="14" t="s">
        <v>343</v>
      </c>
      <c r="H3946" s="14" t="s">
        <v>343</v>
      </c>
      <c r="U3946" s="14">
        <v>0.32</v>
      </c>
      <c r="V3946" s="14">
        <v>0.25</v>
      </c>
      <c r="W3946" s="14">
        <v>0.64</v>
      </c>
      <c r="X3946" s="14">
        <v>0.64</v>
      </c>
    </row>
    <row r="3947" spans="1:24" hidden="1" x14ac:dyDescent="0.3">
      <c r="A3947" s="14" t="s">
        <v>492</v>
      </c>
      <c r="B3947" s="14" t="s">
        <v>167</v>
      </c>
      <c r="C3947" s="14" t="s">
        <v>373</v>
      </c>
      <c r="D3947" s="14" t="s">
        <v>374</v>
      </c>
      <c r="E3947" s="14" t="s">
        <v>344</v>
      </c>
      <c r="F3947" s="14" t="s">
        <v>343</v>
      </c>
      <c r="G3947" s="14" t="s">
        <v>343</v>
      </c>
      <c r="H3947" s="14" t="s">
        <v>343</v>
      </c>
      <c r="U3947" s="14">
        <v>44</v>
      </c>
      <c r="V3947" s="14">
        <v>84</v>
      </c>
      <c r="W3947" s="14">
        <v>28</v>
      </c>
      <c r="X3947" s="14">
        <v>28</v>
      </c>
    </row>
    <row r="3948" spans="1:24" hidden="1" x14ac:dyDescent="0.3">
      <c r="A3948" s="14" t="s">
        <v>492</v>
      </c>
      <c r="B3948" s="14" t="s">
        <v>167</v>
      </c>
      <c r="C3948" s="14" t="s">
        <v>375</v>
      </c>
      <c r="D3948" s="14" t="s">
        <v>376</v>
      </c>
      <c r="E3948" s="14" t="s">
        <v>342</v>
      </c>
      <c r="F3948" s="14" t="s">
        <v>343</v>
      </c>
      <c r="G3948" s="14" t="s">
        <v>343</v>
      </c>
      <c r="H3948" s="14" t="s">
        <v>343</v>
      </c>
      <c r="U3948" s="14">
        <v>0.86</v>
      </c>
      <c r="V3948" s="14">
        <v>0.86</v>
      </c>
      <c r="W3948" s="14">
        <v>0.79</v>
      </c>
      <c r="X3948" s="14">
        <v>0.79</v>
      </c>
    </row>
    <row r="3949" spans="1:24" hidden="1" x14ac:dyDescent="0.3">
      <c r="A3949" s="14" t="s">
        <v>492</v>
      </c>
      <c r="B3949" s="14" t="s">
        <v>167</v>
      </c>
      <c r="C3949" s="14" t="s">
        <v>375</v>
      </c>
      <c r="D3949" s="14" t="s">
        <v>376</v>
      </c>
      <c r="E3949" s="14" t="s">
        <v>344</v>
      </c>
      <c r="F3949" s="14" t="s">
        <v>343</v>
      </c>
      <c r="G3949" s="14" t="s">
        <v>343</v>
      </c>
      <c r="H3949" s="14" t="s">
        <v>343</v>
      </c>
      <c r="U3949" s="14">
        <v>5</v>
      </c>
      <c r="V3949" s="14">
        <v>8</v>
      </c>
      <c r="W3949" s="14">
        <v>13</v>
      </c>
      <c r="X3949" s="14">
        <v>14</v>
      </c>
    </row>
    <row r="3950" spans="1:24" hidden="1" x14ac:dyDescent="0.3">
      <c r="A3950" s="14" t="s">
        <v>493</v>
      </c>
      <c r="B3950" s="14" t="s">
        <v>174</v>
      </c>
      <c r="C3950" s="14" t="s">
        <v>340</v>
      </c>
      <c r="D3950" s="14" t="s">
        <v>341</v>
      </c>
      <c r="E3950" s="14" t="s">
        <v>342</v>
      </c>
      <c r="F3950" s="14" t="s">
        <v>343</v>
      </c>
      <c r="G3950" s="14" t="s">
        <v>343</v>
      </c>
      <c r="H3950" s="14" t="s">
        <v>343</v>
      </c>
      <c r="W3950" s="14">
        <v>0.73</v>
      </c>
      <c r="X3950" s="14">
        <v>0.75</v>
      </c>
    </row>
    <row r="3951" spans="1:24" hidden="1" x14ac:dyDescent="0.3">
      <c r="A3951" s="14" t="s">
        <v>493</v>
      </c>
      <c r="B3951" s="14" t="s">
        <v>174</v>
      </c>
      <c r="C3951" s="14" t="s">
        <v>340</v>
      </c>
      <c r="D3951" s="14" t="s">
        <v>341</v>
      </c>
      <c r="E3951" s="14" t="s">
        <v>344</v>
      </c>
      <c r="F3951" s="14" t="s">
        <v>343</v>
      </c>
      <c r="G3951" s="14" t="s">
        <v>343</v>
      </c>
      <c r="H3951" s="14" t="s">
        <v>343</v>
      </c>
      <c r="W3951" s="14">
        <v>151</v>
      </c>
      <c r="X3951" s="14">
        <v>141</v>
      </c>
    </row>
    <row r="3952" spans="1:24" hidden="1" x14ac:dyDescent="0.3">
      <c r="A3952" s="14" t="s">
        <v>493</v>
      </c>
      <c r="B3952" s="14" t="s">
        <v>174</v>
      </c>
      <c r="C3952" s="14" t="s">
        <v>345</v>
      </c>
      <c r="D3952" s="14" t="s">
        <v>346</v>
      </c>
      <c r="E3952" s="14" t="s">
        <v>342</v>
      </c>
      <c r="F3952" s="14" t="s">
        <v>343</v>
      </c>
      <c r="G3952" s="14" t="s">
        <v>343</v>
      </c>
      <c r="H3952" s="14" t="s">
        <v>343</v>
      </c>
      <c r="W3952" s="14">
        <v>0.56000000000000005</v>
      </c>
      <c r="X3952" s="14">
        <v>0.56000000000000005</v>
      </c>
    </row>
    <row r="3953" spans="1:24" hidden="1" x14ac:dyDescent="0.3">
      <c r="A3953" s="14" t="s">
        <v>493</v>
      </c>
      <c r="B3953" s="14" t="s">
        <v>174</v>
      </c>
      <c r="C3953" s="14" t="s">
        <v>345</v>
      </c>
      <c r="D3953" s="14" t="s">
        <v>346</v>
      </c>
      <c r="E3953" s="14" t="s">
        <v>344</v>
      </c>
      <c r="F3953" s="14" t="s">
        <v>343</v>
      </c>
      <c r="G3953" s="14" t="s">
        <v>343</v>
      </c>
      <c r="H3953" s="14" t="s">
        <v>343</v>
      </c>
      <c r="W3953" s="14">
        <v>104</v>
      </c>
      <c r="X3953" s="14">
        <v>102</v>
      </c>
    </row>
    <row r="3954" spans="1:24" hidden="1" x14ac:dyDescent="0.3">
      <c r="A3954" s="14" t="s">
        <v>493</v>
      </c>
      <c r="B3954" s="14" t="s">
        <v>174</v>
      </c>
      <c r="C3954" s="14" t="s">
        <v>347</v>
      </c>
      <c r="D3954" s="14" t="s">
        <v>348</v>
      </c>
      <c r="E3954" s="14" t="s">
        <v>342</v>
      </c>
      <c r="F3954" s="14" t="s">
        <v>343</v>
      </c>
      <c r="G3954" s="14" t="s">
        <v>343</v>
      </c>
      <c r="H3954" s="14" t="s">
        <v>343</v>
      </c>
      <c r="W3954" s="14">
        <v>0.74</v>
      </c>
      <c r="X3954" s="14">
        <v>0.73</v>
      </c>
    </row>
    <row r="3955" spans="1:24" hidden="1" x14ac:dyDescent="0.3">
      <c r="A3955" s="14" t="s">
        <v>493</v>
      </c>
      <c r="B3955" s="14" t="s">
        <v>174</v>
      </c>
      <c r="C3955" s="14" t="s">
        <v>347</v>
      </c>
      <c r="D3955" s="14" t="s">
        <v>348</v>
      </c>
      <c r="E3955" s="14" t="s">
        <v>344</v>
      </c>
      <c r="F3955" s="14" t="s">
        <v>343</v>
      </c>
      <c r="G3955" s="14" t="s">
        <v>343</v>
      </c>
      <c r="H3955" s="14" t="s">
        <v>343</v>
      </c>
      <c r="W3955" s="14">
        <v>101</v>
      </c>
      <c r="X3955" s="14">
        <v>91</v>
      </c>
    </row>
    <row r="3956" spans="1:24" hidden="1" x14ac:dyDescent="0.3">
      <c r="A3956" s="14" t="s">
        <v>493</v>
      </c>
      <c r="B3956" s="14" t="s">
        <v>174</v>
      </c>
      <c r="C3956" s="14" t="s">
        <v>349</v>
      </c>
      <c r="D3956" s="14" t="s">
        <v>350</v>
      </c>
      <c r="E3956" s="14" t="s">
        <v>342</v>
      </c>
      <c r="F3956" s="14" t="s">
        <v>343</v>
      </c>
      <c r="G3956" s="14" t="s">
        <v>343</v>
      </c>
      <c r="H3956" s="14" t="s">
        <v>343</v>
      </c>
      <c r="W3956" s="14">
        <v>0.97</v>
      </c>
      <c r="X3956" s="14">
        <v>0.97</v>
      </c>
    </row>
    <row r="3957" spans="1:24" hidden="1" x14ac:dyDescent="0.3">
      <c r="A3957" s="14" t="s">
        <v>493</v>
      </c>
      <c r="B3957" s="14" t="s">
        <v>174</v>
      </c>
      <c r="C3957" s="14" t="s">
        <v>349</v>
      </c>
      <c r="D3957" s="14" t="s">
        <v>350</v>
      </c>
      <c r="E3957" s="14" t="s">
        <v>344</v>
      </c>
      <c r="F3957" s="14" t="s">
        <v>343</v>
      </c>
      <c r="G3957" s="14" t="s">
        <v>343</v>
      </c>
      <c r="H3957" s="14" t="s">
        <v>343</v>
      </c>
      <c r="W3957" s="14">
        <v>13</v>
      </c>
      <c r="X3957" s="14">
        <v>13</v>
      </c>
    </row>
    <row r="3958" spans="1:24" hidden="1" x14ac:dyDescent="0.3">
      <c r="A3958" s="14" t="s">
        <v>493</v>
      </c>
      <c r="B3958" s="14" t="s">
        <v>174</v>
      </c>
      <c r="C3958" s="14" t="s">
        <v>351</v>
      </c>
      <c r="D3958" s="14" t="s">
        <v>352</v>
      </c>
      <c r="E3958" s="14" t="s">
        <v>342</v>
      </c>
      <c r="F3958" s="14" t="s">
        <v>343</v>
      </c>
      <c r="G3958" s="14" t="s">
        <v>343</v>
      </c>
      <c r="H3958" s="14" t="s">
        <v>343</v>
      </c>
      <c r="W3958" s="14">
        <v>0.41</v>
      </c>
      <c r="X3958" s="14">
        <v>0.41</v>
      </c>
    </row>
    <row r="3959" spans="1:24" hidden="1" x14ac:dyDescent="0.3">
      <c r="A3959" s="14" t="s">
        <v>493</v>
      </c>
      <c r="B3959" s="14" t="s">
        <v>174</v>
      </c>
      <c r="C3959" s="14" t="s">
        <v>351</v>
      </c>
      <c r="D3959" s="14" t="s">
        <v>352</v>
      </c>
      <c r="E3959" s="14" t="s">
        <v>344</v>
      </c>
      <c r="F3959" s="14" t="s">
        <v>343</v>
      </c>
      <c r="G3959" s="14" t="s">
        <v>343</v>
      </c>
      <c r="H3959" s="14" t="s">
        <v>343</v>
      </c>
      <c r="W3959" s="14">
        <v>137</v>
      </c>
      <c r="X3959" s="14">
        <v>126</v>
      </c>
    </row>
    <row r="3960" spans="1:24" hidden="1" x14ac:dyDescent="0.3">
      <c r="A3960" s="14" t="s">
        <v>493</v>
      </c>
      <c r="B3960" s="14" t="s">
        <v>174</v>
      </c>
      <c r="C3960" s="14" t="s">
        <v>353</v>
      </c>
      <c r="D3960" s="14" t="s">
        <v>354</v>
      </c>
      <c r="E3960" s="14" t="s">
        <v>342</v>
      </c>
      <c r="F3960" s="14" t="s">
        <v>343</v>
      </c>
      <c r="G3960" s="14" t="s">
        <v>343</v>
      </c>
      <c r="H3960" s="14" t="s">
        <v>343</v>
      </c>
      <c r="W3960" s="14">
        <v>0.57999999999999996</v>
      </c>
      <c r="X3960" s="14">
        <v>0.61</v>
      </c>
    </row>
    <row r="3961" spans="1:24" hidden="1" x14ac:dyDescent="0.3">
      <c r="A3961" s="14" t="s">
        <v>493</v>
      </c>
      <c r="B3961" s="14" t="s">
        <v>174</v>
      </c>
      <c r="C3961" s="14" t="s">
        <v>353</v>
      </c>
      <c r="D3961" s="14" t="s">
        <v>354</v>
      </c>
      <c r="E3961" s="14" t="s">
        <v>344</v>
      </c>
      <c r="F3961" s="14" t="s">
        <v>343</v>
      </c>
      <c r="G3961" s="14" t="s">
        <v>343</v>
      </c>
      <c r="H3961" s="14" t="s">
        <v>343</v>
      </c>
      <c r="W3961" s="14">
        <v>147</v>
      </c>
      <c r="X3961" s="14">
        <v>137</v>
      </c>
    </row>
    <row r="3962" spans="1:24" hidden="1" x14ac:dyDescent="0.3">
      <c r="A3962" s="14" t="s">
        <v>493</v>
      </c>
      <c r="B3962" s="14" t="s">
        <v>174</v>
      </c>
      <c r="C3962" s="14" t="s">
        <v>380</v>
      </c>
      <c r="D3962" s="14" t="s">
        <v>381</v>
      </c>
      <c r="E3962" s="14" t="s">
        <v>342</v>
      </c>
      <c r="F3962" s="14" t="s">
        <v>343</v>
      </c>
      <c r="G3962" s="14" t="s">
        <v>343</v>
      </c>
      <c r="H3962" s="14" t="s">
        <v>343</v>
      </c>
      <c r="W3962" s="14">
        <v>0.86</v>
      </c>
      <c r="X3962" s="14">
        <v>0.88</v>
      </c>
    </row>
    <row r="3963" spans="1:24" hidden="1" x14ac:dyDescent="0.3">
      <c r="A3963" s="14" t="s">
        <v>493</v>
      </c>
      <c r="B3963" s="14" t="s">
        <v>174</v>
      </c>
      <c r="C3963" s="14" t="s">
        <v>380</v>
      </c>
      <c r="D3963" s="14" t="s">
        <v>381</v>
      </c>
      <c r="E3963" s="14" t="s">
        <v>344</v>
      </c>
      <c r="F3963" s="14" t="s">
        <v>343</v>
      </c>
      <c r="G3963" s="14" t="s">
        <v>343</v>
      </c>
      <c r="H3963" s="14" t="s">
        <v>343</v>
      </c>
      <c r="W3963" s="14">
        <v>144</v>
      </c>
      <c r="X3963" s="14">
        <v>112</v>
      </c>
    </row>
    <row r="3964" spans="1:24" hidden="1" x14ac:dyDescent="0.3">
      <c r="A3964" s="14" t="s">
        <v>493</v>
      </c>
      <c r="B3964" s="14" t="s">
        <v>174</v>
      </c>
      <c r="C3964" s="14" t="s">
        <v>355</v>
      </c>
      <c r="D3964" s="14" t="s">
        <v>356</v>
      </c>
      <c r="E3964" s="14" t="s">
        <v>342</v>
      </c>
      <c r="F3964" s="14" t="s">
        <v>343</v>
      </c>
      <c r="G3964" s="14" t="s">
        <v>343</v>
      </c>
      <c r="H3964" s="14" t="s">
        <v>343</v>
      </c>
      <c r="W3964" s="14">
        <v>0.74</v>
      </c>
      <c r="X3964" s="14">
        <v>0.75</v>
      </c>
    </row>
    <row r="3965" spans="1:24" hidden="1" x14ac:dyDescent="0.3">
      <c r="A3965" s="14" t="s">
        <v>493</v>
      </c>
      <c r="B3965" s="14" t="s">
        <v>174</v>
      </c>
      <c r="C3965" s="14" t="s">
        <v>355</v>
      </c>
      <c r="D3965" s="14" t="s">
        <v>356</v>
      </c>
      <c r="E3965" s="14" t="s">
        <v>344</v>
      </c>
      <c r="F3965" s="14" t="s">
        <v>343</v>
      </c>
      <c r="G3965" s="14" t="s">
        <v>343</v>
      </c>
      <c r="H3965" s="14" t="s">
        <v>343</v>
      </c>
      <c r="W3965" s="14">
        <v>147</v>
      </c>
      <c r="X3965" s="14">
        <v>131</v>
      </c>
    </row>
    <row r="3966" spans="1:24" hidden="1" x14ac:dyDescent="0.3">
      <c r="A3966" s="14" t="s">
        <v>493</v>
      </c>
      <c r="B3966" s="14" t="s">
        <v>174</v>
      </c>
      <c r="C3966" s="14" t="s">
        <v>357</v>
      </c>
      <c r="D3966" s="14" t="s">
        <v>358</v>
      </c>
      <c r="E3966" s="14" t="s">
        <v>342</v>
      </c>
      <c r="F3966" s="14" t="s">
        <v>343</v>
      </c>
      <c r="G3966" s="14" t="s">
        <v>343</v>
      </c>
      <c r="H3966" s="14" t="s">
        <v>343</v>
      </c>
      <c r="W3966" s="14">
        <v>0.41</v>
      </c>
      <c r="X3966" s="14">
        <v>0.48</v>
      </c>
    </row>
    <row r="3967" spans="1:24" hidden="1" x14ac:dyDescent="0.3">
      <c r="A3967" s="14" t="s">
        <v>493</v>
      </c>
      <c r="B3967" s="14" t="s">
        <v>174</v>
      </c>
      <c r="C3967" s="14" t="s">
        <v>357</v>
      </c>
      <c r="D3967" s="14" t="s">
        <v>358</v>
      </c>
      <c r="E3967" s="14" t="s">
        <v>344</v>
      </c>
      <c r="F3967" s="14" t="s">
        <v>343</v>
      </c>
      <c r="G3967" s="14" t="s">
        <v>343</v>
      </c>
      <c r="H3967" s="14" t="s">
        <v>343</v>
      </c>
      <c r="W3967" s="14">
        <v>149</v>
      </c>
      <c r="X3967" s="14">
        <v>133</v>
      </c>
    </row>
    <row r="3968" spans="1:24" hidden="1" x14ac:dyDescent="0.3">
      <c r="A3968" s="14" t="s">
        <v>493</v>
      </c>
      <c r="B3968" s="14" t="s">
        <v>174</v>
      </c>
      <c r="C3968" s="14" t="s">
        <v>359</v>
      </c>
      <c r="D3968" s="14" t="s">
        <v>360</v>
      </c>
      <c r="E3968" s="14" t="s">
        <v>342</v>
      </c>
      <c r="F3968" s="14" t="s">
        <v>343</v>
      </c>
      <c r="G3968" s="14" t="s">
        <v>343</v>
      </c>
      <c r="H3968" s="14" t="s">
        <v>343</v>
      </c>
      <c r="W3968" s="14">
        <v>0.67</v>
      </c>
      <c r="X3968" s="14">
        <v>0.67</v>
      </c>
    </row>
    <row r="3969" spans="1:24" hidden="1" x14ac:dyDescent="0.3">
      <c r="A3969" s="14" t="s">
        <v>493</v>
      </c>
      <c r="B3969" s="14" t="s">
        <v>174</v>
      </c>
      <c r="C3969" s="14" t="s">
        <v>359</v>
      </c>
      <c r="D3969" s="14" t="s">
        <v>360</v>
      </c>
      <c r="E3969" s="14" t="s">
        <v>344</v>
      </c>
      <c r="F3969" s="14" t="s">
        <v>343</v>
      </c>
      <c r="G3969" s="14" t="s">
        <v>343</v>
      </c>
      <c r="H3969" s="14" t="s">
        <v>343</v>
      </c>
      <c r="W3969" s="14">
        <v>82</v>
      </c>
      <c r="X3969" s="14">
        <v>82</v>
      </c>
    </row>
    <row r="3970" spans="1:24" hidden="1" x14ac:dyDescent="0.3">
      <c r="A3970" s="14" t="s">
        <v>493</v>
      </c>
      <c r="B3970" s="14" t="s">
        <v>174</v>
      </c>
      <c r="C3970" s="14" t="s">
        <v>361</v>
      </c>
      <c r="D3970" s="14" t="s">
        <v>362</v>
      </c>
      <c r="E3970" s="14" t="s">
        <v>342</v>
      </c>
      <c r="F3970" s="14" t="s">
        <v>343</v>
      </c>
      <c r="G3970" s="14" t="s">
        <v>343</v>
      </c>
      <c r="H3970" s="14" t="s">
        <v>343</v>
      </c>
      <c r="W3970" s="14">
        <v>0.96</v>
      </c>
      <c r="X3970" s="14">
        <v>0.96</v>
      </c>
    </row>
    <row r="3971" spans="1:24" hidden="1" x14ac:dyDescent="0.3">
      <c r="A3971" s="14" t="s">
        <v>493</v>
      </c>
      <c r="B3971" s="14" t="s">
        <v>174</v>
      </c>
      <c r="C3971" s="14" t="s">
        <v>361</v>
      </c>
      <c r="D3971" s="14" t="s">
        <v>362</v>
      </c>
      <c r="E3971" s="14" t="s">
        <v>344</v>
      </c>
      <c r="F3971" s="14" t="s">
        <v>343</v>
      </c>
      <c r="G3971" s="14" t="s">
        <v>343</v>
      </c>
      <c r="H3971" s="14" t="s">
        <v>343</v>
      </c>
      <c r="W3971" s="14">
        <v>124</v>
      </c>
      <c r="X3971" s="14">
        <v>115</v>
      </c>
    </row>
    <row r="3972" spans="1:24" hidden="1" x14ac:dyDescent="0.3">
      <c r="A3972" s="14" t="s">
        <v>493</v>
      </c>
      <c r="B3972" s="14" t="s">
        <v>174</v>
      </c>
      <c r="C3972" s="14" t="s">
        <v>363</v>
      </c>
      <c r="D3972" s="14" t="s">
        <v>364</v>
      </c>
      <c r="E3972" s="14" t="s">
        <v>342</v>
      </c>
      <c r="F3972" s="14" t="s">
        <v>343</v>
      </c>
      <c r="G3972" s="14" t="s">
        <v>343</v>
      </c>
      <c r="H3972" s="14" t="s">
        <v>343</v>
      </c>
      <c r="W3972" s="14">
        <v>1.01</v>
      </c>
      <c r="X3972" s="14">
        <v>1.01</v>
      </c>
    </row>
    <row r="3973" spans="1:24" hidden="1" x14ac:dyDescent="0.3">
      <c r="A3973" s="14" t="s">
        <v>493</v>
      </c>
      <c r="B3973" s="14" t="s">
        <v>174</v>
      </c>
      <c r="C3973" s="14" t="s">
        <v>363</v>
      </c>
      <c r="D3973" s="14" t="s">
        <v>364</v>
      </c>
      <c r="E3973" s="14" t="s">
        <v>344</v>
      </c>
      <c r="F3973" s="14" t="s">
        <v>343</v>
      </c>
      <c r="G3973" s="14" t="s">
        <v>343</v>
      </c>
      <c r="H3973" s="14" t="s">
        <v>343</v>
      </c>
      <c r="W3973" s="14">
        <v>132</v>
      </c>
      <c r="X3973" s="14">
        <v>122</v>
      </c>
    </row>
    <row r="3974" spans="1:24" hidden="1" x14ac:dyDescent="0.3">
      <c r="A3974" s="14" t="s">
        <v>493</v>
      </c>
      <c r="B3974" s="14" t="s">
        <v>174</v>
      </c>
      <c r="C3974" s="14" t="s">
        <v>365</v>
      </c>
      <c r="D3974" s="14" t="s">
        <v>366</v>
      </c>
      <c r="E3974" s="14" t="s">
        <v>342</v>
      </c>
      <c r="F3974" s="14" t="s">
        <v>343</v>
      </c>
      <c r="G3974" s="14" t="s">
        <v>343</v>
      </c>
      <c r="H3974" s="14" t="s">
        <v>343</v>
      </c>
      <c r="W3974" s="14">
        <v>0.94</v>
      </c>
      <c r="X3974" s="14">
        <v>0.94</v>
      </c>
    </row>
    <row r="3975" spans="1:24" hidden="1" x14ac:dyDescent="0.3">
      <c r="A3975" s="14" t="s">
        <v>493</v>
      </c>
      <c r="B3975" s="14" t="s">
        <v>174</v>
      </c>
      <c r="C3975" s="14" t="s">
        <v>365</v>
      </c>
      <c r="D3975" s="14" t="s">
        <v>366</v>
      </c>
      <c r="E3975" s="14" t="s">
        <v>344</v>
      </c>
      <c r="F3975" s="14" t="s">
        <v>343</v>
      </c>
      <c r="G3975" s="14" t="s">
        <v>343</v>
      </c>
      <c r="H3975" s="14" t="s">
        <v>343</v>
      </c>
      <c r="W3975" s="14">
        <v>1</v>
      </c>
      <c r="X3975" s="14">
        <v>1</v>
      </c>
    </row>
    <row r="3976" spans="1:24" hidden="1" x14ac:dyDescent="0.3">
      <c r="A3976" s="14" t="s">
        <v>493</v>
      </c>
      <c r="B3976" s="14" t="s">
        <v>174</v>
      </c>
      <c r="C3976" s="14" t="s">
        <v>367</v>
      </c>
      <c r="D3976" s="14" t="s">
        <v>368</v>
      </c>
      <c r="E3976" s="14" t="s">
        <v>342</v>
      </c>
      <c r="F3976" s="14" t="s">
        <v>343</v>
      </c>
      <c r="G3976" s="14" t="s">
        <v>343</v>
      </c>
      <c r="H3976" s="14" t="s">
        <v>343</v>
      </c>
      <c r="W3976" s="14">
        <v>0.63</v>
      </c>
      <c r="X3976" s="14">
        <v>0.64</v>
      </c>
    </row>
    <row r="3977" spans="1:24" hidden="1" x14ac:dyDescent="0.3">
      <c r="A3977" s="14" t="s">
        <v>493</v>
      </c>
      <c r="B3977" s="14" t="s">
        <v>174</v>
      </c>
      <c r="C3977" s="14" t="s">
        <v>367</v>
      </c>
      <c r="D3977" s="14" t="s">
        <v>368</v>
      </c>
      <c r="E3977" s="14" t="s">
        <v>344</v>
      </c>
      <c r="F3977" s="14" t="s">
        <v>343</v>
      </c>
      <c r="G3977" s="14" t="s">
        <v>343</v>
      </c>
      <c r="H3977" s="14" t="s">
        <v>343</v>
      </c>
      <c r="W3977" s="14">
        <v>138</v>
      </c>
      <c r="X3977" s="14">
        <v>128</v>
      </c>
    </row>
    <row r="3978" spans="1:24" hidden="1" x14ac:dyDescent="0.3">
      <c r="A3978" s="14" t="s">
        <v>493</v>
      </c>
      <c r="B3978" s="14" t="s">
        <v>174</v>
      </c>
      <c r="C3978" s="14" t="s">
        <v>369</v>
      </c>
      <c r="D3978" s="14" t="s">
        <v>370</v>
      </c>
      <c r="E3978" s="14" t="s">
        <v>342</v>
      </c>
      <c r="F3978" s="14" t="s">
        <v>343</v>
      </c>
      <c r="G3978" s="14" t="s">
        <v>343</v>
      </c>
      <c r="H3978" s="14" t="s">
        <v>343</v>
      </c>
      <c r="W3978" s="14">
        <v>0.16</v>
      </c>
      <c r="X3978" s="14">
        <v>0.16</v>
      </c>
    </row>
    <row r="3979" spans="1:24" hidden="1" x14ac:dyDescent="0.3">
      <c r="A3979" s="14" t="s">
        <v>493</v>
      </c>
      <c r="B3979" s="14" t="s">
        <v>174</v>
      </c>
      <c r="C3979" s="14" t="s">
        <v>369</v>
      </c>
      <c r="D3979" s="14" t="s">
        <v>370</v>
      </c>
      <c r="E3979" s="14" t="s">
        <v>344</v>
      </c>
      <c r="F3979" s="14" t="s">
        <v>343</v>
      </c>
      <c r="G3979" s="14" t="s">
        <v>343</v>
      </c>
      <c r="H3979" s="14" t="s">
        <v>343</v>
      </c>
      <c r="W3979" s="14">
        <v>97</v>
      </c>
      <c r="X3979" s="14">
        <v>96</v>
      </c>
    </row>
    <row r="3980" spans="1:24" hidden="1" x14ac:dyDescent="0.3">
      <c r="A3980" s="14" t="s">
        <v>493</v>
      </c>
      <c r="B3980" s="14" t="s">
        <v>174</v>
      </c>
      <c r="C3980" s="14" t="s">
        <v>371</v>
      </c>
      <c r="D3980" s="14" t="s">
        <v>372</v>
      </c>
      <c r="E3980" s="14" t="s">
        <v>342</v>
      </c>
      <c r="F3980" s="14" t="s">
        <v>343</v>
      </c>
      <c r="G3980" s="14" t="s">
        <v>343</v>
      </c>
      <c r="H3980" s="14" t="s">
        <v>343</v>
      </c>
      <c r="W3980" s="14">
        <v>0</v>
      </c>
      <c r="X3980" s="14">
        <v>0</v>
      </c>
    </row>
    <row r="3981" spans="1:24" hidden="1" x14ac:dyDescent="0.3">
      <c r="A3981" s="14" t="s">
        <v>493</v>
      </c>
      <c r="B3981" s="14" t="s">
        <v>174</v>
      </c>
      <c r="C3981" s="14" t="s">
        <v>371</v>
      </c>
      <c r="D3981" s="14" t="s">
        <v>372</v>
      </c>
      <c r="E3981" s="14" t="s">
        <v>344</v>
      </c>
      <c r="F3981" s="14" t="s">
        <v>343</v>
      </c>
      <c r="G3981" s="14" t="s">
        <v>343</v>
      </c>
      <c r="H3981" s="14" t="s">
        <v>343</v>
      </c>
      <c r="W3981" s="14">
        <v>76</v>
      </c>
      <c r="X3981" s="14">
        <v>78</v>
      </c>
    </row>
    <row r="3982" spans="1:24" hidden="1" x14ac:dyDescent="0.3">
      <c r="A3982" s="14" t="s">
        <v>493</v>
      </c>
      <c r="B3982" s="14" t="s">
        <v>174</v>
      </c>
      <c r="C3982" s="14" t="s">
        <v>373</v>
      </c>
      <c r="D3982" s="14" t="s">
        <v>374</v>
      </c>
      <c r="E3982" s="14" t="s">
        <v>342</v>
      </c>
      <c r="F3982" s="14" t="s">
        <v>343</v>
      </c>
      <c r="G3982" s="14" t="s">
        <v>343</v>
      </c>
      <c r="H3982" s="14" t="s">
        <v>343</v>
      </c>
      <c r="W3982" s="14">
        <v>0.19</v>
      </c>
      <c r="X3982" s="14">
        <v>0.19</v>
      </c>
    </row>
    <row r="3983" spans="1:24" hidden="1" x14ac:dyDescent="0.3">
      <c r="A3983" s="14" t="s">
        <v>493</v>
      </c>
      <c r="B3983" s="14" t="s">
        <v>174</v>
      </c>
      <c r="C3983" s="14" t="s">
        <v>373</v>
      </c>
      <c r="D3983" s="14" t="s">
        <v>374</v>
      </c>
      <c r="E3983" s="14" t="s">
        <v>344</v>
      </c>
      <c r="F3983" s="14" t="s">
        <v>343</v>
      </c>
      <c r="G3983" s="14" t="s">
        <v>343</v>
      </c>
      <c r="H3983" s="14" t="s">
        <v>343</v>
      </c>
      <c r="W3983" s="14">
        <v>97</v>
      </c>
      <c r="X3983" s="14">
        <v>92</v>
      </c>
    </row>
    <row r="3984" spans="1:24" hidden="1" x14ac:dyDescent="0.3">
      <c r="A3984" s="14" t="s">
        <v>493</v>
      </c>
      <c r="B3984" s="14" t="s">
        <v>174</v>
      </c>
      <c r="C3984" s="14" t="s">
        <v>375</v>
      </c>
      <c r="D3984" s="14" t="s">
        <v>376</v>
      </c>
      <c r="E3984" s="14" t="s">
        <v>342</v>
      </c>
      <c r="F3984" s="14" t="s">
        <v>343</v>
      </c>
      <c r="G3984" s="14" t="s">
        <v>343</v>
      </c>
      <c r="H3984" s="14" t="s">
        <v>343</v>
      </c>
      <c r="W3984" s="14">
        <v>0.35</v>
      </c>
      <c r="X3984" s="14">
        <v>0.35</v>
      </c>
    </row>
    <row r="3985" spans="1:24" hidden="1" x14ac:dyDescent="0.3">
      <c r="A3985" s="14" t="s">
        <v>493</v>
      </c>
      <c r="B3985" s="14" t="s">
        <v>174</v>
      </c>
      <c r="C3985" s="14" t="s">
        <v>375</v>
      </c>
      <c r="D3985" s="14" t="s">
        <v>376</v>
      </c>
      <c r="E3985" s="14" t="s">
        <v>344</v>
      </c>
      <c r="F3985" s="14" t="s">
        <v>343</v>
      </c>
      <c r="G3985" s="14" t="s">
        <v>343</v>
      </c>
      <c r="H3985" s="14" t="s">
        <v>343</v>
      </c>
      <c r="W3985" s="14">
        <v>75</v>
      </c>
      <c r="X3985" s="14">
        <v>76</v>
      </c>
    </row>
    <row r="3986" spans="1:24" hidden="1" x14ac:dyDescent="0.3">
      <c r="A3986" s="14" t="s">
        <v>494</v>
      </c>
      <c r="B3986" s="14" t="s">
        <v>175</v>
      </c>
      <c r="C3986" s="14" t="s">
        <v>340</v>
      </c>
      <c r="D3986" s="14" t="s">
        <v>341</v>
      </c>
      <c r="E3986" s="14" t="s">
        <v>342</v>
      </c>
      <c r="F3986" s="14" t="s">
        <v>343</v>
      </c>
      <c r="G3986" s="14" t="s">
        <v>343</v>
      </c>
      <c r="H3986" s="14" t="s">
        <v>343</v>
      </c>
      <c r="I3986" s="14">
        <v>0.82</v>
      </c>
      <c r="J3986" s="14">
        <v>0.81</v>
      </c>
      <c r="K3986" s="14">
        <v>0.83</v>
      </c>
      <c r="L3986" s="14">
        <v>0.83</v>
      </c>
      <c r="M3986" s="14">
        <v>0.81</v>
      </c>
      <c r="N3986" s="14">
        <v>0.81</v>
      </c>
      <c r="O3986" s="14">
        <v>0.82</v>
      </c>
      <c r="P3986" s="14">
        <v>0.81</v>
      </c>
      <c r="Q3986" s="14">
        <v>0.78</v>
      </c>
      <c r="R3986" s="14">
        <v>0.8</v>
      </c>
      <c r="S3986" s="14">
        <v>0.81</v>
      </c>
      <c r="T3986" s="14">
        <v>0.81</v>
      </c>
      <c r="U3986" s="14">
        <v>0.81</v>
      </c>
      <c r="V3986" s="14">
        <v>0.81</v>
      </c>
      <c r="W3986" s="14">
        <v>0.81</v>
      </c>
      <c r="X3986" s="14">
        <v>0.83</v>
      </c>
    </row>
    <row r="3987" spans="1:24" hidden="1" x14ac:dyDescent="0.3">
      <c r="A3987" s="14" t="s">
        <v>494</v>
      </c>
      <c r="B3987" s="14" t="s">
        <v>175</v>
      </c>
      <c r="C3987" s="14" t="s">
        <v>340</v>
      </c>
      <c r="D3987" s="14" t="s">
        <v>341</v>
      </c>
      <c r="E3987" s="14" t="s">
        <v>344</v>
      </c>
      <c r="F3987" s="14" t="s">
        <v>343</v>
      </c>
      <c r="G3987" s="14" t="s">
        <v>343</v>
      </c>
      <c r="H3987" s="14" t="s">
        <v>343</v>
      </c>
      <c r="I3987" s="14">
        <v>104</v>
      </c>
      <c r="J3987" s="14">
        <v>118</v>
      </c>
      <c r="K3987" s="14">
        <v>120</v>
      </c>
      <c r="L3987" s="14">
        <v>123</v>
      </c>
      <c r="M3987" s="14">
        <v>124</v>
      </c>
      <c r="N3987" s="14">
        <v>125</v>
      </c>
      <c r="O3987" s="14">
        <v>124</v>
      </c>
      <c r="P3987" s="14">
        <v>126</v>
      </c>
      <c r="Q3987" s="14">
        <v>134</v>
      </c>
      <c r="R3987" s="14">
        <v>137</v>
      </c>
      <c r="S3987" s="14">
        <v>134</v>
      </c>
      <c r="T3987" s="14">
        <v>135</v>
      </c>
      <c r="U3987" s="14">
        <v>140</v>
      </c>
      <c r="V3987" s="14">
        <v>145</v>
      </c>
      <c r="W3987" s="14">
        <v>146</v>
      </c>
      <c r="X3987" s="14">
        <v>134</v>
      </c>
    </row>
    <row r="3988" spans="1:24" hidden="1" x14ac:dyDescent="0.3">
      <c r="A3988" s="14" t="s">
        <v>494</v>
      </c>
      <c r="B3988" s="14" t="s">
        <v>175</v>
      </c>
      <c r="C3988" s="14" t="s">
        <v>345</v>
      </c>
      <c r="D3988" s="14" t="s">
        <v>346</v>
      </c>
      <c r="E3988" s="14" t="s">
        <v>342</v>
      </c>
      <c r="F3988" s="14" t="s">
        <v>343</v>
      </c>
      <c r="G3988" s="14" t="s">
        <v>343</v>
      </c>
      <c r="H3988" s="14" t="s">
        <v>343</v>
      </c>
      <c r="U3988" s="14">
        <v>0.65</v>
      </c>
      <c r="V3988" s="14">
        <v>0.73</v>
      </c>
      <c r="W3988" s="14">
        <v>0.57999999999999996</v>
      </c>
      <c r="X3988" s="14">
        <v>0.51</v>
      </c>
    </row>
    <row r="3989" spans="1:24" hidden="1" x14ac:dyDescent="0.3">
      <c r="A3989" s="14" t="s">
        <v>494</v>
      </c>
      <c r="B3989" s="14" t="s">
        <v>175</v>
      </c>
      <c r="C3989" s="14" t="s">
        <v>345</v>
      </c>
      <c r="D3989" s="14" t="s">
        <v>346</v>
      </c>
      <c r="E3989" s="14" t="s">
        <v>344</v>
      </c>
      <c r="F3989" s="14" t="s">
        <v>343</v>
      </c>
      <c r="G3989" s="14" t="s">
        <v>343</v>
      </c>
      <c r="H3989" s="14" t="s">
        <v>343</v>
      </c>
      <c r="U3989" s="14">
        <v>58</v>
      </c>
      <c r="V3989" s="14">
        <v>27</v>
      </c>
      <c r="W3989" s="14">
        <v>90</v>
      </c>
      <c r="X3989" s="14">
        <v>117</v>
      </c>
    </row>
    <row r="3990" spans="1:24" hidden="1" x14ac:dyDescent="0.3">
      <c r="A3990" s="14" t="s">
        <v>494</v>
      </c>
      <c r="B3990" s="14" t="s">
        <v>175</v>
      </c>
      <c r="C3990" s="14" t="s">
        <v>347</v>
      </c>
      <c r="D3990" s="14" t="s">
        <v>348</v>
      </c>
      <c r="E3990" s="14" t="s">
        <v>342</v>
      </c>
      <c r="F3990" s="14" t="s">
        <v>343</v>
      </c>
      <c r="G3990" s="14" t="s">
        <v>343</v>
      </c>
      <c r="H3990" s="14" t="s">
        <v>343</v>
      </c>
      <c r="U3990" s="14">
        <v>0.84</v>
      </c>
      <c r="V3990" s="14">
        <v>0.84</v>
      </c>
      <c r="W3990" s="14">
        <v>0.77</v>
      </c>
      <c r="X3990" s="14">
        <v>0.8</v>
      </c>
    </row>
    <row r="3991" spans="1:24" hidden="1" x14ac:dyDescent="0.3">
      <c r="A3991" s="14" t="s">
        <v>494</v>
      </c>
      <c r="B3991" s="14" t="s">
        <v>175</v>
      </c>
      <c r="C3991" s="14" t="s">
        <v>347</v>
      </c>
      <c r="D3991" s="14" t="s">
        <v>348</v>
      </c>
      <c r="E3991" s="14" t="s">
        <v>344</v>
      </c>
      <c r="F3991" s="14" t="s">
        <v>343</v>
      </c>
      <c r="G3991" s="14" t="s">
        <v>343</v>
      </c>
      <c r="H3991" s="14" t="s">
        <v>343</v>
      </c>
      <c r="U3991" s="14">
        <v>61</v>
      </c>
      <c r="V3991" s="14">
        <v>66</v>
      </c>
      <c r="W3991" s="14">
        <v>93</v>
      </c>
      <c r="X3991" s="14">
        <v>62</v>
      </c>
    </row>
    <row r="3992" spans="1:24" hidden="1" x14ac:dyDescent="0.3">
      <c r="A3992" s="14" t="s">
        <v>494</v>
      </c>
      <c r="B3992" s="14" t="s">
        <v>175</v>
      </c>
      <c r="C3992" s="14" t="s">
        <v>349</v>
      </c>
      <c r="D3992" s="14" t="s">
        <v>350</v>
      </c>
      <c r="E3992" s="14" t="s">
        <v>342</v>
      </c>
      <c r="F3992" s="14" t="s">
        <v>343</v>
      </c>
      <c r="G3992" s="14" t="s">
        <v>343</v>
      </c>
      <c r="H3992" s="14" t="s">
        <v>343</v>
      </c>
      <c r="U3992" s="14">
        <v>0.28000000000000003</v>
      </c>
      <c r="V3992" s="14">
        <v>0.43</v>
      </c>
      <c r="W3992" s="14">
        <v>0.43</v>
      </c>
      <c r="X3992" s="14">
        <v>1</v>
      </c>
    </row>
    <row r="3993" spans="1:24" hidden="1" x14ac:dyDescent="0.3">
      <c r="A3993" s="14" t="s">
        <v>494</v>
      </c>
      <c r="B3993" s="14" t="s">
        <v>175</v>
      </c>
      <c r="C3993" s="14" t="s">
        <v>349</v>
      </c>
      <c r="D3993" s="14" t="s">
        <v>350</v>
      </c>
      <c r="E3993" s="14" t="s">
        <v>344</v>
      </c>
      <c r="F3993" s="14" t="s">
        <v>343</v>
      </c>
      <c r="G3993" s="14" t="s">
        <v>343</v>
      </c>
      <c r="H3993" s="14" t="s">
        <v>343</v>
      </c>
      <c r="U3993" s="14">
        <v>108</v>
      </c>
      <c r="V3993" s="14">
        <v>85</v>
      </c>
      <c r="W3993" s="14">
        <v>87</v>
      </c>
      <c r="X3993" s="14">
        <v>1</v>
      </c>
    </row>
    <row r="3994" spans="1:24" hidden="1" x14ac:dyDescent="0.3">
      <c r="A3994" s="14" t="s">
        <v>494</v>
      </c>
      <c r="B3994" s="14" t="s">
        <v>175</v>
      </c>
      <c r="C3994" s="14" t="s">
        <v>351</v>
      </c>
      <c r="D3994" s="14" t="s">
        <v>352</v>
      </c>
      <c r="E3994" s="14" t="s">
        <v>342</v>
      </c>
      <c r="F3994" s="14" t="s">
        <v>343</v>
      </c>
      <c r="G3994" s="14" t="s">
        <v>343</v>
      </c>
      <c r="H3994" s="14" t="s">
        <v>343</v>
      </c>
      <c r="U3994" s="14">
        <v>0.64</v>
      </c>
      <c r="V3994" s="14">
        <v>1</v>
      </c>
      <c r="W3994" s="14">
        <v>1</v>
      </c>
      <c r="X3994" s="14">
        <v>0.63</v>
      </c>
    </row>
    <row r="3995" spans="1:24" hidden="1" x14ac:dyDescent="0.3">
      <c r="A3995" s="14" t="s">
        <v>494</v>
      </c>
      <c r="B3995" s="14" t="s">
        <v>175</v>
      </c>
      <c r="C3995" s="14" t="s">
        <v>351</v>
      </c>
      <c r="D3995" s="14" t="s">
        <v>352</v>
      </c>
      <c r="E3995" s="14" t="s">
        <v>344</v>
      </c>
      <c r="F3995" s="14" t="s">
        <v>343</v>
      </c>
      <c r="G3995" s="14" t="s">
        <v>343</v>
      </c>
      <c r="H3995" s="14" t="s">
        <v>343</v>
      </c>
      <c r="U3995" s="14">
        <v>111</v>
      </c>
      <c r="V3995" s="14">
        <v>1</v>
      </c>
      <c r="W3995" s="14">
        <v>1</v>
      </c>
      <c r="X3995" s="14">
        <v>105</v>
      </c>
    </row>
    <row r="3996" spans="1:24" hidden="1" x14ac:dyDescent="0.3">
      <c r="A3996" s="14" t="s">
        <v>494</v>
      </c>
      <c r="B3996" s="14" t="s">
        <v>175</v>
      </c>
      <c r="C3996" s="14" t="s">
        <v>378</v>
      </c>
      <c r="D3996" s="14" t="s">
        <v>379</v>
      </c>
      <c r="E3996" s="14" t="s">
        <v>342</v>
      </c>
      <c r="F3996" s="14" t="s">
        <v>343</v>
      </c>
      <c r="G3996" s="14" t="s">
        <v>343</v>
      </c>
      <c r="H3996" s="14" t="s">
        <v>343</v>
      </c>
      <c r="S3996" s="14">
        <v>0.75</v>
      </c>
      <c r="U3996" s="14">
        <v>0.74</v>
      </c>
      <c r="V3996" s="14">
        <v>0.72</v>
      </c>
      <c r="W3996" s="14">
        <v>0.7</v>
      </c>
      <c r="X3996" s="14">
        <v>0.73</v>
      </c>
    </row>
    <row r="3997" spans="1:24" hidden="1" x14ac:dyDescent="0.3">
      <c r="A3997" s="14" t="s">
        <v>494</v>
      </c>
      <c r="B3997" s="14" t="s">
        <v>175</v>
      </c>
      <c r="C3997" s="14" t="s">
        <v>378</v>
      </c>
      <c r="D3997" s="14" t="s">
        <v>379</v>
      </c>
      <c r="E3997" s="14" t="s">
        <v>344</v>
      </c>
      <c r="F3997" s="14" t="s">
        <v>343</v>
      </c>
      <c r="G3997" s="14" t="s">
        <v>343</v>
      </c>
      <c r="H3997" s="14" t="s">
        <v>343</v>
      </c>
      <c r="S3997" s="14">
        <v>25</v>
      </c>
      <c r="U3997" s="14">
        <v>23</v>
      </c>
      <c r="V3997" s="14">
        <v>32</v>
      </c>
      <c r="W3997" s="14">
        <v>51</v>
      </c>
      <c r="X3997" s="14">
        <v>35</v>
      </c>
    </row>
    <row r="3998" spans="1:24" hidden="1" x14ac:dyDescent="0.3">
      <c r="A3998" s="14" t="s">
        <v>494</v>
      </c>
      <c r="B3998" s="14" t="s">
        <v>175</v>
      </c>
      <c r="C3998" s="14" t="s">
        <v>353</v>
      </c>
      <c r="D3998" s="14" t="s">
        <v>354</v>
      </c>
      <c r="E3998" s="14" t="s">
        <v>342</v>
      </c>
      <c r="F3998" s="14" t="s">
        <v>343</v>
      </c>
      <c r="G3998" s="14" t="s">
        <v>343</v>
      </c>
      <c r="H3998" s="14" t="s">
        <v>343</v>
      </c>
      <c r="U3998" s="14">
        <v>0.68</v>
      </c>
      <c r="V3998" s="14">
        <v>0.74</v>
      </c>
      <c r="W3998" s="14">
        <v>0.74</v>
      </c>
      <c r="X3998" s="14">
        <v>0.74</v>
      </c>
    </row>
    <row r="3999" spans="1:24" hidden="1" x14ac:dyDescent="0.3">
      <c r="A3999" s="14" t="s">
        <v>494</v>
      </c>
      <c r="B3999" s="14" t="s">
        <v>175</v>
      </c>
      <c r="C3999" s="14" t="s">
        <v>353</v>
      </c>
      <c r="D3999" s="14" t="s">
        <v>354</v>
      </c>
      <c r="E3999" s="14" t="s">
        <v>344</v>
      </c>
      <c r="F3999" s="14" t="s">
        <v>343</v>
      </c>
      <c r="G3999" s="14" t="s">
        <v>343</v>
      </c>
      <c r="H3999" s="14" t="s">
        <v>343</v>
      </c>
      <c r="U3999" s="14">
        <v>128</v>
      </c>
      <c r="V3999" s="14">
        <v>136</v>
      </c>
      <c r="W3999" s="14">
        <v>137</v>
      </c>
      <c r="X3999" s="14">
        <v>128</v>
      </c>
    </row>
    <row r="4000" spans="1:24" hidden="1" x14ac:dyDescent="0.3">
      <c r="A4000" s="14" t="s">
        <v>494</v>
      </c>
      <c r="B4000" s="14" t="s">
        <v>175</v>
      </c>
      <c r="C4000" s="14" t="s">
        <v>380</v>
      </c>
      <c r="D4000" s="14" t="s">
        <v>381</v>
      </c>
      <c r="E4000" s="14" t="s">
        <v>342</v>
      </c>
      <c r="F4000" s="14" t="s">
        <v>343</v>
      </c>
      <c r="G4000" s="14" t="s">
        <v>343</v>
      </c>
      <c r="H4000" s="14" t="s">
        <v>343</v>
      </c>
      <c r="U4000" s="14">
        <v>0.83</v>
      </c>
      <c r="V4000" s="14">
        <v>0.83</v>
      </c>
      <c r="W4000" s="14">
        <v>0.83</v>
      </c>
    </row>
    <row r="4001" spans="1:24" hidden="1" x14ac:dyDescent="0.3">
      <c r="A4001" s="14" t="s">
        <v>494</v>
      </c>
      <c r="B4001" s="14" t="s">
        <v>175</v>
      </c>
      <c r="C4001" s="14" t="s">
        <v>380</v>
      </c>
      <c r="D4001" s="14" t="s">
        <v>381</v>
      </c>
      <c r="E4001" s="14" t="s">
        <v>344</v>
      </c>
      <c r="F4001" s="14" t="s">
        <v>343</v>
      </c>
      <c r="G4001" s="14" t="s">
        <v>343</v>
      </c>
      <c r="H4001" s="14" t="s">
        <v>343</v>
      </c>
      <c r="U4001" s="14">
        <v>134</v>
      </c>
      <c r="V4001" s="14">
        <v>144</v>
      </c>
      <c r="W4001" s="14">
        <v>146</v>
      </c>
    </row>
    <row r="4002" spans="1:24" hidden="1" x14ac:dyDescent="0.3">
      <c r="A4002" s="14" t="s">
        <v>494</v>
      </c>
      <c r="B4002" s="14" t="s">
        <v>175</v>
      </c>
      <c r="C4002" s="14" t="s">
        <v>355</v>
      </c>
      <c r="D4002" s="14" t="s">
        <v>356</v>
      </c>
      <c r="E4002" s="14" t="s">
        <v>342</v>
      </c>
      <c r="F4002" s="14" t="s">
        <v>343</v>
      </c>
      <c r="G4002" s="14" t="s">
        <v>343</v>
      </c>
      <c r="H4002" s="14" t="s">
        <v>343</v>
      </c>
      <c r="U4002" s="14">
        <v>0.92</v>
      </c>
      <c r="V4002" s="14">
        <v>0.87</v>
      </c>
      <c r="W4002" s="14">
        <v>0.87</v>
      </c>
      <c r="X4002" s="14">
        <v>0.95</v>
      </c>
    </row>
    <row r="4003" spans="1:24" hidden="1" x14ac:dyDescent="0.3">
      <c r="A4003" s="14" t="s">
        <v>494</v>
      </c>
      <c r="B4003" s="14" t="s">
        <v>175</v>
      </c>
      <c r="C4003" s="14" t="s">
        <v>355</v>
      </c>
      <c r="D4003" s="14" t="s">
        <v>356</v>
      </c>
      <c r="E4003" s="14" t="s">
        <v>344</v>
      </c>
      <c r="F4003" s="14" t="s">
        <v>343</v>
      </c>
      <c r="G4003" s="14" t="s">
        <v>343</v>
      </c>
      <c r="H4003" s="14" t="s">
        <v>343</v>
      </c>
      <c r="U4003" s="14">
        <v>131</v>
      </c>
      <c r="V4003" s="14">
        <v>140</v>
      </c>
      <c r="W4003" s="14">
        <v>138</v>
      </c>
      <c r="X4003" s="14">
        <v>108</v>
      </c>
    </row>
    <row r="4004" spans="1:24" hidden="1" x14ac:dyDescent="0.3">
      <c r="A4004" s="14" t="s">
        <v>494</v>
      </c>
      <c r="B4004" s="14" t="s">
        <v>175</v>
      </c>
      <c r="C4004" s="14" t="s">
        <v>357</v>
      </c>
      <c r="D4004" s="14" t="s">
        <v>358</v>
      </c>
      <c r="E4004" s="14" t="s">
        <v>342</v>
      </c>
      <c r="F4004" s="14" t="s">
        <v>343</v>
      </c>
      <c r="G4004" s="14" t="s">
        <v>343</v>
      </c>
      <c r="H4004" s="14" t="s">
        <v>343</v>
      </c>
      <c r="U4004" s="14">
        <v>0.69</v>
      </c>
      <c r="V4004" s="14">
        <v>0.69</v>
      </c>
      <c r="W4004" s="14">
        <v>0.69</v>
      </c>
      <c r="X4004" s="14">
        <v>0.72</v>
      </c>
    </row>
    <row r="4005" spans="1:24" hidden="1" x14ac:dyDescent="0.3">
      <c r="A4005" s="14" t="s">
        <v>494</v>
      </c>
      <c r="B4005" s="14" t="s">
        <v>175</v>
      </c>
      <c r="C4005" s="14" t="s">
        <v>357</v>
      </c>
      <c r="D4005" s="14" t="s">
        <v>358</v>
      </c>
      <c r="E4005" s="14" t="s">
        <v>344</v>
      </c>
      <c r="F4005" s="14" t="s">
        <v>343</v>
      </c>
      <c r="G4005" s="14" t="s">
        <v>343</v>
      </c>
      <c r="H4005" s="14" t="s">
        <v>343</v>
      </c>
      <c r="U4005" s="14">
        <v>123</v>
      </c>
      <c r="V4005" s="14">
        <v>129</v>
      </c>
      <c r="W4005" s="14">
        <v>130</v>
      </c>
      <c r="X4005" s="14">
        <v>123</v>
      </c>
    </row>
    <row r="4006" spans="1:24" hidden="1" x14ac:dyDescent="0.3">
      <c r="A4006" s="14" t="s">
        <v>494</v>
      </c>
      <c r="B4006" s="14" t="s">
        <v>175</v>
      </c>
      <c r="C4006" s="14" t="s">
        <v>359</v>
      </c>
      <c r="D4006" s="14" t="s">
        <v>360</v>
      </c>
      <c r="E4006" s="14" t="s">
        <v>342</v>
      </c>
      <c r="F4006" s="14" t="s">
        <v>343</v>
      </c>
      <c r="G4006" s="14" t="s">
        <v>343</v>
      </c>
      <c r="H4006" s="14" t="s">
        <v>343</v>
      </c>
      <c r="I4006" s="14">
        <v>0.61</v>
      </c>
      <c r="J4006" s="14">
        <v>0.62</v>
      </c>
      <c r="K4006" s="14">
        <v>0.65</v>
      </c>
      <c r="L4006" s="14">
        <v>0.62</v>
      </c>
      <c r="M4006" s="14">
        <v>0.6</v>
      </c>
      <c r="N4006" s="14">
        <v>0.6</v>
      </c>
      <c r="O4006" s="14">
        <v>0.63</v>
      </c>
      <c r="P4006" s="14">
        <v>0.7</v>
      </c>
      <c r="Q4006" s="14">
        <v>0.71</v>
      </c>
      <c r="R4006" s="14">
        <v>0.69</v>
      </c>
      <c r="S4006" s="14">
        <v>0.7</v>
      </c>
      <c r="T4006" s="14">
        <v>0.73</v>
      </c>
      <c r="U4006" s="14">
        <v>0.66</v>
      </c>
      <c r="V4006" s="14">
        <v>0.74</v>
      </c>
      <c r="W4006" s="14">
        <v>0.69</v>
      </c>
      <c r="X4006" s="14">
        <v>0.72</v>
      </c>
    </row>
    <row r="4007" spans="1:24" hidden="1" x14ac:dyDescent="0.3">
      <c r="A4007" s="14" t="s">
        <v>494</v>
      </c>
      <c r="B4007" s="14" t="s">
        <v>175</v>
      </c>
      <c r="C4007" s="14" t="s">
        <v>359</v>
      </c>
      <c r="D4007" s="14" t="s">
        <v>360</v>
      </c>
      <c r="E4007" s="14" t="s">
        <v>344</v>
      </c>
      <c r="F4007" s="14" t="s">
        <v>343</v>
      </c>
      <c r="G4007" s="14" t="s">
        <v>343</v>
      </c>
      <c r="H4007" s="14" t="s">
        <v>343</v>
      </c>
      <c r="I4007" s="14">
        <v>59</v>
      </c>
      <c r="J4007" s="14">
        <v>72</v>
      </c>
      <c r="K4007" s="14">
        <v>64</v>
      </c>
      <c r="L4007" s="14">
        <v>83</v>
      </c>
      <c r="M4007" s="14">
        <v>86</v>
      </c>
      <c r="N4007" s="14">
        <v>93</v>
      </c>
      <c r="O4007" s="14">
        <v>81</v>
      </c>
      <c r="P4007" s="14">
        <v>54</v>
      </c>
      <c r="Q4007" s="14">
        <v>55</v>
      </c>
      <c r="R4007" s="14">
        <v>61</v>
      </c>
      <c r="S4007" s="14">
        <v>52</v>
      </c>
      <c r="T4007" s="14">
        <v>37</v>
      </c>
      <c r="U4007" s="14">
        <v>79</v>
      </c>
      <c r="V4007" s="14">
        <v>38</v>
      </c>
      <c r="W4007" s="14">
        <v>78</v>
      </c>
      <c r="X4007" s="14">
        <v>50</v>
      </c>
    </row>
    <row r="4008" spans="1:24" x14ac:dyDescent="0.3">
      <c r="A4008" s="14" t="s">
        <v>494</v>
      </c>
      <c r="B4008" s="14" t="s">
        <v>175</v>
      </c>
      <c r="C4008" s="14" t="s">
        <v>361</v>
      </c>
      <c r="D4008" s="14" t="s">
        <v>362</v>
      </c>
      <c r="E4008" s="14" t="s">
        <v>342</v>
      </c>
      <c r="F4008" s="14" t="s">
        <v>343</v>
      </c>
      <c r="G4008" s="14" t="s">
        <v>343</v>
      </c>
      <c r="H4008" s="14" t="s">
        <v>343</v>
      </c>
      <c r="I4008" s="14">
        <v>0.97</v>
      </c>
      <c r="J4008" s="14">
        <v>0.97</v>
      </c>
      <c r="K4008" s="14">
        <v>0.97</v>
      </c>
      <c r="L4008" s="14">
        <v>0.97</v>
      </c>
      <c r="M4008" s="14">
        <v>0.96</v>
      </c>
      <c r="N4008" s="14">
        <v>0.96</v>
      </c>
      <c r="O4008" s="14">
        <v>0.96</v>
      </c>
      <c r="P4008" s="14">
        <v>0.96</v>
      </c>
      <c r="Q4008" s="14">
        <v>0.97</v>
      </c>
      <c r="R4008" s="14">
        <v>0.96</v>
      </c>
      <c r="S4008" s="14">
        <v>0.96</v>
      </c>
      <c r="T4008" s="14">
        <v>0.97</v>
      </c>
      <c r="U4008" s="14">
        <v>0.96</v>
      </c>
      <c r="V4008" s="14">
        <v>0.96</v>
      </c>
      <c r="W4008" s="14">
        <v>0.97</v>
      </c>
      <c r="X4008" s="14">
        <v>0.97</v>
      </c>
    </row>
    <row r="4009" spans="1:24" hidden="1" x14ac:dyDescent="0.3">
      <c r="A4009" s="14" t="s">
        <v>494</v>
      </c>
      <c r="B4009" s="14" t="s">
        <v>175</v>
      </c>
      <c r="C4009" s="14" t="s">
        <v>361</v>
      </c>
      <c r="D4009" s="14" t="s">
        <v>362</v>
      </c>
      <c r="E4009" s="14" t="s">
        <v>344</v>
      </c>
      <c r="F4009" s="14" t="s">
        <v>343</v>
      </c>
      <c r="G4009" s="14" t="s">
        <v>343</v>
      </c>
      <c r="H4009" s="14" t="s">
        <v>343</v>
      </c>
      <c r="I4009" s="14">
        <v>99</v>
      </c>
      <c r="J4009" s="14">
        <v>100</v>
      </c>
      <c r="K4009" s="14">
        <v>101</v>
      </c>
      <c r="L4009" s="14">
        <v>109</v>
      </c>
      <c r="M4009" s="14">
        <v>120</v>
      </c>
      <c r="N4009" s="14">
        <v>121</v>
      </c>
      <c r="O4009" s="14">
        <v>121</v>
      </c>
      <c r="P4009" s="14">
        <v>122</v>
      </c>
      <c r="Q4009" s="14">
        <v>109</v>
      </c>
      <c r="R4009" s="14">
        <v>133</v>
      </c>
      <c r="S4009" s="14">
        <v>135</v>
      </c>
      <c r="T4009" s="14">
        <v>94</v>
      </c>
      <c r="U4009" s="14">
        <v>132</v>
      </c>
      <c r="V4009" s="14">
        <v>135</v>
      </c>
      <c r="W4009" s="14">
        <v>104</v>
      </c>
      <c r="X4009" s="14">
        <v>97</v>
      </c>
    </row>
    <row r="4010" spans="1:24" hidden="1" x14ac:dyDescent="0.3">
      <c r="A4010" s="14" t="s">
        <v>494</v>
      </c>
      <c r="B4010" s="14" t="s">
        <v>175</v>
      </c>
      <c r="C4010" s="14" t="s">
        <v>363</v>
      </c>
      <c r="D4010" s="14" t="s">
        <v>364</v>
      </c>
      <c r="E4010" s="14" t="s">
        <v>342</v>
      </c>
      <c r="F4010" s="14" t="s">
        <v>343</v>
      </c>
      <c r="G4010" s="14" t="s">
        <v>343</v>
      </c>
      <c r="H4010" s="14" t="s">
        <v>343</v>
      </c>
      <c r="U4010" s="14">
        <v>1.01</v>
      </c>
      <c r="V4010" s="14">
        <v>1.01</v>
      </c>
      <c r="W4010" s="14">
        <v>1.02</v>
      </c>
      <c r="X4010" s="14">
        <v>1.02</v>
      </c>
    </row>
    <row r="4011" spans="1:24" hidden="1" x14ac:dyDescent="0.3">
      <c r="A4011" s="14" t="s">
        <v>494</v>
      </c>
      <c r="B4011" s="14" t="s">
        <v>175</v>
      </c>
      <c r="C4011" s="14" t="s">
        <v>363</v>
      </c>
      <c r="D4011" s="14" t="s">
        <v>364</v>
      </c>
      <c r="E4011" s="14" t="s">
        <v>344</v>
      </c>
      <c r="F4011" s="14" t="s">
        <v>343</v>
      </c>
      <c r="G4011" s="14" t="s">
        <v>343</v>
      </c>
      <c r="H4011" s="14" t="s">
        <v>343</v>
      </c>
      <c r="U4011" s="14">
        <v>138</v>
      </c>
      <c r="V4011" s="14">
        <v>142</v>
      </c>
      <c r="W4011" s="14">
        <v>115</v>
      </c>
      <c r="X4011" s="14">
        <v>107</v>
      </c>
    </row>
    <row r="4012" spans="1:24" hidden="1" x14ac:dyDescent="0.3">
      <c r="A4012" s="14" t="s">
        <v>494</v>
      </c>
      <c r="B4012" s="14" t="s">
        <v>175</v>
      </c>
      <c r="C4012" s="14" t="s">
        <v>365</v>
      </c>
      <c r="D4012" s="14" t="s">
        <v>366</v>
      </c>
      <c r="E4012" s="14" t="s">
        <v>342</v>
      </c>
      <c r="F4012" s="14" t="s">
        <v>343</v>
      </c>
      <c r="G4012" s="14" t="s">
        <v>343</v>
      </c>
      <c r="H4012" s="14" t="s">
        <v>343</v>
      </c>
      <c r="U4012" s="14">
        <v>0.94</v>
      </c>
      <c r="V4012" s="14">
        <v>0.94</v>
      </c>
      <c r="W4012" s="14">
        <v>0.94</v>
      </c>
      <c r="X4012" s="14">
        <v>0.94</v>
      </c>
    </row>
    <row r="4013" spans="1:24" hidden="1" x14ac:dyDescent="0.3">
      <c r="A4013" s="14" t="s">
        <v>494</v>
      </c>
      <c r="B4013" s="14" t="s">
        <v>175</v>
      </c>
      <c r="C4013" s="14" t="s">
        <v>365</v>
      </c>
      <c r="D4013" s="14" t="s">
        <v>366</v>
      </c>
      <c r="E4013" s="14" t="s">
        <v>344</v>
      </c>
      <c r="F4013" s="14" t="s">
        <v>343</v>
      </c>
      <c r="G4013" s="14" t="s">
        <v>343</v>
      </c>
      <c r="H4013" s="14" t="s">
        <v>343</v>
      </c>
      <c r="U4013" s="14">
        <v>1</v>
      </c>
      <c r="V4013" s="14">
        <v>1</v>
      </c>
      <c r="W4013" s="14">
        <v>1</v>
      </c>
      <c r="X4013" s="14">
        <v>1</v>
      </c>
    </row>
    <row r="4014" spans="1:24" hidden="1" x14ac:dyDescent="0.3">
      <c r="A4014" s="14" t="s">
        <v>494</v>
      </c>
      <c r="B4014" s="14" t="s">
        <v>175</v>
      </c>
      <c r="C4014" s="14" t="s">
        <v>367</v>
      </c>
      <c r="D4014" s="14" t="s">
        <v>368</v>
      </c>
      <c r="E4014" s="14" t="s">
        <v>342</v>
      </c>
      <c r="F4014" s="14" t="s">
        <v>343</v>
      </c>
      <c r="G4014" s="14" t="s">
        <v>343</v>
      </c>
      <c r="H4014" s="14" t="s">
        <v>343</v>
      </c>
      <c r="I4014" s="14">
        <v>0.61</v>
      </c>
      <c r="J4014" s="14">
        <v>0.61</v>
      </c>
      <c r="K4014" s="14">
        <v>0.63</v>
      </c>
      <c r="L4014" s="14">
        <v>0.63</v>
      </c>
      <c r="M4014" s="14">
        <v>0.61</v>
      </c>
      <c r="N4014" s="14">
        <v>0.6</v>
      </c>
      <c r="O4014" s="14">
        <v>0.63</v>
      </c>
      <c r="P4014" s="14">
        <v>0.65</v>
      </c>
      <c r="Q4014" s="14">
        <v>0.64</v>
      </c>
      <c r="R4014" s="14">
        <v>0.64</v>
      </c>
      <c r="S4014" s="14">
        <v>0.64</v>
      </c>
      <c r="T4014" s="14">
        <v>0.64</v>
      </c>
      <c r="U4014" s="14">
        <v>0.62</v>
      </c>
      <c r="V4014" s="14">
        <v>0.64</v>
      </c>
      <c r="W4014" s="14">
        <v>0.63</v>
      </c>
      <c r="X4014" s="14">
        <v>0.64</v>
      </c>
    </row>
    <row r="4015" spans="1:24" hidden="1" x14ac:dyDescent="0.3">
      <c r="A4015" s="14" t="s">
        <v>494</v>
      </c>
      <c r="B4015" s="14" t="s">
        <v>175</v>
      </c>
      <c r="C4015" s="14" t="s">
        <v>367</v>
      </c>
      <c r="D4015" s="14" t="s">
        <v>368</v>
      </c>
      <c r="E4015" s="14" t="s">
        <v>344</v>
      </c>
      <c r="F4015" s="14" t="s">
        <v>343</v>
      </c>
      <c r="G4015" s="14" t="s">
        <v>343</v>
      </c>
      <c r="H4015" s="14" t="s">
        <v>343</v>
      </c>
      <c r="I4015" s="14">
        <v>94</v>
      </c>
      <c r="J4015" s="14">
        <v>107</v>
      </c>
      <c r="K4015" s="14">
        <v>102</v>
      </c>
      <c r="L4015" s="14">
        <v>108</v>
      </c>
      <c r="M4015" s="14">
        <v>118</v>
      </c>
      <c r="N4015" s="14">
        <v>120</v>
      </c>
      <c r="O4015" s="14">
        <v>110</v>
      </c>
      <c r="P4015" s="14">
        <v>106</v>
      </c>
      <c r="Q4015" s="14">
        <v>118</v>
      </c>
      <c r="R4015" s="14">
        <v>125</v>
      </c>
      <c r="S4015" s="14">
        <v>118</v>
      </c>
      <c r="T4015" s="14">
        <v>122</v>
      </c>
      <c r="U4015" s="14">
        <v>133</v>
      </c>
      <c r="V4015" s="14">
        <v>128</v>
      </c>
      <c r="W4015" s="14">
        <v>139</v>
      </c>
      <c r="X4015" s="14">
        <v>123</v>
      </c>
    </row>
    <row r="4016" spans="1:24" hidden="1" x14ac:dyDescent="0.3">
      <c r="A4016" s="14" t="s">
        <v>494</v>
      </c>
      <c r="B4016" s="14" t="s">
        <v>175</v>
      </c>
      <c r="C4016" s="14" t="s">
        <v>369</v>
      </c>
      <c r="D4016" s="14" t="s">
        <v>370</v>
      </c>
      <c r="E4016" s="14" t="s">
        <v>342</v>
      </c>
      <c r="F4016" s="14" t="s">
        <v>343</v>
      </c>
      <c r="G4016" s="14" t="s">
        <v>343</v>
      </c>
      <c r="H4016" s="14" t="s">
        <v>343</v>
      </c>
      <c r="I4016" s="14">
        <v>0.05</v>
      </c>
      <c r="J4016" s="14">
        <v>0.05</v>
      </c>
      <c r="K4016" s="14">
        <v>0.1</v>
      </c>
      <c r="L4016" s="14">
        <v>0.1</v>
      </c>
      <c r="M4016" s="14">
        <v>0.05</v>
      </c>
      <c r="N4016" s="14">
        <v>0.04</v>
      </c>
      <c r="O4016" s="14">
        <v>0.12</v>
      </c>
      <c r="P4016" s="14">
        <v>0.12</v>
      </c>
      <c r="Q4016" s="14">
        <v>0.1</v>
      </c>
      <c r="R4016" s="14">
        <v>0.1</v>
      </c>
      <c r="S4016" s="14">
        <v>0.1</v>
      </c>
      <c r="T4016" s="14">
        <v>0.05</v>
      </c>
      <c r="U4016" s="14">
        <v>0.05</v>
      </c>
      <c r="V4016" s="14">
        <v>0.03</v>
      </c>
      <c r="W4016" s="14">
        <v>0.05</v>
      </c>
      <c r="X4016" s="14">
        <v>0.04</v>
      </c>
    </row>
    <row r="4017" spans="1:24" hidden="1" x14ac:dyDescent="0.3">
      <c r="A4017" s="14" t="s">
        <v>494</v>
      </c>
      <c r="B4017" s="14" t="s">
        <v>175</v>
      </c>
      <c r="C4017" s="14" t="s">
        <v>369</v>
      </c>
      <c r="D4017" s="14" t="s">
        <v>370</v>
      </c>
      <c r="E4017" s="14" t="s">
        <v>344</v>
      </c>
      <c r="F4017" s="14" t="s">
        <v>343</v>
      </c>
      <c r="G4017" s="14" t="s">
        <v>343</v>
      </c>
      <c r="H4017" s="14" t="s">
        <v>343</v>
      </c>
      <c r="I4017" s="14">
        <v>99</v>
      </c>
      <c r="K4017" s="14">
        <v>84</v>
      </c>
      <c r="L4017" s="14">
        <v>89</v>
      </c>
      <c r="M4017" s="14">
        <v>111</v>
      </c>
      <c r="N4017" s="14">
        <v>121</v>
      </c>
      <c r="O4017" s="14">
        <v>83</v>
      </c>
      <c r="P4017" s="14">
        <v>83</v>
      </c>
      <c r="Q4017" s="14">
        <v>102</v>
      </c>
      <c r="R4017" s="14">
        <v>111</v>
      </c>
      <c r="S4017" s="14">
        <v>109</v>
      </c>
      <c r="T4017" s="14">
        <v>135</v>
      </c>
      <c r="U4017" s="14">
        <v>139</v>
      </c>
      <c r="V4017" s="14">
        <v>146</v>
      </c>
      <c r="W4017" s="14">
        <v>149</v>
      </c>
      <c r="X4017" s="14">
        <v>141</v>
      </c>
    </row>
    <row r="4018" spans="1:24" hidden="1" x14ac:dyDescent="0.3">
      <c r="A4018" s="14" t="s">
        <v>494</v>
      </c>
      <c r="B4018" s="14" t="s">
        <v>175</v>
      </c>
      <c r="C4018" s="14" t="s">
        <v>371</v>
      </c>
      <c r="D4018" s="14" t="s">
        <v>372</v>
      </c>
      <c r="E4018" s="14" t="s">
        <v>342</v>
      </c>
      <c r="F4018" s="14" t="s">
        <v>343</v>
      </c>
      <c r="G4018" s="14" t="s">
        <v>343</v>
      </c>
      <c r="H4018" s="14" t="s">
        <v>343</v>
      </c>
      <c r="U4018" s="14">
        <v>0</v>
      </c>
      <c r="V4018" s="14">
        <v>0</v>
      </c>
      <c r="W4018" s="14">
        <v>0</v>
      </c>
      <c r="X4018" s="14">
        <v>0</v>
      </c>
    </row>
    <row r="4019" spans="1:24" hidden="1" x14ac:dyDescent="0.3">
      <c r="A4019" s="14" t="s">
        <v>494</v>
      </c>
      <c r="B4019" s="14" t="s">
        <v>175</v>
      </c>
      <c r="C4019" s="14" t="s">
        <v>371</v>
      </c>
      <c r="D4019" s="14" t="s">
        <v>372</v>
      </c>
      <c r="E4019" s="14" t="s">
        <v>344</v>
      </c>
      <c r="F4019" s="14" t="s">
        <v>343</v>
      </c>
      <c r="G4019" s="14" t="s">
        <v>343</v>
      </c>
      <c r="H4019" s="14" t="s">
        <v>343</v>
      </c>
      <c r="U4019" s="14">
        <v>71</v>
      </c>
      <c r="V4019" s="14">
        <v>73</v>
      </c>
      <c r="W4019" s="14">
        <v>76</v>
      </c>
      <c r="X4019" s="14">
        <v>78</v>
      </c>
    </row>
    <row r="4020" spans="1:24" hidden="1" x14ac:dyDescent="0.3">
      <c r="A4020" s="14" t="s">
        <v>494</v>
      </c>
      <c r="B4020" s="14" t="s">
        <v>175</v>
      </c>
      <c r="C4020" s="14" t="s">
        <v>373</v>
      </c>
      <c r="D4020" s="14" t="s">
        <v>374</v>
      </c>
      <c r="E4020" s="14" t="s">
        <v>342</v>
      </c>
      <c r="F4020" s="14" t="s">
        <v>343</v>
      </c>
      <c r="G4020" s="14" t="s">
        <v>343</v>
      </c>
      <c r="H4020" s="14" t="s">
        <v>343</v>
      </c>
      <c r="U4020" s="14">
        <v>0.14000000000000001</v>
      </c>
      <c r="V4020" s="14">
        <v>0.09</v>
      </c>
      <c r="W4020" s="14">
        <v>0.12</v>
      </c>
      <c r="X4020" s="14">
        <v>0.12</v>
      </c>
    </row>
    <row r="4021" spans="1:24" hidden="1" x14ac:dyDescent="0.3">
      <c r="A4021" s="14" t="s">
        <v>494</v>
      </c>
      <c r="B4021" s="14" t="s">
        <v>175</v>
      </c>
      <c r="C4021" s="14" t="s">
        <v>373</v>
      </c>
      <c r="D4021" s="14" t="s">
        <v>374</v>
      </c>
      <c r="E4021" s="14" t="s">
        <v>344</v>
      </c>
      <c r="F4021" s="14" t="s">
        <v>343</v>
      </c>
      <c r="G4021" s="14" t="s">
        <v>343</v>
      </c>
      <c r="H4021" s="14" t="s">
        <v>343</v>
      </c>
      <c r="U4021" s="14">
        <v>105</v>
      </c>
      <c r="V4021" s="14">
        <v>124</v>
      </c>
      <c r="W4021" s="14">
        <v>123</v>
      </c>
      <c r="X4021" s="14">
        <v>118</v>
      </c>
    </row>
    <row r="4022" spans="1:24" hidden="1" x14ac:dyDescent="0.3">
      <c r="A4022" s="14" t="s">
        <v>494</v>
      </c>
      <c r="B4022" s="14" t="s">
        <v>175</v>
      </c>
      <c r="C4022" s="14" t="s">
        <v>375</v>
      </c>
      <c r="D4022" s="14" t="s">
        <v>376</v>
      </c>
      <c r="E4022" s="14" t="s">
        <v>342</v>
      </c>
      <c r="F4022" s="14" t="s">
        <v>343</v>
      </c>
      <c r="G4022" s="14" t="s">
        <v>343</v>
      </c>
      <c r="H4022" s="14" t="s">
        <v>343</v>
      </c>
      <c r="U4022" s="14">
        <v>0.06</v>
      </c>
      <c r="V4022" s="14">
        <v>0.04</v>
      </c>
      <c r="W4022" s="14">
        <v>0.06</v>
      </c>
      <c r="X4022" s="14">
        <v>0.04</v>
      </c>
    </row>
    <row r="4023" spans="1:24" hidden="1" x14ac:dyDescent="0.3">
      <c r="A4023" s="14" t="s">
        <v>494</v>
      </c>
      <c r="B4023" s="14" t="s">
        <v>175</v>
      </c>
      <c r="C4023" s="14" t="s">
        <v>375</v>
      </c>
      <c r="D4023" s="14" t="s">
        <v>376</v>
      </c>
      <c r="E4023" s="14" t="s">
        <v>344</v>
      </c>
      <c r="F4023" s="14" t="s">
        <v>343</v>
      </c>
      <c r="G4023" s="14" t="s">
        <v>343</v>
      </c>
      <c r="H4023" s="14" t="s">
        <v>343</v>
      </c>
      <c r="U4023" s="14">
        <v>144</v>
      </c>
      <c r="V4023" s="14">
        <v>149</v>
      </c>
      <c r="W4023" s="14">
        <v>147</v>
      </c>
      <c r="X4023" s="14">
        <v>143</v>
      </c>
    </row>
    <row r="4024" spans="1:24" hidden="1" x14ac:dyDescent="0.3">
      <c r="A4024" s="14" t="s">
        <v>495</v>
      </c>
      <c r="B4024" s="14" t="s">
        <v>173</v>
      </c>
      <c r="C4024" s="14" t="s">
        <v>340</v>
      </c>
      <c r="D4024" s="14" t="s">
        <v>341</v>
      </c>
      <c r="E4024" s="14" t="s">
        <v>342</v>
      </c>
      <c r="F4024" s="14" t="s">
        <v>343</v>
      </c>
      <c r="G4024" s="14" t="s">
        <v>343</v>
      </c>
      <c r="H4024" s="14" t="s">
        <v>343</v>
      </c>
      <c r="I4024" s="14">
        <v>0.99</v>
      </c>
      <c r="J4024" s="14">
        <v>0.99</v>
      </c>
      <c r="K4024" s="14">
        <v>1</v>
      </c>
      <c r="L4024" s="14">
        <v>1</v>
      </c>
      <c r="M4024" s="14">
        <v>1</v>
      </c>
      <c r="N4024" s="14">
        <v>1</v>
      </c>
      <c r="O4024" s="14">
        <v>1</v>
      </c>
      <c r="P4024" s="14">
        <v>1</v>
      </c>
      <c r="Q4024" s="14">
        <v>1</v>
      </c>
      <c r="R4024" s="14">
        <v>1</v>
      </c>
      <c r="S4024" s="14">
        <v>1</v>
      </c>
      <c r="T4024" s="14">
        <v>1</v>
      </c>
      <c r="U4024" s="14">
        <v>1</v>
      </c>
      <c r="V4024" s="14">
        <v>1</v>
      </c>
      <c r="W4024" s="14">
        <v>1</v>
      </c>
      <c r="X4024" s="14">
        <v>1</v>
      </c>
    </row>
    <row r="4025" spans="1:24" hidden="1" x14ac:dyDescent="0.3">
      <c r="A4025" s="14" t="s">
        <v>495</v>
      </c>
      <c r="B4025" s="14" t="s">
        <v>173</v>
      </c>
      <c r="C4025" s="14" t="s">
        <v>340</v>
      </c>
      <c r="D4025" s="14" t="s">
        <v>341</v>
      </c>
      <c r="E4025" s="14" t="s">
        <v>344</v>
      </c>
      <c r="F4025" s="14" t="s">
        <v>343</v>
      </c>
      <c r="G4025" s="14" t="s">
        <v>343</v>
      </c>
      <c r="H4025" s="14" t="s">
        <v>343</v>
      </c>
      <c r="I4025" s="14">
        <v>39</v>
      </c>
      <c r="J4025" s="14">
        <v>51</v>
      </c>
      <c r="K4025" s="14">
        <v>1</v>
      </c>
      <c r="L4025" s="14">
        <v>1</v>
      </c>
      <c r="M4025" s="14">
        <v>24</v>
      </c>
      <c r="N4025" s="14">
        <v>25</v>
      </c>
      <c r="O4025" s="14">
        <v>23</v>
      </c>
      <c r="P4025" s="14">
        <v>28</v>
      </c>
      <c r="Q4025" s="14">
        <v>33</v>
      </c>
      <c r="R4025" s="14">
        <v>1</v>
      </c>
      <c r="S4025" s="14">
        <v>1</v>
      </c>
      <c r="T4025" s="14">
        <v>34</v>
      </c>
      <c r="U4025" s="14">
        <v>36</v>
      </c>
      <c r="V4025" s="14">
        <v>1</v>
      </c>
      <c r="W4025" s="14">
        <v>1</v>
      </c>
      <c r="X4025" s="14">
        <v>1</v>
      </c>
    </row>
    <row r="4026" spans="1:24" hidden="1" x14ac:dyDescent="0.3">
      <c r="A4026" s="14" t="s">
        <v>495</v>
      </c>
      <c r="B4026" s="14" t="s">
        <v>173</v>
      </c>
      <c r="C4026" s="14" t="s">
        <v>345</v>
      </c>
      <c r="D4026" s="14" t="s">
        <v>346</v>
      </c>
      <c r="E4026" s="14" t="s">
        <v>342</v>
      </c>
      <c r="F4026" s="14" t="s">
        <v>343</v>
      </c>
      <c r="G4026" s="14" t="s">
        <v>343</v>
      </c>
      <c r="H4026" s="14" t="s">
        <v>343</v>
      </c>
      <c r="U4026" s="14">
        <v>0.82</v>
      </c>
      <c r="V4026" s="14">
        <v>0.77</v>
      </c>
      <c r="W4026" s="14">
        <v>0.46</v>
      </c>
      <c r="X4026" s="14">
        <v>0.68</v>
      </c>
    </row>
    <row r="4027" spans="1:24" hidden="1" x14ac:dyDescent="0.3">
      <c r="A4027" s="14" t="s">
        <v>495</v>
      </c>
      <c r="B4027" s="14" t="s">
        <v>173</v>
      </c>
      <c r="C4027" s="14" t="s">
        <v>345</v>
      </c>
      <c r="D4027" s="14" t="s">
        <v>346</v>
      </c>
      <c r="E4027" s="14" t="s">
        <v>344</v>
      </c>
      <c r="F4027" s="14" t="s">
        <v>343</v>
      </c>
      <c r="G4027" s="14" t="s">
        <v>343</v>
      </c>
      <c r="H4027" s="14" t="s">
        <v>343</v>
      </c>
      <c r="U4027" s="14">
        <v>10</v>
      </c>
      <c r="V4027" s="14">
        <v>14</v>
      </c>
      <c r="W4027" s="14">
        <v>126</v>
      </c>
      <c r="X4027" s="14">
        <v>56</v>
      </c>
    </row>
    <row r="4028" spans="1:24" hidden="1" x14ac:dyDescent="0.3">
      <c r="A4028" s="14" t="s">
        <v>495</v>
      </c>
      <c r="B4028" s="14" t="s">
        <v>173</v>
      </c>
      <c r="C4028" s="14" t="s">
        <v>347</v>
      </c>
      <c r="D4028" s="14" t="s">
        <v>348</v>
      </c>
      <c r="E4028" s="14" t="s">
        <v>342</v>
      </c>
      <c r="F4028" s="14" t="s">
        <v>343</v>
      </c>
      <c r="G4028" s="14" t="s">
        <v>343</v>
      </c>
      <c r="H4028" s="14" t="s">
        <v>343</v>
      </c>
      <c r="U4028" s="14">
        <v>0.62</v>
      </c>
      <c r="V4028" s="14">
        <v>0.63</v>
      </c>
      <c r="W4028" s="14">
        <v>0.61</v>
      </c>
      <c r="X4028" s="14">
        <v>0.57999999999999996</v>
      </c>
    </row>
    <row r="4029" spans="1:24" hidden="1" x14ac:dyDescent="0.3">
      <c r="A4029" s="14" t="s">
        <v>495</v>
      </c>
      <c r="B4029" s="14" t="s">
        <v>173</v>
      </c>
      <c r="C4029" s="14" t="s">
        <v>347</v>
      </c>
      <c r="D4029" s="14" t="s">
        <v>348</v>
      </c>
      <c r="E4029" s="14" t="s">
        <v>344</v>
      </c>
      <c r="F4029" s="14" t="s">
        <v>343</v>
      </c>
      <c r="G4029" s="14" t="s">
        <v>343</v>
      </c>
      <c r="H4029" s="14" t="s">
        <v>343</v>
      </c>
      <c r="U4029" s="14">
        <v>121</v>
      </c>
      <c r="V4029" s="14">
        <v>120</v>
      </c>
      <c r="W4029" s="14">
        <v>127</v>
      </c>
      <c r="X4029" s="14">
        <v>124</v>
      </c>
    </row>
    <row r="4030" spans="1:24" hidden="1" x14ac:dyDescent="0.3">
      <c r="A4030" s="14" t="s">
        <v>495</v>
      </c>
      <c r="B4030" s="14" t="s">
        <v>173</v>
      </c>
      <c r="C4030" s="14" t="s">
        <v>349</v>
      </c>
      <c r="D4030" s="14" t="s">
        <v>350</v>
      </c>
      <c r="E4030" s="14" t="s">
        <v>342</v>
      </c>
      <c r="F4030" s="14" t="s">
        <v>343</v>
      </c>
      <c r="G4030" s="14" t="s">
        <v>343</v>
      </c>
      <c r="H4030" s="14" t="s">
        <v>343</v>
      </c>
      <c r="U4030" s="14">
        <v>0.54</v>
      </c>
      <c r="V4030" s="14">
        <v>0.54</v>
      </c>
      <c r="W4030" s="14">
        <v>0.54</v>
      </c>
      <c r="X4030" s="14">
        <v>0.54</v>
      </c>
    </row>
    <row r="4031" spans="1:24" hidden="1" x14ac:dyDescent="0.3">
      <c r="A4031" s="14" t="s">
        <v>495</v>
      </c>
      <c r="B4031" s="14" t="s">
        <v>173</v>
      </c>
      <c r="C4031" s="14" t="s">
        <v>349</v>
      </c>
      <c r="D4031" s="14" t="s">
        <v>350</v>
      </c>
      <c r="E4031" s="14" t="s">
        <v>344</v>
      </c>
      <c r="F4031" s="14" t="s">
        <v>343</v>
      </c>
      <c r="G4031" s="14" t="s">
        <v>343</v>
      </c>
      <c r="H4031" s="14" t="s">
        <v>343</v>
      </c>
      <c r="U4031" s="14">
        <v>51</v>
      </c>
      <c r="V4031" s="14">
        <v>57</v>
      </c>
      <c r="W4031" s="14">
        <v>63</v>
      </c>
      <c r="X4031" s="14">
        <v>64</v>
      </c>
    </row>
    <row r="4032" spans="1:24" hidden="1" x14ac:dyDescent="0.3">
      <c r="A4032" s="14" t="s">
        <v>495</v>
      </c>
      <c r="B4032" s="14" t="s">
        <v>173</v>
      </c>
      <c r="C4032" s="14" t="s">
        <v>351</v>
      </c>
      <c r="D4032" s="14" t="s">
        <v>352</v>
      </c>
      <c r="E4032" s="14" t="s">
        <v>342</v>
      </c>
      <c r="F4032" s="14" t="s">
        <v>343</v>
      </c>
      <c r="G4032" s="14" t="s">
        <v>343</v>
      </c>
      <c r="H4032" s="14" t="s">
        <v>343</v>
      </c>
      <c r="U4032" s="14">
        <v>1</v>
      </c>
      <c r="V4032" s="14">
        <v>1</v>
      </c>
      <c r="W4032" s="14">
        <v>1</v>
      </c>
      <c r="X4032" s="14">
        <v>1</v>
      </c>
    </row>
    <row r="4033" spans="1:24" hidden="1" x14ac:dyDescent="0.3">
      <c r="A4033" s="14" t="s">
        <v>495</v>
      </c>
      <c r="B4033" s="14" t="s">
        <v>173</v>
      </c>
      <c r="C4033" s="14" t="s">
        <v>351</v>
      </c>
      <c r="D4033" s="14" t="s">
        <v>352</v>
      </c>
      <c r="E4033" s="14" t="s">
        <v>344</v>
      </c>
      <c r="F4033" s="14" t="s">
        <v>343</v>
      </c>
      <c r="G4033" s="14" t="s">
        <v>343</v>
      </c>
      <c r="H4033" s="14" t="s">
        <v>343</v>
      </c>
      <c r="U4033" s="14">
        <v>1</v>
      </c>
      <c r="V4033" s="14">
        <v>1</v>
      </c>
      <c r="W4033" s="14">
        <v>1</v>
      </c>
      <c r="X4033" s="14">
        <v>1</v>
      </c>
    </row>
    <row r="4034" spans="1:24" hidden="1" x14ac:dyDescent="0.3">
      <c r="A4034" s="14" t="s">
        <v>495</v>
      </c>
      <c r="B4034" s="14" t="s">
        <v>173</v>
      </c>
      <c r="C4034" s="14" t="s">
        <v>378</v>
      </c>
      <c r="D4034" s="14" t="s">
        <v>379</v>
      </c>
      <c r="E4034" s="14" t="s">
        <v>342</v>
      </c>
      <c r="F4034" s="14" t="s">
        <v>343</v>
      </c>
      <c r="G4034" s="14" t="s">
        <v>343</v>
      </c>
      <c r="H4034" s="14" t="s">
        <v>343</v>
      </c>
      <c r="S4034" s="14">
        <v>0.56999999999999995</v>
      </c>
      <c r="U4034" s="14">
        <v>0.56000000000000005</v>
      </c>
      <c r="V4034" s="14">
        <v>0.56000000000000005</v>
      </c>
      <c r="W4034" s="14">
        <v>0.56000000000000005</v>
      </c>
      <c r="X4034" s="14">
        <v>0.55000000000000004</v>
      </c>
    </row>
    <row r="4035" spans="1:24" hidden="1" x14ac:dyDescent="0.3">
      <c r="A4035" s="14" t="s">
        <v>495</v>
      </c>
      <c r="B4035" s="14" t="s">
        <v>173</v>
      </c>
      <c r="C4035" s="14" t="s">
        <v>378</v>
      </c>
      <c r="D4035" s="14" t="s">
        <v>379</v>
      </c>
      <c r="E4035" s="14" t="s">
        <v>344</v>
      </c>
      <c r="F4035" s="14" t="s">
        <v>343</v>
      </c>
      <c r="G4035" s="14" t="s">
        <v>343</v>
      </c>
      <c r="H4035" s="14" t="s">
        <v>343</v>
      </c>
      <c r="S4035" s="14">
        <v>104</v>
      </c>
      <c r="U4035" s="14">
        <v>111</v>
      </c>
      <c r="V4035" s="14">
        <v>113</v>
      </c>
      <c r="W4035" s="14">
        <v>119</v>
      </c>
      <c r="X4035" s="14">
        <v>120</v>
      </c>
    </row>
    <row r="4036" spans="1:24" hidden="1" x14ac:dyDescent="0.3">
      <c r="A4036" s="14" t="s">
        <v>495</v>
      </c>
      <c r="B4036" s="14" t="s">
        <v>173</v>
      </c>
      <c r="C4036" s="14" t="s">
        <v>353</v>
      </c>
      <c r="D4036" s="14" t="s">
        <v>354</v>
      </c>
      <c r="E4036" s="14" t="s">
        <v>342</v>
      </c>
      <c r="F4036" s="14" t="s">
        <v>343</v>
      </c>
      <c r="G4036" s="14" t="s">
        <v>343</v>
      </c>
      <c r="H4036" s="14" t="s">
        <v>343</v>
      </c>
      <c r="U4036" s="14">
        <v>1</v>
      </c>
      <c r="V4036" s="14">
        <v>1</v>
      </c>
      <c r="W4036" s="14">
        <v>1</v>
      </c>
      <c r="X4036" s="14">
        <v>1</v>
      </c>
    </row>
    <row r="4037" spans="1:24" hidden="1" x14ac:dyDescent="0.3">
      <c r="A4037" s="14" t="s">
        <v>495</v>
      </c>
      <c r="B4037" s="14" t="s">
        <v>173</v>
      </c>
      <c r="C4037" s="14" t="s">
        <v>353</v>
      </c>
      <c r="D4037" s="14" t="s">
        <v>354</v>
      </c>
      <c r="E4037" s="14" t="s">
        <v>344</v>
      </c>
      <c r="F4037" s="14" t="s">
        <v>343</v>
      </c>
      <c r="G4037" s="14" t="s">
        <v>343</v>
      </c>
      <c r="H4037" s="14" t="s">
        <v>343</v>
      </c>
      <c r="U4037" s="14">
        <v>54</v>
      </c>
      <c r="V4037" s="14">
        <v>1</v>
      </c>
      <c r="W4037" s="14">
        <v>1</v>
      </c>
      <c r="X4037" s="14">
        <v>1</v>
      </c>
    </row>
    <row r="4038" spans="1:24" hidden="1" x14ac:dyDescent="0.3">
      <c r="A4038" s="14" t="s">
        <v>495</v>
      </c>
      <c r="B4038" s="14" t="s">
        <v>173</v>
      </c>
      <c r="C4038" s="14" t="s">
        <v>380</v>
      </c>
      <c r="D4038" s="14" t="s">
        <v>381</v>
      </c>
      <c r="E4038" s="14" t="s">
        <v>342</v>
      </c>
      <c r="F4038" s="14" t="s">
        <v>343</v>
      </c>
      <c r="G4038" s="14" t="s">
        <v>343</v>
      </c>
      <c r="H4038" s="14" t="s">
        <v>343</v>
      </c>
      <c r="U4038" s="14">
        <v>1</v>
      </c>
      <c r="V4038" s="14">
        <v>1</v>
      </c>
      <c r="W4038" s="14">
        <v>1</v>
      </c>
    </row>
    <row r="4039" spans="1:24" hidden="1" x14ac:dyDescent="0.3">
      <c r="A4039" s="14" t="s">
        <v>495</v>
      </c>
      <c r="B4039" s="14" t="s">
        <v>173</v>
      </c>
      <c r="C4039" s="14" t="s">
        <v>380</v>
      </c>
      <c r="D4039" s="14" t="s">
        <v>381</v>
      </c>
      <c r="E4039" s="14" t="s">
        <v>344</v>
      </c>
      <c r="F4039" s="14" t="s">
        <v>343</v>
      </c>
      <c r="G4039" s="14" t="s">
        <v>343</v>
      </c>
      <c r="H4039" s="14" t="s">
        <v>343</v>
      </c>
      <c r="U4039" s="14">
        <v>1</v>
      </c>
      <c r="V4039" s="14">
        <v>1</v>
      </c>
      <c r="W4039" s="14">
        <v>1</v>
      </c>
    </row>
    <row r="4040" spans="1:24" hidden="1" x14ac:dyDescent="0.3">
      <c r="A4040" s="14" t="s">
        <v>495</v>
      </c>
      <c r="B4040" s="14" t="s">
        <v>173</v>
      </c>
      <c r="C4040" s="14" t="s">
        <v>355</v>
      </c>
      <c r="D4040" s="14" t="s">
        <v>356</v>
      </c>
      <c r="E4040" s="14" t="s">
        <v>342</v>
      </c>
      <c r="F4040" s="14" t="s">
        <v>343</v>
      </c>
      <c r="G4040" s="14" t="s">
        <v>343</v>
      </c>
      <c r="H4040" s="14" t="s">
        <v>343</v>
      </c>
      <c r="U4040" s="14">
        <v>1</v>
      </c>
      <c r="V4040" s="14">
        <v>1</v>
      </c>
      <c r="W4040" s="14">
        <v>1</v>
      </c>
    </row>
    <row r="4041" spans="1:24" hidden="1" x14ac:dyDescent="0.3">
      <c r="A4041" s="14" t="s">
        <v>495</v>
      </c>
      <c r="B4041" s="14" t="s">
        <v>173</v>
      </c>
      <c r="C4041" s="14" t="s">
        <v>355</v>
      </c>
      <c r="D4041" s="14" t="s">
        <v>356</v>
      </c>
      <c r="E4041" s="14" t="s">
        <v>344</v>
      </c>
      <c r="F4041" s="14" t="s">
        <v>343</v>
      </c>
      <c r="G4041" s="14" t="s">
        <v>343</v>
      </c>
      <c r="H4041" s="14" t="s">
        <v>343</v>
      </c>
      <c r="U4041" s="14">
        <v>1</v>
      </c>
      <c r="V4041" s="14">
        <v>1</v>
      </c>
      <c r="W4041" s="14">
        <v>1</v>
      </c>
    </row>
    <row r="4042" spans="1:24" hidden="1" x14ac:dyDescent="0.3">
      <c r="A4042" s="14" t="s">
        <v>495</v>
      </c>
      <c r="B4042" s="14" t="s">
        <v>173</v>
      </c>
      <c r="C4042" s="14" t="s">
        <v>357</v>
      </c>
      <c r="D4042" s="14" t="s">
        <v>358</v>
      </c>
      <c r="E4042" s="14" t="s">
        <v>342</v>
      </c>
      <c r="F4042" s="14" t="s">
        <v>343</v>
      </c>
      <c r="G4042" s="14" t="s">
        <v>343</v>
      </c>
      <c r="H4042" s="14" t="s">
        <v>343</v>
      </c>
      <c r="V4042" s="14">
        <v>1</v>
      </c>
      <c r="W4042" s="14">
        <v>1</v>
      </c>
      <c r="X4042" s="14">
        <v>1</v>
      </c>
    </row>
    <row r="4043" spans="1:24" hidden="1" x14ac:dyDescent="0.3">
      <c r="A4043" s="14" t="s">
        <v>495</v>
      </c>
      <c r="B4043" s="14" t="s">
        <v>173</v>
      </c>
      <c r="C4043" s="14" t="s">
        <v>357</v>
      </c>
      <c r="D4043" s="14" t="s">
        <v>358</v>
      </c>
      <c r="E4043" s="14" t="s">
        <v>344</v>
      </c>
      <c r="F4043" s="14" t="s">
        <v>343</v>
      </c>
      <c r="G4043" s="14" t="s">
        <v>343</v>
      </c>
      <c r="H4043" s="14" t="s">
        <v>343</v>
      </c>
      <c r="V4043" s="14">
        <v>1</v>
      </c>
      <c r="W4043" s="14">
        <v>1</v>
      </c>
      <c r="X4043" s="14">
        <v>1</v>
      </c>
    </row>
    <row r="4044" spans="1:24" hidden="1" x14ac:dyDescent="0.3">
      <c r="A4044" s="14" t="s">
        <v>495</v>
      </c>
      <c r="B4044" s="14" t="s">
        <v>173</v>
      </c>
      <c r="C4044" s="14" t="s">
        <v>359</v>
      </c>
      <c r="D4044" s="14" t="s">
        <v>360</v>
      </c>
      <c r="E4044" s="14" t="s">
        <v>342</v>
      </c>
      <c r="F4044" s="14" t="s">
        <v>343</v>
      </c>
      <c r="G4044" s="14" t="s">
        <v>343</v>
      </c>
      <c r="H4044" s="14" t="s">
        <v>343</v>
      </c>
      <c r="I4044" s="14">
        <v>0.46</v>
      </c>
      <c r="J4044" s="14">
        <v>0.43</v>
      </c>
      <c r="K4044" s="14">
        <v>0.46</v>
      </c>
      <c r="L4044" s="14">
        <v>0.56000000000000005</v>
      </c>
      <c r="M4044" s="14">
        <v>0.59</v>
      </c>
      <c r="N4044" s="14">
        <v>0.62</v>
      </c>
      <c r="O4044" s="14">
        <v>0.61</v>
      </c>
      <c r="P4044" s="14">
        <v>0.62</v>
      </c>
      <c r="Q4044" s="14">
        <v>0.63</v>
      </c>
      <c r="R4044" s="14">
        <v>0.62</v>
      </c>
      <c r="S4044" s="14">
        <v>0.63</v>
      </c>
      <c r="T4044" s="14">
        <v>0.7</v>
      </c>
      <c r="U4044" s="14">
        <v>0.68</v>
      </c>
      <c r="V4044" s="14">
        <v>0.67</v>
      </c>
      <c r="W4044" s="14">
        <v>0.6</v>
      </c>
      <c r="X4044" s="14">
        <v>0.64</v>
      </c>
    </row>
    <row r="4045" spans="1:24" hidden="1" x14ac:dyDescent="0.3">
      <c r="A4045" s="14" t="s">
        <v>495</v>
      </c>
      <c r="B4045" s="14" t="s">
        <v>173</v>
      </c>
      <c r="C4045" s="14" t="s">
        <v>359</v>
      </c>
      <c r="D4045" s="14" t="s">
        <v>360</v>
      </c>
      <c r="E4045" s="14" t="s">
        <v>344</v>
      </c>
      <c r="F4045" s="14" t="s">
        <v>343</v>
      </c>
      <c r="G4045" s="14" t="s">
        <v>343</v>
      </c>
      <c r="H4045" s="14" t="s">
        <v>343</v>
      </c>
      <c r="I4045" s="14">
        <v>101</v>
      </c>
      <c r="J4045" s="14">
        <v>117</v>
      </c>
      <c r="K4045" s="14">
        <v>117</v>
      </c>
      <c r="L4045" s="14">
        <v>104</v>
      </c>
      <c r="M4045" s="14">
        <v>94</v>
      </c>
      <c r="N4045" s="14">
        <v>79</v>
      </c>
      <c r="O4045" s="14">
        <v>88</v>
      </c>
      <c r="P4045" s="14">
        <v>91</v>
      </c>
      <c r="Q4045" s="14">
        <v>95</v>
      </c>
      <c r="R4045" s="14">
        <v>100</v>
      </c>
      <c r="S4045" s="14">
        <v>92</v>
      </c>
      <c r="T4045" s="14">
        <v>54</v>
      </c>
      <c r="U4045" s="14">
        <v>69</v>
      </c>
      <c r="V4045" s="14">
        <v>81</v>
      </c>
      <c r="W4045" s="14">
        <v>120</v>
      </c>
      <c r="X4045" s="14">
        <v>100</v>
      </c>
    </row>
    <row r="4046" spans="1:24" x14ac:dyDescent="0.3">
      <c r="A4046" s="14" t="s">
        <v>495</v>
      </c>
      <c r="B4046" s="14" t="s">
        <v>173</v>
      </c>
      <c r="C4046" s="14" t="s">
        <v>361</v>
      </c>
      <c r="D4046" s="14" t="s">
        <v>362</v>
      </c>
      <c r="E4046" s="14" t="s">
        <v>342</v>
      </c>
      <c r="F4046" s="14" t="s">
        <v>343</v>
      </c>
      <c r="G4046" s="14" t="s">
        <v>343</v>
      </c>
      <c r="H4046" s="14" t="s">
        <v>343</v>
      </c>
      <c r="I4046" s="14">
        <v>0.98</v>
      </c>
      <c r="J4046" s="14">
        <v>0.98</v>
      </c>
      <c r="K4046" s="14">
        <v>0.98</v>
      </c>
      <c r="L4046" s="14">
        <v>0.98</v>
      </c>
      <c r="M4046" s="14">
        <v>0.98</v>
      </c>
      <c r="N4046" s="14">
        <v>0.98</v>
      </c>
      <c r="O4046" s="14">
        <v>0.98</v>
      </c>
      <c r="P4046" s="14">
        <v>0.98</v>
      </c>
      <c r="Q4046" s="14">
        <v>0.98</v>
      </c>
      <c r="R4046" s="14">
        <v>0.98</v>
      </c>
      <c r="S4046" s="14">
        <v>0.98</v>
      </c>
      <c r="T4046" s="14">
        <v>0.98</v>
      </c>
      <c r="U4046" s="14">
        <v>0.98</v>
      </c>
      <c r="V4046" s="14">
        <v>0.98</v>
      </c>
      <c r="W4046" s="14">
        <v>0.98</v>
      </c>
      <c r="X4046" s="14">
        <v>0.98</v>
      </c>
    </row>
    <row r="4047" spans="1:24" hidden="1" x14ac:dyDescent="0.3">
      <c r="A4047" s="14" t="s">
        <v>495</v>
      </c>
      <c r="B4047" s="14" t="s">
        <v>173</v>
      </c>
      <c r="C4047" s="14" t="s">
        <v>361</v>
      </c>
      <c r="D4047" s="14" t="s">
        <v>362</v>
      </c>
      <c r="E4047" s="14" t="s">
        <v>344</v>
      </c>
      <c r="F4047" s="14" t="s">
        <v>343</v>
      </c>
      <c r="G4047" s="14" t="s">
        <v>343</v>
      </c>
      <c r="H4047" s="14" t="s">
        <v>343</v>
      </c>
      <c r="I4047" s="14">
        <v>50</v>
      </c>
      <c r="J4047" s="14">
        <v>60</v>
      </c>
      <c r="K4047" s="14">
        <v>62</v>
      </c>
      <c r="L4047" s="14">
        <v>65</v>
      </c>
      <c r="M4047" s="14">
        <v>57</v>
      </c>
      <c r="N4047" s="14">
        <v>58</v>
      </c>
      <c r="O4047" s="14">
        <v>58</v>
      </c>
      <c r="P4047" s="14">
        <v>55</v>
      </c>
      <c r="Q4047" s="14">
        <v>1</v>
      </c>
      <c r="R4047" s="14">
        <v>1</v>
      </c>
      <c r="S4047" s="14">
        <v>1</v>
      </c>
      <c r="T4047" s="14">
        <v>1</v>
      </c>
      <c r="U4047" s="14">
        <v>1</v>
      </c>
      <c r="V4047" s="14">
        <v>1</v>
      </c>
      <c r="W4047" s="14">
        <v>39</v>
      </c>
      <c r="X4047" s="14">
        <v>36</v>
      </c>
    </row>
    <row r="4048" spans="1:24" hidden="1" x14ac:dyDescent="0.3">
      <c r="A4048" s="14" t="s">
        <v>495</v>
      </c>
      <c r="B4048" s="14" t="s">
        <v>173</v>
      </c>
      <c r="C4048" s="14" t="s">
        <v>363</v>
      </c>
      <c r="D4048" s="14" t="s">
        <v>364</v>
      </c>
      <c r="E4048" s="14" t="s">
        <v>342</v>
      </c>
      <c r="F4048" s="14" t="s">
        <v>343</v>
      </c>
      <c r="G4048" s="14" t="s">
        <v>343</v>
      </c>
      <c r="H4048" s="14" t="s">
        <v>343</v>
      </c>
      <c r="U4048" s="14">
        <v>1.06</v>
      </c>
      <c r="V4048" s="14">
        <v>1.06</v>
      </c>
      <c r="W4048" s="14">
        <v>1.06</v>
      </c>
      <c r="X4048" s="14">
        <v>1.06</v>
      </c>
    </row>
    <row r="4049" spans="1:24" hidden="1" x14ac:dyDescent="0.3">
      <c r="A4049" s="14" t="s">
        <v>495</v>
      </c>
      <c r="B4049" s="14" t="s">
        <v>173</v>
      </c>
      <c r="C4049" s="14" t="s">
        <v>363</v>
      </c>
      <c r="D4049" s="14" t="s">
        <v>364</v>
      </c>
      <c r="E4049" s="14" t="s">
        <v>344</v>
      </c>
      <c r="F4049" s="14" t="s">
        <v>343</v>
      </c>
      <c r="G4049" s="14" t="s">
        <v>343</v>
      </c>
      <c r="H4049" s="14" t="s">
        <v>343</v>
      </c>
      <c r="U4049" s="14">
        <v>1</v>
      </c>
      <c r="V4049" s="14">
        <v>1</v>
      </c>
      <c r="W4049" s="14">
        <v>50</v>
      </c>
      <c r="X4049" s="14">
        <v>45</v>
      </c>
    </row>
    <row r="4050" spans="1:24" hidden="1" x14ac:dyDescent="0.3">
      <c r="A4050" s="14" t="s">
        <v>495</v>
      </c>
      <c r="B4050" s="14" t="s">
        <v>173</v>
      </c>
      <c r="C4050" s="14" t="s">
        <v>365</v>
      </c>
      <c r="D4050" s="14" t="s">
        <v>366</v>
      </c>
      <c r="E4050" s="14" t="s">
        <v>342</v>
      </c>
      <c r="F4050" s="14" t="s">
        <v>343</v>
      </c>
      <c r="G4050" s="14" t="s">
        <v>343</v>
      </c>
      <c r="H4050" s="14" t="s">
        <v>343</v>
      </c>
      <c r="U4050" s="14">
        <v>0.94</v>
      </c>
      <c r="V4050" s="14">
        <v>0.94</v>
      </c>
      <c r="W4050" s="14">
        <v>0.94</v>
      </c>
      <c r="X4050" s="14">
        <v>0.94</v>
      </c>
    </row>
    <row r="4051" spans="1:24" hidden="1" x14ac:dyDescent="0.3">
      <c r="A4051" s="14" t="s">
        <v>495</v>
      </c>
      <c r="B4051" s="14" t="s">
        <v>173</v>
      </c>
      <c r="C4051" s="14" t="s">
        <v>365</v>
      </c>
      <c r="D4051" s="14" t="s">
        <v>366</v>
      </c>
      <c r="E4051" s="14" t="s">
        <v>344</v>
      </c>
      <c r="F4051" s="14" t="s">
        <v>343</v>
      </c>
      <c r="G4051" s="14" t="s">
        <v>343</v>
      </c>
      <c r="H4051" s="14" t="s">
        <v>343</v>
      </c>
      <c r="U4051" s="14">
        <v>1</v>
      </c>
      <c r="V4051" s="14">
        <v>1</v>
      </c>
      <c r="W4051" s="14">
        <v>1</v>
      </c>
      <c r="X4051" s="14">
        <v>1</v>
      </c>
    </row>
    <row r="4052" spans="1:24" hidden="1" x14ac:dyDescent="0.3">
      <c r="A4052" s="14" t="s">
        <v>495</v>
      </c>
      <c r="B4052" s="14" t="s">
        <v>173</v>
      </c>
      <c r="C4052" s="14" t="s">
        <v>367</v>
      </c>
      <c r="D4052" s="14" t="s">
        <v>368</v>
      </c>
      <c r="E4052" s="14" t="s">
        <v>342</v>
      </c>
      <c r="F4052" s="14" t="s">
        <v>343</v>
      </c>
      <c r="G4052" s="14" t="s">
        <v>343</v>
      </c>
      <c r="H4052" s="14" t="s">
        <v>343</v>
      </c>
      <c r="I4052" s="14">
        <v>0.66</v>
      </c>
      <c r="J4052" s="14">
        <v>0.65</v>
      </c>
      <c r="K4052" s="14">
        <v>0.67</v>
      </c>
      <c r="L4052" s="14">
        <v>0.7</v>
      </c>
      <c r="M4052" s="14">
        <v>0.72</v>
      </c>
      <c r="N4052" s="14">
        <v>0.72</v>
      </c>
      <c r="O4052" s="14">
        <v>0.77</v>
      </c>
      <c r="P4052" s="14">
        <v>0.77</v>
      </c>
      <c r="Q4052" s="14">
        <v>0.79</v>
      </c>
      <c r="R4052" s="14">
        <v>0.78</v>
      </c>
      <c r="S4052" s="14">
        <v>0.78</v>
      </c>
      <c r="T4052" s="14">
        <v>0.81</v>
      </c>
      <c r="U4052" s="14">
        <v>0.81</v>
      </c>
      <c r="V4052" s="14">
        <v>0.8</v>
      </c>
      <c r="W4052" s="14">
        <v>0.8</v>
      </c>
      <c r="X4052" s="14">
        <v>0.81</v>
      </c>
    </row>
    <row r="4053" spans="1:24" hidden="1" x14ac:dyDescent="0.3">
      <c r="A4053" s="14" t="s">
        <v>495</v>
      </c>
      <c r="B4053" s="14" t="s">
        <v>173</v>
      </c>
      <c r="C4053" s="14" t="s">
        <v>367</v>
      </c>
      <c r="D4053" s="14" t="s">
        <v>368</v>
      </c>
      <c r="E4053" s="14" t="s">
        <v>344</v>
      </c>
      <c r="F4053" s="14" t="s">
        <v>343</v>
      </c>
      <c r="G4053" s="14" t="s">
        <v>343</v>
      </c>
      <c r="H4053" s="14" t="s">
        <v>343</v>
      </c>
      <c r="I4053" s="14">
        <v>62</v>
      </c>
      <c r="J4053" s="14">
        <v>90</v>
      </c>
      <c r="K4053" s="14">
        <v>71</v>
      </c>
      <c r="L4053" s="14">
        <v>49</v>
      </c>
      <c r="M4053" s="14">
        <v>30</v>
      </c>
      <c r="N4053" s="14">
        <v>27</v>
      </c>
      <c r="O4053" s="14">
        <v>9</v>
      </c>
      <c r="P4053" s="14">
        <v>10</v>
      </c>
      <c r="Q4053" s="14">
        <v>6</v>
      </c>
      <c r="R4053" s="14">
        <v>12</v>
      </c>
      <c r="S4053" s="14">
        <v>10</v>
      </c>
      <c r="T4053" s="14">
        <v>6</v>
      </c>
      <c r="U4053" s="14">
        <v>5</v>
      </c>
      <c r="V4053" s="14">
        <v>5</v>
      </c>
      <c r="W4053" s="14">
        <v>12</v>
      </c>
      <c r="X4053" s="14">
        <v>7</v>
      </c>
    </row>
    <row r="4054" spans="1:24" hidden="1" x14ac:dyDescent="0.3">
      <c r="A4054" s="14" t="s">
        <v>495</v>
      </c>
      <c r="B4054" s="14" t="s">
        <v>173</v>
      </c>
      <c r="C4054" s="14" t="s">
        <v>369</v>
      </c>
      <c r="D4054" s="14" t="s">
        <v>370</v>
      </c>
      <c r="E4054" s="14" t="s">
        <v>342</v>
      </c>
      <c r="F4054" s="14" t="s">
        <v>343</v>
      </c>
      <c r="G4054" s="14" t="s">
        <v>343</v>
      </c>
      <c r="H4054" s="14" t="s">
        <v>343</v>
      </c>
      <c r="I4054" s="14">
        <v>0.19</v>
      </c>
      <c r="J4054" s="14">
        <v>0.18</v>
      </c>
      <c r="K4054" s="14">
        <v>0.26</v>
      </c>
      <c r="L4054" s="14">
        <v>0.26</v>
      </c>
      <c r="M4054" s="14">
        <v>0.3</v>
      </c>
      <c r="N4054" s="14">
        <v>0.3</v>
      </c>
      <c r="O4054" s="14">
        <v>0.49</v>
      </c>
      <c r="P4054" s="14">
        <v>0.49</v>
      </c>
      <c r="Q4054" s="14">
        <v>0.54</v>
      </c>
      <c r="R4054" s="14">
        <v>0.51</v>
      </c>
      <c r="S4054" s="14">
        <v>0.51</v>
      </c>
      <c r="T4054" s="14">
        <v>0.57999999999999996</v>
      </c>
      <c r="U4054" s="14">
        <v>0.57999999999999996</v>
      </c>
      <c r="V4054" s="14">
        <v>0.56000000000000005</v>
      </c>
      <c r="W4054" s="14">
        <v>0.61</v>
      </c>
      <c r="X4054" s="14">
        <v>0.63</v>
      </c>
    </row>
    <row r="4055" spans="1:24" hidden="1" x14ac:dyDescent="0.3">
      <c r="A4055" s="14" t="s">
        <v>495</v>
      </c>
      <c r="B4055" s="14" t="s">
        <v>173</v>
      </c>
      <c r="C4055" s="14" t="s">
        <v>369</v>
      </c>
      <c r="D4055" s="14" t="s">
        <v>370</v>
      </c>
      <c r="E4055" s="14" t="s">
        <v>344</v>
      </c>
      <c r="F4055" s="14" t="s">
        <v>343</v>
      </c>
      <c r="G4055" s="14" t="s">
        <v>343</v>
      </c>
      <c r="H4055" s="14" t="s">
        <v>343</v>
      </c>
      <c r="I4055" s="14">
        <v>25</v>
      </c>
      <c r="J4055" s="14">
        <v>28</v>
      </c>
      <c r="K4055" s="14">
        <v>23</v>
      </c>
      <c r="L4055" s="14">
        <v>25</v>
      </c>
      <c r="M4055" s="14">
        <v>19</v>
      </c>
      <c r="N4055" s="14">
        <v>21</v>
      </c>
      <c r="O4055" s="14">
        <v>5</v>
      </c>
      <c r="P4055" s="14">
        <v>5</v>
      </c>
      <c r="Q4055" s="14">
        <v>4</v>
      </c>
      <c r="R4055" s="14">
        <v>4</v>
      </c>
      <c r="S4055" s="14">
        <v>4</v>
      </c>
      <c r="T4055" s="14">
        <v>2</v>
      </c>
      <c r="U4055" s="14">
        <v>2</v>
      </c>
      <c r="V4055" s="14">
        <v>3</v>
      </c>
      <c r="W4055" s="14">
        <v>5</v>
      </c>
      <c r="X4055" s="14">
        <v>5</v>
      </c>
    </row>
    <row r="4056" spans="1:24" hidden="1" x14ac:dyDescent="0.3">
      <c r="A4056" s="14" t="s">
        <v>495</v>
      </c>
      <c r="B4056" s="14" t="s">
        <v>173</v>
      </c>
      <c r="C4056" s="14" t="s">
        <v>371</v>
      </c>
      <c r="D4056" s="14" t="s">
        <v>372</v>
      </c>
      <c r="E4056" s="14" t="s">
        <v>342</v>
      </c>
      <c r="F4056" s="14" t="s">
        <v>343</v>
      </c>
      <c r="G4056" s="14" t="s">
        <v>343</v>
      </c>
      <c r="H4056" s="14" t="s">
        <v>343</v>
      </c>
      <c r="U4056" s="14">
        <v>0.16</v>
      </c>
      <c r="V4056" s="14">
        <v>0.16</v>
      </c>
      <c r="W4056" s="14">
        <v>0.16</v>
      </c>
      <c r="X4056" s="14">
        <v>0.16</v>
      </c>
    </row>
    <row r="4057" spans="1:24" hidden="1" x14ac:dyDescent="0.3">
      <c r="A4057" s="14" t="s">
        <v>495</v>
      </c>
      <c r="B4057" s="14" t="s">
        <v>173</v>
      </c>
      <c r="C4057" s="14" t="s">
        <v>371</v>
      </c>
      <c r="D4057" s="14" t="s">
        <v>372</v>
      </c>
      <c r="E4057" s="14" t="s">
        <v>344</v>
      </c>
      <c r="F4057" s="14" t="s">
        <v>343</v>
      </c>
      <c r="G4057" s="14" t="s">
        <v>343</v>
      </c>
      <c r="H4057" s="14" t="s">
        <v>343</v>
      </c>
      <c r="U4057" s="14">
        <v>20</v>
      </c>
      <c r="V4057" s="14">
        <v>21</v>
      </c>
      <c r="W4057" s="14">
        <v>23</v>
      </c>
      <c r="X4057" s="14">
        <v>20</v>
      </c>
    </row>
    <row r="4058" spans="1:24" hidden="1" x14ac:dyDescent="0.3">
      <c r="A4058" s="14" t="s">
        <v>495</v>
      </c>
      <c r="B4058" s="14" t="s">
        <v>173</v>
      </c>
      <c r="C4058" s="14" t="s">
        <v>373</v>
      </c>
      <c r="D4058" s="14" t="s">
        <v>374</v>
      </c>
      <c r="E4058" s="14" t="s">
        <v>342</v>
      </c>
      <c r="F4058" s="14" t="s">
        <v>343</v>
      </c>
      <c r="G4058" s="14" t="s">
        <v>343</v>
      </c>
      <c r="H4058" s="14" t="s">
        <v>343</v>
      </c>
      <c r="U4058" s="14">
        <v>1</v>
      </c>
      <c r="V4058" s="14">
        <v>1</v>
      </c>
      <c r="W4058" s="14">
        <v>1</v>
      </c>
      <c r="X4058" s="14">
        <v>1</v>
      </c>
    </row>
    <row r="4059" spans="1:24" hidden="1" x14ac:dyDescent="0.3">
      <c r="A4059" s="14" t="s">
        <v>495</v>
      </c>
      <c r="B4059" s="14" t="s">
        <v>173</v>
      </c>
      <c r="C4059" s="14" t="s">
        <v>373</v>
      </c>
      <c r="D4059" s="14" t="s">
        <v>374</v>
      </c>
      <c r="E4059" s="14" t="s">
        <v>344</v>
      </c>
      <c r="F4059" s="14" t="s">
        <v>343</v>
      </c>
      <c r="G4059" s="14" t="s">
        <v>343</v>
      </c>
      <c r="H4059" s="14" t="s">
        <v>343</v>
      </c>
      <c r="U4059" s="14">
        <v>1</v>
      </c>
      <c r="V4059" s="14">
        <v>1</v>
      </c>
      <c r="W4059" s="14">
        <v>1</v>
      </c>
      <c r="X4059" s="14">
        <v>1</v>
      </c>
    </row>
    <row r="4060" spans="1:24" hidden="1" x14ac:dyDescent="0.3">
      <c r="A4060" s="14" t="s">
        <v>495</v>
      </c>
      <c r="B4060" s="14" t="s">
        <v>173</v>
      </c>
      <c r="C4060" s="14" t="s">
        <v>375</v>
      </c>
      <c r="D4060" s="14" t="s">
        <v>376</v>
      </c>
      <c r="E4060" s="14" t="s">
        <v>342</v>
      </c>
      <c r="F4060" s="14" t="s">
        <v>343</v>
      </c>
      <c r="G4060" s="14" t="s">
        <v>343</v>
      </c>
      <c r="H4060" s="14" t="s">
        <v>343</v>
      </c>
      <c r="U4060" s="14">
        <v>0.84</v>
      </c>
      <c r="V4060" s="14">
        <v>0.8</v>
      </c>
      <c r="W4060" s="14">
        <v>0.94</v>
      </c>
      <c r="X4060" s="14">
        <v>1</v>
      </c>
    </row>
    <row r="4061" spans="1:24" hidden="1" x14ac:dyDescent="0.3">
      <c r="A4061" s="14" t="s">
        <v>495</v>
      </c>
      <c r="B4061" s="14" t="s">
        <v>173</v>
      </c>
      <c r="C4061" s="14" t="s">
        <v>375</v>
      </c>
      <c r="D4061" s="14" t="s">
        <v>376</v>
      </c>
      <c r="E4061" s="14" t="s">
        <v>344</v>
      </c>
      <c r="F4061" s="14" t="s">
        <v>343</v>
      </c>
      <c r="G4061" s="14" t="s">
        <v>343</v>
      </c>
      <c r="H4061" s="14" t="s">
        <v>343</v>
      </c>
      <c r="U4061" s="14">
        <v>7</v>
      </c>
      <c r="V4061" s="14">
        <v>11</v>
      </c>
      <c r="W4061" s="14">
        <v>4</v>
      </c>
      <c r="X4061" s="14">
        <v>1</v>
      </c>
    </row>
    <row r="4062" spans="1:24" hidden="1" x14ac:dyDescent="0.3">
      <c r="A4062" s="14" t="s">
        <v>496</v>
      </c>
      <c r="B4062" s="14" t="s">
        <v>170</v>
      </c>
      <c r="C4062" s="14" t="s">
        <v>340</v>
      </c>
      <c r="D4062" s="14" t="s">
        <v>341</v>
      </c>
      <c r="E4062" s="14" t="s">
        <v>342</v>
      </c>
      <c r="F4062" s="14" t="s">
        <v>343</v>
      </c>
      <c r="G4062" s="14" t="s">
        <v>343</v>
      </c>
      <c r="H4062" s="14" t="s">
        <v>343</v>
      </c>
      <c r="I4062" s="14">
        <v>0.97</v>
      </c>
      <c r="J4062" s="14">
        <v>0.99</v>
      </c>
      <c r="K4062" s="14">
        <v>0.99</v>
      </c>
      <c r="L4062" s="14">
        <v>1</v>
      </c>
      <c r="M4062" s="14">
        <v>1</v>
      </c>
      <c r="N4062" s="14">
        <v>1</v>
      </c>
      <c r="O4062" s="14">
        <v>1</v>
      </c>
      <c r="P4062" s="14">
        <v>1</v>
      </c>
      <c r="Q4062" s="14">
        <v>1</v>
      </c>
      <c r="R4062" s="14">
        <v>1</v>
      </c>
      <c r="S4062" s="14">
        <v>0.99</v>
      </c>
      <c r="T4062" s="14">
        <v>1</v>
      </c>
      <c r="U4062" s="14">
        <v>1</v>
      </c>
      <c r="V4062" s="14">
        <v>1</v>
      </c>
      <c r="W4062" s="14">
        <v>1</v>
      </c>
      <c r="X4062" s="14">
        <v>1</v>
      </c>
    </row>
    <row r="4063" spans="1:24" hidden="1" x14ac:dyDescent="0.3">
      <c r="A4063" s="14" t="s">
        <v>496</v>
      </c>
      <c r="B4063" s="14" t="s">
        <v>170</v>
      </c>
      <c r="C4063" s="14" t="s">
        <v>340</v>
      </c>
      <c r="D4063" s="14" t="s">
        <v>341</v>
      </c>
      <c r="E4063" s="14" t="s">
        <v>344</v>
      </c>
      <c r="F4063" s="14" t="s">
        <v>343</v>
      </c>
      <c r="G4063" s="14" t="s">
        <v>343</v>
      </c>
      <c r="H4063" s="14" t="s">
        <v>343</v>
      </c>
      <c r="I4063" s="14">
        <v>73</v>
      </c>
      <c r="J4063" s="14">
        <v>44</v>
      </c>
      <c r="K4063" s="14">
        <v>59</v>
      </c>
      <c r="L4063" s="14">
        <v>51</v>
      </c>
      <c r="M4063" s="14">
        <v>39</v>
      </c>
      <c r="N4063" s="14">
        <v>32</v>
      </c>
      <c r="O4063" s="14">
        <v>1</v>
      </c>
      <c r="P4063" s="14">
        <v>44</v>
      </c>
      <c r="Q4063" s="14">
        <v>1</v>
      </c>
      <c r="R4063" s="14">
        <v>1</v>
      </c>
      <c r="S4063" s="14">
        <v>60</v>
      </c>
      <c r="T4063" s="14">
        <v>1</v>
      </c>
      <c r="U4063" s="14">
        <v>1</v>
      </c>
      <c r="V4063" s="14">
        <v>1</v>
      </c>
      <c r="W4063" s="14">
        <v>1</v>
      </c>
      <c r="X4063" s="14">
        <v>1</v>
      </c>
    </row>
    <row r="4064" spans="1:24" hidden="1" x14ac:dyDescent="0.3">
      <c r="A4064" s="14" t="s">
        <v>496</v>
      </c>
      <c r="B4064" s="14" t="s">
        <v>170</v>
      </c>
      <c r="C4064" s="14" t="s">
        <v>345</v>
      </c>
      <c r="D4064" s="14" t="s">
        <v>346</v>
      </c>
      <c r="E4064" s="14" t="s">
        <v>342</v>
      </c>
      <c r="F4064" s="14" t="s">
        <v>343</v>
      </c>
      <c r="G4064" s="14" t="s">
        <v>343</v>
      </c>
      <c r="H4064" s="14" t="s">
        <v>343</v>
      </c>
      <c r="U4064" s="14">
        <v>0.66</v>
      </c>
      <c r="V4064" s="14">
        <v>0.66</v>
      </c>
      <c r="W4064" s="14">
        <v>0.66</v>
      </c>
      <c r="X4064" s="14">
        <v>0.56000000000000005</v>
      </c>
    </row>
    <row r="4065" spans="1:24" hidden="1" x14ac:dyDescent="0.3">
      <c r="A4065" s="14" t="s">
        <v>496</v>
      </c>
      <c r="B4065" s="14" t="s">
        <v>170</v>
      </c>
      <c r="C4065" s="14" t="s">
        <v>345</v>
      </c>
      <c r="D4065" s="14" t="s">
        <v>346</v>
      </c>
      <c r="E4065" s="14" t="s">
        <v>344</v>
      </c>
      <c r="F4065" s="14" t="s">
        <v>343</v>
      </c>
      <c r="G4065" s="14" t="s">
        <v>343</v>
      </c>
      <c r="H4065" s="14" t="s">
        <v>343</v>
      </c>
      <c r="U4065" s="14">
        <v>49</v>
      </c>
      <c r="V4065" s="14">
        <v>57</v>
      </c>
      <c r="W4065" s="14">
        <v>58</v>
      </c>
      <c r="X4065" s="14">
        <v>104</v>
      </c>
    </row>
    <row r="4066" spans="1:24" hidden="1" x14ac:dyDescent="0.3">
      <c r="A4066" s="14" t="s">
        <v>496</v>
      </c>
      <c r="B4066" s="14" t="s">
        <v>170</v>
      </c>
      <c r="C4066" s="14" t="s">
        <v>347</v>
      </c>
      <c r="D4066" s="14" t="s">
        <v>348</v>
      </c>
      <c r="E4066" s="14" t="s">
        <v>342</v>
      </c>
      <c r="F4066" s="14" t="s">
        <v>343</v>
      </c>
      <c r="G4066" s="14" t="s">
        <v>343</v>
      </c>
      <c r="H4066" s="14" t="s">
        <v>343</v>
      </c>
      <c r="U4066" s="14">
        <v>0.89</v>
      </c>
      <c r="V4066" s="14">
        <v>0.9</v>
      </c>
      <c r="W4066" s="14">
        <v>0.9</v>
      </c>
      <c r="X4066" s="14">
        <v>0.88</v>
      </c>
    </row>
    <row r="4067" spans="1:24" hidden="1" x14ac:dyDescent="0.3">
      <c r="A4067" s="14" t="s">
        <v>496</v>
      </c>
      <c r="B4067" s="14" t="s">
        <v>170</v>
      </c>
      <c r="C4067" s="14" t="s">
        <v>347</v>
      </c>
      <c r="D4067" s="14" t="s">
        <v>348</v>
      </c>
      <c r="E4067" s="14" t="s">
        <v>344</v>
      </c>
      <c r="F4067" s="14" t="s">
        <v>343</v>
      </c>
      <c r="G4067" s="14" t="s">
        <v>343</v>
      </c>
      <c r="H4067" s="14" t="s">
        <v>343</v>
      </c>
      <c r="U4067" s="14">
        <v>43</v>
      </c>
      <c r="V4067" s="14">
        <v>40</v>
      </c>
      <c r="W4067" s="14">
        <v>40</v>
      </c>
      <c r="X4067" s="14">
        <v>28</v>
      </c>
    </row>
    <row r="4068" spans="1:24" hidden="1" x14ac:dyDescent="0.3">
      <c r="A4068" s="14" t="s">
        <v>496</v>
      </c>
      <c r="B4068" s="14" t="s">
        <v>170</v>
      </c>
      <c r="C4068" s="14" t="s">
        <v>349</v>
      </c>
      <c r="D4068" s="14" t="s">
        <v>350</v>
      </c>
      <c r="E4068" s="14" t="s">
        <v>342</v>
      </c>
      <c r="F4068" s="14" t="s">
        <v>343</v>
      </c>
      <c r="G4068" s="14" t="s">
        <v>343</v>
      </c>
      <c r="H4068" s="14" t="s">
        <v>343</v>
      </c>
      <c r="U4068" s="14">
        <v>0.36</v>
      </c>
      <c r="V4068" s="14">
        <v>0.34</v>
      </c>
      <c r="W4068" s="14">
        <v>0.37</v>
      </c>
      <c r="X4068" s="14">
        <v>0.36</v>
      </c>
    </row>
    <row r="4069" spans="1:24" hidden="1" x14ac:dyDescent="0.3">
      <c r="A4069" s="14" t="s">
        <v>496</v>
      </c>
      <c r="B4069" s="14" t="s">
        <v>170</v>
      </c>
      <c r="C4069" s="14" t="s">
        <v>349</v>
      </c>
      <c r="D4069" s="14" t="s">
        <v>350</v>
      </c>
      <c r="E4069" s="14" t="s">
        <v>344</v>
      </c>
      <c r="F4069" s="14" t="s">
        <v>343</v>
      </c>
      <c r="G4069" s="14" t="s">
        <v>343</v>
      </c>
      <c r="H4069" s="14" t="s">
        <v>343</v>
      </c>
      <c r="U4069" s="14">
        <v>96</v>
      </c>
      <c r="V4069" s="14">
        <v>105</v>
      </c>
      <c r="W4069" s="14">
        <v>99</v>
      </c>
      <c r="X4069" s="14">
        <v>101</v>
      </c>
    </row>
    <row r="4070" spans="1:24" hidden="1" x14ac:dyDescent="0.3">
      <c r="A4070" s="14" t="s">
        <v>496</v>
      </c>
      <c r="B4070" s="14" t="s">
        <v>170</v>
      </c>
      <c r="C4070" s="14" t="s">
        <v>351</v>
      </c>
      <c r="D4070" s="14" t="s">
        <v>352</v>
      </c>
      <c r="E4070" s="14" t="s">
        <v>342</v>
      </c>
      <c r="F4070" s="14" t="s">
        <v>343</v>
      </c>
      <c r="G4070" s="14" t="s">
        <v>343</v>
      </c>
      <c r="H4070" s="14" t="s">
        <v>343</v>
      </c>
      <c r="U4070" s="14">
        <v>0.97</v>
      </c>
      <c r="V4070" s="14">
        <v>0.98</v>
      </c>
      <c r="W4070" s="14">
        <v>1</v>
      </c>
      <c r="X4070" s="14">
        <v>0.99</v>
      </c>
    </row>
    <row r="4071" spans="1:24" hidden="1" x14ac:dyDescent="0.3">
      <c r="A4071" s="14" t="s">
        <v>496</v>
      </c>
      <c r="B4071" s="14" t="s">
        <v>170</v>
      </c>
      <c r="C4071" s="14" t="s">
        <v>351</v>
      </c>
      <c r="D4071" s="14" t="s">
        <v>352</v>
      </c>
      <c r="E4071" s="14" t="s">
        <v>344</v>
      </c>
      <c r="F4071" s="14" t="s">
        <v>343</v>
      </c>
      <c r="G4071" s="14" t="s">
        <v>343</v>
      </c>
      <c r="H4071" s="14" t="s">
        <v>343</v>
      </c>
      <c r="U4071" s="14">
        <v>71</v>
      </c>
      <c r="V4071" s="14">
        <v>75</v>
      </c>
      <c r="W4071" s="14">
        <v>74</v>
      </c>
      <c r="X4071" s="14">
        <v>70</v>
      </c>
    </row>
    <row r="4072" spans="1:24" hidden="1" x14ac:dyDescent="0.3">
      <c r="A4072" s="14" t="s">
        <v>496</v>
      </c>
      <c r="B4072" s="14" t="s">
        <v>170</v>
      </c>
      <c r="C4072" s="14" t="s">
        <v>378</v>
      </c>
      <c r="D4072" s="14" t="s">
        <v>379</v>
      </c>
      <c r="E4072" s="14" t="s">
        <v>342</v>
      </c>
      <c r="F4072" s="14" t="s">
        <v>343</v>
      </c>
      <c r="G4072" s="14" t="s">
        <v>343</v>
      </c>
      <c r="H4072" s="14" t="s">
        <v>343</v>
      </c>
      <c r="S4072" s="14">
        <v>0.68</v>
      </c>
      <c r="U4072" s="14">
        <v>0.65</v>
      </c>
      <c r="V4072" s="14">
        <v>0.67</v>
      </c>
      <c r="W4072" s="14">
        <v>0.68</v>
      </c>
      <c r="X4072" s="14">
        <v>0.66</v>
      </c>
    </row>
    <row r="4073" spans="1:24" hidden="1" x14ac:dyDescent="0.3">
      <c r="A4073" s="14" t="s">
        <v>496</v>
      </c>
      <c r="B4073" s="14" t="s">
        <v>170</v>
      </c>
      <c r="C4073" s="14" t="s">
        <v>378</v>
      </c>
      <c r="D4073" s="14" t="s">
        <v>379</v>
      </c>
      <c r="E4073" s="14" t="s">
        <v>344</v>
      </c>
      <c r="F4073" s="14" t="s">
        <v>343</v>
      </c>
      <c r="G4073" s="14" t="s">
        <v>343</v>
      </c>
      <c r="H4073" s="14" t="s">
        <v>343</v>
      </c>
      <c r="S4073" s="14">
        <v>48</v>
      </c>
      <c r="U4073" s="14">
        <v>65</v>
      </c>
      <c r="V4073" s="14">
        <v>66</v>
      </c>
      <c r="W4073" s="14">
        <v>64</v>
      </c>
      <c r="X4073" s="14">
        <v>69</v>
      </c>
    </row>
    <row r="4074" spans="1:24" hidden="1" x14ac:dyDescent="0.3">
      <c r="A4074" s="14" t="s">
        <v>496</v>
      </c>
      <c r="B4074" s="14" t="s">
        <v>170</v>
      </c>
      <c r="C4074" s="14" t="s">
        <v>353</v>
      </c>
      <c r="D4074" s="14" t="s">
        <v>354</v>
      </c>
      <c r="E4074" s="14" t="s">
        <v>342</v>
      </c>
      <c r="F4074" s="14" t="s">
        <v>343</v>
      </c>
      <c r="G4074" s="14" t="s">
        <v>343</v>
      </c>
      <c r="H4074" s="14" t="s">
        <v>343</v>
      </c>
      <c r="U4074" s="14">
        <v>1</v>
      </c>
      <c r="V4074" s="14">
        <v>1</v>
      </c>
      <c r="W4074" s="14">
        <v>1</v>
      </c>
      <c r="X4074" s="14">
        <v>1</v>
      </c>
    </row>
    <row r="4075" spans="1:24" hidden="1" x14ac:dyDescent="0.3">
      <c r="A4075" s="14" t="s">
        <v>496</v>
      </c>
      <c r="B4075" s="14" t="s">
        <v>170</v>
      </c>
      <c r="C4075" s="14" t="s">
        <v>353</v>
      </c>
      <c r="D4075" s="14" t="s">
        <v>354</v>
      </c>
      <c r="E4075" s="14" t="s">
        <v>344</v>
      </c>
      <c r="F4075" s="14" t="s">
        <v>343</v>
      </c>
      <c r="G4075" s="14" t="s">
        <v>343</v>
      </c>
      <c r="H4075" s="14" t="s">
        <v>343</v>
      </c>
      <c r="U4075" s="14">
        <v>1</v>
      </c>
      <c r="V4075" s="14">
        <v>1</v>
      </c>
      <c r="W4075" s="14">
        <v>1</v>
      </c>
      <c r="X4075" s="14">
        <v>1</v>
      </c>
    </row>
    <row r="4076" spans="1:24" hidden="1" x14ac:dyDescent="0.3">
      <c r="A4076" s="14" t="s">
        <v>496</v>
      </c>
      <c r="B4076" s="14" t="s">
        <v>170</v>
      </c>
      <c r="C4076" s="14" t="s">
        <v>380</v>
      </c>
      <c r="D4076" s="14" t="s">
        <v>381</v>
      </c>
      <c r="E4076" s="14" t="s">
        <v>342</v>
      </c>
      <c r="F4076" s="14" t="s">
        <v>343</v>
      </c>
      <c r="G4076" s="14" t="s">
        <v>343</v>
      </c>
      <c r="H4076" s="14" t="s">
        <v>343</v>
      </c>
      <c r="U4076" s="14">
        <v>1</v>
      </c>
      <c r="V4076" s="14">
        <v>1</v>
      </c>
      <c r="W4076" s="14">
        <v>1</v>
      </c>
      <c r="X4076" s="14">
        <v>1</v>
      </c>
    </row>
    <row r="4077" spans="1:24" hidden="1" x14ac:dyDescent="0.3">
      <c r="A4077" s="14" t="s">
        <v>496</v>
      </c>
      <c r="B4077" s="14" t="s">
        <v>170</v>
      </c>
      <c r="C4077" s="14" t="s">
        <v>380</v>
      </c>
      <c r="D4077" s="14" t="s">
        <v>381</v>
      </c>
      <c r="E4077" s="14" t="s">
        <v>344</v>
      </c>
      <c r="F4077" s="14" t="s">
        <v>343</v>
      </c>
      <c r="G4077" s="14" t="s">
        <v>343</v>
      </c>
      <c r="H4077" s="14" t="s">
        <v>343</v>
      </c>
      <c r="U4077" s="14">
        <v>1</v>
      </c>
      <c r="V4077" s="14">
        <v>1</v>
      </c>
      <c r="W4077" s="14">
        <v>1</v>
      </c>
      <c r="X4077" s="14">
        <v>1</v>
      </c>
    </row>
    <row r="4078" spans="1:24" hidden="1" x14ac:dyDescent="0.3">
      <c r="A4078" s="14" t="s">
        <v>496</v>
      </c>
      <c r="B4078" s="14" t="s">
        <v>170</v>
      </c>
      <c r="C4078" s="14" t="s">
        <v>355</v>
      </c>
      <c r="D4078" s="14" t="s">
        <v>356</v>
      </c>
      <c r="E4078" s="14" t="s">
        <v>342</v>
      </c>
      <c r="F4078" s="14" t="s">
        <v>343</v>
      </c>
      <c r="G4078" s="14" t="s">
        <v>343</v>
      </c>
      <c r="H4078" s="14" t="s">
        <v>343</v>
      </c>
      <c r="U4078" s="14">
        <v>1</v>
      </c>
      <c r="V4078" s="14">
        <v>1</v>
      </c>
      <c r="W4078" s="14">
        <v>1</v>
      </c>
      <c r="X4078" s="14">
        <v>1</v>
      </c>
    </row>
    <row r="4079" spans="1:24" hidden="1" x14ac:dyDescent="0.3">
      <c r="A4079" s="14" t="s">
        <v>496</v>
      </c>
      <c r="B4079" s="14" t="s">
        <v>170</v>
      </c>
      <c r="C4079" s="14" t="s">
        <v>355</v>
      </c>
      <c r="D4079" s="14" t="s">
        <v>356</v>
      </c>
      <c r="E4079" s="14" t="s">
        <v>344</v>
      </c>
      <c r="F4079" s="14" t="s">
        <v>343</v>
      </c>
      <c r="G4079" s="14" t="s">
        <v>343</v>
      </c>
      <c r="H4079" s="14" t="s">
        <v>343</v>
      </c>
      <c r="U4079" s="14">
        <v>1</v>
      </c>
      <c r="V4079" s="14">
        <v>1</v>
      </c>
      <c r="W4079" s="14">
        <v>1</v>
      </c>
      <c r="X4079" s="14">
        <v>1</v>
      </c>
    </row>
    <row r="4080" spans="1:24" hidden="1" x14ac:dyDescent="0.3">
      <c r="A4080" s="14" t="s">
        <v>496</v>
      </c>
      <c r="B4080" s="14" t="s">
        <v>170</v>
      </c>
      <c r="C4080" s="14" t="s">
        <v>357</v>
      </c>
      <c r="D4080" s="14" t="s">
        <v>358</v>
      </c>
      <c r="E4080" s="14" t="s">
        <v>342</v>
      </c>
      <c r="F4080" s="14" t="s">
        <v>343</v>
      </c>
      <c r="G4080" s="14" t="s">
        <v>343</v>
      </c>
      <c r="H4080" s="14" t="s">
        <v>343</v>
      </c>
      <c r="U4080" s="14">
        <v>1</v>
      </c>
      <c r="V4080" s="14">
        <v>1</v>
      </c>
      <c r="W4080" s="14">
        <v>1</v>
      </c>
      <c r="X4080" s="14">
        <v>1</v>
      </c>
    </row>
    <row r="4081" spans="1:24" hidden="1" x14ac:dyDescent="0.3">
      <c r="A4081" s="14" t="s">
        <v>496</v>
      </c>
      <c r="B4081" s="14" t="s">
        <v>170</v>
      </c>
      <c r="C4081" s="14" t="s">
        <v>357</v>
      </c>
      <c r="D4081" s="14" t="s">
        <v>358</v>
      </c>
      <c r="E4081" s="14" t="s">
        <v>344</v>
      </c>
      <c r="F4081" s="14" t="s">
        <v>343</v>
      </c>
      <c r="G4081" s="14" t="s">
        <v>343</v>
      </c>
      <c r="H4081" s="14" t="s">
        <v>343</v>
      </c>
      <c r="U4081" s="14">
        <v>1</v>
      </c>
      <c r="V4081" s="14">
        <v>1</v>
      </c>
      <c r="W4081" s="14">
        <v>1</v>
      </c>
      <c r="X4081" s="14">
        <v>1</v>
      </c>
    </row>
    <row r="4082" spans="1:24" hidden="1" x14ac:dyDescent="0.3">
      <c r="A4082" s="14" t="s">
        <v>496</v>
      </c>
      <c r="B4082" s="14" t="s">
        <v>170</v>
      </c>
      <c r="C4082" s="14" t="s">
        <v>359</v>
      </c>
      <c r="D4082" s="14" t="s">
        <v>360</v>
      </c>
      <c r="E4082" s="14" t="s">
        <v>342</v>
      </c>
      <c r="F4082" s="14" t="s">
        <v>343</v>
      </c>
      <c r="G4082" s="14" t="s">
        <v>343</v>
      </c>
      <c r="H4082" s="14" t="s">
        <v>343</v>
      </c>
      <c r="I4082" s="14">
        <v>0.64</v>
      </c>
      <c r="J4082" s="14">
        <v>0.67</v>
      </c>
      <c r="K4082" s="14">
        <v>0.67</v>
      </c>
      <c r="L4082" s="14">
        <v>0.69</v>
      </c>
      <c r="N4082" s="14">
        <v>0.74</v>
      </c>
      <c r="O4082" s="14">
        <v>0.76</v>
      </c>
      <c r="P4082" s="14">
        <v>0.76</v>
      </c>
      <c r="Q4082" s="14">
        <v>0.71</v>
      </c>
      <c r="R4082" s="14">
        <v>0.73</v>
      </c>
      <c r="S4082" s="14">
        <v>0.66</v>
      </c>
      <c r="T4082" s="14">
        <v>0.66</v>
      </c>
      <c r="U4082" s="14">
        <v>0.7</v>
      </c>
      <c r="V4082" s="14">
        <v>0.7</v>
      </c>
      <c r="W4082" s="14">
        <v>0.71</v>
      </c>
      <c r="X4082" s="14">
        <v>0.68</v>
      </c>
    </row>
    <row r="4083" spans="1:24" hidden="1" x14ac:dyDescent="0.3">
      <c r="A4083" s="14" t="s">
        <v>496</v>
      </c>
      <c r="B4083" s="14" t="s">
        <v>170</v>
      </c>
      <c r="C4083" s="14" t="s">
        <v>359</v>
      </c>
      <c r="D4083" s="14" t="s">
        <v>360</v>
      </c>
      <c r="E4083" s="14" t="s">
        <v>344</v>
      </c>
      <c r="F4083" s="14" t="s">
        <v>343</v>
      </c>
      <c r="G4083" s="14" t="s">
        <v>343</v>
      </c>
      <c r="H4083" s="14" t="s">
        <v>343</v>
      </c>
      <c r="I4083" s="14">
        <v>51</v>
      </c>
      <c r="J4083" s="14">
        <v>49</v>
      </c>
      <c r="K4083" s="14">
        <v>51</v>
      </c>
      <c r="L4083" s="14">
        <v>49</v>
      </c>
      <c r="M4083" s="14">
        <v>31</v>
      </c>
      <c r="N4083" s="14">
        <v>27</v>
      </c>
      <c r="O4083" s="14">
        <v>24</v>
      </c>
      <c r="P4083" s="14">
        <v>26</v>
      </c>
      <c r="Q4083" s="14">
        <v>51</v>
      </c>
      <c r="R4083" s="14">
        <v>39</v>
      </c>
      <c r="S4083" s="14">
        <v>76</v>
      </c>
      <c r="T4083" s="14">
        <v>82</v>
      </c>
      <c r="U4083" s="14">
        <v>56</v>
      </c>
      <c r="V4083" s="14">
        <v>60</v>
      </c>
      <c r="W4083" s="14">
        <v>57</v>
      </c>
      <c r="X4083" s="14">
        <v>79</v>
      </c>
    </row>
    <row r="4084" spans="1:24" x14ac:dyDescent="0.3">
      <c r="A4084" s="14" t="s">
        <v>496</v>
      </c>
      <c r="B4084" s="14" t="s">
        <v>170</v>
      </c>
      <c r="C4084" s="14" t="s">
        <v>361</v>
      </c>
      <c r="D4084" s="14" t="s">
        <v>362</v>
      </c>
      <c r="E4084" s="14" t="s">
        <v>342</v>
      </c>
      <c r="F4084" s="14" t="s">
        <v>343</v>
      </c>
      <c r="G4084" s="14" t="s">
        <v>343</v>
      </c>
      <c r="H4084" s="14" t="s">
        <v>343</v>
      </c>
      <c r="I4084" s="14">
        <v>0.97</v>
      </c>
      <c r="J4084" s="14">
        <v>0.97</v>
      </c>
      <c r="K4084" s="14">
        <v>0.97</v>
      </c>
      <c r="L4084" s="14">
        <v>0.97</v>
      </c>
      <c r="M4084" s="14">
        <v>0.97</v>
      </c>
      <c r="N4084" s="14">
        <v>0.97</v>
      </c>
      <c r="O4084" s="14">
        <v>0.97</v>
      </c>
      <c r="P4084" s="14">
        <v>0.97</v>
      </c>
      <c r="Q4084" s="14">
        <v>0.97</v>
      </c>
      <c r="R4084" s="14">
        <v>0.97</v>
      </c>
      <c r="S4084" s="14">
        <v>0.97</v>
      </c>
      <c r="T4084" s="14">
        <v>0.97</v>
      </c>
      <c r="U4084" s="14">
        <v>0.97</v>
      </c>
      <c r="V4084" s="14">
        <v>0.97</v>
      </c>
      <c r="W4084" s="14">
        <v>0.96</v>
      </c>
      <c r="X4084" s="14">
        <v>0.96</v>
      </c>
    </row>
    <row r="4085" spans="1:24" hidden="1" x14ac:dyDescent="0.3">
      <c r="A4085" s="14" t="s">
        <v>496</v>
      </c>
      <c r="B4085" s="14" t="s">
        <v>170</v>
      </c>
      <c r="C4085" s="14" t="s">
        <v>361</v>
      </c>
      <c r="D4085" s="14" t="s">
        <v>362</v>
      </c>
      <c r="E4085" s="14" t="s">
        <v>344</v>
      </c>
      <c r="F4085" s="14" t="s">
        <v>343</v>
      </c>
      <c r="G4085" s="14" t="s">
        <v>343</v>
      </c>
      <c r="H4085" s="14" t="s">
        <v>343</v>
      </c>
      <c r="I4085" s="14">
        <v>67</v>
      </c>
      <c r="J4085" s="14">
        <v>70</v>
      </c>
      <c r="K4085" s="14">
        <v>72</v>
      </c>
      <c r="L4085" s="14">
        <v>75</v>
      </c>
      <c r="M4085" s="14">
        <v>91</v>
      </c>
      <c r="N4085" s="14">
        <v>92</v>
      </c>
      <c r="O4085" s="14">
        <v>94</v>
      </c>
      <c r="P4085" s="14">
        <v>93</v>
      </c>
      <c r="Q4085" s="14">
        <v>94</v>
      </c>
      <c r="R4085" s="14">
        <v>104</v>
      </c>
      <c r="S4085" s="14">
        <v>103</v>
      </c>
      <c r="T4085" s="14">
        <v>108</v>
      </c>
      <c r="U4085" s="14">
        <v>120</v>
      </c>
      <c r="V4085" s="14">
        <v>122</v>
      </c>
      <c r="W4085" s="14">
        <v>135</v>
      </c>
      <c r="X4085" s="14">
        <v>127</v>
      </c>
    </row>
    <row r="4086" spans="1:24" hidden="1" x14ac:dyDescent="0.3">
      <c r="A4086" s="14" t="s">
        <v>496</v>
      </c>
      <c r="B4086" s="14" t="s">
        <v>170</v>
      </c>
      <c r="C4086" s="14" t="s">
        <v>363</v>
      </c>
      <c r="D4086" s="14" t="s">
        <v>364</v>
      </c>
      <c r="E4086" s="14" t="s">
        <v>342</v>
      </c>
      <c r="F4086" s="14" t="s">
        <v>343</v>
      </c>
      <c r="G4086" s="14" t="s">
        <v>343</v>
      </c>
      <c r="H4086" s="14" t="s">
        <v>343</v>
      </c>
      <c r="U4086" s="14">
        <v>1.02</v>
      </c>
      <c r="V4086" s="14">
        <v>1.02</v>
      </c>
      <c r="W4086" s="14">
        <v>1</v>
      </c>
      <c r="X4086" s="14">
        <v>1</v>
      </c>
    </row>
    <row r="4087" spans="1:24" hidden="1" x14ac:dyDescent="0.3">
      <c r="A4087" s="14" t="s">
        <v>496</v>
      </c>
      <c r="B4087" s="14" t="s">
        <v>170</v>
      </c>
      <c r="C4087" s="14" t="s">
        <v>363</v>
      </c>
      <c r="D4087" s="14" t="s">
        <v>364</v>
      </c>
      <c r="E4087" s="14" t="s">
        <v>344</v>
      </c>
      <c r="F4087" s="14" t="s">
        <v>343</v>
      </c>
      <c r="G4087" s="14" t="s">
        <v>343</v>
      </c>
      <c r="H4087" s="14" t="s">
        <v>343</v>
      </c>
      <c r="U4087" s="14">
        <v>128</v>
      </c>
      <c r="V4087" s="14">
        <v>132</v>
      </c>
      <c r="W4087" s="14">
        <v>143</v>
      </c>
      <c r="X4087" s="14">
        <v>134</v>
      </c>
    </row>
    <row r="4088" spans="1:24" hidden="1" x14ac:dyDescent="0.3">
      <c r="A4088" s="14" t="s">
        <v>496</v>
      </c>
      <c r="B4088" s="14" t="s">
        <v>170</v>
      </c>
      <c r="C4088" s="14" t="s">
        <v>365</v>
      </c>
      <c r="D4088" s="14" t="s">
        <v>366</v>
      </c>
      <c r="E4088" s="14" t="s">
        <v>342</v>
      </c>
      <c r="F4088" s="14" t="s">
        <v>343</v>
      </c>
      <c r="G4088" s="14" t="s">
        <v>343</v>
      </c>
      <c r="H4088" s="14" t="s">
        <v>343</v>
      </c>
      <c r="U4088" s="14">
        <v>0.94</v>
      </c>
      <c r="V4088" s="14">
        <v>0.94</v>
      </c>
      <c r="W4088" s="14">
        <v>0.94</v>
      </c>
      <c r="X4088" s="14">
        <v>0.94</v>
      </c>
    </row>
    <row r="4089" spans="1:24" hidden="1" x14ac:dyDescent="0.3">
      <c r="A4089" s="14" t="s">
        <v>496</v>
      </c>
      <c r="B4089" s="14" t="s">
        <v>170</v>
      </c>
      <c r="C4089" s="14" t="s">
        <v>365</v>
      </c>
      <c r="D4089" s="14" t="s">
        <v>366</v>
      </c>
      <c r="E4089" s="14" t="s">
        <v>344</v>
      </c>
      <c r="F4089" s="14" t="s">
        <v>343</v>
      </c>
      <c r="G4089" s="14" t="s">
        <v>343</v>
      </c>
      <c r="H4089" s="14" t="s">
        <v>343</v>
      </c>
      <c r="U4089" s="14">
        <v>1</v>
      </c>
      <c r="V4089" s="14">
        <v>1</v>
      </c>
      <c r="W4089" s="14">
        <v>1</v>
      </c>
      <c r="X4089" s="14">
        <v>1</v>
      </c>
    </row>
    <row r="4090" spans="1:24" hidden="1" x14ac:dyDescent="0.3">
      <c r="A4090" s="14" t="s">
        <v>496</v>
      </c>
      <c r="B4090" s="14" t="s">
        <v>170</v>
      </c>
      <c r="C4090" s="14" t="s">
        <v>367</v>
      </c>
      <c r="D4090" s="14" t="s">
        <v>368</v>
      </c>
      <c r="E4090" s="14" t="s">
        <v>342</v>
      </c>
      <c r="F4090" s="14" t="s">
        <v>343</v>
      </c>
      <c r="G4090" s="14" t="s">
        <v>343</v>
      </c>
      <c r="H4090" s="14" t="s">
        <v>343</v>
      </c>
      <c r="I4090" s="14">
        <v>0.72</v>
      </c>
      <c r="J4090" s="14">
        <v>0.74</v>
      </c>
      <c r="K4090" s="14">
        <v>0.74</v>
      </c>
      <c r="L4090" s="14">
        <v>0.75</v>
      </c>
      <c r="M4090" s="14">
        <v>0.74</v>
      </c>
      <c r="N4090" s="14">
        <v>0.75</v>
      </c>
      <c r="O4090" s="14">
        <v>0.77</v>
      </c>
      <c r="P4090" s="14">
        <v>0.76</v>
      </c>
      <c r="Q4090" s="14">
        <v>0.77</v>
      </c>
      <c r="R4090" s="14">
        <v>0.78</v>
      </c>
      <c r="S4090" s="14">
        <v>0.76</v>
      </c>
      <c r="T4090" s="14">
        <v>0.74</v>
      </c>
      <c r="U4090" s="14">
        <v>0.75</v>
      </c>
      <c r="V4090" s="14">
        <v>0.74</v>
      </c>
      <c r="W4090" s="14">
        <v>0.76</v>
      </c>
      <c r="X4090" s="14">
        <v>0.77</v>
      </c>
    </row>
    <row r="4091" spans="1:24" hidden="1" x14ac:dyDescent="0.3">
      <c r="A4091" s="14" t="s">
        <v>496</v>
      </c>
      <c r="B4091" s="14" t="s">
        <v>170</v>
      </c>
      <c r="C4091" s="14" t="s">
        <v>367</v>
      </c>
      <c r="D4091" s="14" t="s">
        <v>368</v>
      </c>
      <c r="E4091" s="14" t="s">
        <v>344</v>
      </c>
      <c r="F4091" s="14" t="s">
        <v>343</v>
      </c>
      <c r="G4091" s="14" t="s">
        <v>343</v>
      </c>
      <c r="H4091" s="14" t="s">
        <v>343</v>
      </c>
      <c r="I4091" s="14">
        <v>12</v>
      </c>
      <c r="J4091" s="14">
        <v>12</v>
      </c>
      <c r="K4091" s="14">
        <v>9</v>
      </c>
      <c r="L4091" s="14">
        <v>11</v>
      </c>
      <c r="M4091" s="14">
        <v>17</v>
      </c>
      <c r="N4091" s="14">
        <v>15</v>
      </c>
      <c r="O4091" s="14">
        <v>11</v>
      </c>
      <c r="P4091" s="14">
        <v>13</v>
      </c>
      <c r="Q4091" s="14">
        <v>14</v>
      </c>
      <c r="R4091" s="14">
        <v>13</v>
      </c>
      <c r="S4091" s="14">
        <v>16</v>
      </c>
      <c r="T4091" s="14">
        <v>32</v>
      </c>
      <c r="U4091" s="14">
        <v>27</v>
      </c>
      <c r="V4091" s="14">
        <v>38</v>
      </c>
      <c r="W4091" s="14">
        <v>31</v>
      </c>
      <c r="X4091" s="14">
        <v>28</v>
      </c>
    </row>
    <row r="4092" spans="1:24" hidden="1" x14ac:dyDescent="0.3">
      <c r="A4092" s="14" t="s">
        <v>496</v>
      </c>
      <c r="B4092" s="14" t="s">
        <v>170</v>
      </c>
      <c r="C4092" s="14" t="s">
        <v>369</v>
      </c>
      <c r="D4092" s="14" t="s">
        <v>370</v>
      </c>
      <c r="E4092" s="14" t="s">
        <v>342</v>
      </c>
      <c r="F4092" s="14" t="s">
        <v>343</v>
      </c>
      <c r="G4092" s="14" t="s">
        <v>343</v>
      </c>
      <c r="H4092" s="14" t="s">
        <v>343</v>
      </c>
      <c r="I4092" s="14">
        <v>0.32</v>
      </c>
      <c r="J4092" s="14">
        <v>0.32</v>
      </c>
      <c r="K4092" s="14">
        <v>0.32</v>
      </c>
      <c r="L4092" s="14">
        <v>0.34</v>
      </c>
      <c r="M4092" s="14">
        <v>0.28999999999999998</v>
      </c>
      <c r="N4092" s="14">
        <v>0.28000000000000003</v>
      </c>
      <c r="O4092" s="14">
        <v>0.34</v>
      </c>
      <c r="P4092" s="14">
        <v>0.32</v>
      </c>
      <c r="Q4092" s="14">
        <v>0.41</v>
      </c>
      <c r="R4092" s="14">
        <v>0.4</v>
      </c>
      <c r="S4092" s="14">
        <v>0.4</v>
      </c>
      <c r="T4092" s="14">
        <v>0.32</v>
      </c>
      <c r="U4092" s="14">
        <v>0.32</v>
      </c>
      <c r="V4092" s="14">
        <v>0.28000000000000003</v>
      </c>
      <c r="W4092" s="14">
        <v>0.38</v>
      </c>
      <c r="X4092" s="14">
        <v>0.43</v>
      </c>
    </row>
    <row r="4093" spans="1:24" hidden="1" x14ac:dyDescent="0.3">
      <c r="A4093" s="14" t="s">
        <v>496</v>
      </c>
      <c r="B4093" s="14" t="s">
        <v>170</v>
      </c>
      <c r="C4093" s="14" t="s">
        <v>369</v>
      </c>
      <c r="D4093" s="14" t="s">
        <v>370</v>
      </c>
      <c r="E4093" s="14" t="s">
        <v>344</v>
      </c>
      <c r="F4093" s="14" t="s">
        <v>343</v>
      </c>
      <c r="G4093" s="14" t="s">
        <v>343</v>
      </c>
      <c r="H4093" s="14" t="s">
        <v>343</v>
      </c>
      <c r="I4093" s="14">
        <v>10</v>
      </c>
      <c r="J4093" s="14">
        <v>11</v>
      </c>
      <c r="K4093" s="14">
        <v>12</v>
      </c>
      <c r="L4093" s="14">
        <v>10</v>
      </c>
      <c r="M4093" s="14">
        <v>25</v>
      </c>
      <c r="N4093" s="14">
        <v>26</v>
      </c>
      <c r="O4093" s="14">
        <v>16</v>
      </c>
      <c r="P4093" s="14">
        <v>22</v>
      </c>
      <c r="Q4093" s="14">
        <v>9</v>
      </c>
      <c r="R4093" s="14">
        <v>13</v>
      </c>
      <c r="S4093" s="14">
        <v>14</v>
      </c>
      <c r="T4093" s="14">
        <v>25</v>
      </c>
      <c r="U4093" s="14">
        <v>28</v>
      </c>
      <c r="V4093" s="14">
        <v>40</v>
      </c>
      <c r="W4093" s="14">
        <v>31</v>
      </c>
      <c r="X4093" s="14">
        <v>23</v>
      </c>
    </row>
    <row r="4094" spans="1:24" hidden="1" x14ac:dyDescent="0.3">
      <c r="A4094" s="14" t="s">
        <v>496</v>
      </c>
      <c r="B4094" s="14" t="s">
        <v>170</v>
      </c>
      <c r="C4094" s="14" t="s">
        <v>371</v>
      </c>
      <c r="D4094" s="14" t="s">
        <v>372</v>
      </c>
      <c r="E4094" s="14" t="s">
        <v>342</v>
      </c>
      <c r="F4094" s="14" t="s">
        <v>343</v>
      </c>
      <c r="G4094" s="14" t="s">
        <v>343</v>
      </c>
      <c r="H4094" s="14" t="s">
        <v>343</v>
      </c>
      <c r="U4094" s="14">
        <v>0</v>
      </c>
      <c r="V4094" s="14">
        <v>0</v>
      </c>
      <c r="W4094" s="14">
        <v>0</v>
      </c>
      <c r="X4094" s="14">
        <v>0</v>
      </c>
    </row>
    <row r="4095" spans="1:24" hidden="1" x14ac:dyDescent="0.3">
      <c r="A4095" s="14" t="s">
        <v>496</v>
      </c>
      <c r="B4095" s="14" t="s">
        <v>170</v>
      </c>
      <c r="C4095" s="14" t="s">
        <v>371</v>
      </c>
      <c r="D4095" s="14" t="s">
        <v>372</v>
      </c>
      <c r="E4095" s="14" t="s">
        <v>344</v>
      </c>
      <c r="F4095" s="14" t="s">
        <v>343</v>
      </c>
      <c r="G4095" s="14" t="s">
        <v>343</v>
      </c>
      <c r="H4095" s="14" t="s">
        <v>343</v>
      </c>
      <c r="U4095" s="14">
        <v>71</v>
      </c>
      <c r="V4095" s="14">
        <v>73</v>
      </c>
      <c r="W4095" s="14">
        <v>76</v>
      </c>
      <c r="X4095" s="14">
        <v>78</v>
      </c>
    </row>
    <row r="4096" spans="1:24" hidden="1" x14ac:dyDescent="0.3">
      <c r="A4096" s="14" t="s">
        <v>496</v>
      </c>
      <c r="B4096" s="14" t="s">
        <v>170</v>
      </c>
      <c r="C4096" s="14" t="s">
        <v>373</v>
      </c>
      <c r="D4096" s="14" t="s">
        <v>374</v>
      </c>
      <c r="E4096" s="14" t="s">
        <v>342</v>
      </c>
      <c r="F4096" s="14" t="s">
        <v>343</v>
      </c>
      <c r="G4096" s="14" t="s">
        <v>343</v>
      </c>
      <c r="H4096" s="14" t="s">
        <v>343</v>
      </c>
      <c r="U4096" s="14">
        <v>0.6</v>
      </c>
      <c r="V4096" s="14">
        <v>0.55000000000000004</v>
      </c>
      <c r="W4096" s="14">
        <v>0.89</v>
      </c>
      <c r="X4096" s="14">
        <v>0.89</v>
      </c>
    </row>
    <row r="4097" spans="1:24" hidden="1" x14ac:dyDescent="0.3">
      <c r="A4097" s="14" t="s">
        <v>496</v>
      </c>
      <c r="B4097" s="14" t="s">
        <v>170</v>
      </c>
      <c r="C4097" s="14" t="s">
        <v>373</v>
      </c>
      <c r="D4097" s="14" t="s">
        <v>374</v>
      </c>
      <c r="E4097" s="14" t="s">
        <v>344</v>
      </c>
      <c r="F4097" s="14" t="s">
        <v>343</v>
      </c>
      <c r="G4097" s="14" t="s">
        <v>343</v>
      </c>
      <c r="H4097" s="14" t="s">
        <v>343</v>
      </c>
      <c r="U4097" s="14">
        <v>15</v>
      </c>
      <c r="V4097" s="14">
        <v>25</v>
      </c>
      <c r="W4097" s="14">
        <v>13</v>
      </c>
      <c r="X4097" s="14">
        <v>13</v>
      </c>
    </row>
    <row r="4098" spans="1:24" hidden="1" x14ac:dyDescent="0.3">
      <c r="A4098" s="14" t="s">
        <v>496</v>
      </c>
      <c r="B4098" s="14" t="s">
        <v>170</v>
      </c>
      <c r="C4098" s="14" t="s">
        <v>375</v>
      </c>
      <c r="D4098" s="14" t="s">
        <v>376</v>
      </c>
      <c r="E4098" s="14" t="s">
        <v>342</v>
      </c>
      <c r="F4098" s="14" t="s">
        <v>343</v>
      </c>
      <c r="G4098" s="14" t="s">
        <v>343</v>
      </c>
      <c r="H4098" s="14" t="s">
        <v>343</v>
      </c>
      <c r="U4098" s="14">
        <v>0.56000000000000005</v>
      </c>
      <c r="V4098" s="14">
        <v>0.46</v>
      </c>
      <c r="W4098" s="14">
        <v>0.5</v>
      </c>
      <c r="X4098" s="14">
        <v>0.69</v>
      </c>
    </row>
    <row r="4099" spans="1:24" hidden="1" x14ac:dyDescent="0.3">
      <c r="A4099" s="14" t="s">
        <v>496</v>
      </c>
      <c r="B4099" s="14" t="s">
        <v>170</v>
      </c>
      <c r="C4099" s="14" t="s">
        <v>375</v>
      </c>
      <c r="D4099" s="14" t="s">
        <v>376</v>
      </c>
      <c r="E4099" s="14" t="s">
        <v>344</v>
      </c>
      <c r="F4099" s="14" t="s">
        <v>343</v>
      </c>
      <c r="G4099" s="14" t="s">
        <v>343</v>
      </c>
      <c r="H4099" s="14" t="s">
        <v>343</v>
      </c>
      <c r="U4099" s="14">
        <v>26</v>
      </c>
      <c r="V4099" s="14">
        <v>38</v>
      </c>
      <c r="W4099" s="14">
        <v>38</v>
      </c>
      <c r="X4099" s="14">
        <v>23</v>
      </c>
    </row>
    <row r="4100" spans="1:24" hidden="1" x14ac:dyDescent="0.3">
      <c r="A4100" s="14" t="s">
        <v>497</v>
      </c>
      <c r="B4100" s="14" t="s">
        <v>180</v>
      </c>
      <c r="C4100" s="14" t="s">
        <v>340</v>
      </c>
      <c r="D4100" s="14" t="s">
        <v>341</v>
      </c>
      <c r="E4100" s="14" t="s">
        <v>342</v>
      </c>
      <c r="F4100" s="14" t="s">
        <v>343</v>
      </c>
      <c r="G4100" s="14" t="s">
        <v>343</v>
      </c>
      <c r="H4100" s="14" t="s">
        <v>343</v>
      </c>
      <c r="I4100" s="14">
        <v>1</v>
      </c>
      <c r="J4100" s="14">
        <v>1</v>
      </c>
      <c r="K4100" s="14">
        <v>1</v>
      </c>
      <c r="L4100" s="14">
        <v>1</v>
      </c>
      <c r="M4100" s="14">
        <v>1</v>
      </c>
      <c r="N4100" s="14">
        <v>1</v>
      </c>
      <c r="O4100" s="14">
        <v>1</v>
      </c>
      <c r="P4100" s="14">
        <v>1</v>
      </c>
      <c r="Q4100" s="14">
        <v>1</v>
      </c>
      <c r="R4100" s="14">
        <v>1</v>
      </c>
      <c r="S4100" s="14">
        <v>1</v>
      </c>
      <c r="T4100" s="14">
        <v>1</v>
      </c>
      <c r="U4100" s="14">
        <v>1</v>
      </c>
      <c r="V4100" s="14">
        <v>1</v>
      </c>
      <c r="W4100" s="14">
        <v>1</v>
      </c>
      <c r="X4100" s="14">
        <v>0.99</v>
      </c>
    </row>
    <row r="4101" spans="1:24" hidden="1" x14ac:dyDescent="0.3">
      <c r="A4101" s="14" t="s">
        <v>497</v>
      </c>
      <c r="B4101" s="14" t="s">
        <v>180</v>
      </c>
      <c r="C4101" s="14" t="s">
        <v>340</v>
      </c>
      <c r="D4101" s="14" t="s">
        <v>341</v>
      </c>
      <c r="E4101" s="14" t="s">
        <v>344</v>
      </c>
      <c r="F4101" s="14" t="s">
        <v>343</v>
      </c>
      <c r="G4101" s="14" t="s">
        <v>343</v>
      </c>
      <c r="H4101" s="14" t="s">
        <v>343</v>
      </c>
      <c r="I4101" s="14">
        <v>14</v>
      </c>
      <c r="J4101" s="14">
        <v>17</v>
      </c>
      <c r="K4101" s="14">
        <v>1</v>
      </c>
      <c r="L4101" s="14">
        <v>26</v>
      </c>
      <c r="M4101" s="14">
        <v>1</v>
      </c>
      <c r="N4101" s="14">
        <v>1</v>
      </c>
      <c r="O4101" s="14">
        <v>1</v>
      </c>
      <c r="P4101" s="14">
        <v>1</v>
      </c>
      <c r="Q4101" s="14">
        <v>1</v>
      </c>
      <c r="R4101" s="14">
        <v>32</v>
      </c>
      <c r="S4101" s="14">
        <v>28</v>
      </c>
      <c r="T4101" s="14">
        <v>38</v>
      </c>
      <c r="U4101" s="14">
        <v>41</v>
      </c>
      <c r="V4101" s="14">
        <v>31</v>
      </c>
      <c r="W4101" s="14">
        <v>33</v>
      </c>
      <c r="X4101" s="14">
        <v>79</v>
      </c>
    </row>
    <row r="4102" spans="1:24" hidden="1" x14ac:dyDescent="0.3">
      <c r="A4102" s="14" t="s">
        <v>497</v>
      </c>
      <c r="B4102" s="14" t="s">
        <v>180</v>
      </c>
      <c r="C4102" s="14" t="s">
        <v>345</v>
      </c>
      <c r="D4102" s="14" t="s">
        <v>346</v>
      </c>
      <c r="E4102" s="14" t="s">
        <v>342</v>
      </c>
      <c r="F4102" s="14" t="s">
        <v>343</v>
      </c>
      <c r="G4102" s="14" t="s">
        <v>343</v>
      </c>
      <c r="H4102" s="14" t="s">
        <v>343</v>
      </c>
      <c r="U4102" s="14">
        <v>0.78</v>
      </c>
      <c r="V4102" s="14">
        <v>0.79</v>
      </c>
      <c r="W4102" s="14">
        <v>0.79</v>
      </c>
      <c r="X4102" s="14">
        <v>0.74</v>
      </c>
    </row>
    <row r="4103" spans="1:24" hidden="1" x14ac:dyDescent="0.3">
      <c r="A4103" s="14" t="s">
        <v>497</v>
      </c>
      <c r="B4103" s="14" t="s">
        <v>180</v>
      </c>
      <c r="C4103" s="14" t="s">
        <v>345</v>
      </c>
      <c r="D4103" s="14" t="s">
        <v>346</v>
      </c>
      <c r="E4103" s="14" t="s">
        <v>344</v>
      </c>
      <c r="F4103" s="14" t="s">
        <v>343</v>
      </c>
      <c r="G4103" s="14" t="s">
        <v>343</v>
      </c>
      <c r="H4103" s="14" t="s">
        <v>343</v>
      </c>
      <c r="U4103" s="14">
        <v>15</v>
      </c>
      <c r="V4103" s="14">
        <v>12</v>
      </c>
      <c r="W4103" s="14">
        <v>17</v>
      </c>
      <c r="X4103" s="14">
        <v>28</v>
      </c>
    </row>
    <row r="4104" spans="1:24" hidden="1" x14ac:dyDescent="0.3">
      <c r="A4104" s="14" t="s">
        <v>497</v>
      </c>
      <c r="B4104" s="14" t="s">
        <v>180</v>
      </c>
      <c r="C4104" s="14" t="s">
        <v>347</v>
      </c>
      <c r="D4104" s="14" t="s">
        <v>348</v>
      </c>
      <c r="E4104" s="14" t="s">
        <v>342</v>
      </c>
      <c r="F4104" s="14" t="s">
        <v>343</v>
      </c>
      <c r="G4104" s="14" t="s">
        <v>343</v>
      </c>
      <c r="H4104" s="14" t="s">
        <v>343</v>
      </c>
      <c r="U4104" s="14">
        <v>0.95</v>
      </c>
      <c r="V4104" s="14">
        <v>0.95</v>
      </c>
      <c r="W4104" s="14">
        <v>0.94</v>
      </c>
      <c r="X4104" s="14">
        <v>0.84</v>
      </c>
    </row>
    <row r="4105" spans="1:24" hidden="1" x14ac:dyDescent="0.3">
      <c r="A4105" s="14" t="s">
        <v>497</v>
      </c>
      <c r="B4105" s="14" t="s">
        <v>180</v>
      </c>
      <c r="C4105" s="14" t="s">
        <v>347</v>
      </c>
      <c r="D4105" s="14" t="s">
        <v>348</v>
      </c>
      <c r="E4105" s="14" t="s">
        <v>344</v>
      </c>
      <c r="F4105" s="14" t="s">
        <v>343</v>
      </c>
      <c r="G4105" s="14" t="s">
        <v>343</v>
      </c>
      <c r="H4105" s="14" t="s">
        <v>343</v>
      </c>
      <c r="U4105" s="14">
        <v>17</v>
      </c>
      <c r="V4105" s="14">
        <v>16</v>
      </c>
      <c r="W4105" s="14">
        <v>18</v>
      </c>
      <c r="X4105" s="14">
        <v>50</v>
      </c>
    </row>
    <row r="4106" spans="1:24" hidden="1" x14ac:dyDescent="0.3">
      <c r="A4106" s="14" t="s">
        <v>497</v>
      </c>
      <c r="B4106" s="14" t="s">
        <v>180</v>
      </c>
      <c r="C4106" s="14" t="s">
        <v>349</v>
      </c>
      <c r="D4106" s="14" t="s">
        <v>350</v>
      </c>
      <c r="E4106" s="14" t="s">
        <v>342</v>
      </c>
      <c r="F4106" s="14" t="s">
        <v>343</v>
      </c>
      <c r="G4106" s="14" t="s">
        <v>343</v>
      </c>
      <c r="H4106" s="14" t="s">
        <v>343</v>
      </c>
      <c r="U4106" s="14">
        <v>0.62</v>
      </c>
      <c r="V4106" s="14">
        <v>0.55000000000000004</v>
      </c>
      <c r="W4106" s="14">
        <v>0.53</v>
      </c>
      <c r="X4106" s="14">
        <v>0.52</v>
      </c>
    </row>
    <row r="4107" spans="1:24" hidden="1" x14ac:dyDescent="0.3">
      <c r="A4107" s="14" t="s">
        <v>497</v>
      </c>
      <c r="B4107" s="14" t="s">
        <v>180</v>
      </c>
      <c r="C4107" s="14" t="s">
        <v>349</v>
      </c>
      <c r="D4107" s="14" t="s">
        <v>350</v>
      </c>
      <c r="E4107" s="14" t="s">
        <v>344</v>
      </c>
      <c r="F4107" s="14" t="s">
        <v>343</v>
      </c>
      <c r="G4107" s="14" t="s">
        <v>343</v>
      </c>
      <c r="H4107" s="14" t="s">
        <v>343</v>
      </c>
      <c r="U4107" s="14">
        <v>36</v>
      </c>
      <c r="V4107" s="14">
        <v>54</v>
      </c>
      <c r="W4107" s="14">
        <v>68</v>
      </c>
      <c r="X4107" s="14">
        <v>72</v>
      </c>
    </row>
    <row r="4108" spans="1:24" hidden="1" x14ac:dyDescent="0.3">
      <c r="A4108" s="14" t="s">
        <v>497</v>
      </c>
      <c r="B4108" s="14" t="s">
        <v>180</v>
      </c>
      <c r="C4108" s="14" t="s">
        <v>351</v>
      </c>
      <c r="D4108" s="14" t="s">
        <v>352</v>
      </c>
      <c r="E4108" s="14" t="s">
        <v>342</v>
      </c>
      <c r="F4108" s="14" t="s">
        <v>343</v>
      </c>
      <c r="G4108" s="14" t="s">
        <v>343</v>
      </c>
      <c r="H4108" s="14" t="s">
        <v>343</v>
      </c>
      <c r="U4108" s="14">
        <v>1</v>
      </c>
      <c r="V4108" s="14">
        <v>1</v>
      </c>
      <c r="W4108" s="14">
        <v>1</v>
      </c>
      <c r="X4108" s="14">
        <v>1</v>
      </c>
    </row>
    <row r="4109" spans="1:24" hidden="1" x14ac:dyDescent="0.3">
      <c r="A4109" s="14" t="s">
        <v>497</v>
      </c>
      <c r="B4109" s="14" t="s">
        <v>180</v>
      </c>
      <c r="C4109" s="14" t="s">
        <v>351</v>
      </c>
      <c r="D4109" s="14" t="s">
        <v>352</v>
      </c>
      <c r="E4109" s="14" t="s">
        <v>344</v>
      </c>
      <c r="F4109" s="14" t="s">
        <v>343</v>
      </c>
      <c r="G4109" s="14" t="s">
        <v>343</v>
      </c>
      <c r="H4109" s="14" t="s">
        <v>343</v>
      </c>
      <c r="U4109" s="14">
        <v>1</v>
      </c>
      <c r="V4109" s="14">
        <v>1</v>
      </c>
      <c r="W4109" s="14">
        <v>1</v>
      </c>
      <c r="X4109" s="14">
        <v>1</v>
      </c>
    </row>
    <row r="4110" spans="1:24" hidden="1" x14ac:dyDescent="0.3">
      <c r="A4110" s="14" t="s">
        <v>497</v>
      </c>
      <c r="B4110" s="14" t="s">
        <v>180</v>
      </c>
      <c r="C4110" s="14" t="s">
        <v>378</v>
      </c>
      <c r="D4110" s="14" t="s">
        <v>379</v>
      </c>
      <c r="E4110" s="14" t="s">
        <v>342</v>
      </c>
      <c r="F4110" s="14" t="s">
        <v>343</v>
      </c>
      <c r="G4110" s="14" t="s">
        <v>343</v>
      </c>
      <c r="H4110" s="14" t="s">
        <v>343</v>
      </c>
      <c r="S4110" s="14">
        <v>0.81</v>
      </c>
      <c r="U4110" s="14">
        <v>0.74</v>
      </c>
      <c r="V4110" s="14">
        <v>0.74</v>
      </c>
      <c r="W4110" s="14">
        <v>0.74</v>
      </c>
    </row>
    <row r="4111" spans="1:24" hidden="1" x14ac:dyDescent="0.3">
      <c r="A4111" s="14" t="s">
        <v>497</v>
      </c>
      <c r="B4111" s="14" t="s">
        <v>180</v>
      </c>
      <c r="C4111" s="14" t="s">
        <v>378</v>
      </c>
      <c r="D4111" s="14" t="s">
        <v>379</v>
      </c>
      <c r="E4111" s="14" t="s">
        <v>344</v>
      </c>
      <c r="F4111" s="14" t="s">
        <v>343</v>
      </c>
      <c r="G4111" s="14" t="s">
        <v>343</v>
      </c>
      <c r="H4111" s="14" t="s">
        <v>343</v>
      </c>
      <c r="S4111" s="14">
        <v>5</v>
      </c>
      <c r="U4111" s="14">
        <v>22</v>
      </c>
      <c r="V4111" s="14">
        <v>19</v>
      </c>
      <c r="W4111" s="14">
        <v>27</v>
      </c>
    </row>
    <row r="4112" spans="1:24" hidden="1" x14ac:dyDescent="0.3">
      <c r="A4112" s="14" t="s">
        <v>497</v>
      </c>
      <c r="B4112" s="14" t="s">
        <v>180</v>
      </c>
      <c r="C4112" s="14" t="s">
        <v>353</v>
      </c>
      <c r="D4112" s="14" t="s">
        <v>354</v>
      </c>
      <c r="E4112" s="14" t="s">
        <v>342</v>
      </c>
      <c r="F4112" s="14" t="s">
        <v>343</v>
      </c>
      <c r="G4112" s="14" t="s">
        <v>343</v>
      </c>
      <c r="H4112" s="14" t="s">
        <v>343</v>
      </c>
      <c r="U4112" s="14">
        <v>1</v>
      </c>
      <c r="V4112" s="14">
        <v>1</v>
      </c>
      <c r="W4112" s="14">
        <v>1</v>
      </c>
      <c r="X4112" s="14">
        <v>1</v>
      </c>
    </row>
    <row r="4113" spans="1:24" hidden="1" x14ac:dyDescent="0.3">
      <c r="A4113" s="14" t="s">
        <v>497</v>
      </c>
      <c r="B4113" s="14" t="s">
        <v>180</v>
      </c>
      <c r="C4113" s="14" t="s">
        <v>353</v>
      </c>
      <c r="D4113" s="14" t="s">
        <v>354</v>
      </c>
      <c r="E4113" s="14" t="s">
        <v>344</v>
      </c>
      <c r="F4113" s="14" t="s">
        <v>343</v>
      </c>
      <c r="G4113" s="14" t="s">
        <v>343</v>
      </c>
      <c r="H4113" s="14" t="s">
        <v>343</v>
      </c>
      <c r="U4113" s="14">
        <v>1</v>
      </c>
      <c r="V4113" s="14">
        <v>1</v>
      </c>
      <c r="W4113" s="14">
        <v>1</v>
      </c>
      <c r="X4113" s="14">
        <v>1</v>
      </c>
    </row>
    <row r="4114" spans="1:24" hidden="1" x14ac:dyDescent="0.3">
      <c r="A4114" s="14" t="s">
        <v>497</v>
      </c>
      <c r="B4114" s="14" t="s">
        <v>180</v>
      </c>
      <c r="C4114" s="14" t="s">
        <v>380</v>
      </c>
      <c r="D4114" s="14" t="s">
        <v>381</v>
      </c>
      <c r="E4114" s="14" t="s">
        <v>342</v>
      </c>
      <c r="F4114" s="14" t="s">
        <v>343</v>
      </c>
      <c r="G4114" s="14" t="s">
        <v>343</v>
      </c>
      <c r="H4114" s="14" t="s">
        <v>343</v>
      </c>
      <c r="U4114" s="14">
        <v>1</v>
      </c>
      <c r="V4114" s="14">
        <v>1</v>
      </c>
      <c r="W4114" s="14">
        <v>1</v>
      </c>
      <c r="X4114" s="14">
        <v>1</v>
      </c>
    </row>
    <row r="4115" spans="1:24" hidden="1" x14ac:dyDescent="0.3">
      <c r="A4115" s="14" t="s">
        <v>497</v>
      </c>
      <c r="B4115" s="14" t="s">
        <v>180</v>
      </c>
      <c r="C4115" s="14" t="s">
        <v>380</v>
      </c>
      <c r="D4115" s="14" t="s">
        <v>381</v>
      </c>
      <c r="E4115" s="14" t="s">
        <v>344</v>
      </c>
      <c r="F4115" s="14" t="s">
        <v>343</v>
      </c>
      <c r="G4115" s="14" t="s">
        <v>343</v>
      </c>
      <c r="H4115" s="14" t="s">
        <v>343</v>
      </c>
      <c r="U4115" s="14">
        <v>75</v>
      </c>
      <c r="V4115" s="14">
        <v>75</v>
      </c>
      <c r="W4115" s="14">
        <v>77</v>
      </c>
      <c r="X4115" s="14">
        <v>73</v>
      </c>
    </row>
    <row r="4116" spans="1:24" hidden="1" x14ac:dyDescent="0.3">
      <c r="A4116" s="14" t="s">
        <v>497</v>
      </c>
      <c r="B4116" s="14" t="s">
        <v>180</v>
      </c>
      <c r="C4116" s="14" t="s">
        <v>355</v>
      </c>
      <c r="D4116" s="14" t="s">
        <v>356</v>
      </c>
      <c r="E4116" s="14" t="s">
        <v>342</v>
      </c>
      <c r="F4116" s="14" t="s">
        <v>343</v>
      </c>
      <c r="G4116" s="14" t="s">
        <v>343</v>
      </c>
      <c r="H4116" s="14" t="s">
        <v>343</v>
      </c>
      <c r="U4116" s="14">
        <v>1</v>
      </c>
      <c r="V4116" s="14">
        <v>1</v>
      </c>
      <c r="W4116" s="14">
        <v>1</v>
      </c>
      <c r="X4116" s="14">
        <v>0.95</v>
      </c>
    </row>
    <row r="4117" spans="1:24" hidden="1" x14ac:dyDescent="0.3">
      <c r="A4117" s="14" t="s">
        <v>497</v>
      </c>
      <c r="B4117" s="14" t="s">
        <v>180</v>
      </c>
      <c r="C4117" s="14" t="s">
        <v>355</v>
      </c>
      <c r="D4117" s="14" t="s">
        <v>356</v>
      </c>
      <c r="E4117" s="14" t="s">
        <v>344</v>
      </c>
      <c r="F4117" s="14" t="s">
        <v>343</v>
      </c>
      <c r="G4117" s="14" t="s">
        <v>343</v>
      </c>
      <c r="H4117" s="14" t="s">
        <v>343</v>
      </c>
      <c r="U4117" s="14">
        <v>1</v>
      </c>
      <c r="V4117" s="14">
        <v>1</v>
      </c>
      <c r="W4117" s="14">
        <v>1</v>
      </c>
      <c r="X4117" s="14">
        <v>109</v>
      </c>
    </row>
    <row r="4118" spans="1:24" hidden="1" x14ac:dyDescent="0.3">
      <c r="A4118" s="14" t="s">
        <v>497</v>
      </c>
      <c r="B4118" s="14" t="s">
        <v>180</v>
      </c>
      <c r="C4118" s="14" t="s">
        <v>357</v>
      </c>
      <c r="D4118" s="14" t="s">
        <v>358</v>
      </c>
      <c r="E4118" s="14" t="s">
        <v>342</v>
      </c>
      <c r="F4118" s="14" t="s">
        <v>343</v>
      </c>
      <c r="G4118" s="14" t="s">
        <v>343</v>
      </c>
      <c r="H4118" s="14" t="s">
        <v>343</v>
      </c>
      <c r="U4118" s="14">
        <v>1</v>
      </c>
      <c r="V4118" s="14">
        <v>1</v>
      </c>
      <c r="W4118" s="14">
        <v>1</v>
      </c>
      <c r="X4118" s="14">
        <v>1</v>
      </c>
    </row>
    <row r="4119" spans="1:24" hidden="1" x14ac:dyDescent="0.3">
      <c r="A4119" s="14" t="s">
        <v>497</v>
      </c>
      <c r="B4119" s="14" t="s">
        <v>180</v>
      </c>
      <c r="C4119" s="14" t="s">
        <v>357</v>
      </c>
      <c r="D4119" s="14" t="s">
        <v>358</v>
      </c>
      <c r="E4119" s="14" t="s">
        <v>344</v>
      </c>
      <c r="F4119" s="14" t="s">
        <v>343</v>
      </c>
      <c r="G4119" s="14" t="s">
        <v>343</v>
      </c>
      <c r="H4119" s="14" t="s">
        <v>343</v>
      </c>
      <c r="U4119" s="14">
        <v>1</v>
      </c>
      <c r="V4119" s="14">
        <v>1</v>
      </c>
      <c r="W4119" s="14">
        <v>1</v>
      </c>
      <c r="X4119" s="14">
        <v>1</v>
      </c>
    </row>
    <row r="4120" spans="1:24" hidden="1" x14ac:dyDescent="0.3">
      <c r="A4120" s="14" t="s">
        <v>497</v>
      </c>
      <c r="B4120" s="14" t="s">
        <v>180</v>
      </c>
      <c r="C4120" s="14" t="s">
        <v>359</v>
      </c>
      <c r="D4120" s="14" t="s">
        <v>360</v>
      </c>
      <c r="E4120" s="14" t="s">
        <v>342</v>
      </c>
      <c r="F4120" s="14" t="s">
        <v>343</v>
      </c>
      <c r="G4120" s="14" t="s">
        <v>343</v>
      </c>
      <c r="H4120" s="14" t="s">
        <v>343</v>
      </c>
      <c r="I4120" s="14">
        <v>0.73</v>
      </c>
      <c r="J4120" s="14">
        <v>0.75</v>
      </c>
      <c r="K4120" s="14">
        <v>0.78</v>
      </c>
      <c r="L4120" s="14">
        <v>0.78</v>
      </c>
      <c r="M4120" s="14">
        <v>0.83</v>
      </c>
      <c r="N4120" s="14">
        <v>0.83</v>
      </c>
      <c r="O4120" s="14">
        <v>0.83</v>
      </c>
      <c r="P4120" s="14">
        <v>0.84</v>
      </c>
      <c r="Q4120" s="14">
        <v>0.84</v>
      </c>
      <c r="R4120" s="14">
        <v>0.87</v>
      </c>
      <c r="S4120" s="14">
        <v>0.82</v>
      </c>
      <c r="T4120" s="14">
        <v>0.82</v>
      </c>
      <c r="U4120" s="14">
        <v>0.81</v>
      </c>
      <c r="V4120" s="14">
        <v>0.8</v>
      </c>
      <c r="W4120" s="14">
        <v>0.79</v>
      </c>
      <c r="X4120" s="14">
        <v>0.76</v>
      </c>
    </row>
    <row r="4121" spans="1:24" hidden="1" x14ac:dyDescent="0.3">
      <c r="A4121" s="14" t="s">
        <v>497</v>
      </c>
      <c r="B4121" s="14" t="s">
        <v>180</v>
      </c>
      <c r="C4121" s="14" t="s">
        <v>359</v>
      </c>
      <c r="D4121" s="14" t="s">
        <v>360</v>
      </c>
      <c r="E4121" s="14" t="s">
        <v>344</v>
      </c>
      <c r="F4121" s="14" t="s">
        <v>343</v>
      </c>
      <c r="G4121" s="14" t="s">
        <v>343</v>
      </c>
      <c r="H4121" s="14" t="s">
        <v>343</v>
      </c>
      <c r="I4121" s="14">
        <v>11</v>
      </c>
      <c r="J4121" s="14">
        <v>10</v>
      </c>
      <c r="K4121" s="14">
        <v>6</v>
      </c>
      <c r="L4121" s="14">
        <v>8</v>
      </c>
      <c r="M4121" s="14">
        <v>3</v>
      </c>
      <c r="N4121" s="14">
        <v>5</v>
      </c>
      <c r="O4121" s="14">
        <v>4</v>
      </c>
      <c r="P4121" s="14">
        <v>1</v>
      </c>
      <c r="Q4121" s="14">
        <v>2</v>
      </c>
      <c r="R4121" s="14">
        <v>1</v>
      </c>
      <c r="S4121" s="14">
        <v>7</v>
      </c>
      <c r="T4121" s="14">
        <v>8</v>
      </c>
      <c r="U4121" s="14">
        <v>11</v>
      </c>
      <c r="V4121" s="14">
        <v>11</v>
      </c>
      <c r="W4121" s="14">
        <v>20</v>
      </c>
      <c r="X4121" s="14">
        <v>27</v>
      </c>
    </row>
    <row r="4122" spans="1:24" x14ac:dyDescent="0.3">
      <c r="A4122" s="14" t="s">
        <v>497</v>
      </c>
      <c r="B4122" s="14" t="s">
        <v>180</v>
      </c>
      <c r="C4122" s="14" t="s">
        <v>361</v>
      </c>
      <c r="D4122" s="14" t="s">
        <v>362</v>
      </c>
      <c r="E4122" s="14" t="s">
        <v>342</v>
      </c>
      <c r="F4122" s="14" t="s">
        <v>343</v>
      </c>
      <c r="G4122" s="14" t="s">
        <v>343</v>
      </c>
      <c r="H4122" s="14" t="s">
        <v>343</v>
      </c>
      <c r="I4122" s="14">
        <v>0.97</v>
      </c>
      <c r="J4122" s="14">
        <v>0.98</v>
      </c>
      <c r="K4122" s="14">
        <v>0.98</v>
      </c>
      <c r="L4122" s="14">
        <v>0.98</v>
      </c>
      <c r="M4122" s="14">
        <v>0.97</v>
      </c>
      <c r="N4122" s="14">
        <v>0.97</v>
      </c>
      <c r="O4122" s="14">
        <v>0.97</v>
      </c>
      <c r="P4122" s="14">
        <v>0.97</v>
      </c>
      <c r="Q4122" s="14">
        <v>0.97</v>
      </c>
      <c r="R4122" s="14">
        <v>0.97</v>
      </c>
      <c r="S4122" s="14">
        <v>0.97</v>
      </c>
      <c r="T4122" s="14">
        <v>0.97</v>
      </c>
      <c r="U4122" s="14">
        <v>0.97</v>
      </c>
      <c r="V4122" s="14">
        <v>0.97</v>
      </c>
      <c r="W4122" s="14">
        <v>0.96</v>
      </c>
      <c r="X4122" s="14">
        <v>0.96</v>
      </c>
    </row>
    <row r="4123" spans="1:24" hidden="1" x14ac:dyDescent="0.3">
      <c r="A4123" s="14" t="s">
        <v>497</v>
      </c>
      <c r="B4123" s="14" t="s">
        <v>180</v>
      </c>
      <c r="C4123" s="14" t="s">
        <v>361</v>
      </c>
      <c r="D4123" s="14" t="s">
        <v>362</v>
      </c>
      <c r="E4123" s="14" t="s">
        <v>344</v>
      </c>
      <c r="F4123" s="14" t="s">
        <v>343</v>
      </c>
      <c r="G4123" s="14" t="s">
        <v>343</v>
      </c>
      <c r="H4123" s="14" t="s">
        <v>343</v>
      </c>
      <c r="I4123" s="14">
        <v>61</v>
      </c>
      <c r="J4123" s="14">
        <v>51</v>
      </c>
      <c r="K4123" s="14">
        <v>53</v>
      </c>
      <c r="L4123" s="14">
        <v>56</v>
      </c>
      <c r="M4123" s="14">
        <v>91</v>
      </c>
      <c r="N4123" s="14">
        <v>92</v>
      </c>
      <c r="O4123" s="14">
        <v>94</v>
      </c>
      <c r="P4123" s="14">
        <v>93</v>
      </c>
      <c r="Q4123" s="14">
        <v>98</v>
      </c>
      <c r="R4123" s="14">
        <v>70</v>
      </c>
      <c r="S4123" s="14">
        <v>68</v>
      </c>
      <c r="T4123" s="14">
        <v>80</v>
      </c>
      <c r="U4123" s="14">
        <v>95</v>
      </c>
      <c r="V4123" s="14">
        <v>95</v>
      </c>
      <c r="W4123" s="14">
        <v>126</v>
      </c>
      <c r="X4123" s="14">
        <v>119</v>
      </c>
    </row>
    <row r="4124" spans="1:24" hidden="1" x14ac:dyDescent="0.3">
      <c r="A4124" s="14" t="s">
        <v>497</v>
      </c>
      <c r="B4124" s="14" t="s">
        <v>180</v>
      </c>
      <c r="C4124" s="14" t="s">
        <v>363</v>
      </c>
      <c r="D4124" s="14" t="s">
        <v>364</v>
      </c>
      <c r="E4124" s="14" t="s">
        <v>342</v>
      </c>
      <c r="F4124" s="14" t="s">
        <v>343</v>
      </c>
      <c r="G4124" s="14" t="s">
        <v>343</v>
      </c>
      <c r="H4124" s="14" t="s">
        <v>343</v>
      </c>
      <c r="U4124" s="14">
        <v>1.03</v>
      </c>
      <c r="V4124" s="14">
        <v>1.03</v>
      </c>
      <c r="W4124" s="14">
        <v>1.01</v>
      </c>
      <c r="X4124" s="14">
        <v>1.01</v>
      </c>
    </row>
    <row r="4125" spans="1:24" hidden="1" x14ac:dyDescent="0.3">
      <c r="A4125" s="14" t="s">
        <v>497</v>
      </c>
      <c r="B4125" s="14" t="s">
        <v>180</v>
      </c>
      <c r="C4125" s="14" t="s">
        <v>363</v>
      </c>
      <c r="D4125" s="14" t="s">
        <v>364</v>
      </c>
      <c r="E4125" s="14" t="s">
        <v>344</v>
      </c>
      <c r="F4125" s="14" t="s">
        <v>343</v>
      </c>
      <c r="G4125" s="14" t="s">
        <v>343</v>
      </c>
      <c r="H4125" s="14" t="s">
        <v>343</v>
      </c>
      <c r="U4125" s="14">
        <v>103</v>
      </c>
      <c r="V4125" s="14">
        <v>106</v>
      </c>
      <c r="W4125" s="14">
        <v>134</v>
      </c>
      <c r="X4125" s="14">
        <v>126</v>
      </c>
    </row>
    <row r="4126" spans="1:24" hidden="1" x14ac:dyDescent="0.3">
      <c r="A4126" s="14" t="s">
        <v>497</v>
      </c>
      <c r="B4126" s="14" t="s">
        <v>180</v>
      </c>
      <c r="C4126" s="14" t="s">
        <v>365</v>
      </c>
      <c r="D4126" s="14" t="s">
        <v>366</v>
      </c>
      <c r="E4126" s="14" t="s">
        <v>342</v>
      </c>
      <c r="F4126" s="14" t="s">
        <v>343</v>
      </c>
      <c r="G4126" s="14" t="s">
        <v>343</v>
      </c>
      <c r="H4126" s="14" t="s">
        <v>343</v>
      </c>
      <c r="U4126" s="14">
        <v>0.94</v>
      </c>
      <c r="V4126" s="14">
        <v>0.94</v>
      </c>
      <c r="W4126" s="14">
        <v>0.94</v>
      </c>
      <c r="X4126" s="14">
        <v>0.94</v>
      </c>
    </row>
    <row r="4127" spans="1:24" hidden="1" x14ac:dyDescent="0.3">
      <c r="A4127" s="14" t="s">
        <v>497</v>
      </c>
      <c r="B4127" s="14" t="s">
        <v>180</v>
      </c>
      <c r="C4127" s="14" t="s">
        <v>365</v>
      </c>
      <c r="D4127" s="14" t="s">
        <v>366</v>
      </c>
      <c r="E4127" s="14" t="s">
        <v>344</v>
      </c>
      <c r="F4127" s="14" t="s">
        <v>343</v>
      </c>
      <c r="G4127" s="14" t="s">
        <v>343</v>
      </c>
      <c r="H4127" s="14" t="s">
        <v>343</v>
      </c>
      <c r="U4127" s="14">
        <v>1</v>
      </c>
      <c r="V4127" s="14">
        <v>1</v>
      </c>
      <c r="W4127" s="14">
        <v>1</v>
      </c>
      <c r="X4127" s="14">
        <v>1</v>
      </c>
    </row>
    <row r="4128" spans="1:24" hidden="1" x14ac:dyDescent="0.3">
      <c r="A4128" s="14" t="s">
        <v>497</v>
      </c>
      <c r="B4128" s="14" t="s">
        <v>180</v>
      </c>
      <c r="C4128" s="14" t="s">
        <v>367</v>
      </c>
      <c r="D4128" s="14" t="s">
        <v>368</v>
      </c>
      <c r="E4128" s="14" t="s">
        <v>342</v>
      </c>
      <c r="F4128" s="14" t="s">
        <v>343</v>
      </c>
      <c r="G4128" s="14" t="s">
        <v>343</v>
      </c>
      <c r="H4128" s="14" t="s">
        <v>343</v>
      </c>
      <c r="I4128" s="14">
        <v>0.8</v>
      </c>
      <c r="J4128" s="14">
        <v>0.81</v>
      </c>
      <c r="K4128" s="14">
        <v>0.82</v>
      </c>
      <c r="L4128" s="14">
        <v>0.82</v>
      </c>
      <c r="M4128" s="14">
        <v>0.84</v>
      </c>
      <c r="N4128" s="14">
        <v>0.84</v>
      </c>
      <c r="O4128" s="14">
        <v>0.84</v>
      </c>
      <c r="P4128" s="14">
        <v>0.84</v>
      </c>
      <c r="Q4128" s="14">
        <v>0.84</v>
      </c>
      <c r="R4128" s="14">
        <v>0.85</v>
      </c>
      <c r="S4128" s="14">
        <v>0.84</v>
      </c>
      <c r="T4128" s="14">
        <v>0.83</v>
      </c>
      <c r="U4128" s="14">
        <v>0.84</v>
      </c>
      <c r="V4128" s="14">
        <v>0.84</v>
      </c>
      <c r="W4128" s="14">
        <v>0.85</v>
      </c>
      <c r="X4128" s="14">
        <v>0.84</v>
      </c>
    </row>
    <row r="4129" spans="1:24" hidden="1" x14ac:dyDescent="0.3">
      <c r="A4129" s="14" t="s">
        <v>497</v>
      </c>
      <c r="B4129" s="14" t="s">
        <v>180</v>
      </c>
      <c r="C4129" s="14" t="s">
        <v>367</v>
      </c>
      <c r="D4129" s="14" t="s">
        <v>368</v>
      </c>
      <c r="E4129" s="14" t="s">
        <v>344</v>
      </c>
      <c r="F4129" s="14" t="s">
        <v>343</v>
      </c>
      <c r="G4129" s="14" t="s">
        <v>343</v>
      </c>
      <c r="H4129" s="14" t="s">
        <v>343</v>
      </c>
      <c r="I4129" s="14">
        <v>2</v>
      </c>
      <c r="J4129" s="14">
        <v>2</v>
      </c>
      <c r="K4129" s="14">
        <v>1</v>
      </c>
      <c r="L4129" s="14">
        <v>3</v>
      </c>
      <c r="M4129" s="14">
        <v>2</v>
      </c>
      <c r="N4129" s="14">
        <v>2</v>
      </c>
      <c r="O4129" s="14">
        <v>3</v>
      </c>
      <c r="P4129" s="14">
        <v>3</v>
      </c>
      <c r="Q4129" s="14">
        <v>3</v>
      </c>
      <c r="R4129" s="14">
        <v>2</v>
      </c>
      <c r="S4129" s="14">
        <v>3</v>
      </c>
      <c r="T4129" s="14">
        <v>2</v>
      </c>
      <c r="U4129" s="14">
        <v>2</v>
      </c>
      <c r="V4129" s="14">
        <v>2</v>
      </c>
      <c r="W4129" s="14">
        <v>3</v>
      </c>
      <c r="X4129" s="14">
        <v>3</v>
      </c>
    </row>
    <row r="4130" spans="1:24" hidden="1" x14ac:dyDescent="0.3">
      <c r="A4130" s="14" t="s">
        <v>497</v>
      </c>
      <c r="B4130" s="14" t="s">
        <v>180</v>
      </c>
      <c r="C4130" s="14" t="s">
        <v>369</v>
      </c>
      <c r="D4130" s="14" t="s">
        <v>370</v>
      </c>
      <c r="E4130" s="14" t="s">
        <v>342</v>
      </c>
      <c r="F4130" s="14" t="s">
        <v>343</v>
      </c>
      <c r="G4130" s="14" t="s">
        <v>343</v>
      </c>
      <c r="H4130" s="14" t="s">
        <v>343</v>
      </c>
      <c r="I4130" s="14">
        <v>0.49</v>
      </c>
      <c r="J4130" s="14">
        <v>0.49</v>
      </c>
      <c r="K4130" s="14">
        <v>0.53</v>
      </c>
      <c r="L4130" s="14">
        <v>0.53</v>
      </c>
      <c r="M4130" s="14">
        <v>0.56000000000000005</v>
      </c>
      <c r="N4130" s="14">
        <v>0.56000000000000005</v>
      </c>
      <c r="O4130" s="14">
        <v>0.56000000000000005</v>
      </c>
      <c r="P4130" s="14">
        <v>0.56000000000000005</v>
      </c>
      <c r="Q4130" s="14">
        <v>0.54</v>
      </c>
      <c r="R4130" s="14">
        <v>0.56000000000000005</v>
      </c>
      <c r="S4130" s="14">
        <v>0.57999999999999996</v>
      </c>
      <c r="T4130" s="14">
        <v>0.53</v>
      </c>
      <c r="U4130" s="14">
        <v>0.56000000000000005</v>
      </c>
      <c r="V4130" s="14">
        <v>0.6</v>
      </c>
      <c r="W4130" s="14">
        <v>0.64</v>
      </c>
      <c r="X4130" s="14">
        <v>0.66</v>
      </c>
    </row>
    <row r="4131" spans="1:24" hidden="1" x14ac:dyDescent="0.3">
      <c r="A4131" s="14" t="s">
        <v>497</v>
      </c>
      <c r="B4131" s="14" t="s">
        <v>180</v>
      </c>
      <c r="C4131" s="14" t="s">
        <v>369</v>
      </c>
      <c r="D4131" s="14" t="s">
        <v>370</v>
      </c>
      <c r="E4131" s="14" t="s">
        <v>344</v>
      </c>
      <c r="F4131" s="14" t="s">
        <v>343</v>
      </c>
      <c r="G4131" s="14" t="s">
        <v>343</v>
      </c>
      <c r="H4131" s="14" t="s">
        <v>343</v>
      </c>
      <c r="I4131" s="14">
        <v>2</v>
      </c>
      <c r="J4131" s="14">
        <v>3</v>
      </c>
      <c r="K4131" s="14">
        <v>2</v>
      </c>
      <c r="L4131" s="14">
        <v>3</v>
      </c>
      <c r="M4131" s="14">
        <v>3</v>
      </c>
      <c r="N4131" s="14">
        <v>3</v>
      </c>
      <c r="O4131" s="14">
        <v>3</v>
      </c>
      <c r="P4131" s="14">
        <v>3</v>
      </c>
      <c r="Q4131" s="14">
        <v>3</v>
      </c>
      <c r="R4131" s="14">
        <v>3</v>
      </c>
      <c r="S4131" s="14">
        <v>3</v>
      </c>
      <c r="T4131" s="14">
        <v>4</v>
      </c>
      <c r="U4131" s="14">
        <v>3</v>
      </c>
      <c r="V4131" s="14">
        <v>2</v>
      </c>
      <c r="W4131" s="14">
        <v>3</v>
      </c>
      <c r="X4131" s="14">
        <v>3</v>
      </c>
    </row>
    <row r="4132" spans="1:24" hidden="1" x14ac:dyDescent="0.3">
      <c r="A4132" s="14" t="s">
        <v>497</v>
      </c>
      <c r="B4132" s="14" t="s">
        <v>180</v>
      </c>
      <c r="C4132" s="14" t="s">
        <v>371</v>
      </c>
      <c r="D4132" s="14" t="s">
        <v>372</v>
      </c>
      <c r="E4132" s="14" t="s">
        <v>342</v>
      </c>
      <c r="F4132" s="14" t="s">
        <v>343</v>
      </c>
      <c r="G4132" s="14" t="s">
        <v>343</v>
      </c>
      <c r="H4132" s="14" t="s">
        <v>343</v>
      </c>
      <c r="U4132" s="14">
        <v>0.42</v>
      </c>
      <c r="V4132" s="14">
        <v>0.46</v>
      </c>
      <c r="W4132" s="14">
        <v>0.53</v>
      </c>
      <c r="X4132" s="14">
        <v>0.56999999999999995</v>
      </c>
    </row>
    <row r="4133" spans="1:24" hidden="1" x14ac:dyDescent="0.3">
      <c r="A4133" s="14" t="s">
        <v>497</v>
      </c>
      <c r="B4133" s="14" t="s">
        <v>180</v>
      </c>
      <c r="C4133" s="14" t="s">
        <v>371</v>
      </c>
      <c r="D4133" s="14" t="s">
        <v>372</v>
      </c>
      <c r="E4133" s="14" t="s">
        <v>344</v>
      </c>
      <c r="F4133" s="14" t="s">
        <v>343</v>
      </c>
      <c r="G4133" s="14" t="s">
        <v>343</v>
      </c>
      <c r="H4133" s="14" t="s">
        <v>343</v>
      </c>
      <c r="U4133" s="14">
        <v>6</v>
      </c>
      <c r="V4133" s="14">
        <v>5</v>
      </c>
      <c r="W4133" s="14">
        <v>4</v>
      </c>
      <c r="X4133" s="14">
        <v>4</v>
      </c>
    </row>
    <row r="4134" spans="1:24" hidden="1" x14ac:dyDescent="0.3">
      <c r="A4134" s="14" t="s">
        <v>497</v>
      </c>
      <c r="B4134" s="14" t="s">
        <v>180</v>
      </c>
      <c r="C4134" s="14" t="s">
        <v>373</v>
      </c>
      <c r="D4134" s="14" t="s">
        <v>374</v>
      </c>
      <c r="E4134" s="14" t="s">
        <v>342</v>
      </c>
      <c r="F4134" s="14" t="s">
        <v>343</v>
      </c>
      <c r="G4134" s="14" t="s">
        <v>343</v>
      </c>
      <c r="H4134" s="14" t="s">
        <v>343</v>
      </c>
      <c r="U4134" s="14">
        <v>0.64</v>
      </c>
      <c r="V4134" s="14">
        <v>0.73</v>
      </c>
      <c r="W4134" s="14">
        <v>0.64</v>
      </c>
      <c r="X4134" s="14">
        <v>0.64</v>
      </c>
    </row>
    <row r="4135" spans="1:24" hidden="1" x14ac:dyDescent="0.3">
      <c r="A4135" s="14" t="s">
        <v>497</v>
      </c>
      <c r="B4135" s="14" t="s">
        <v>180</v>
      </c>
      <c r="C4135" s="14" t="s">
        <v>373</v>
      </c>
      <c r="D4135" s="14" t="s">
        <v>374</v>
      </c>
      <c r="E4135" s="14" t="s">
        <v>344</v>
      </c>
      <c r="F4135" s="14" t="s">
        <v>343</v>
      </c>
      <c r="G4135" s="14" t="s">
        <v>343</v>
      </c>
      <c r="H4135" s="14" t="s">
        <v>343</v>
      </c>
      <c r="U4135" s="14">
        <v>12</v>
      </c>
      <c r="V4135" s="14">
        <v>15</v>
      </c>
      <c r="W4135" s="14">
        <v>29</v>
      </c>
      <c r="X4135" s="14">
        <v>29</v>
      </c>
    </row>
    <row r="4136" spans="1:24" hidden="1" x14ac:dyDescent="0.3">
      <c r="A4136" s="14" t="s">
        <v>497</v>
      </c>
      <c r="B4136" s="14" t="s">
        <v>180</v>
      </c>
      <c r="C4136" s="14" t="s">
        <v>375</v>
      </c>
      <c r="D4136" s="14" t="s">
        <v>376</v>
      </c>
      <c r="E4136" s="14" t="s">
        <v>342</v>
      </c>
      <c r="F4136" s="14" t="s">
        <v>343</v>
      </c>
      <c r="G4136" s="14" t="s">
        <v>343</v>
      </c>
      <c r="H4136" s="14" t="s">
        <v>343</v>
      </c>
      <c r="U4136" s="14">
        <v>0.71</v>
      </c>
      <c r="V4136" s="14">
        <v>0.69</v>
      </c>
      <c r="W4136" s="14">
        <v>0.8</v>
      </c>
      <c r="X4136" s="14">
        <v>0.82</v>
      </c>
    </row>
    <row r="4137" spans="1:24" hidden="1" x14ac:dyDescent="0.3">
      <c r="A4137" s="14" t="s">
        <v>497</v>
      </c>
      <c r="B4137" s="14" t="s">
        <v>180</v>
      </c>
      <c r="C4137" s="14" t="s">
        <v>375</v>
      </c>
      <c r="D4137" s="14" t="s">
        <v>376</v>
      </c>
      <c r="E4137" s="14" t="s">
        <v>344</v>
      </c>
      <c r="F4137" s="14" t="s">
        <v>343</v>
      </c>
      <c r="G4137" s="14" t="s">
        <v>343</v>
      </c>
      <c r="H4137" s="14" t="s">
        <v>343</v>
      </c>
      <c r="U4137" s="14">
        <v>12</v>
      </c>
      <c r="V4137" s="14">
        <v>14</v>
      </c>
      <c r="W4137" s="14">
        <v>12</v>
      </c>
      <c r="X4137" s="14">
        <v>12</v>
      </c>
    </row>
    <row r="4138" spans="1:24" hidden="1" x14ac:dyDescent="0.3">
      <c r="A4138" s="14" t="s">
        <v>498</v>
      </c>
      <c r="B4138" s="14" t="s">
        <v>169</v>
      </c>
      <c r="C4138" s="14" t="s">
        <v>340</v>
      </c>
      <c r="D4138" s="14" t="s">
        <v>341</v>
      </c>
      <c r="E4138" s="14" t="s">
        <v>342</v>
      </c>
      <c r="F4138" s="14" t="s">
        <v>343</v>
      </c>
      <c r="G4138" s="14" t="s">
        <v>343</v>
      </c>
      <c r="H4138" s="14" t="s">
        <v>343</v>
      </c>
      <c r="I4138" s="14">
        <v>0.73</v>
      </c>
      <c r="J4138" s="14">
        <v>0.73</v>
      </c>
      <c r="K4138" s="14">
        <v>0.75</v>
      </c>
      <c r="L4138" s="14">
        <v>0.82</v>
      </c>
      <c r="M4138" s="14">
        <v>0.78</v>
      </c>
      <c r="N4138" s="14">
        <v>0.76</v>
      </c>
      <c r="O4138" s="14">
        <v>0.76</v>
      </c>
      <c r="P4138" s="14">
        <v>0.75</v>
      </c>
      <c r="Q4138" s="14">
        <v>0.89</v>
      </c>
      <c r="R4138" s="14">
        <v>0.92</v>
      </c>
      <c r="S4138" s="14">
        <v>0.92</v>
      </c>
      <c r="T4138" s="14">
        <v>0.94</v>
      </c>
      <c r="U4138" s="14">
        <v>0.93</v>
      </c>
      <c r="V4138" s="14">
        <v>0.9</v>
      </c>
      <c r="W4138" s="14">
        <v>0.9</v>
      </c>
      <c r="X4138" s="14">
        <v>0.92</v>
      </c>
    </row>
    <row r="4139" spans="1:24" hidden="1" x14ac:dyDescent="0.3">
      <c r="A4139" s="14" t="s">
        <v>498</v>
      </c>
      <c r="B4139" s="14" t="s">
        <v>169</v>
      </c>
      <c r="C4139" s="14" t="s">
        <v>340</v>
      </c>
      <c r="D4139" s="14" t="s">
        <v>341</v>
      </c>
      <c r="E4139" s="14" t="s">
        <v>344</v>
      </c>
      <c r="F4139" s="14" t="s">
        <v>343</v>
      </c>
      <c r="G4139" s="14" t="s">
        <v>343</v>
      </c>
      <c r="H4139" s="14" t="s">
        <v>343</v>
      </c>
      <c r="I4139" s="14">
        <v>109</v>
      </c>
      <c r="J4139" s="14">
        <v>122</v>
      </c>
      <c r="K4139" s="14">
        <v>124</v>
      </c>
      <c r="L4139" s="14">
        <v>125</v>
      </c>
      <c r="M4139" s="14">
        <v>126</v>
      </c>
      <c r="N4139" s="14">
        <v>128</v>
      </c>
      <c r="O4139" s="14">
        <v>128</v>
      </c>
      <c r="P4139" s="14">
        <v>130</v>
      </c>
      <c r="Q4139" s="14">
        <v>122</v>
      </c>
      <c r="R4139" s="14">
        <v>122</v>
      </c>
      <c r="S4139" s="14">
        <v>123</v>
      </c>
      <c r="T4139" s="14">
        <v>116</v>
      </c>
      <c r="U4139" s="14">
        <v>123</v>
      </c>
      <c r="V4139" s="14">
        <v>133</v>
      </c>
      <c r="W4139" s="14">
        <v>134</v>
      </c>
      <c r="X4139" s="14">
        <v>125</v>
      </c>
    </row>
    <row r="4140" spans="1:24" hidden="1" x14ac:dyDescent="0.3">
      <c r="A4140" s="14" t="s">
        <v>498</v>
      </c>
      <c r="B4140" s="14" t="s">
        <v>169</v>
      </c>
      <c r="C4140" s="14" t="s">
        <v>345</v>
      </c>
      <c r="D4140" s="14" t="s">
        <v>346</v>
      </c>
      <c r="E4140" s="14" t="s">
        <v>342</v>
      </c>
      <c r="F4140" s="14" t="s">
        <v>343</v>
      </c>
      <c r="G4140" s="14" t="s">
        <v>343</v>
      </c>
      <c r="H4140" s="14" t="s">
        <v>343</v>
      </c>
      <c r="U4140" s="14">
        <v>0.65</v>
      </c>
      <c r="V4140" s="14">
        <v>0.63</v>
      </c>
      <c r="W4140" s="14">
        <v>0.74</v>
      </c>
      <c r="X4140" s="14">
        <v>0.73</v>
      </c>
    </row>
    <row r="4141" spans="1:24" hidden="1" x14ac:dyDescent="0.3">
      <c r="A4141" s="14" t="s">
        <v>498</v>
      </c>
      <c r="B4141" s="14" t="s">
        <v>169</v>
      </c>
      <c r="C4141" s="14" t="s">
        <v>345</v>
      </c>
      <c r="D4141" s="14" t="s">
        <v>346</v>
      </c>
      <c r="E4141" s="14" t="s">
        <v>344</v>
      </c>
      <c r="F4141" s="14" t="s">
        <v>343</v>
      </c>
      <c r="G4141" s="14" t="s">
        <v>343</v>
      </c>
      <c r="H4141" s="14" t="s">
        <v>343</v>
      </c>
      <c r="U4141" s="14">
        <v>56</v>
      </c>
      <c r="V4141" s="14">
        <v>66</v>
      </c>
      <c r="W4141" s="14">
        <v>25</v>
      </c>
      <c r="X4141" s="14">
        <v>31</v>
      </c>
    </row>
    <row r="4142" spans="1:24" hidden="1" x14ac:dyDescent="0.3">
      <c r="A4142" s="14" t="s">
        <v>498</v>
      </c>
      <c r="B4142" s="14" t="s">
        <v>169</v>
      </c>
      <c r="C4142" s="14" t="s">
        <v>347</v>
      </c>
      <c r="D4142" s="14" t="s">
        <v>348</v>
      </c>
      <c r="E4142" s="14" t="s">
        <v>342</v>
      </c>
      <c r="F4142" s="14" t="s">
        <v>343</v>
      </c>
      <c r="G4142" s="14" t="s">
        <v>343</v>
      </c>
      <c r="H4142" s="14" t="s">
        <v>343</v>
      </c>
      <c r="U4142" s="14">
        <v>0.98</v>
      </c>
      <c r="V4142" s="14">
        <v>0.98</v>
      </c>
      <c r="W4142" s="14">
        <v>0.99</v>
      </c>
      <c r="X4142" s="14">
        <v>0.97</v>
      </c>
    </row>
    <row r="4143" spans="1:24" hidden="1" x14ac:dyDescent="0.3">
      <c r="A4143" s="14" t="s">
        <v>498</v>
      </c>
      <c r="B4143" s="14" t="s">
        <v>169</v>
      </c>
      <c r="C4143" s="14" t="s">
        <v>347</v>
      </c>
      <c r="D4143" s="14" t="s">
        <v>348</v>
      </c>
      <c r="E4143" s="14" t="s">
        <v>344</v>
      </c>
      <c r="F4143" s="14" t="s">
        <v>343</v>
      </c>
      <c r="G4143" s="14" t="s">
        <v>343</v>
      </c>
      <c r="H4143" s="14" t="s">
        <v>343</v>
      </c>
      <c r="U4143" s="14">
        <v>8</v>
      </c>
      <c r="V4143" s="14">
        <v>7</v>
      </c>
      <c r="W4143" s="14">
        <v>5</v>
      </c>
      <c r="X4143" s="14">
        <v>6</v>
      </c>
    </row>
    <row r="4144" spans="1:24" hidden="1" x14ac:dyDescent="0.3">
      <c r="A4144" s="14" t="s">
        <v>498</v>
      </c>
      <c r="B4144" s="14" t="s">
        <v>169</v>
      </c>
      <c r="C4144" s="14" t="s">
        <v>349</v>
      </c>
      <c r="D4144" s="14" t="s">
        <v>350</v>
      </c>
      <c r="E4144" s="14" t="s">
        <v>342</v>
      </c>
      <c r="F4144" s="14" t="s">
        <v>343</v>
      </c>
      <c r="G4144" s="14" t="s">
        <v>343</v>
      </c>
      <c r="H4144" s="14" t="s">
        <v>343</v>
      </c>
      <c r="U4144" s="14">
        <v>0.23</v>
      </c>
      <c r="V4144" s="14">
        <v>0.22</v>
      </c>
      <c r="W4144" s="14">
        <v>0.15</v>
      </c>
      <c r="X4144" s="14">
        <v>0.15</v>
      </c>
    </row>
    <row r="4145" spans="1:24" hidden="1" x14ac:dyDescent="0.3">
      <c r="A4145" s="14" t="s">
        <v>498</v>
      </c>
      <c r="B4145" s="14" t="s">
        <v>169</v>
      </c>
      <c r="C4145" s="14" t="s">
        <v>349</v>
      </c>
      <c r="D4145" s="14" t="s">
        <v>350</v>
      </c>
      <c r="E4145" s="14" t="s">
        <v>344</v>
      </c>
      <c r="F4145" s="14" t="s">
        <v>343</v>
      </c>
      <c r="G4145" s="14" t="s">
        <v>343</v>
      </c>
      <c r="H4145" s="14" t="s">
        <v>343</v>
      </c>
      <c r="U4145" s="14">
        <v>119</v>
      </c>
      <c r="V4145" s="14">
        <v>122</v>
      </c>
      <c r="W4145" s="14">
        <v>142</v>
      </c>
      <c r="X4145" s="14">
        <v>131</v>
      </c>
    </row>
    <row r="4146" spans="1:24" hidden="1" x14ac:dyDescent="0.3">
      <c r="A4146" s="14" t="s">
        <v>498</v>
      </c>
      <c r="B4146" s="14" t="s">
        <v>169</v>
      </c>
      <c r="C4146" s="14" t="s">
        <v>351</v>
      </c>
      <c r="D4146" s="14" t="s">
        <v>352</v>
      </c>
      <c r="E4146" s="14" t="s">
        <v>342</v>
      </c>
      <c r="F4146" s="14" t="s">
        <v>343</v>
      </c>
      <c r="G4146" s="14" t="s">
        <v>343</v>
      </c>
      <c r="H4146" s="14" t="s">
        <v>343</v>
      </c>
      <c r="U4146" s="14">
        <v>0.42</v>
      </c>
      <c r="V4146" s="14">
        <v>0.6</v>
      </c>
      <c r="W4146" s="14">
        <v>0.43</v>
      </c>
      <c r="X4146" s="14">
        <v>0.6</v>
      </c>
    </row>
    <row r="4147" spans="1:24" hidden="1" x14ac:dyDescent="0.3">
      <c r="A4147" s="14" t="s">
        <v>498</v>
      </c>
      <c r="B4147" s="14" t="s">
        <v>169</v>
      </c>
      <c r="C4147" s="14" t="s">
        <v>351</v>
      </c>
      <c r="D4147" s="14" t="s">
        <v>352</v>
      </c>
      <c r="E4147" s="14" t="s">
        <v>344</v>
      </c>
      <c r="F4147" s="14" t="s">
        <v>343</v>
      </c>
      <c r="G4147" s="14" t="s">
        <v>343</v>
      </c>
      <c r="H4147" s="14" t="s">
        <v>343</v>
      </c>
      <c r="U4147" s="14">
        <v>129</v>
      </c>
      <c r="V4147" s="14">
        <v>118</v>
      </c>
      <c r="W4147" s="14">
        <v>134</v>
      </c>
      <c r="X4147" s="14">
        <v>106</v>
      </c>
    </row>
    <row r="4148" spans="1:24" hidden="1" x14ac:dyDescent="0.3">
      <c r="A4148" s="14" t="s">
        <v>498</v>
      </c>
      <c r="B4148" s="14" t="s">
        <v>169</v>
      </c>
      <c r="C4148" s="14" t="s">
        <v>378</v>
      </c>
      <c r="D4148" s="14" t="s">
        <v>379</v>
      </c>
      <c r="E4148" s="14" t="s">
        <v>342</v>
      </c>
      <c r="F4148" s="14" t="s">
        <v>343</v>
      </c>
      <c r="G4148" s="14" t="s">
        <v>343</v>
      </c>
      <c r="H4148" s="14" t="s">
        <v>343</v>
      </c>
      <c r="S4148" s="14">
        <v>0.59</v>
      </c>
      <c r="U4148" s="14">
        <v>0.59</v>
      </c>
      <c r="V4148" s="14">
        <v>0.62</v>
      </c>
      <c r="W4148" s="14">
        <v>0.63</v>
      </c>
      <c r="X4148" s="14">
        <v>0.61</v>
      </c>
    </row>
    <row r="4149" spans="1:24" hidden="1" x14ac:dyDescent="0.3">
      <c r="A4149" s="14" t="s">
        <v>498</v>
      </c>
      <c r="B4149" s="14" t="s">
        <v>169</v>
      </c>
      <c r="C4149" s="14" t="s">
        <v>378</v>
      </c>
      <c r="D4149" s="14" t="s">
        <v>379</v>
      </c>
      <c r="E4149" s="14" t="s">
        <v>344</v>
      </c>
      <c r="F4149" s="14" t="s">
        <v>343</v>
      </c>
      <c r="G4149" s="14" t="s">
        <v>343</v>
      </c>
      <c r="H4149" s="14" t="s">
        <v>343</v>
      </c>
      <c r="S4149" s="14">
        <v>96</v>
      </c>
      <c r="U4149" s="14">
        <v>96</v>
      </c>
      <c r="V4149" s="14">
        <v>89</v>
      </c>
      <c r="W4149" s="14">
        <v>89</v>
      </c>
      <c r="X4149" s="14">
        <v>93</v>
      </c>
    </row>
    <row r="4150" spans="1:24" hidden="1" x14ac:dyDescent="0.3">
      <c r="A4150" s="14" t="s">
        <v>498</v>
      </c>
      <c r="B4150" s="14" t="s">
        <v>169</v>
      </c>
      <c r="C4150" s="14" t="s">
        <v>353</v>
      </c>
      <c r="D4150" s="14" t="s">
        <v>354</v>
      </c>
      <c r="E4150" s="14" t="s">
        <v>342</v>
      </c>
      <c r="F4150" s="14" t="s">
        <v>343</v>
      </c>
      <c r="G4150" s="14" t="s">
        <v>343</v>
      </c>
      <c r="H4150" s="14" t="s">
        <v>343</v>
      </c>
      <c r="U4150" s="14">
        <v>0.68</v>
      </c>
      <c r="V4150" s="14">
        <v>0.76</v>
      </c>
      <c r="W4150" s="14">
        <v>0.76</v>
      </c>
      <c r="X4150" s="14">
        <v>0.76</v>
      </c>
    </row>
    <row r="4151" spans="1:24" hidden="1" x14ac:dyDescent="0.3">
      <c r="A4151" s="14" t="s">
        <v>498</v>
      </c>
      <c r="B4151" s="14" t="s">
        <v>169</v>
      </c>
      <c r="C4151" s="14" t="s">
        <v>353</v>
      </c>
      <c r="D4151" s="14" t="s">
        <v>354</v>
      </c>
      <c r="E4151" s="14" t="s">
        <v>344</v>
      </c>
      <c r="F4151" s="14" t="s">
        <v>343</v>
      </c>
      <c r="G4151" s="14" t="s">
        <v>343</v>
      </c>
      <c r="H4151" s="14" t="s">
        <v>343</v>
      </c>
      <c r="U4151" s="14">
        <v>127</v>
      </c>
      <c r="V4151" s="14">
        <v>132</v>
      </c>
      <c r="W4151" s="14">
        <v>133</v>
      </c>
      <c r="X4151" s="14">
        <v>125</v>
      </c>
    </row>
    <row r="4152" spans="1:24" hidden="1" x14ac:dyDescent="0.3">
      <c r="A4152" s="14" t="s">
        <v>498</v>
      </c>
      <c r="B4152" s="14" t="s">
        <v>169</v>
      </c>
      <c r="C4152" s="14" t="s">
        <v>380</v>
      </c>
      <c r="D4152" s="14" t="s">
        <v>381</v>
      </c>
      <c r="E4152" s="14" t="s">
        <v>342</v>
      </c>
      <c r="F4152" s="14" t="s">
        <v>343</v>
      </c>
      <c r="G4152" s="14" t="s">
        <v>343</v>
      </c>
      <c r="H4152" s="14" t="s">
        <v>343</v>
      </c>
      <c r="U4152" s="14">
        <v>0.97</v>
      </c>
      <c r="V4152" s="14">
        <v>0.87</v>
      </c>
      <c r="W4152" s="14">
        <v>0.87</v>
      </c>
    </row>
    <row r="4153" spans="1:24" hidden="1" x14ac:dyDescent="0.3">
      <c r="A4153" s="14" t="s">
        <v>498</v>
      </c>
      <c r="B4153" s="14" t="s">
        <v>169</v>
      </c>
      <c r="C4153" s="14" t="s">
        <v>380</v>
      </c>
      <c r="D4153" s="14" t="s">
        <v>381</v>
      </c>
      <c r="E4153" s="14" t="s">
        <v>344</v>
      </c>
      <c r="F4153" s="14" t="s">
        <v>343</v>
      </c>
      <c r="G4153" s="14" t="s">
        <v>343</v>
      </c>
      <c r="H4153" s="14" t="s">
        <v>343</v>
      </c>
      <c r="U4153" s="14">
        <v>121</v>
      </c>
      <c r="V4153" s="14">
        <v>141</v>
      </c>
      <c r="W4153" s="14">
        <v>142</v>
      </c>
    </row>
    <row r="4154" spans="1:24" hidden="1" x14ac:dyDescent="0.3">
      <c r="A4154" s="14" t="s">
        <v>498</v>
      </c>
      <c r="B4154" s="14" t="s">
        <v>169</v>
      </c>
      <c r="C4154" s="14" t="s">
        <v>355</v>
      </c>
      <c r="D4154" s="14" t="s">
        <v>356</v>
      </c>
      <c r="E4154" s="14" t="s">
        <v>342</v>
      </c>
      <c r="F4154" s="14" t="s">
        <v>343</v>
      </c>
      <c r="G4154" s="14" t="s">
        <v>343</v>
      </c>
      <c r="H4154" s="14" t="s">
        <v>343</v>
      </c>
      <c r="U4154" s="14">
        <v>1</v>
      </c>
      <c r="V4154" s="14">
        <v>1</v>
      </c>
      <c r="W4154" s="14">
        <v>1</v>
      </c>
      <c r="X4154" s="14">
        <v>1</v>
      </c>
    </row>
    <row r="4155" spans="1:24" hidden="1" x14ac:dyDescent="0.3">
      <c r="A4155" s="14" t="s">
        <v>498</v>
      </c>
      <c r="B4155" s="14" t="s">
        <v>169</v>
      </c>
      <c r="C4155" s="14" t="s">
        <v>355</v>
      </c>
      <c r="D4155" s="14" t="s">
        <v>356</v>
      </c>
      <c r="E4155" s="14" t="s">
        <v>344</v>
      </c>
      <c r="F4155" s="14" t="s">
        <v>343</v>
      </c>
      <c r="G4155" s="14" t="s">
        <v>343</v>
      </c>
      <c r="H4155" s="14" t="s">
        <v>343</v>
      </c>
      <c r="U4155" s="14">
        <v>1</v>
      </c>
      <c r="V4155" s="14">
        <v>1</v>
      </c>
      <c r="W4155" s="14">
        <v>1</v>
      </c>
      <c r="X4155" s="14">
        <v>1</v>
      </c>
    </row>
    <row r="4156" spans="1:24" hidden="1" x14ac:dyDescent="0.3">
      <c r="A4156" s="14" t="s">
        <v>498</v>
      </c>
      <c r="B4156" s="14" t="s">
        <v>169</v>
      </c>
      <c r="C4156" s="14" t="s">
        <v>357</v>
      </c>
      <c r="D4156" s="14" t="s">
        <v>358</v>
      </c>
      <c r="E4156" s="14" t="s">
        <v>342</v>
      </c>
      <c r="F4156" s="14" t="s">
        <v>343</v>
      </c>
      <c r="G4156" s="14" t="s">
        <v>343</v>
      </c>
      <c r="H4156" s="14" t="s">
        <v>343</v>
      </c>
      <c r="U4156" s="14">
        <v>1</v>
      </c>
      <c r="V4156" s="14">
        <v>1</v>
      </c>
      <c r="W4156" s="14">
        <v>1</v>
      </c>
      <c r="X4156" s="14">
        <v>1</v>
      </c>
    </row>
    <row r="4157" spans="1:24" hidden="1" x14ac:dyDescent="0.3">
      <c r="A4157" s="14" t="s">
        <v>498</v>
      </c>
      <c r="B4157" s="14" t="s">
        <v>169</v>
      </c>
      <c r="C4157" s="14" t="s">
        <v>357</v>
      </c>
      <c r="D4157" s="14" t="s">
        <v>358</v>
      </c>
      <c r="E4157" s="14" t="s">
        <v>344</v>
      </c>
      <c r="F4157" s="14" t="s">
        <v>343</v>
      </c>
      <c r="G4157" s="14" t="s">
        <v>343</v>
      </c>
      <c r="H4157" s="14" t="s">
        <v>343</v>
      </c>
      <c r="U4157" s="14">
        <v>1</v>
      </c>
      <c r="V4157" s="14">
        <v>1</v>
      </c>
      <c r="W4157" s="14">
        <v>1</v>
      </c>
      <c r="X4157" s="14">
        <v>1</v>
      </c>
    </row>
    <row r="4158" spans="1:24" hidden="1" x14ac:dyDescent="0.3">
      <c r="A4158" s="14" t="s">
        <v>498</v>
      </c>
      <c r="B4158" s="14" t="s">
        <v>169</v>
      </c>
      <c r="C4158" s="14" t="s">
        <v>359</v>
      </c>
      <c r="D4158" s="14" t="s">
        <v>360</v>
      </c>
      <c r="E4158" s="14" t="s">
        <v>342</v>
      </c>
      <c r="F4158" s="14" t="s">
        <v>343</v>
      </c>
      <c r="G4158" s="14" t="s">
        <v>343</v>
      </c>
      <c r="H4158" s="14" t="s">
        <v>343</v>
      </c>
      <c r="I4158" s="14">
        <v>0.47</v>
      </c>
      <c r="J4158" s="14">
        <v>0.46</v>
      </c>
      <c r="K4158" s="14">
        <v>0.46</v>
      </c>
      <c r="L4158" s="14">
        <v>0.5</v>
      </c>
      <c r="M4158" s="14">
        <v>0.52</v>
      </c>
      <c r="N4158" s="14">
        <v>0.46</v>
      </c>
      <c r="O4158" s="14">
        <v>0.49</v>
      </c>
      <c r="P4158" s="14">
        <v>0.52</v>
      </c>
      <c r="Q4158" s="14">
        <v>0.55000000000000004</v>
      </c>
      <c r="R4158" s="14">
        <v>0.56999999999999995</v>
      </c>
      <c r="S4158" s="14">
        <v>0.57999999999999996</v>
      </c>
      <c r="T4158" s="14">
        <v>0.6</v>
      </c>
      <c r="U4158" s="14">
        <v>0.61</v>
      </c>
      <c r="V4158" s="14">
        <v>0.63</v>
      </c>
      <c r="W4158" s="14">
        <v>0.63</v>
      </c>
      <c r="X4158" s="14">
        <v>0.64</v>
      </c>
    </row>
    <row r="4159" spans="1:24" hidden="1" x14ac:dyDescent="0.3">
      <c r="A4159" s="14" t="s">
        <v>498</v>
      </c>
      <c r="B4159" s="14" t="s">
        <v>169</v>
      </c>
      <c r="C4159" s="14" t="s">
        <v>359</v>
      </c>
      <c r="D4159" s="14" t="s">
        <v>360</v>
      </c>
      <c r="E4159" s="14" t="s">
        <v>344</v>
      </c>
      <c r="F4159" s="14" t="s">
        <v>343</v>
      </c>
      <c r="G4159" s="14" t="s">
        <v>343</v>
      </c>
      <c r="H4159" s="14" t="s">
        <v>343</v>
      </c>
      <c r="I4159" s="14">
        <v>100</v>
      </c>
      <c r="J4159" s="14">
        <v>114</v>
      </c>
      <c r="K4159" s="14">
        <v>116</v>
      </c>
      <c r="L4159" s="14">
        <v>116</v>
      </c>
      <c r="M4159" s="14">
        <v>112</v>
      </c>
      <c r="N4159" s="14">
        <v>121</v>
      </c>
      <c r="O4159" s="14">
        <v>120</v>
      </c>
      <c r="P4159" s="14">
        <v>116</v>
      </c>
      <c r="Q4159" s="14">
        <v>122</v>
      </c>
      <c r="R4159" s="14">
        <v>121</v>
      </c>
      <c r="S4159" s="14">
        <v>115</v>
      </c>
      <c r="T4159" s="14">
        <v>110</v>
      </c>
      <c r="U4159" s="14">
        <v>110</v>
      </c>
      <c r="V4159" s="14">
        <v>101</v>
      </c>
      <c r="W4159" s="14">
        <v>107</v>
      </c>
      <c r="X4159" s="14">
        <v>98</v>
      </c>
    </row>
    <row r="4160" spans="1:24" x14ac:dyDescent="0.3">
      <c r="A4160" s="14" t="s">
        <v>498</v>
      </c>
      <c r="B4160" s="14" t="s">
        <v>169</v>
      </c>
      <c r="C4160" s="14" t="s">
        <v>361</v>
      </c>
      <c r="D4160" s="14" t="s">
        <v>362</v>
      </c>
      <c r="E4160" s="14" t="s">
        <v>342</v>
      </c>
      <c r="F4160" s="14" t="s">
        <v>343</v>
      </c>
      <c r="G4160" s="14" t="s">
        <v>343</v>
      </c>
      <c r="H4160" s="14" t="s">
        <v>343</v>
      </c>
      <c r="I4160" s="14">
        <v>0.95</v>
      </c>
      <c r="J4160" s="14">
        <v>0.96</v>
      </c>
      <c r="K4160" s="14">
        <v>0.96</v>
      </c>
      <c r="L4160" s="14">
        <v>0.96</v>
      </c>
      <c r="M4160" s="14">
        <v>0.96</v>
      </c>
      <c r="N4160" s="14">
        <v>0.96</v>
      </c>
      <c r="O4160" s="14">
        <v>0.96</v>
      </c>
      <c r="P4160" s="14">
        <v>0.96</v>
      </c>
      <c r="Q4160" s="14">
        <v>0.97</v>
      </c>
      <c r="R4160" s="14">
        <v>0.97</v>
      </c>
      <c r="S4160" s="14">
        <v>0.97</v>
      </c>
      <c r="T4160" s="14">
        <v>0.97</v>
      </c>
      <c r="U4160" s="14">
        <v>0.97</v>
      </c>
      <c r="V4160" s="14">
        <v>0.97</v>
      </c>
      <c r="W4160" s="14">
        <v>0.96</v>
      </c>
      <c r="X4160" s="14">
        <v>0.96</v>
      </c>
    </row>
    <row r="4161" spans="1:24" hidden="1" x14ac:dyDescent="0.3">
      <c r="A4161" s="14" t="s">
        <v>498</v>
      </c>
      <c r="B4161" s="14" t="s">
        <v>169</v>
      </c>
      <c r="C4161" s="14" t="s">
        <v>361</v>
      </c>
      <c r="D4161" s="14" t="s">
        <v>362</v>
      </c>
      <c r="E4161" s="14" t="s">
        <v>344</v>
      </c>
      <c r="F4161" s="14" t="s">
        <v>343</v>
      </c>
      <c r="G4161" s="14" t="s">
        <v>343</v>
      </c>
      <c r="H4161" s="14" t="s">
        <v>343</v>
      </c>
      <c r="I4161" s="14">
        <v>111</v>
      </c>
      <c r="J4161" s="14">
        <v>117</v>
      </c>
      <c r="K4161" s="14">
        <v>119</v>
      </c>
      <c r="L4161" s="14">
        <v>123</v>
      </c>
      <c r="M4161" s="14">
        <v>110</v>
      </c>
      <c r="N4161" s="14">
        <v>111</v>
      </c>
      <c r="O4161" s="14">
        <v>111</v>
      </c>
      <c r="P4161" s="14">
        <v>112</v>
      </c>
      <c r="Q4161" s="14">
        <v>88</v>
      </c>
      <c r="R4161" s="14">
        <v>94</v>
      </c>
      <c r="S4161" s="14">
        <v>92</v>
      </c>
      <c r="T4161" s="14">
        <v>116</v>
      </c>
      <c r="U4161" s="14">
        <v>128</v>
      </c>
      <c r="V4161" s="14">
        <v>131</v>
      </c>
      <c r="W4161" s="14">
        <v>113</v>
      </c>
      <c r="X4161" s="14">
        <v>109</v>
      </c>
    </row>
    <row r="4162" spans="1:24" hidden="1" x14ac:dyDescent="0.3">
      <c r="A4162" s="14" t="s">
        <v>498</v>
      </c>
      <c r="B4162" s="14" t="s">
        <v>169</v>
      </c>
      <c r="C4162" s="14" t="s">
        <v>363</v>
      </c>
      <c r="D4162" s="14" t="s">
        <v>364</v>
      </c>
      <c r="E4162" s="14" t="s">
        <v>342</v>
      </c>
      <c r="F4162" s="14" t="s">
        <v>343</v>
      </c>
      <c r="G4162" s="14" t="s">
        <v>343</v>
      </c>
      <c r="H4162" s="14" t="s">
        <v>343</v>
      </c>
      <c r="U4162" s="14">
        <v>1.03</v>
      </c>
      <c r="V4162" s="14">
        <v>1.03</v>
      </c>
      <c r="W4162" s="14">
        <v>1.02</v>
      </c>
      <c r="X4162" s="14">
        <v>1.02</v>
      </c>
    </row>
    <row r="4163" spans="1:24" hidden="1" x14ac:dyDescent="0.3">
      <c r="A4163" s="14" t="s">
        <v>498</v>
      </c>
      <c r="B4163" s="14" t="s">
        <v>169</v>
      </c>
      <c r="C4163" s="14" t="s">
        <v>363</v>
      </c>
      <c r="D4163" s="14" t="s">
        <v>364</v>
      </c>
      <c r="E4163" s="14" t="s">
        <v>344</v>
      </c>
      <c r="F4163" s="14" t="s">
        <v>343</v>
      </c>
      <c r="G4163" s="14" t="s">
        <v>343</v>
      </c>
      <c r="H4163" s="14" t="s">
        <v>343</v>
      </c>
      <c r="U4163" s="14">
        <v>124</v>
      </c>
      <c r="V4163" s="14">
        <v>128</v>
      </c>
      <c r="W4163" s="14">
        <v>100</v>
      </c>
      <c r="X4163" s="14">
        <v>93</v>
      </c>
    </row>
    <row r="4164" spans="1:24" hidden="1" x14ac:dyDescent="0.3">
      <c r="A4164" s="14" t="s">
        <v>498</v>
      </c>
      <c r="B4164" s="14" t="s">
        <v>169</v>
      </c>
      <c r="C4164" s="14" t="s">
        <v>365</v>
      </c>
      <c r="D4164" s="14" t="s">
        <v>366</v>
      </c>
      <c r="E4164" s="14" t="s">
        <v>342</v>
      </c>
      <c r="F4164" s="14" t="s">
        <v>343</v>
      </c>
      <c r="G4164" s="14" t="s">
        <v>343</v>
      </c>
      <c r="H4164" s="14" t="s">
        <v>343</v>
      </c>
      <c r="U4164" s="14">
        <v>0.94</v>
      </c>
      <c r="V4164" s="14">
        <v>0.94</v>
      </c>
      <c r="W4164" s="14">
        <v>0.94</v>
      </c>
      <c r="X4164" s="14">
        <v>0.94</v>
      </c>
    </row>
    <row r="4165" spans="1:24" hidden="1" x14ac:dyDescent="0.3">
      <c r="A4165" s="14" t="s">
        <v>498</v>
      </c>
      <c r="B4165" s="14" t="s">
        <v>169</v>
      </c>
      <c r="C4165" s="14" t="s">
        <v>365</v>
      </c>
      <c r="D4165" s="14" t="s">
        <v>366</v>
      </c>
      <c r="E4165" s="14" t="s">
        <v>344</v>
      </c>
      <c r="F4165" s="14" t="s">
        <v>343</v>
      </c>
      <c r="G4165" s="14" t="s">
        <v>343</v>
      </c>
      <c r="H4165" s="14" t="s">
        <v>343</v>
      </c>
      <c r="U4165" s="14">
        <v>133</v>
      </c>
      <c r="V4165" s="14">
        <v>130</v>
      </c>
      <c r="W4165" s="14">
        <v>136</v>
      </c>
      <c r="X4165" s="14">
        <v>131</v>
      </c>
    </row>
    <row r="4166" spans="1:24" hidden="1" x14ac:dyDescent="0.3">
      <c r="A4166" s="14" t="s">
        <v>498</v>
      </c>
      <c r="B4166" s="14" t="s">
        <v>169</v>
      </c>
      <c r="C4166" s="14" t="s">
        <v>367</v>
      </c>
      <c r="D4166" s="14" t="s">
        <v>368</v>
      </c>
      <c r="E4166" s="14" t="s">
        <v>342</v>
      </c>
      <c r="F4166" s="14" t="s">
        <v>343</v>
      </c>
      <c r="G4166" s="14" t="s">
        <v>343</v>
      </c>
      <c r="H4166" s="14" t="s">
        <v>343</v>
      </c>
      <c r="I4166" s="14">
        <v>0.55000000000000004</v>
      </c>
      <c r="J4166" s="14">
        <v>0.56000000000000005</v>
      </c>
      <c r="K4166" s="14">
        <v>0.59</v>
      </c>
      <c r="L4166" s="14">
        <v>0.62</v>
      </c>
      <c r="M4166" s="14">
        <v>0.61</v>
      </c>
      <c r="N4166" s="14">
        <v>0.59</v>
      </c>
      <c r="O4166" s="14">
        <v>0.6</v>
      </c>
      <c r="P4166" s="14">
        <v>0.61</v>
      </c>
      <c r="Q4166" s="14">
        <v>0.65</v>
      </c>
      <c r="R4166" s="14">
        <v>0.66</v>
      </c>
      <c r="S4166" s="14">
        <v>0.66</v>
      </c>
      <c r="T4166" s="14">
        <v>0.66</v>
      </c>
      <c r="U4166" s="14">
        <v>0.67</v>
      </c>
      <c r="V4166" s="14">
        <v>0.68</v>
      </c>
      <c r="W4166" s="14">
        <v>0.68</v>
      </c>
      <c r="X4166" s="14">
        <v>0.69</v>
      </c>
    </row>
    <row r="4167" spans="1:24" hidden="1" x14ac:dyDescent="0.3">
      <c r="A4167" s="14" t="s">
        <v>498</v>
      </c>
      <c r="B4167" s="14" t="s">
        <v>169</v>
      </c>
      <c r="C4167" s="14" t="s">
        <v>367</v>
      </c>
      <c r="D4167" s="14" t="s">
        <v>368</v>
      </c>
      <c r="E4167" s="14" t="s">
        <v>344</v>
      </c>
      <c r="F4167" s="14" t="s">
        <v>343</v>
      </c>
      <c r="G4167" s="14" t="s">
        <v>343</v>
      </c>
      <c r="H4167" s="14" t="s">
        <v>343</v>
      </c>
      <c r="I4167" s="14">
        <v>111</v>
      </c>
      <c r="J4167" s="14">
        <v>125</v>
      </c>
      <c r="K4167" s="14">
        <v>120</v>
      </c>
      <c r="L4167" s="14">
        <v>110</v>
      </c>
      <c r="M4167" s="14">
        <v>115</v>
      </c>
      <c r="N4167" s="14">
        <v>126</v>
      </c>
      <c r="O4167" s="14">
        <v>123</v>
      </c>
      <c r="P4167" s="14">
        <v>121</v>
      </c>
      <c r="Q4167" s="14">
        <v>112</v>
      </c>
      <c r="R4167" s="14">
        <v>110</v>
      </c>
      <c r="S4167" s="14">
        <v>110</v>
      </c>
      <c r="T4167" s="14">
        <v>111</v>
      </c>
      <c r="U4167" s="14">
        <v>105</v>
      </c>
      <c r="V4167" s="14">
        <v>101</v>
      </c>
      <c r="W4167" s="14">
        <v>106</v>
      </c>
      <c r="X4167" s="14">
        <v>96</v>
      </c>
    </row>
    <row r="4168" spans="1:24" hidden="1" x14ac:dyDescent="0.3">
      <c r="A4168" s="14" t="s">
        <v>498</v>
      </c>
      <c r="B4168" s="14" t="s">
        <v>169</v>
      </c>
      <c r="C4168" s="14" t="s">
        <v>369</v>
      </c>
      <c r="D4168" s="14" t="s">
        <v>370</v>
      </c>
      <c r="E4168" s="14" t="s">
        <v>342</v>
      </c>
      <c r="F4168" s="14" t="s">
        <v>343</v>
      </c>
      <c r="G4168" s="14" t="s">
        <v>343</v>
      </c>
      <c r="H4168" s="14" t="s">
        <v>343</v>
      </c>
      <c r="I4168" s="14">
        <v>0.04</v>
      </c>
      <c r="J4168" s="14">
        <v>0.08</v>
      </c>
      <c r="K4168" s="14">
        <v>0.21</v>
      </c>
      <c r="L4168" s="14">
        <v>0.22</v>
      </c>
      <c r="M4168" s="14">
        <v>0.17</v>
      </c>
      <c r="N4168" s="14">
        <v>0.17</v>
      </c>
      <c r="O4168" s="14">
        <v>0.2</v>
      </c>
      <c r="P4168" s="14">
        <v>0.2</v>
      </c>
      <c r="Q4168" s="14">
        <v>0.18</v>
      </c>
      <c r="R4168" s="14">
        <v>0.17</v>
      </c>
      <c r="S4168" s="14">
        <v>0.18</v>
      </c>
      <c r="T4168" s="14">
        <v>0.16</v>
      </c>
      <c r="U4168" s="14">
        <v>0.18</v>
      </c>
      <c r="V4168" s="14">
        <v>0.23</v>
      </c>
      <c r="W4168" s="14">
        <v>0.24</v>
      </c>
      <c r="X4168" s="14">
        <v>0.25</v>
      </c>
    </row>
    <row r="4169" spans="1:24" hidden="1" x14ac:dyDescent="0.3">
      <c r="A4169" s="14" t="s">
        <v>498</v>
      </c>
      <c r="B4169" s="14" t="s">
        <v>169</v>
      </c>
      <c r="C4169" s="14" t="s">
        <v>369</v>
      </c>
      <c r="D4169" s="14" t="s">
        <v>370</v>
      </c>
      <c r="E4169" s="14" t="s">
        <v>344</v>
      </c>
      <c r="F4169" s="14" t="s">
        <v>343</v>
      </c>
      <c r="G4169" s="14" t="s">
        <v>343</v>
      </c>
      <c r="H4169" s="14" t="s">
        <v>343</v>
      </c>
      <c r="I4169" s="14">
        <v>102</v>
      </c>
      <c r="J4169" s="14">
        <v>83</v>
      </c>
      <c r="K4169" s="14">
        <v>34</v>
      </c>
      <c r="L4169" s="14">
        <v>35</v>
      </c>
      <c r="M4169" s="14">
        <v>44</v>
      </c>
      <c r="N4169" s="14">
        <v>43</v>
      </c>
      <c r="O4169" s="14">
        <v>37</v>
      </c>
      <c r="P4169" s="14">
        <v>41</v>
      </c>
      <c r="Q4169" s="14">
        <v>61</v>
      </c>
      <c r="R4169" s="14">
        <v>70</v>
      </c>
      <c r="S4169" s="14">
        <v>68</v>
      </c>
      <c r="T4169" s="14">
        <v>80</v>
      </c>
      <c r="U4169" s="14">
        <v>66</v>
      </c>
      <c r="V4169" s="14">
        <v>59</v>
      </c>
      <c r="W4169" s="14">
        <v>61</v>
      </c>
      <c r="X4169" s="14">
        <v>58</v>
      </c>
    </row>
    <row r="4170" spans="1:24" hidden="1" x14ac:dyDescent="0.3">
      <c r="A4170" s="14" t="s">
        <v>498</v>
      </c>
      <c r="B4170" s="14" t="s">
        <v>169</v>
      </c>
      <c r="C4170" s="14" t="s">
        <v>371</v>
      </c>
      <c r="D4170" s="14" t="s">
        <v>372</v>
      </c>
      <c r="E4170" s="14" t="s">
        <v>342</v>
      </c>
      <c r="F4170" s="14" t="s">
        <v>343</v>
      </c>
      <c r="G4170" s="14" t="s">
        <v>343</v>
      </c>
      <c r="H4170" s="14" t="s">
        <v>343</v>
      </c>
      <c r="U4170" s="14">
        <v>0.06</v>
      </c>
      <c r="V4170" s="14">
        <v>0.08</v>
      </c>
      <c r="W4170" s="14">
        <v>0.12</v>
      </c>
      <c r="X4170" s="14">
        <v>0.12</v>
      </c>
    </row>
    <row r="4171" spans="1:24" hidden="1" x14ac:dyDescent="0.3">
      <c r="A4171" s="14" t="s">
        <v>498</v>
      </c>
      <c r="B4171" s="14" t="s">
        <v>169</v>
      </c>
      <c r="C4171" s="14" t="s">
        <v>371</v>
      </c>
      <c r="D4171" s="14" t="s">
        <v>372</v>
      </c>
      <c r="E4171" s="14" t="s">
        <v>344</v>
      </c>
      <c r="F4171" s="14" t="s">
        <v>343</v>
      </c>
      <c r="G4171" s="14" t="s">
        <v>343</v>
      </c>
      <c r="H4171" s="14" t="s">
        <v>343</v>
      </c>
      <c r="U4171" s="14">
        <v>41</v>
      </c>
      <c r="V4171" s="14">
        <v>35</v>
      </c>
      <c r="W4171" s="14">
        <v>29</v>
      </c>
      <c r="X4171" s="14">
        <v>28</v>
      </c>
    </row>
    <row r="4172" spans="1:24" hidden="1" x14ac:dyDescent="0.3">
      <c r="A4172" s="14" t="s">
        <v>498</v>
      </c>
      <c r="B4172" s="14" t="s">
        <v>169</v>
      </c>
      <c r="C4172" s="14" t="s">
        <v>373</v>
      </c>
      <c r="D4172" s="14" t="s">
        <v>374</v>
      </c>
      <c r="E4172" s="14" t="s">
        <v>342</v>
      </c>
      <c r="F4172" s="14" t="s">
        <v>343</v>
      </c>
      <c r="G4172" s="14" t="s">
        <v>343</v>
      </c>
      <c r="H4172" s="14" t="s">
        <v>343</v>
      </c>
      <c r="U4172" s="14">
        <v>0.04</v>
      </c>
      <c r="V4172" s="14">
        <v>0.17</v>
      </c>
      <c r="W4172" s="14">
        <v>0.16</v>
      </c>
      <c r="X4172" s="14">
        <v>0.16</v>
      </c>
    </row>
    <row r="4173" spans="1:24" hidden="1" x14ac:dyDescent="0.3">
      <c r="A4173" s="14" t="s">
        <v>498</v>
      </c>
      <c r="B4173" s="14" t="s">
        <v>169</v>
      </c>
      <c r="C4173" s="14" t="s">
        <v>373</v>
      </c>
      <c r="D4173" s="14" t="s">
        <v>374</v>
      </c>
      <c r="E4173" s="14" t="s">
        <v>344</v>
      </c>
      <c r="F4173" s="14" t="s">
        <v>343</v>
      </c>
      <c r="G4173" s="14" t="s">
        <v>343</v>
      </c>
      <c r="H4173" s="14" t="s">
        <v>343</v>
      </c>
      <c r="U4173" s="14">
        <v>141</v>
      </c>
      <c r="V4173" s="14">
        <v>102</v>
      </c>
      <c r="W4173" s="14">
        <v>110</v>
      </c>
      <c r="X4173" s="14">
        <v>105</v>
      </c>
    </row>
    <row r="4174" spans="1:24" hidden="1" x14ac:dyDescent="0.3">
      <c r="A4174" s="14" t="s">
        <v>498</v>
      </c>
      <c r="B4174" s="14" t="s">
        <v>169</v>
      </c>
      <c r="C4174" s="14" t="s">
        <v>375</v>
      </c>
      <c r="D4174" s="14" t="s">
        <v>376</v>
      </c>
      <c r="E4174" s="14" t="s">
        <v>342</v>
      </c>
      <c r="F4174" s="14" t="s">
        <v>343</v>
      </c>
      <c r="G4174" s="14" t="s">
        <v>343</v>
      </c>
      <c r="H4174" s="14" t="s">
        <v>343</v>
      </c>
      <c r="U4174" s="14">
        <v>0.49</v>
      </c>
      <c r="V4174" s="14">
        <v>0.49</v>
      </c>
      <c r="W4174" s="14">
        <v>0.49</v>
      </c>
      <c r="X4174" s="14">
        <v>0.51</v>
      </c>
    </row>
    <row r="4175" spans="1:24" hidden="1" x14ac:dyDescent="0.3">
      <c r="A4175" s="14" t="s">
        <v>498</v>
      </c>
      <c r="B4175" s="14" t="s">
        <v>169</v>
      </c>
      <c r="C4175" s="14" t="s">
        <v>375</v>
      </c>
      <c r="D4175" s="14" t="s">
        <v>376</v>
      </c>
      <c r="E4175" s="14" t="s">
        <v>344</v>
      </c>
      <c r="F4175" s="14" t="s">
        <v>343</v>
      </c>
      <c r="G4175" s="14" t="s">
        <v>343</v>
      </c>
      <c r="H4175" s="14" t="s">
        <v>343</v>
      </c>
      <c r="U4175" s="14">
        <v>34</v>
      </c>
      <c r="V4175" s="14">
        <v>34</v>
      </c>
      <c r="W4175" s="14">
        <v>40</v>
      </c>
      <c r="X4175" s="14">
        <v>45</v>
      </c>
    </row>
    <row r="4176" spans="1:24" hidden="1" x14ac:dyDescent="0.3">
      <c r="A4176" s="14" t="s">
        <v>499</v>
      </c>
      <c r="B4176" s="14" t="s">
        <v>172</v>
      </c>
      <c r="C4176" s="14" t="s">
        <v>340</v>
      </c>
      <c r="D4176" s="14" t="s">
        <v>341</v>
      </c>
      <c r="E4176" s="14" t="s">
        <v>342</v>
      </c>
      <c r="F4176" s="14" t="s">
        <v>343</v>
      </c>
      <c r="G4176" s="14" t="s">
        <v>343</v>
      </c>
      <c r="H4176" s="14" t="s">
        <v>343</v>
      </c>
      <c r="I4176" s="14">
        <v>1</v>
      </c>
      <c r="J4176" s="14">
        <v>1</v>
      </c>
      <c r="K4176" s="14">
        <v>1</v>
      </c>
      <c r="L4176" s="14">
        <v>1</v>
      </c>
      <c r="M4176" s="14">
        <v>1</v>
      </c>
      <c r="N4176" s="14">
        <v>1</v>
      </c>
      <c r="O4176" s="14">
        <v>1</v>
      </c>
      <c r="P4176" s="14">
        <v>1</v>
      </c>
      <c r="Q4176" s="14">
        <v>1</v>
      </c>
      <c r="R4176" s="14">
        <v>1</v>
      </c>
      <c r="S4176" s="14">
        <v>1</v>
      </c>
      <c r="T4176" s="14">
        <v>1</v>
      </c>
      <c r="U4176" s="14">
        <v>1</v>
      </c>
      <c r="V4176" s="14">
        <v>1</v>
      </c>
      <c r="W4176" s="14">
        <v>1</v>
      </c>
      <c r="X4176" s="14">
        <v>1</v>
      </c>
    </row>
    <row r="4177" spans="1:24" hidden="1" x14ac:dyDescent="0.3">
      <c r="A4177" s="14" t="s">
        <v>499</v>
      </c>
      <c r="B4177" s="14" t="s">
        <v>172</v>
      </c>
      <c r="C4177" s="14" t="s">
        <v>340</v>
      </c>
      <c r="D4177" s="14" t="s">
        <v>341</v>
      </c>
      <c r="E4177" s="14" t="s">
        <v>344</v>
      </c>
      <c r="F4177" s="14" t="s">
        <v>343</v>
      </c>
      <c r="G4177" s="14" t="s">
        <v>343</v>
      </c>
      <c r="H4177" s="14" t="s">
        <v>343</v>
      </c>
      <c r="I4177" s="14">
        <v>16</v>
      </c>
      <c r="J4177" s="14">
        <v>19</v>
      </c>
      <c r="K4177" s="14">
        <v>1</v>
      </c>
      <c r="L4177" s="14">
        <v>1</v>
      </c>
      <c r="M4177" s="14">
        <v>1</v>
      </c>
      <c r="N4177" s="14">
        <v>1</v>
      </c>
      <c r="O4177" s="14">
        <v>1</v>
      </c>
      <c r="P4177" s="14">
        <v>1</v>
      </c>
      <c r="Q4177" s="14">
        <v>1</v>
      </c>
      <c r="R4177" s="14">
        <v>1</v>
      </c>
      <c r="S4177" s="14">
        <v>40</v>
      </c>
      <c r="T4177" s="14">
        <v>43</v>
      </c>
      <c r="U4177" s="14">
        <v>1</v>
      </c>
      <c r="V4177" s="14">
        <v>1</v>
      </c>
      <c r="W4177" s="14">
        <v>1</v>
      </c>
      <c r="X4177" s="14">
        <v>1</v>
      </c>
    </row>
    <row r="4178" spans="1:24" hidden="1" x14ac:dyDescent="0.3">
      <c r="A4178" s="14" t="s">
        <v>499</v>
      </c>
      <c r="B4178" s="14" t="s">
        <v>172</v>
      </c>
      <c r="C4178" s="14" t="s">
        <v>345</v>
      </c>
      <c r="D4178" s="14" t="s">
        <v>346</v>
      </c>
      <c r="E4178" s="14" t="s">
        <v>342</v>
      </c>
      <c r="F4178" s="14" t="s">
        <v>343</v>
      </c>
      <c r="G4178" s="14" t="s">
        <v>343</v>
      </c>
      <c r="H4178" s="14" t="s">
        <v>343</v>
      </c>
      <c r="U4178" s="14">
        <v>0.62</v>
      </c>
      <c r="V4178" s="14">
        <v>0.61</v>
      </c>
      <c r="W4178" s="14">
        <v>0.64</v>
      </c>
      <c r="X4178" s="14">
        <v>0.63</v>
      </c>
    </row>
    <row r="4179" spans="1:24" hidden="1" x14ac:dyDescent="0.3">
      <c r="A4179" s="14" t="s">
        <v>499</v>
      </c>
      <c r="B4179" s="14" t="s">
        <v>172</v>
      </c>
      <c r="C4179" s="14" t="s">
        <v>345</v>
      </c>
      <c r="D4179" s="14" t="s">
        <v>346</v>
      </c>
      <c r="E4179" s="14" t="s">
        <v>344</v>
      </c>
      <c r="F4179" s="14" t="s">
        <v>343</v>
      </c>
      <c r="G4179" s="14" t="s">
        <v>343</v>
      </c>
      <c r="H4179" s="14" t="s">
        <v>343</v>
      </c>
      <c r="U4179" s="14">
        <v>72</v>
      </c>
      <c r="V4179" s="14">
        <v>77</v>
      </c>
      <c r="W4179" s="14">
        <v>66</v>
      </c>
      <c r="X4179" s="14">
        <v>78</v>
      </c>
    </row>
    <row r="4180" spans="1:24" hidden="1" x14ac:dyDescent="0.3">
      <c r="A4180" s="14" t="s">
        <v>499</v>
      </c>
      <c r="B4180" s="14" t="s">
        <v>172</v>
      </c>
      <c r="C4180" s="14" t="s">
        <v>347</v>
      </c>
      <c r="D4180" s="14" t="s">
        <v>348</v>
      </c>
      <c r="E4180" s="14" t="s">
        <v>342</v>
      </c>
      <c r="F4180" s="14" t="s">
        <v>343</v>
      </c>
      <c r="G4180" s="14" t="s">
        <v>343</v>
      </c>
      <c r="H4180" s="14" t="s">
        <v>343</v>
      </c>
      <c r="U4180" s="14">
        <v>0.88</v>
      </c>
      <c r="V4180" s="14">
        <v>0.89</v>
      </c>
      <c r="W4180" s="14">
        <v>0.9</v>
      </c>
      <c r="X4180" s="14">
        <v>0.86</v>
      </c>
    </row>
    <row r="4181" spans="1:24" hidden="1" x14ac:dyDescent="0.3">
      <c r="A4181" s="14" t="s">
        <v>499</v>
      </c>
      <c r="B4181" s="14" t="s">
        <v>172</v>
      </c>
      <c r="C4181" s="14" t="s">
        <v>347</v>
      </c>
      <c r="D4181" s="14" t="s">
        <v>348</v>
      </c>
      <c r="E4181" s="14" t="s">
        <v>344</v>
      </c>
      <c r="F4181" s="14" t="s">
        <v>343</v>
      </c>
      <c r="G4181" s="14" t="s">
        <v>343</v>
      </c>
      <c r="H4181" s="14" t="s">
        <v>343</v>
      </c>
      <c r="U4181" s="14">
        <v>48</v>
      </c>
      <c r="V4181" s="14">
        <v>46</v>
      </c>
      <c r="W4181" s="14">
        <v>39</v>
      </c>
      <c r="X4181" s="14">
        <v>40</v>
      </c>
    </row>
    <row r="4182" spans="1:24" hidden="1" x14ac:dyDescent="0.3">
      <c r="A4182" s="14" t="s">
        <v>499</v>
      </c>
      <c r="B4182" s="14" t="s">
        <v>172</v>
      </c>
      <c r="C4182" s="14" t="s">
        <v>349</v>
      </c>
      <c r="D4182" s="14" t="s">
        <v>350</v>
      </c>
      <c r="E4182" s="14" t="s">
        <v>342</v>
      </c>
      <c r="F4182" s="14" t="s">
        <v>343</v>
      </c>
      <c r="G4182" s="14" t="s">
        <v>343</v>
      </c>
      <c r="H4182" s="14" t="s">
        <v>343</v>
      </c>
      <c r="U4182" s="14">
        <v>0.67</v>
      </c>
      <c r="V4182" s="14">
        <v>0.66</v>
      </c>
      <c r="W4182" s="14">
        <v>0.66</v>
      </c>
    </row>
    <row r="4183" spans="1:24" hidden="1" x14ac:dyDescent="0.3">
      <c r="A4183" s="14" t="s">
        <v>499</v>
      </c>
      <c r="B4183" s="14" t="s">
        <v>172</v>
      </c>
      <c r="C4183" s="14" t="s">
        <v>349</v>
      </c>
      <c r="D4183" s="14" t="s">
        <v>350</v>
      </c>
      <c r="E4183" s="14" t="s">
        <v>344</v>
      </c>
      <c r="F4183" s="14" t="s">
        <v>343</v>
      </c>
      <c r="G4183" s="14" t="s">
        <v>343</v>
      </c>
      <c r="H4183" s="14" t="s">
        <v>343</v>
      </c>
      <c r="U4183" s="14">
        <v>25</v>
      </c>
      <c r="V4183" s="14">
        <v>26</v>
      </c>
      <c r="W4183" s="14">
        <v>37</v>
      </c>
    </row>
    <row r="4184" spans="1:24" hidden="1" x14ac:dyDescent="0.3">
      <c r="A4184" s="14" t="s">
        <v>499</v>
      </c>
      <c r="B4184" s="14" t="s">
        <v>172</v>
      </c>
      <c r="C4184" s="14" t="s">
        <v>351</v>
      </c>
      <c r="D4184" s="14" t="s">
        <v>352</v>
      </c>
      <c r="E4184" s="14" t="s">
        <v>342</v>
      </c>
      <c r="F4184" s="14" t="s">
        <v>343</v>
      </c>
      <c r="G4184" s="14" t="s">
        <v>343</v>
      </c>
      <c r="H4184" s="14" t="s">
        <v>343</v>
      </c>
      <c r="U4184" s="14">
        <v>1</v>
      </c>
      <c r="V4184" s="14">
        <v>1</v>
      </c>
      <c r="W4184" s="14">
        <v>1</v>
      </c>
    </row>
    <row r="4185" spans="1:24" hidden="1" x14ac:dyDescent="0.3">
      <c r="A4185" s="14" t="s">
        <v>499</v>
      </c>
      <c r="B4185" s="14" t="s">
        <v>172</v>
      </c>
      <c r="C4185" s="14" t="s">
        <v>351</v>
      </c>
      <c r="D4185" s="14" t="s">
        <v>352</v>
      </c>
      <c r="E4185" s="14" t="s">
        <v>344</v>
      </c>
      <c r="F4185" s="14" t="s">
        <v>343</v>
      </c>
      <c r="G4185" s="14" t="s">
        <v>343</v>
      </c>
      <c r="H4185" s="14" t="s">
        <v>343</v>
      </c>
      <c r="U4185" s="14">
        <v>1</v>
      </c>
      <c r="V4185" s="14">
        <v>1</v>
      </c>
      <c r="W4185" s="14">
        <v>1</v>
      </c>
    </row>
    <row r="4186" spans="1:24" hidden="1" x14ac:dyDescent="0.3">
      <c r="A4186" s="14" t="s">
        <v>499</v>
      </c>
      <c r="B4186" s="14" t="s">
        <v>172</v>
      </c>
      <c r="C4186" s="14" t="s">
        <v>378</v>
      </c>
      <c r="D4186" s="14" t="s">
        <v>379</v>
      </c>
      <c r="E4186" s="14" t="s">
        <v>342</v>
      </c>
      <c r="F4186" s="14" t="s">
        <v>343</v>
      </c>
      <c r="G4186" s="14" t="s">
        <v>343</v>
      </c>
      <c r="H4186" s="14" t="s">
        <v>343</v>
      </c>
      <c r="S4186" s="14">
        <v>0.75</v>
      </c>
      <c r="U4186" s="14">
        <v>0.73</v>
      </c>
      <c r="V4186" s="14">
        <v>0.71</v>
      </c>
      <c r="W4186" s="14">
        <v>0.72</v>
      </c>
      <c r="X4186" s="14">
        <v>0.73</v>
      </c>
    </row>
    <row r="4187" spans="1:24" hidden="1" x14ac:dyDescent="0.3">
      <c r="A4187" s="14" t="s">
        <v>499</v>
      </c>
      <c r="B4187" s="14" t="s">
        <v>172</v>
      </c>
      <c r="C4187" s="14" t="s">
        <v>378</v>
      </c>
      <c r="D4187" s="14" t="s">
        <v>379</v>
      </c>
      <c r="E4187" s="14" t="s">
        <v>344</v>
      </c>
      <c r="F4187" s="14" t="s">
        <v>343</v>
      </c>
      <c r="G4187" s="14" t="s">
        <v>343</v>
      </c>
      <c r="H4187" s="14" t="s">
        <v>343</v>
      </c>
      <c r="S4187" s="14">
        <v>23</v>
      </c>
      <c r="U4187" s="14">
        <v>26</v>
      </c>
      <c r="V4187" s="14">
        <v>38</v>
      </c>
      <c r="W4187" s="14">
        <v>41</v>
      </c>
      <c r="X4187" s="14">
        <v>32</v>
      </c>
    </row>
    <row r="4188" spans="1:24" hidden="1" x14ac:dyDescent="0.3">
      <c r="A4188" s="14" t="s">
        <v>499</v>
      </c>
      <c r="B4188" s="14" t="s">
        <v>172</v>
      </c>
      <c r="C4188" s="14" t="s">
        <v>353</v>
      </c>
      <c r="D4188" s="14" t="s">
        <v>354</v>
      </c>
      <c r="E4188" s="14" t="s">
        <v>342</v>
      </c>
      <c r="F4188" s="14" t="s">
        <v>343</v>
      </c>
      <c r="G4188" s="14" t="s">
        <v>343</v>
      </c>
      <c r="H4188" s="14" t="s">
        <v>343</v>
      </c>
      <c r="U4188" s="14">
        <v>1</v>
      </c>
      <c r="V4188" s="14">
        <v>1</v>
      </c>
      <c r="W4188" s="14">
        <v>1</v>
      </c>
      <c r="X4188" s="14">
        <v>1</v>
      </c>
    </row>
    <row r="4189" spans="1:24" hidden="1" x14ac:dyDescent="0.3">
      <c r="A4189" s="14" t="s">
        <v>499</v>
      </c>
      <c r="B4189" s="14" t="s">
        <v>172</v>
      </c>
      <c r="C4189" s="14" t="s">
        <v>353</v>
      </c>
      <c r="D4189" s="14" t="s">
        <v>354</v>
      </c>
      <c r="E4189" s="14" t="s">
        <v>344</v>
      </c>
      <c r="F4189" s="14" t="s">
        <v>343</v>
      </c>
      <c r="G4189" s="14" t="s">
        <v>343</v>
      </c>
      <c r="H4189" s="14" t="s">
        <v>343</v>
      </c>
      <c r="U4189" s="14">
        <v>1</v>
      </c>
      <c r="V4189" s="14">
        <v>1</v>
      </c>
      <c r="W4189" s="14">
        <v>1</v>
      </c>
      <c r="X4189" s="14">
        <v>1</v>
      </c>
    </row>
    <row r="4190" spans="1:24" hidden="1" x14ac:dyDescent="0.3">
      <c r="A4190" s="14" t="s">
        <v>499</v>
      </c>
      <c r="B4190" s="14" t="s">
        <v>172</v>
      </c>
      <c r="C4190" s="14" t="s">
        <v>380</v>
      </c>
      <c r="D4190" s="14" t="s">
        <v>381</v>
      </c>
      <c r="E4190" s="14" t="s">
        <v>342</v>
      </c>
      <c r="F4190" s="14" t="s">
        <v>343</v>
      </c>
      <c r="G4190" s="14" t="s">
        <v>343</v>
      </c>
      <c r="H4190" s="14" t="s">
        <v>343</v>
      </c>
      <c r="U4190" s="14">
        <v>1</v>
      </c>
      <c r="V4190" s="14">
        <v>1</v>
      </c>
      <c r="W4190" s="14">
        <v>1</v>
      </c>
      <c r="X4190" s="14">
        <v>1</v>
      </c>
    </row>
    <row r="4191" spans="1:24" hidden="1" x14ac:dyDescent="0.3">
      <c r="A4191" s="14" t="s">
        <v>499</v>
      </c>
      <c r="B4191" s="14" t="s">
        <v>172</v>
      </c>
      <c r="C4191" s="14" t="s">
        <v>380</v>
      </c>
      <c r="D4191" s="14" t="s">
        <v>381</v>
      </c>
      <c r="E4191" s="14" t="s">
        <v>344</v>
      </c>
      <c r="F4191" s="14" t="s">
        <v>343</v>
      </c>
      <c r="G4191" s="14" t="s">
        <v>343</v>
      </c>
      <c r="H4191" s="14" t="s">
        <v>343</v>
      </c>
      <c r="U4191" s="14">
        <v>1</v>
      </c>
      <c r="V4191" s="14">
        <v>1</v>
      </c>
      <c r="W4191" s="14">
        <v>1</v>
      </c>
      <c r="X4191" s="14">
        <v>1</v>
      </c>
    </row>
    <row r="4192" spans="1:24" hidden="1" x14ac:dyDescent="0.3">
      <c r="A4192" s="14" t="s">
        <v>499</v>
      </c>
      <c r="B4192" s="14" t="s">
        <v>172</v>
      </c>
      <c r="C4192" s="14" t="s">
        <v>355</v>
      </c>
      <c r="D4192" s="14" t="s">
        <v>356</v>
      </c>
      <c r="E4192" s="14" t="s">
        <v>342</v>
      </c>
      <c r="F4192" s="14" t="s">
        <v>343</v>
      </c>
      <c r="G4192" s="14" t="s">
        <v>343</v>
      </c>
      <c r="H4192" s="14" t="s">
        <v>343</v>
      </c>
      <c r="U4192" s="14">
        <v>1</v>
      </c>
      <c r="V4192" s="14">
        <v>1</v>
      </c>
      <c r="W4192" s="14">
        <v>1</v>
      </c>
      <c r="X4192" s="14">
        <v>1</v>
      </c>
    </row>
    <row r="4193" spans="1:24" hidden="1" x14ac:dyDescent="0.3">
      <c r="A4193" s="14" t="s">
        <v>499</v>
      </c>
      <c r="B4193" s="14" t="s">
        <v>172</v>
      </c>
      <c r="C4193" s="14" t="s">
        <v>355</v>
      </c>
      <c r="D4193" s="14" t="s">
        <v>356</v>
      </c>
      <c r="E4193" s="14" t="s">
        <v>344</v>
      </c>
      <c r="F4193" s="14" t="s">
        <v>343</v>
      </c>
      <c r="G4193" s="14" t="s">
        <v>343</v>
      </c>
      <c r="H4193" s="14" t="s">
        <v>343</v>
      </c>
      <c r="U4193" s="14">
        <v>1</v>
      </c>
      <c r="V4193" s="14">
        <v>1</v>
      </c>
      <c r="W4193" s="14">
        <v>1</v>
      </c>
      <c r="X4193" s="14">
        <v>1</v>
      </c>
    </row>
    <row r="4194" spans="1:24" hidden="1" x14ac:dyDescent="0.3">
      <c r="A4194" s="14" t="s">
        <v>499</v>
      </c>
      <c r="B4194" s="14" t="s">
        <v>172</v>
      </c>
      <c r="C4194" s="14" t="s">
        <v>357</v>
      </c>
      <c r="D4194" s="14" t="s">
        <v>358</v>
      </c>
      <c r="E4194" s="14" t="s">
        <v>342</v>
      </c>
      <c r="F4194" s="14" t="s">
        <v>343</v>
      </c>
      <c r="G4194" s="14" t="s">
        <v>343</v>
      </c>
      <c r="H4194" s="14" t="s">
        <v>343</v>
      </c>
      <c r="U4194" s="14">
        <v>1</v>
      </c>
      <c r="V4194" s="14">
        <v>1</v>
      </c>
      <c r="W4194" s="14">
        <v>1</v>
      </c>
      <c r="X4194" s="14">
        <v>1</v>
      </c>
    </row>
    <row r="4195" spans="1:24" hidden="1" x14ac:dyDescent="0.3">
      <c r="A4195" s="14" t="s">
        <v>499</v>
      </c>
      <c r="B4195" s="14" t="s">
        <v>172</v>
      </c>
      <c r="C4195" s="14" t="s">
        <v>357</v>
      </c>
      <c r="D4195" s="14" t="s">
        <v>358</v>
      </c>
      <c r="E4195" s="14" t="s">
        <v>344</v>
      </c>
      <c r="F4195" s="14" t="s">
        <v>343</v>
      </c>
      <c r="G4195" s="14" t="s">
        <v>343</v>
      </c>
      <c r="H4195" s="14" t="s">
        <v>343</v>
      </c>
      <c r="U4195" s="14">
        <v>1</v>
      </c>
      <c r="V4195" s="14">
        <v>1</v>
      </c>
      <c r="W4195" s="14">
        <v>1</v>
      </c>
      <c r="X4195" s="14">
        <v>1</v>
      </c>
    </row>
    <row r="4196" spans="1:24" hidden="1" x14ac:dyDescent="0.3">
      <c r="A4196" s="14" t="s">
        <v>499</v>
      </c>
      <c r="B4196" s="14" t="s">
        <v>172</v>
      </c>
      <c r="C4196" s="14" t="s">
        <v>359</v>
      </c>
      <c r="D4196" s="14" t="s">
        <v>360</v>
      </c>
      <c r="E4196" s="14" t="s">
        <v>342</v>
      </c>
      <c r="F4196" s="14" t="s">
        <v>343</v>
      </c>
      <c r="G4196" s="14" t="s">
        <v>343</v>
      </c>
      <c r="H4196" s="14" t="s">
        <v>343</v>
      </c>
      <c r="I4196" s="14">
        <v>0.71</v>
      </c>
      <c r="J4196" s="14">
        <v>0.76</v>
      </c>
      <c r="K4196" s="14">
        <v>0.78</v>
      </c>
      <c r="L4196" s="14">
        <v>0.78</v>
      </c>
      <c r="M4196" s="14">
        <v>0.77</v>
      </c>
      <c r="N4196" s="14">
        <v>0.77</v>
      </c>
      <c r="O4196" s="14">
        <v>0.78</v>
      </c>
      <c r="P4196" s="14">
        <v>0.78</v>
      </c>
      <c r="Q4196" s="14">
        <v>0.75</v>
      </c>
      <c r="R4196" s="14">
        <v>0.77</v>
      </c>
      <c r="S4196" s="14">
        <v>0.76</v>
      </c>
      <c r="T4196" s="14">
        <v>0.77</v>
      </c>
      <c r="U4196" s="14">
        <v>0.76</v>
      </c>
      <c r="V4196" s="14">
        <v>0.75</v>
      </c>
      <c r="W4196" s="14">
        <v>0.76</v>
      </c>
      <c r="X4196" s="14">
        <v>0.74</v>
      </c>
    </row>
    <row r="4197" spans="1:24" hidden="1" x14ac:dyDescent="0.3">
      <c r="A4197" s="14" t="s">
        <v>499</v>
      </c>
      <c r="B4197" s="14" t="s">
        <v>172</v>
      </c>
      <c r="C4197" s="14" t="s">
        <v>359</v>
      </c>
      <c r="D4197" s="14" t="s">
        <v>360</v>
      </c>
      <c r="E4197" s="14" t="s">
        <v>344</v>
      </c>
      <c r="F4197" s="14" t="s">
        <v>343</v>
      </c>
      <c r="G4197" s="14" t="s">
        <v>343</v>
      </c>
      <c r="H4197" s="14" t="s">
        <v>343</v>
      </c>
      <c r="I4197" s="14">
        <v>14</v>
      </c>
      <c r="J4197" s="14">
        <v>8</v>
      </c>
      <c r="K4197" s="14">
        <v>7</v>
      </c>
      <c r="L4197" s="14">
        <v>7</v>
      </c>
      <c r="M4197" s="14">
        <v>9</v>
      </c>
      <c r="N4197" s="14">
        <v>11</v>
      </c>
      <c r="O4197" s="14">
        <v>15</v>
      </c>
      <c r="P4197" s="14">
        <v>15</v>
      </c>
      <c r="Q4197" s="14">
        <v>30</v>
      </c>
      <c r="R4197" s="14">
        <v>30</v>
      </c>
      <c r="S4197" s="14">
        <v>24</v>
      </c>
      <c r="T4197" s="14">
        <v>23</v>
      </c>
      <c r="U4197" s="14">
        <v>23</v>
      </c>
      <c r="V4197" s="14">
        <v>27</v>
      </c>
      <c r="W4197" s="14">
        <v>27</v>
      </c>
      <c r="X4197" s="14">
        <v>39</v>
      </c>
    </row>
    <row r="4198" spans="1:24" x14ac:dyDescent="0.3">
      <c r="A4198" s="14" t="s">
        <v>499</v>
      </c>
      <c r="B4198" s="14" t="s">
        <v>172</v>
      </c>
      <c r="C4198" s="14" t="s">
        <v>361</v>
      </c>
      <c r="D4198" s="14" t="s">
        <v>362</v>
      </c>
      <c r="E4198" s="14" t="s">
        <v>342</v>
      </c>
      <c r="F4198" s="14" t="s">
        <v>343</v>
      </c>
      <c r="G4198" s="14" t="s">
        <v>343</v>
      </c>
      <c r="H4198" s="14" t="s">
        <v>343</v>
      </c>
      <c r="I4198" s="14">
        <v>0.97</v>
      </c>
      <c r="J4198" s="14">
        <v>0.97</v>
      </c>
      <c r="K4198" s="14">
        <v>0.97</v>
      </c>
      <c r="L4198" s="14">
        <v>0.97</v>
      </c>
      <c r="M4198" s="14">
        <v>0.97</v>
      </c>
      <c r="N4198" s="14">
        <v>0.97</v>
      </c>
      <c r="O4198" s="14">
        <v>0.97</v>
      </c>
      <c r="P4198" s="14">
        <v>0.97</v>
      </c>
      <c r="Q4198" s="14">
        <v>0.97</v>
      </c>
      <c r="R4198" s="14">
        <v>0.97</v>
      </c>
      <c r="S4198" s="14">
        <v>0.97</v>
      </c>
      <c r="T4198" s="14">
        <v>0.97</v>
      </c>
      <c r="U4198" s="14">
        <v>0.97</v>
      </c>
      <c r="V4198" s="14">
        <v>0.97</v>
      </c>
      <c r="W4198" s="14">
        <v>0.97</v>
      </c>
      <c r="X4198" s="14">
        <v>0.97</v>
      </c>
    </row>
    <row r="4199" spans="1:24" hidden="1" x14ac:dyDescent="0.3">
      <c r="A4199" s="14" t="s">
        <v>499</v>
      </c>
      <c r="B4199" s="14" t="s">
        <v>172</v>
      </c>
      <c r="C4199" s="14" t="s">
        <v>361</v>
      </c>
      <c r="D4199" s="14" t="s">
        <v>362</v>
      </c>
      <c r="E4199" s="14" t="s">
        <v>344</v>
      </c>
      <c r="F4199" s="14" t="s">
        <v>343</v>
      </c>
      <c r="G4199" s="14" t="s">
        <v>343</v>
      </c>
      <c r="H4199" s="14" t="s">
        <v>343</v>
      </c>
      <c r="I4199" s="14">
        <v>69</v>
      </c>
      <c r="J4199" s="14">
        <v>67</v>
      </c>
      <c r="K4199" s="14">
        <v>69</v>
      </c>
      <c r="L4199" s="14">
        <v>72</v>
      </c>
      <c r="M4199" s="14">
        <v>91</v>
      </c>
      <c r="N4199" s="14">
        <v>92</v>
      </c>
      <c r="O4199" s="14">
        <v>94</v>
      </c>
      <c r="P4199" s="14">
        <v>93</v>
      </c>
      <c r="Q4199" s="14">
        <v>96</v>
      </c>
      <c r="R4199" s="14">
        <v>105</v>
      </c>
      <c r="S4199" s="14">
        <v>104</v>
      </c>
      <c r="T4199" s="14">
        <v>115</v>
      </c>
      <c r="U4199" s="14">
        <v>107</v>
      </c>
      <c r="V4199" s="14">
        <v>109</v>
      </c>
      <c r="W4199" s="14">
        <v>106</v>
      </c>
      <c r="X4199" s="14">
        <v>100</v>
      </c>
    </row>
    <row r="4200" spans="1:24" hidden="1" x14ac:dyDescent="0.3">
      <c r="A4200" s="14" t="s">
        <v>499</v>
      </c>
      <c r="B4200" s="14" t="s">
        <v>172</v>
      </c>
      <c r="C4200" s="14" t="s">
        <v>363</v>
      </c>
      <c r="D4200" s="14" t="s">
        <v>364</v>
      </c>
      <c r="E4200" s="14" t="s">
        <v>342</v>
      </c>
      <c r="F4200" s="14" t="s">
        <v>343</v>
      </c>
      <c r="G4200" s="14" t="s">
        <v>343</v>
      </c>
      <c r="H4200" s="14" t="s">
        <v>343</v>
      </c>
      <c r="U4200" s="14">
        <v>1.03</v>
      </c>
      <c r="V4200" s="14">
        <v>1.03</v>
      </c>
      <c r="W4200" s="14">
        <v>1.02</v>
      </c>
      <c r="X4200" s="14">
        <v>1.02</v>
      </c>
    </row>
    <row r="4201" spans="1:24" hidden="1" x14ac:dyDescent="0.3">
      <c r="A4201" s="14" t="s">
        <v>499</v>
      </c>
      <c r="B4201" s="14" t="s">
        <v>172</v>
      </c>
      <c r="C4201" s="14" t="s">
        <v>363</v>
      </c>
      <c r="D4201" s="14" t="s">
        <v>364</v>
      </c>
      <c r="E4201" s="14" t="s">
        <v>344</v>
      </c>
      <c r="F4201" s="14" t="s">
        <v>343</v>
      </c>
      <c r="G4201" s="14" t="s">
        <v>343</v>
      </c>
      <c r="H4201" s="14" t="s">
        <v>343</v>
      </c>
      <c r="U4201" s="14">
        <v>116</v>
      </c>
      <c r="V4201" s="14">
        <v>119</v>
      </c>
      <c r="W4201" s="14">
        <v>117</v>
      </c>
      <c r="X4201" s="14">
        <v>109</v>
      </c>
    </row>
    <row r="4202" spans="1:24" hidden="1" x14ac:dyDescent="0.3">
      <c r="A4202" s="14" t="s">
        <v>499</v>
      </c>
      <c r="B4202" s="14" t="s">
        <v>172</v>
      </c>
      <c r="C4202" s="14" t="s">
        <v>365</v>
      </c>
      <c r="D4202" s="14" t="s">
        <v>366</v>
      </c>
      <c r="E4202" s="14" t="s">
        <v>342</v>
      </c>
      <c r="F4202" s="14" t="s">
        <v>343</v>
      </c>
      <c r="G4202" s="14" t="s">
        <v>343</v>
      </c>
      <c r="H4202" s="14" t="s">
        <v>343</v>
      </c>
      <c r="U4202" s="14">
        <v>0.94</v>
      </c>
      <c r="V4202" s="14">
        <v>0.94</v>
      </c>
      <c r="W4202" s="14">
        <v>0.94</v>
      </c>
      <c r="X4202" s="14">
        <v>0.94</v>
      </c>
    </row>
    <row r="4203" spans="1:24" hidden="1" x14ac:dyDescent="0.3">
      <c r="A4203" s="14" t="s">
        <v>499</v>
      </c>
      <c r="B4203" s="14" t="s">
        <v>172</v>
      </c>
      <c r="C4203" s="14" t="s">
        <v>365</v>
      </c>
      <c r="D4203" s="14" t="s">
        <v>366</v>
      </c>
      <c r="E4203" s="14" t="s">
        <v>344</v>
      </c>
      <c r="F4203" s="14" t="s">
        <v>343</v>
      </c>
      <c r="G4203" s="14" t="s">
        <v>343</v>
      </c>
      <c r="H4203" s="14" t="s">
        <v>343</v>
      </c>
      <c r="U4203" s="14">
        <v>1</v>
      </c>
      <c r="V4203" s="14">
        <v>1</v>
      </c>
      <c r="W4203" s="14">
        <v>1</v>
      </c>
      <c r="X4203" s="14">
        <v>1</v>
      </c>
    </row>
    <row r="4204" spans="1:24" hidden="1" x14ac:dyDescent="0.3">
      <c r="A4204" s="14" t="s">
        <v>499</v>
      </c>
      <c r="B4204" s="14" t="s">
        <v>172</v>
      </c>
      <c r="C4204" s="14" t="s">
        <v>367</v>
      </c>
      <c r="D4204" s="14" t="s">
        <v>368</v>
      </c>
      <c r="E4204" s="14" t="s">
        <v>342</v>
      </c>
      <c r="F4204" s="14" t="s">
        <v>343</v>
      </c>
      <c r="G4204" s="14" t="s">
        <v>343</v>
      </c>
      <c r="H4204" s="14" t="s">
        <v>343</v>
      </c>
      <c r="I4204" s="14">
        <v>0.75</v>
      </c>
      <c r="J4204" s="14">
        <v>0.76</v>
      </c>
      <c r="K4204" s="14">
        <v>0.79</v>
      </c>
      <c r="L4204" s="14">
        <v>0.79</v>
      </c>
      <c r="M4204" s="14">
        <v>0.78</v>
      </c>
      <c r="N4204" s="14">
        <v>0.78</v>
      </c>
      <c r="O4204" s="14">
        <v>0.78</v>
      </c>
      <c r="P4204" s="14">
        <v>0.78</v>
      </c>
      <c r="Q4204" s="14">
        <v>0.78</v>
      </c>
      <c r="R4204" s="14">
        <v>0.78</v>
      </c>
      <c r="S4204" s="14">
        <v>0.78</v>
      </c>
      <c r="T4204" s="14">
        <v>0.79</v>
      </c>
      <c r="U4204" s="14">
        <v>0.8</v>
      </c>
      <c r="V4204" s="14">
        <v>0.8</v>
      </c>
      <c r="W4204" s="14">
        <v>0.84</v>
      </c>
      <c r="X4204" s="14">
        <v>0.84</v>
      </c>
    </row>
    <row r="4205" spans="1:24" hidden="1" x14ac:dyDescent="0.3">
      <c r="A4205" s="14" t="s">
        <v>499</v>
      </c>
      <c r="B4205" s="14" t="s">
        <v>172</v>
      </c>
      <c r="C4205" s="14" t="s">
        <v>367</v>
      </c>
      <c r="D4205" s="14" t="s">
        <v>368</v>
      </c>
      <c r="E4205" s="14" t="s">
        <v>344</v>
      </c>
      <c r="F4205" s="14" t="s">
        <v>343</v>
      </c>
      <c r="G4205" s="14" t="s">
        <v>343</v>
      </c>
      <c r="H4205" s="14" t="s">
        <v>343</v>
      </c>
      <c r="I4205" s="14">
        <v>7</v>
      </c>
      <c r="J4205" s="14">
        <v>5</v>
      </c>
      <c r="K4205" s="14">
        <v>5</v>
      </c>
      <c r="L4205" s="14">
        <v>5</v>
      </c>
      <c r="M4205" s="14">
        <v>5</v>
      </c>
      <c r="N4205" s="14">
        <v>6</v>
      </c>
      <c r="O4205" s="14">
        <v>6</v>
      </c>
      <c r="P4205" s="14">
        <v>7</v>
      </c>
      <c r="Q4205" s="14">
        <v>13</v>
      </c>
      <c r="R4205" s="14">
        <v>10</v>
      </c>
      <c r="S4205" s="14">
        <v>9</v>
      </c>
      <c r="T4205" s="14">
        <v>9</v>
      </c>
      <c r="U4205" s="14">
        <v>7</v>
      </c>
      <c r="V4205" s="14">
        <v>6</v>
      </c>
      <c r="W4205" s="14">
        <v>4</v>
      </c>
      <c r="X4205" s="14">
        <v>4</v>
      </c>
    </row>
    <row r="4206" spans="1:24" hidden="1" x14ac:dyDescent="0.3">
      <c r="A4206" s="14" t="s">
        <v>499</v>
      </c>
      <c r="B4206" s="14" t="s">
        <v>172</v>
      </c>
      <c r="C4206" s="14" t="s">
        <v>369</v>
      </c>
      <c r="D4206" s="14" t="s">
        <v>370</v>
      </c>
      <c r="E4206" s="14" t="s">
        <v>342</v>
      </c>
      <c r="F4206" s="14" t="s">
        <v>343</v>
      </c>
      <c r="G4206" s="14" t="s">
        <v>343</v>
      </c>
      <c r="H4206" s="14" t="s">
        <v>343</v>
      </c>
      <c r="I4206" s="14">
        <v>0.32</v>
      </c>
      <c r="J4206" s="14">
        <v>0.33</v>
      </c>
      <c r="K4206" s="14">
        <v>0.39</v>
      </c>
      <c r="L4206" s="14">
        <v>0.39</v>
      </c>
      <c r="M4206" s="14">
        <v>0.38</v>
      </c>
      <c r="N4206" s="14">
        <v>0.38</v>
      </c>
      <c r="O4206" s="14">
        <v>0.37</v>
      </c>
      <c r="P4206" s="14">
        <v>0.37</v>
      </c>
      <c r="Q4206" s="14">
        <v>0.39</v>
      </c>
      <c r="R4206" s="14">
        <v>0.39</v>
      </c>
      <c r="S4206" s="14">
        <v>0.39</v>
      </c>
      <c r="T4206" s="14">
        <v>0.43</v>
      </c>
      <c r="U4206" s="14">
        <v>0.47</v>
      </c>
      <c r="V4206" s="14">
        <v>0.47</v>
      </c>
      <c r="W4206" s="14">
        <v>0.63</v>
      </c>
      <c r="X4206" s="14">
        <v>0.66</v>
      </c>
    </row>
    <row r="4207" spans="1:24" hidden="1" x14ac:dyDescent="0.3">
      <c r="A4207" s="14" t="s">
        <v>499</v>
      </c>
      <c r="B4207" s="14" t="s">
        <v>172</v>
      </c>
      <c r="C4207" s="14" t="s">
        <v>369</v>
      </c>
      <c r="D4207" s="14" t="s">
        <v>370</v>
      </c>
      <c r="E4207" s="14" t="s">
        <v>344</v>
      </c>
      <c r="F4207" s="14" t="s">
        <v>343</v>
      </c>
      <c r="G4207" s="14" t="s">
        <v>343</v>
      </c>
      <c r="H4207" s="14" t="s">
        <v>343</v>
      </c>
      <c r="I4207" s="14">
        <v>11</v>
      </c>
      <c r="J4207" s="14">
        <v>9</v>
      </c>
      <c r="K4207" s="14">
        <v>6</v>
      </c>
      <c r="L4207" s="14">
        <v>7</v>
      </c>
      <c r="M4207" s="14">
        <v>8</v>
      </c>
      <c r="N4207" s="14">
        <v>8</v>
      </c>
      <c r="O4207" s="14">
        <v>9</v>
      </c>
      <c r="P4207" s="14">
        <v>12</v>
      </c>
      <c r="Q4207" s="14">
        <v>14</v>
      </c>
      <c r="R4207" s="14">
        <v>15</v>
      </c>
      <c r="S4207" s="14">
        <v>16</v>
      </c>
      <c r="T4207" s="14">
        <v>12</v>
      </c>
      <c r="U4207" s="14">
        <v>9</v>
      </c>
      <c r="V4207" s="14">
        <v>13</v>
      </c>
      <c r="W4207" s="14">
        <v>4</v>
      </c>
      <c r="X4207" s="14">
        <v>4</v>
      </c>
    </row>
    <row r="4208" spans="1:24" hidden="1" x14ac:dyDescent="0.3">
      <c r="A4208" s="14" t="s">
        <v>499</v>
      </c>
      <c r="B4208" s="14" t="s">
        <v>172</v>
      </c>
      <c r="C4208" s="14" t="s">
        <v>371</v>
      </c>
      <c r="D4208" s="14" t="s">
        <v>372</v>
      </c>
      <c r="E4208" s="14" t="s">
        <v>342</v>
      </c>
      <c r="F4208" s="14" t="s">
        <v>343</v>
      </c>
      <c r="G4208" s="14" t="s">
        <v>343</v>
      </c>
      <c r="H4208" s="14" t="s">
        <v>343</v>
      </c>
      <c r="U4208" s="14">
        <v>0.3</v>
      </c>
      <c r="V4208" s="14">
        <v>0.34</v>
      </c>
      <c r="W4208" s="14">
        <v>0.4</v>
      </c>
      <c r="X4208" s="14">
        <v>0.44</v>
      </c>
    </row>
    <row r="4209" spans="1:24" hidden="1" x14ac:dyDescent="0.3">
      <c r="A4209" s="14" t="s">
        <v>499</v>
      </c>
      <c r="B4209" s="14" t="s">
        <v>172</v>
      </c>
      <c r="C4209" s="14" t="s">
        <v>371</v>
      </c>
      <c r="D4209" s="14" t="s">
        <v>372</v>
      </c>
      <c r="E4209" s="14" t="s">
        <v>344</v>
      </c>
      <c r="F4209" s="14" t="s">
        <v>343</v>
      </c>
      <c r="G4209" s="14" t="s">
        <v>343</v>
      </c>
      <c r="H4209" s="14" t="s">
        <v>343</v>
      </c>
      <c r="U4209" s="14">
        <v>13</v>
      </c>
      <c r="V4209" s="14">
        <v>10</v>
      </c>
      <c r="W4209" s="14">
        <v>9</v>
      </c>
      <c r="X4209" s="14">
        <v>7</v>
      </c>
    </row>
    <row r="4210" spans="1:24" hidden="1" x14ac:dyDescent="0.3">
      <c r="A4210" s="14" t="s">
        <v>499</v>
      </c>
      <c r="B4210" s="14" t="s">
        <v>172</v>
      </c>
      <c r="C4210" s="14" t="s">
        <v>373</v>
      </c>
      <c r="D4210" s="14" t="s">
        <v>374</v>
      </c>
      <c r="E4210" s="14" t="s">
        <v>342</v>
      </c>
      <c r="F4210" s="14" t="s">
        <v>343</v>
      </c>
      <c r="G4210" s="14" t="s">
        <v>343</v>
      </c>
      <c r="H4210" s="14" t="s">
        <v>343</v>
      </c>
      <c r="U4210" s="14">
        <v>0.59</v>
      </c>
      <c r="V4210" s="14">
        <v>0.44</v>
      </c>
      <c r="W4210" s="14">
        <v>0.67</v>
      </c>
      <c r="X4210" s="14">
        <v>0.67</v>
      </c>
    </row>
    <row r="4211" spans="1:24" hidden="1" x14ac:dyDescent="0.3">
      <c r="A4211" s="14" t="s">
        <v>499</v>
      </c>
      <c r="B4211" s="14" t="s">
        <v>172</v>
      </c>
      <c r="C4211" s="14" t="s">
        <v>373</v>
      </c>
      <c r="D4211" s="14" t="s">
        <v>374</v>
      </c>
      <c r="E4211" s="14" t="s">
        <v>344</v>
      </c>
      <c r="F4211" s="14" t="s">
        <v>343</v>
      </c>
      <c r="G4211" s="14" t="s">
        <v>343</v>
      </c>
      <c r="H4211" s="14" t="s">
        <v>343</v>
      </c>
      <c r="U4211" s="14">
        <v>16</v>
      </c>
      <c r="V4211" s="14">
        <v>35</v>
      </c>
      <c r="W4211" s="14">
        <v>23</v>
      </c>
      <c r="X4211" s="14">
        <v>23</v>
      </c>
    </row>
    <row r="4212" spans="1:24" hidden="1" x14ac:dyDescent="0.3">
      <c r="A4212" s="14" t="s">
        <v>499</v>
      </c>
      <c r="B4212" s="14" t="s">
        <v>172</v>
      </c>
      <c r="C4212" s="14" t="s">
        <v>375</v>
      </c>
      <c r="D4212" s="14" t="s">
        <v>376</v>
      </c>
      <c r="E4212" s="14" t="s">
        <v>342</v>
      </c>
      <c r="F4212" s="14" t="s">
        <v>343</v>
      </c>
      <c r="G4212" s="14" t="s">
        <v>343</v>
      </c>
      <c r="H4212" s="14" t="s">
        <v>343</v>
      </c>
      <c r="U4212" s="14">
        <v>0.62</v>
      </c>
      <c r="V4212" s="14">
        <v>0.69</v>
      </c>
      <c r="W4212" s="14">
        <v>0.93</v>
      </c>
      <c r="X4212" s="14">
        <v>0.97</v>
      </c>
    </row>
    <row r="4213" spans="1:24" hidden="1" x14ac:dyDescent="0.3">
      <c r="A4213" s="14" t="s">
        <v>499</v>
      </c>
      <c r="B4213" s="14" t="s">
        <v>172</v>
      </c>
      <c r="C4213" s="14" t="s">
        <v>375</v>
      </c>
      <c r="D4213" s="14" t="s">
        <v>376</v>
      </c>
      <c r="E4213" s="14" t="s">
        <v>344</v>
      </c>
      <c r="F4213" s="14" t="s">
        <v>343</v>
      </c>
      <c r="G4213" s="14" t="s">
        <v>343</v>
      </c>
      <c r="H4213" s="14" t="s">
        <v>343</v>
      </c>
      <c r="U4213" s="14">
        <v>18</v>
      </c>
      <c r="V4213" s="14">
        <v>14</v>
      </c>
      <c r="W4213" s="14">
        <v>5</v>
      </c>
      <c r="X4213" s="14">
        <v>5</v>
      </c>
    </row>
    <row r="4214" spans="1:24" hidden="1" x14ac:dyDescent="0.3">
      <c r="A4214" s="14" t="s">
        <v>500</v>
      </c>
      <c r="B4214" s="14" t="s">
        <v>181</v>
      </c>
      <c r="C4214" s="14" t="s">
        <v>340</v>
      </c>
      <c r="D4214" s="14" t="s">
        <v>341</v>
      </c>
      <c r="E4214" s="14" t="s">
        <v>342</v>
      </c>
      <c r="F4214" s="14" t="s">
        <v>343</v>
      </c>
      <c r="G4214" s="14" t="s">
        <v>343</v>
      </c>
      <c r="H4214" s="14" t="s">
        <v>343</v>
      </c>
      <c r="J4214" s="14">
        <v>0.97</v>
      </c>
      <c r="K4214" s="14">
        <v>0.97</v>
      </c>
      <c r="L4214" s="14">
        <v>0.97</v>
      </c>
      <c r="M4214" s="14">
        <v>0.98</v>
      </c>
      <c r="N4214" s="14">
        <v>0.94</v>
      </c>
      <c r="O4214" s="14">
        <v>0.97</v>
      </c>
      <c r="P4214" s="14">
        <v>0.97</v>
      </c>
      <c r="Q4214" s="14">
        <v>0.97</v>
      </c>
      <c r="R4214" s="14">
        <v>0.98</v>
      </c>
      <c r="S4214" s="14">
        <v>0.97</v>
      </c>
      <c r="U4214" s="14">
        <v>0.99</v>
      </c>
      <c r="V4214" s="14">
        <v>0.98</v>
      </c>
      <c r="W4214" s="14">
        <v>0.98</v>
      </c>
      <c r="X4214" s="14">
        <v>0.95</v>
      </c>
    </row>
    <row r="4215" spans="1:24" hidden="1" x14ac:dyDescent="0.3">
      <c r="A4215" s="14" t="s">
        <v>500</v>
      </c>
      <c r="B4215" s="14" t="s">
        <v>181</v>
      </c>
      <c r="C4215" s="14" t="s">
        <v>340</v>
      </c>
      <c r="D4215" s="14" t="s">
        <v>341</v>
      </c>
      <c r="E4215" s="14" t="s">
        <v>344</v>
      </c>
      <c r="F4215" s="14" t="s">
        <v>343</v>
      </c>
      <c r="G4215" s="14" t="s">
        <v>343</v>
      </c>
      <c r="H4215" s="14" t="s">
        <v>343</v>
      </c>
      <c r="J4215" s="14">
        <v>83</v>
      </c>
      <c r="K4215" s="14">
        <v>89</v>
      </c>
      <c r="L4215" s="14">
        <v>93</v>
      </c>
      <c r="M4215" s="14">
        <v>90</v>
      </c>
      <c r="N4215" s="14">
        <v>99</v>
      </c>
      <c r="O4215" s="14">
        <v>96</v>
      </c>
      <c r="P4215" s="14">
        <v>94</v>
      </c>
      <c r="Q4215" s="14">
        <v>96</v>
      </c>
      <c r="R4215" s="14">
        <v>92</v>
      </c>
      <c r="S4215" s="14">
        <v>97</v>
      </c>
      <c r="U4215" s="14">
        <v>83</v>
      </c>
      <c r="V4215" s="14">
        <v>97</v>
      </c>
      <c r="W4215" s="14">
        <v>98</v>
      </c>
      <c r="X4215" s="14">
        <v>113</v>
      </c>
    </row>
    <row r="4216" spans="1:24" hidden="1" x14ac:dyDescent="0.3">
      <c r="A4216" s="14" t="s">
        <v>500</v>
      </c>
      <c r="B4216" s="14" t="s">
        <v>181</v>
      </c>
      <c r="C4216" s="14" t="s">
        <v>345</v>
      </c>
      <c r="D4216" s="14" t="s">
        <v>346</v>
      </c>
      <c r="E4216" s="14" t="s">
        <v>342</v>
      </c>
      <c r="F4216" s="14" t="s">
        <v>343</v>
      </c>
      <c r="G4216" s="14" t="s">
        <v>343</v>
      </c>
      <c r="H4216" s="14" t="s">
        <v>343</v>
      </c>
      <c r="U4216" s="14">
        <v>0.21</v>
      </c>
      <c r="V4216" s="14">
        <v>0.21</v>
      </c>
      <c r="W4216" s="14">
        <v>0.26</v>
      </c>
      <c r="X4216" s="14">
        <v>0.21</v>
      </c>
    </row>
    <row r="4217" spans="1:24" hidden="1" x14ac:dyDescent="0.3">
      <c r="A4217" s="14" t="s">
        <v>500</v>
      </c>
      <c r="B4217" s="14" t="s">
        <v>181</v>
      </c>
      <c r="C4217" s="14" t="s">
        <v>345</v>
      </c>
      <c r="D4217" s="14" t="s">
        <v>346</v>
      </c>
      <c r="E4217" s="14" t="s">
        <v>344</v>
      </c>
      <c r="F4217" s="14" t="s">
        <v>343</v>
      </c>
      <c r="G4217" s="14" t="s">
        <v>343</v>
      </c>
      <c r="H4217" s="14" t="s">
        <v>343</v>
      </c>
      <c r="U4217" s="14">
        <v>140</v>
      </c>
      <c r="V4217" s="14">
        <v>143</v>
      </c>
      <c r="W4217" s="14">
        <v>143</v>
      </c>
      <c r="X4217" s="14">
        <v>141</v>
      </c>
    </row>
    <row r="4218" spans="1:24" hidden="1" x14ac:dyDescent="0.3">
      <c r="A4218" s="14" t="s">
        <v>500</v>
      </c>
      <c r="B4218" s="14" t="s">
        <v>181</v>
      </c>
      <c r="C4218" s="14" t="s">
        <v>347</v>
      </c>
      <c r="D4218" s="14" t="s">
        <v>348</v>
      </c>
      <c r="E4218" s="14" t="s">
        <v>342</v>
      </c>
      <c r="F4218" s="14" t="s">
        <v>343</v>
      </c>
      <c r="G4218" s="14" t="s">
        <v>343</v>
      </c>
      <c r="H4218" s="14" t="s">
        <v>343</v>
      </c>
      <c r="U4218" s="14">
        <v>0.36</v>
      </c>
      <c r="V4218" s="14">
        <v>0.36</v>
      </c>
      <c r="W4218" s="14">
        <v>0.44</v>
      </c>
      <c r="X4218" s="14">
        <v>0.34</v>
      </c>
    </row>
    <row r="4219" spans="1:24" hidden="1" x14ac:dyDescent="0.3">
      <c r="A4219" s="14" t="s">
        <v>500</v>
      </c>
      <c r="B4219" s="14" t="s">
        <v>181</v>
      </c>
      <c r="C4219" s="14" t="s">
        <v>347</v>
      </c>
      <c r="D4219" s="14" t="s">
        <v>348</v>
      </c>
      <c r="E4219" s="14" t="s">
        <v>344</v>
      </c>
      <c r="F4219" s="14" t="s">
        <v>343</v>
      </c>
      <c r="G4219" s="14" t="s">
        <v>343</v>
      </c>
      <c r="H4219" s="14" t="s">
        <v>343</v>
      </c>
      <c r="U4219" s="14">
        <v>136</v>
      </c>
      <c r="V4219" s="14">
        <v>140</v>
      </c>
      <c r="W4219" s="14">
        <v>142</v>
      </c>
      <c r="X4219" s="14">
        <v>137</v>
      </c>
    </row>
    <row r="4220" spans="1:24" hidden="1" x14ac:dyDescent="0.3">
      <c r="A4220" s="14" t="s">
        <v>500</v>
      </c>
      <c r="B4220" s="14" t="s">
        <v>181</v>
      </c>
      <c r="C4220" s="14" t="s">
        <v>349</v>
      </c>
      <c r="D4220" s="14" t="s">
        <v>350</v>
      </c>
      <c r="E4220" s="14" t="s">
        <v>342</v>
      </c>
      <c r="F4220" s="14" t="s">
        <v>343</v>
      </c>
      <c r="G4220" s="14" t="s">
        <v>343</v>
      </c>
      <c r="H4220" s="14" t="s">
        <v>343</v>
      </c>
      <c r="U4220" s="14">
        <v>0.12</v>
      </c>
      <c r="V4220" s="14">
        <v>0.12</v>
      </c>
      <c r="W4220" s="14">
        <v>0.12</v>
      </c>
      <c r="X4220" s="14">
        <v>0.35</v>
      </c>
    </row>
    <row r="4221" spans="1:24" hidden="1" x14ac:dyDescent="0.3">
      <c r="A4221" s="14" t="s">
        <v>500</v>
      </c>
      <c r="B4221" s="14" t="s">
        <v>181</v>
      </c>
      <c r="C4221" s="14" t="s">
        <v>349</v>
      </c>
      <c r="D4221" s="14" t="s">
        <v>350</v>
      </c>
      <c r="E4221" s="14" t="s">
        <v>344</v>
      </c>
      <c r="F4221" s="14" t="s">
        <v>343</v>
      </c>
      <c r="G4221" s="14" t="s">
        <v>343</v>
      </c>
      <c r="H4221" s="14" t="s">
        <v>343</v>
      </c>
      <c r="U4221" s="14">
        <v>134</v>
      </c>
      <c r="V4221" s="14">
        <v>140</v>
      </c>
      <c r="W4221" s="14">
        <v>144</v>
      </c>
      <c r="X4221" s="14">
        <v>102</v>
      </c>
    </row>
    <row r="4222" spans="1:24" hidden="1" x14ac:dyDescent="0.3">
      <c r="A4222" s="14" t="s">
        <v>500</v>
      </c>
      <c r="B4222" s="14" t="s">
        <v>181</v>
      </c>
      <c r="C4222" s="14" t="s">
        <v>351</v>
      </c>
      <c r="D4222" s="14" t="s">
        <v>352</v>
      </c>
      <c r="E4222" s="14" t="s">
        <v>342</v>
      </c>
      <c r="F4222" s="14" t="s">
        <v>343</v>
      </c>
      <c r="G4222" s="14" t="s">
        <v>343</v>
      </c>
      <c r="H4222" s="14" t="s">
        <v>343</v>
      </c>
      <c r="U4222" s="14">
        <v>0.35</v>
      </c>
      <c r="V4222" s="14">
        <v>0.35</v>
      </c>
      <c r="W4222" s="14">
        <v>0.35</v>
      </c>
      <c r="X4222" s="14">
        <v>0.59</v>
      </c>
    </row>
    <row r="4223" spans="1:24" hidden="1" x14ac:dyDescent="0.3">
      <c r="A4223" s="14" t="s">
        <v>500</v>
      </c>
      <c r="B4223" s="14" t="s">
        <v>181</v>
      </c>
      <c r="C4223" s="14" t="s">
        <v>351</v>
      </c>
      <c r="D4223" s="14" t="s">
        <v>352</v>
      </c>
      <c r="E4223" s="14" t="s">
        <v>344</v>
      </c>
      <c r="F4223" s="14" t="s">
        <v>343</v>
      </c>
      <c r="G4223" s="14" t="s">
        <v>343</v>
      </c>
      <c r="H4223" s="14" t="s">
        <v>343</v>
      </c>
      <c r="U4223" s="14">
        <v>132</v>
      </c>
      <c r="V4223" s="14">
        <v>136</v>
      </c>
      <c r="W4223" s="14">
        <v>138</v>
      </c>
      <c r="X4223" s="14">
        <v>108</v>
      </c>
    </row>
    <row r="4224" spans="1:24" hidden="1" x14ac:dyDescent="0.3">
      <c r="A4224" s="14" t="s">
        <v>500</v>
      </c>
      <c r="B4224" s="14" t="s">
        <v>181</v>
      </c>
      <c r="C4224" s="14" t="s">
        <v>378</v>
      </c>
      <c r="D4224" s="14" t="s">
        <v>379</v>
      </c>
      <c r="E4224" s="14" t="s">
        <v>342</v>
      </c>
      <c r="F4224" s="14" t="s">
        <v>343</v>
      </c>
      <c r="G4224" s="14" t="s">
        <v>343</v>
      </c>
      <c r="H4224" s="14" t="s">
        <v>343</v>
      </c>
      <c r="S4224" s="14">
        <v>0.75</v>
      </c>
      <c r="U4224" s="14">
        <v>0.81</v>
      </c>
      <c r="V4224" s="14">
        <v>0.81</v>
      </c>
      <c r="W4224" s="14">
        <v>0.79</v>
      </c>
      <c r="X4224" s="14">
        <v>0.79</v>
      </c>
    </row>
    <row r="4225" spans="1:24" hidden="1" x14ac:dyDescent="0.3">
      <c r="A4225" s="14" t="s">
        <v>500</v>
      </c>
      <c r="B4225" s="14" t="s">
        <v>181</v>
      </c>
      <c r="C4225" s="14" t="s">
        <v>378</v>
      </c>
      <c r="D4225" s="14" t="s">
        <v>379</v>
      </c>
      <c r="E4225" s="14" t="s">
        <v>344</v>
      </c>
      <c r="F4225" s="14" t="s">
        <v>343</v>
      </c>
      <c r="G4225" s="14" t="s">
        <v>343</v>
      </c>
      <c r="H4225" s="14" t="s">
        <v>343</v>
      </c>
      <c r="S4225" s="14">
        <v>24</v>
      </c>
      <c r="U4225" s="14">
        <v>3</v>
      </c>
      <c r="V4225" s="14">
        <v>6</v>
      </c>
      <c r="W4225" s="14">
        <v>11</v>
      </c>
      <c r="X4225" s="14">
        <v>7</v>
      </c>
    </row>
    <row r="4226" spans="1:24" hidden="1" x14ac:dyDescent="0.3">
      <c r="A4226" s="14" t="s">
        <v>500</v>
      </c>
      <c r="B4226" s="14" t="s">
        <v>181</v>
      </c>
      <c r="C4226" s="14" t="s">
        <v>353</v>
      </c>
      <c r="D4226" s="14" t="s">
        <v>354</v>
      </c>
      <c r="E4226" s="14" t="s">
        <v>342</v>
      </c>
      <c r="F4226" s="14" t="s">
        <v>343</v>
      </c>
      <c r="G4226" s="14" t="s">
        <v>343</v>
      </c>
      <c r="H4226" s="14" t="s">
        <v>343</v>
      </c>
      <c r="U4226" s="14">
        <v>0.96</v>
      </c>
      <c r="V4226" s="14">
        <v>0.96</v>
      </c>
      <c r="W4226" s="14">
        <v>0.96</v>
      </c>
      <c r="X4226" s="14">
        <v>0.96</v>
      </c>
    </row>
    <row r="4227" spans="1:24" hidden="1" x14ac:dyDescent="0.3">
      <c r="A4227" s="14" t="s">
        <v>500</v>
      </c>
      <c r="B4227" s="14" t="s">
        <v>181</v>
      </c>
      <c r="C4227" s="14" t="s">
        <v>353</v>
      </c>
      <c r="D4227" s="14" t="s">
        <v>354</v>
      </c>
      <c r="E4227" s="14" t="s">
        <v>344</v>
      </c>
      <c r="F4227" s="14" t="s">
        <v>343</v>
      </c>
      <c r="G4227" s="14" t="s">
        <v>343</v>
      </c>
      <c r="H4227" s="14" t="s">
        <v>343</v>
      </c>
      <c r="U4227" s="14">
        <v>89</v>
      </c>
      <c r="V4227" s="14">
        <v>99</v>
      </c>
      <c r="W4227" s="14">
        <v>101</v>
      </c>
      <c r="X4227" s="14">
        <v>95</v>
      </c>
    </row>
    <row r="4228" spans="1:24" hidden="1" x14ac:dyDescent="0.3">
      <c r="A4228" s="14" t="s">
        <v>500</v>
      </c>
      <c r="B4228" s="14" t="s">
        <v>181</v>
      </c>
      <c r="C4228" s="14" t="s">
        <v>380</v>
      </c>
      <c r="D4228" s="14" t="s">
        <v>381</v>
      </c>
      <c r="E4228" s="14" t="s">
        <v>342</v>
      </c>
      <c r="F4228" s="14" t="s">
        <v>343</v>
      </c>
      <c r="G4228" s="14" t="s">
        <v>343</v>
      </c>
      <c r="H4228" s="14" t="s">
        <v>343</v>
      </c>
      <c r="U4228" s="14">
        <v>1</v>
      </c>
      <c r="V4228" s="14">
        <v>1</v>
      </c>
      <c r="W4228" s="14">
        <v>1</v>
      </c>
    </row>
    <row r="4229" spans="1:24" hidden="1" x14ac:dyDescent="0.3">
      <c r="A4229" s="14" t="s">
        <v>500</v>
      </c>
      <c r="B4229" s="14" t="s">
        <v>181</v>
      </c>
      <c r="C4229" s="14" t="s">
        <v>380</v>
      </c>
      <c r="D4229" s="14" t="s">
        <v>381</v>
      </c>
      <c r="E4229" s="14" t="s">
        <v>344</v>
      </c>
      <c r="F4229" s="14" t="s">
        <v>343</v>
      </c>
      <c r="G4229" s="14" t="s">
        <v>343</v>
      </c>
      <c r="H4229" s="14" t="s">
        <v>343</v>
      </c>
      <c r="U4229" s="14">
        <v>1</v>
      </c>
      <c r="V4229" s="14">
        <v>1</v>
      </c>
      <c r="W4229" s="14">
        <v>1</v>
      </c>
    </row>
    <row r="4230" spans="1:24" hidden="1" x14ac:dyDescent="0.3">
      <c r="A4230" s="14" t="s">
        <v>500</v>
      </c>
      <c r="B4230" s="14" t="s">
        <v>181</v>
      </c>
      <c r="C4230" s="14" t="s">
        <v>355</v>
      </c>
      <c r="D4230" s="14" t="s">
        <v>356</v>
      </c>
      <c r="E4230" s="14" t="s">
        <v>342</v>
      </c>
      <c r="F4230" s="14" t="s">
        <v>343</v>
      </c>
      <c r="G4230" s="14" t="s">
        <v>343</v>
      </c>
      <c r="H4230" s="14" t="s">
        <v>343</v>
      </c>
      <c r="U4230" s="14">
        <v>0.99</v>
      </c>
      <c r="V4230" s="14">
        <v>0.94</v>
      </c>
      <c r="W4230" s="14">
        <v>0.94</v>
      </c>
      <c r="X4230" s="14">
        <v>0.92</v>
      </c>
    </row>
    <row r="4231" spans="1:24" hidden="1" x14ac:dyDescent="0.3">
      <c r="A4231" s="14" t="s">
        <v>500</v>
      </c>
      <c r="B4231" s="14" t="s">
        <v>181</v>
      </c>
      <c r="C4231" s="14" t="s">
        <v>355</v>
      </c>
      <c r="D4231" s="14" t="s">
        <v>356</v>
      </c>
      <c r="E4231" s="14" t="s">
        <v>344</v>
      </c>
      <c r="F4231" s="14" t="s">
        <v>343</v>
      </c>
      <c r="G4231" s="14" t="s">
        <v>343</v>
      </c>
      <c r="H4231" s="14" t="s">
        <v>343</v>
      </c>
      <c r="U4231" s="14">
        <v>110</v>
      </c>
      <c r="V4231" s="14">
        <v>131</v>
      </c>
      <c r="W4231" s="14">
        <v>132</v>
      </c>
      <c r="X4231" s="14">
        <v>120</v>
      </c>
    </row>
    <row r="4232" spans="1:24" hidden="1" x14ac:dyDescent="0.3">
      <c r="A4232" s="14" t="s">
        <v>500</v>
      </c>
      <c r="B4232" s="14" t="s">
        <v>181</v>
      </c>
      <c r="C4232" s="14" t="s">
        <v>357</v>
      </c>
      <c r="D4232" s="14" t="s">
        <v>358</v>
      </c>
      <c r="E4232" s="14" t="s">
        <v>342</v>
      </c>
      <c r="F4232" s="14" t="s">
        <v>343</v>
      </c>
      <c r="G4232" s="14" t="s">
        <v>343</v>
      </c>
      <c r="H4232" s="14" t="s">
        <v>343</v>
      </c>
      <c r="U4232" s="14">
        <v>1</v>
      </c>
      <c r="V4232" s="14">
        <v>1</v>
      </c>
      <c r="W4232" s="14">
        <v>1</v>
      </c>
      <c r="X4232" s="14">
        <v>1</v>
      </c>
    </row>
    <row r="4233" spans="1:24" hidden="1" x14ac:dyDescent="0.3">
      <c r="A4233" s="14" t="s">
        <v>500</v>
      </c>
      <c r="B4233" s="14" t="s">
        <v>181</v>
      </c>
      <c r="C4233" s="14" t="s">
        <v>357</v>
      </c>
      <c r="D4233" s="14" t="s">
        <v>358</v>
      </c>
      <c r="E4233" s="14" t="s">
        <v>344</v>
      </c>
      <c r="F4233" s="14" t="s">
        <v>343</v>
      </c>
      <c r="G4233" s="14" t="s">
        <v>343</v>
      </c>
      <c r="H4233" s="14" t="s">
        <v>343</v>
      </c>
      <c r="U4233" s="14">
        <v>1</v>
      </c>
      <c r="V4233" s="14">
        <v>1</v>
      </c>
      <c r="W4233" s="14">
        <v>1</v>
      </c>
      <c r="X4233" s="14">
        <v>1</v>
      </c>
    </row>
    <row r="4234" spans="1:24" hidden="1" x14ac:dyDescent="0.3">
      <c r="A4234" s="14" t="s">
        <v>500</v>
      </c>
      <c r="B4234" s="14" t="s">
        <v>181</v>
      </c>
      <c r="C4234" s="14" t="s">
        <v>359</v>
      </c>
      <c r="D4234" s="14" t="s">
        <v>360</v>
      </c>
      <c r="E4234" s="14" t="s">
        <v>342</v>
      </c>
      <c r="F4234" s="14" t="s">
        <v>343</v>
      </c>
      <c r="G4234" s="14" t="s">
        <v>343</v>
      </c>
      <c r="H4234" s="14" t="s">
        <v>343</v>
      </c>
      <c r="J4234" s="14">
        <v>0.38</v>
      </c>
      <c r="K4234" s="14">
        <v>0.41</v>
      </c>
      <c r="L4234" s="14">
        <v>0.41</v>
      </c>
      <c r="M4234" s="14">
        <v>0.4</v>
      </c>
      <c r="N4234" s="14">
        <v>0.41</v>
      </c>
      <c r="O4234" s="14">
        <v>0.43</v>
      </c>
      <c r="P4234" s="14">
        <v>0.45</v>
      </c>
      <c r="Q4234" s="14">
        <v>0.47</v>
      </c>
      <c r="R4234" s="14">
        <v>0.44</v>
      </c>
      <c r="S4234" s="14">
        <v>0.48</v>
      </c>
      <c r="U4234" s="14">
        <v>0.43</v>
      </c>
      <c r="V4234" s="14">
        <v>0.43</v>
      </c>
      <c r="W4234" s="14">
        <v>0.45</v>
      </c>
      <c r="X4234" s="14">
        <v>0.48</v>
      </c>
    </row>
    <row r="4235" spans="1:24" hidden="1" x14ac:dyDescent="0.3">
      <c r="A4235" s="14" t="s">
        <v>500</v>
      </c>
      <c r="B4235" s="14" t="s">
        <v>181</v>
      </c>
      <c r="C4235" s="14" t="s">
        <v>359</v>
      </c>
      <c r="D4235" s="14" t="s">
        <v>360</v>
      </c>
      <c r="E4235" s="14" t="s">
        <v>344</v>
      </c>
      <c r="F4235" s="14" t="s">
        <v>343</v>
      </c>
      <c r="G4235" s="14" t="s">
        <v>343</v>
      </c>
      <c r="H4235" s="14" t="s">
        <v>343</v>
      </c>
      <c r="J4235" s="14">
        <v>125</v>
      </c>
      <c r="K4235" s="14">
        <v>122</v>
      </c>
      <c r="L4235" s="14">
        <v>128</v>
      </c>
      <c r="M4235" s="14">
        <v>129</v>
      </c>
      <c r="N4235" s="14">
        <v>130</v>
      </c>
      <c r="O4235" s="14">
        <v>127</v>
      </c>
      <c r="P4235" s="14">
        <v>123</v>
      </c>
      <c r="Q4235" s="14">
        <v>128</v>
      </c>
      <c r="R4235" s="14">
        <v>134</v>
      </c>
      <c r="S4235" s="14">
        <v>126</v>
      </c>
      <c r="U4235" s="14">
        <v>137</v>
      </c>
      <c r="V4235" s="14">
        <v>143</v>
      </c>
      <c r="W4235" s="14">
        <v>143</v>
      </c>
      <c r="X4235" s="14">
        <v>137</v>
      </c>
    </row>
    <row r="4236" spans="1:24" x14ac:dyDescent="0.3">
      <c r="A4236" s="14" t="s">
        <v>500</v>
      </c>
      <c r="B4236" s="14" t="s">
        <v>181</v>
      </c>
      <c r="C4236" s="14" t="s">
        <v>361</v>
      </c>
      <c r="D4236" s="14" t="s">
        <v>362</v>
      </c>
      <c r="E4236" s="14" t="s">
        <v>342</v>
      </c>
      <c r="F4236" s="14" t="s">
        <v>343</v>
      </c>
      <c r="G4236" s="14" t="s">
        <v>343</v>
      </c>
      <c r="H4236" s="14" t="s">
        <v>343</v>
      </c>
      <c r="J4236" s="14">
        <v>0.97</v>
      </c>
      <c r="K4236" s="14">
        <v>0.97</v>
      </c>
      <c r="L4236" s="14">
        <v>0.97</v>
      </c>
      <c r="M4236" s="14">
        <v>0.98</v>
      </c>
      <c r="N4236" s="14">
        <v>0.98</v>
      </c>
      <c r="O4236" s="14">
        <v>0.98</v>
      </c>
      <c r="P4236" s="14">
        <v>0.98</v>
      </c>
      <c r="Q4236" s="14">
        <v>0.97</v>
      </c>
      <c r="R4236" s="14">
        <v>0.97</v>
      </c>
      <c r="S4236" s="14">
        <v>0.97</v>
      </c>
      <c r="U4236" s="14">
        <v>0.98</v>
      </c>
      <c r="V4236" s="14">
        <v>0.98</v>
      </c>
      <c r="W4236" s="14">
        <v>0.96</v>
      </c>
      <c r="X4236" s="14">
        <v>0.96</v>
      </c>
    </row>
    <row r="4237" spans="1:24" hidden="1" x14ac:dyDescent="0.3">
      <c r="A4237" s="14" t="s">
        <v>500</v>
      </c>
      <c r="B4237" s="14" t="s">
        <v>181</v>
      </c>
      <c r="C4237" s="14" t="s">
        <v>361</v>
      </c>
      <c r="D4237" s="14" t="s">
        <v>362</v>
      </c>
      <c r="E4237" s="14" t="s">
        <v>344</v>
      </c>
      <c r="F4237" s="14" t="s">
        <v>343</v>
      </c>
      <c r="G4237" s="14" t="s">
        <v>343</v>
      </c>
      <c r="H4237" s="14" t="s">
        <v>343</v>
      </c>
      <c r="J4237" s="14">
        <v>89</v>
      </c>
      <c r="K4237" s="14">
        <v>90</v>
      </c>
      <c r="L4237" s="14">
        <v>95</v>
      </c>
      <c r="M4237" s="14">
        <v>61</v>
      </c>
      <c r="N4237" s="14">
        <v>62</v>
      </c>
      <c r="O4237" s="14">
        <v>62</v>
      </c>
      <c r="P4237" s="14">
        <v>59</v>
      </c>
      <c r="Q4237" s="14">
        <v>91</v>
      </c>
      <c r="R4237" s="14">
        <v>100</v>
      </c>
      <c r="S4237" s="14">
        <v>99</v>
      </c>
      <c r="U4237" s="14">
        <v>49</v>
      </c>
      <c r="V4237" s="14">
        <v>45</v>
      </c>
      <c r="W4237" s="14">
        <v>138</v>
      </c>
      <c r="X4237" s="14">
        <v>130</v>
      </c>
    </row>
    <row r="4238" spans="1:24" hidden="1" x14ac:dyDescent="0.3">
      <c r="A4238" s="14" t="s">
        <v>500</v>
      </c>
      <c r="B4238" s="14" t="s">
        <v>181</v>
      </c>
      <c r="C4238" s="14" t="s">
        <v>363</v>
      </c>
      <c r="D4238" s="14" t="s">
        <v>364</v>
      </c>
      <c r="E4238" s="14" t="s">
        <v>342</v>
      </c>
      <c r="F4238" s="14" t="s">
        <v>343</v>
      </c>
      <c r="G4238" s="14" t="s">
        <v>343</v>
      </c>
      <c r="H4238" s="14" t="s">
        <v>343</v>
      </c>
      <c r="U4238" s="14">
        <v>1.06</v>
      </c>
      <c r="V4238" s="14">
        <v>1.06</v>
      </c>
      <c r="W4238" s="14">
        <v>1</v>
      </c>
      <c r="X4238" s="14">
        <v>1</v>
      </c>
    </row>
    <row r="4239" spans="1:24" hidden="1" x14ac:dyDescent="0.3">
      <c r="A4239" s="14" t="s">
        <v>500</v>
      </c>
      <c r="B4239" s="14" t="s">
        <v>181</v>
      </c>
      <c r="C4239" s="14" t="s">
        <v>363</v>
      </c>
      <c r="D4239" s="14" t="s">
        <v>364</v>
      </c>
      <c r="E4239" s="14" t="s">
        <v>344</v>
      </c>
      <c r="F4239" s="14" t="s">
        <v>343</v>
      </c>
      <c r="G4239" s="14" t="s">
        <v>343</v>
      </c>
      <c r="H4239" s="14" t="s">
        <v>343</v>
      </c>
      <c r="U4239" s="14">
        <v>59</v>
      </c>
      <c r="V4239" s="14">
        <v>61</v>
      </c>
      <c r="W4239" s="14">
        <v>147</v>
      </c>
      <c r="X4239" s="14">
        <v>138</v>
      </c>
    </row>
    <row r="4240" spans="1:24" hidden="1" x14ac:dyDescent="0.3">
      <c r="A4240" s="14" t="s">
        <v>500</v>
      </c>
      <c r="B4240" s="14" t="s">
        <v>181</v>
      </c>
      <c r="C4240" s="14" t="s">
        <v>365</v>
      </c>
      <c r="D4240" s="14" t="s">
        <v>366</v>
      </c>
      <c r="E4240" s="14" t="s">
        <v>342</v>
      </c>
      <c r="F4240" s="14" t="s">
        <v>343</v>
      </c>
      <c r="G4240" s="14" t="s">
        <v>343</v>
      </c>
      <c r="H4240" s="14" t="s">
        <v>343</v>
      </c>
      <c r="U4240" s="14">
        <v>0.94</v>
      </c>
      <c r="V4240" s="14">
        <v>0.94</v>
      </c>
      <c r="W4240" s="14">
        <v>0.94</v>
      </c>
      <c r="X4240" s="14">
        <v>0.94</v>
      </c>
    </row>
    <row r="4241" spans="1:24" hidden="1" x14ac:dyDescent="0.3">
      <c r="A4241" s="14" t="s">
        <v>500</v>
      </c>
      <c r="B4241" s="14" t="s">
        <v>181</v>
      </c>
      <c r="C4241" s="14" t="s">
        <v>365</v>
      </c>
      <c r="D4241" s="14" t="s">
        <v>366</v>
      </c>
      <c r="E4241" s="14" t="s">
        <v>344</v>
      </c>
      <c r="F4241" s="14" t="s">
        <v>343</v>
      </c>
      <c r="G4241" s="14" t="s">
        <v>343</v>
      </c>
      <c r="H4241" s="14" t="s">
        <v>343</v>
      </c>
      <c r="U4241" s="14">
        <v>1</v>
      </c>
      <c r="V4241" s="14">
        <v>1</v>
      </c>
      <c r="W4241" s="14">
        <v>1</v>
      </c>
      <c r="X4241" s="14">
        <v>1</v>
      </c>
    </row>
    <row r="4242" spans="1:24" hidden="1" x14ac:dyDescent="0.3">
      <c r="A4242" s="14" t="s">
        <v>500</v>
      </c>
      <c r="B4242" s="14" t="s">
        <v>181</v>
      </c>
      <c r="C4242" s="14" t="s">
        <v>367</v>
      </c>
      <c r="D4242" s="14" t="s">
        <v>368</v>
      </c>
      <c r="E4242" s="14" t="s">
        <v>342</v>
      </c>
      <c r="F4242" s="14" t="s">
        <v>343</v>
      </c>
      <c r="G4242" s="14" t="s">
        <v>343</v>
      </c>
      <c r="H4242" s="14" t="s">
        <v>343</v>
      </c>
      <c r="J4242" s="14">
        <v>0.59</v>
      </c>
      <c r="K4242" s="14">
        <v>0.6</v>
      </c>
      <c r="L4242" s="14">
        <v>0.59</v>
      </c>
      <c r="M4242" s="14">
        <v>0.6</v>
      </c>
      <c r="N4242" s="14">
        <v>0.59</v>
      </c>
      <c r="O4242" s="14">
        <v>0.6</v>
      </c>
      <c r="P4242" s="14">
        <v>0.61</v>
      </c>
      <c r="Q4242" s="14">
        <v>0.61</v>
      </c>
      <c r="R4242" s="14">
        <v>0.6</v>
      </c>
      <c r="S4242" s="14">
        <v>0.61</v>
      </c>
      <c r="U4242" s="14">
        <v>0.6</v>
      </c>
      <c r="V4242" s="14">
        <v>0.6</v>
      </c>
      <c r="W4242" s="14">
        <v>0.61</v>
      </c>
      <c r="X4242" s="14">
        <v>0.61</v>
      </c>
    </row>
    <row r="4243" spans="1:24" hidden="1" x14ac:dyDescent="0.3">
      <c r="A4243" s="14" t="s">
        <v>500</v>
      </c>
      <c r="B4243" s="14" t="s">
        <v>181</v>
      </c>
      <c r="C4243" s="14" t="s">
        <v>367</v>
      </c>
      <c r="D4243" s="14" t="s">
        <v>368</v>
      </c>
      <c r="E4243" s="14" t="s">
        <v>344</v>
      </c>
      <c r="F4243" s="14" t="s">
        <v>343</v>
      </c>
      <c r="G4243" s="14" t="s">
        <v>343</v>
      </c>
      <c r="H4243" s="14" t="s">
        <v>343</v>
      </c>
      <c r="J4243" s="14">
        <v>119</v>
      </c>
      <c r="K4243" s="14">
        <v>118</v>
      </c>
      <c r="L4243" s="14">
        <v>123</v>
      </c>
      <c r="M4243" s="14">
        <v>122</v>
      </c>
      <c r="N4243" s="14">
        <v>127</v>
      </c>
      <c r="O4243" s="14">
        <v>125</v>
      </c>
      <c r="P4243" s="14">
        <v>122</v>
      </c>
      <c r="Q4243" s="14">
        <v>128</v>
      </c>
      <c r="R4243" s="14">
        <v>135</v>
      </c>
      <c r="S4243" s="14">
        <v>133</v>
      </c>
      <c r="U4243" s="14">
        <v>139</v>
      </c>
      <c r="V4243" s="14">
        <v>144</v>
      </c>
      <c r="W4243" s="14">
        <v>145</v>
      </c>
      <c r="X4243" s="14">
        <v>139</v>
      </c>
    </row>
    <row r="4244" spans="1:24" hidden="1" x14ac:dyDescent="0.3">
      <c r="A4244" s="14" t="s">
        <v>500</v>
      </c>
      <c r="B4244" s="14" t="s">
        <v>181</v>
      </c>
      <c r="C4244" s="14" t="s">
        <v>369</v>
      </c>
      <c r="D4244" s="14" t="s">
        <v>370</v>
      </c>
      <c r="E4244" s="14" t="s">
        <v>342</v>
      </c>
      <c r="F4244" s="14" t="s">
        <v>343</v>
      </c>
      <c r="G4244" s="14" t="s">
        <v>343</v>
      </c>
      <c r="H4244" s="14" t="s">
        <v>343</v>
      </c>
      <c r="J4244" s="14">
        <v>0.04</v>
      </c>
      <c r="K4244" s="14">
        <v>0.02</v>
      </c>
      <c r="L4244" s="14">
        <v>0.02</v>
      </c>
      <c r="M4244" s="14">
        <v>0.03</v>
      </c>
      <c r="N4244" s="14">
        <v>0.03</v>
      </c>
      <c r="O4244" s="14">
        <v>0.02</v>
      </c>
      <c r="P4244" s="14">
        <v>0.02</v>
      </c>
      <c r="Q4244" s="14">
        <v>0.02</v>
      </c>
      <c r="R4244" s="14">
        <v>0.02</v>
      </c>
      <c r="S4244" s="14">
        <v>0.02</v>
      </c>
      <c r="U4244" s="14">
        <v>0.02</v>
      </c>
      <c r="V4244" s="14">
        <v>0.02</v>
      </c>
      <c r="W4244" s="14">
        <v>0.04</v>
      </c>
      <c r="X4244" s="14">
        <v>0.04</v>
      </c>
    </row>
    <row r="4245" spans="1:24" hidden="1" x14ac:dyDescent="0.3">
      <c r="A4245" s="14" t="s">
        <v>500</v>
      </c>
      <c r="B4245" s="14" t="s">
        <v>181</v>
      </c>
      <c r="C4245" s="14" t="s">
        <v>369</v>
      </c>
      <c r="D4245" s="14" t="s">
        <v>370</v>
      </c>
      <c r="E4245" s="14" t="s">
        <v>344</v>
      </c>
      <c r="F4245" s="14" t="s">
        <v>343</v>
      </c>
      <c r="G4245" s="14" t="s">
        <v>343</v>
      </c>
      <c r="H4245" s="14" t="s">
        <v>343</v>
      </c>
      <c r="J4245" s="14">
        <v>119</v>
      </c>
      <c r="K4245" s="14">
        <v>123</v>
      </c>
      <c r="L4245" s="14">
        <v>128</v>
      </c>
      <c r="M4245" s="14">
        <v>128</v>
      </c>
      <c r="N4245" s="14">
        <v>129</v>
      </c>
      <c r="O4245" s="14">
        <v>129</v>
      </c>
      <c r="P4245" s="14">
        <v>132</v>
      </c>
      <c r="Q4245" s="14">
        <v>139</v>
      </c>
      <c r="R4245" s="14">
        <v>142</v>
      </c>
      <c r="S4245" s="14">
        <v>142</v>
      </c>
      <c r="U4245" s="14">
        <v>148</v>
      </c>
      <c r="V4245" s="14">
        <v>150</v>
      </c>
      <c r="W4245" s="14">
        <v>150</v>
      </c>
      <c r="X4245" s="14">
        <v>140</v>
      </c>
    </row>
    <row r="4246" spans="1:24" hidden="1" x14ac:dyDescent="0.3">
      <c r="A4246" s="14" t="s">
        <v>500</v>
      </c>
      <c r="B4246" s="14" t="s">
        <v>181</v>
      </c>
      <c r="C4246" s="14" t="s">
        <v>371</v>
      </c>
      <c r="D4246" s="14" t="s">
        <v>372</v>
      </c>
      <c r="E4246" s="14" t="s">
        <v>342</v>
      </c>
      <c r="F4246" s="14" t="s">
        <v>343</v>
      </c>
      <c r="G4246" s="14" t="s">
        <v>343</v>
      </c>
      <c r="H4246" s="14" t="s">
        <v>343</v>
      </c>
      <c r="U4246" s="14">
        <v>0</v>
      </c>
      <c r="V4246" s="14">
        <v>0</v>
      </c>
      <c r="W4246" s="14">
        <v>0</v>
      </c>
      <c r="X4246" s="14">
        <v>0</v>
      </c>
    </row>
    <row r="4247" spans="1:24" hidden="1" x14ac:dyDescent="0.3">
      <c r="A4247" s="14" t="s">
        <v>500</v>
      </c>
      <c r="B4247" s="14" t="s">
        <v>181</v>
      </c>
      <c r="C4247" s="14" t="s">
        <v>371</v>
      </c>
      <c r="D4247" s="14" t="s">
        <v>372</v>
      </c>
      <c r="E4247" s="14" t="s">
        <v>344</v>
      </c>
      <c r="F4247" s="14" t="s">
        <v>343</v>
      </c>
      <c r="G4247" s="14" t="s">
        <v>343</v>
      </c>
      <c r="H4247" s="14" t="s">
        <v>343</v>
      </c>
      <c r="U4247" s="14">
        <v>71</v>
      </c>
      <c r="V4247" s="14">
        <v>73</v>
      </c>
      <c r="W4247" s="14">
        <v>76</v>
      </c>
      <c r="X4247" s="14">
        <v>78</v>
      </c>
    </row>
    <row r="4248" spans="1:24" hidden="1" x14ac:dyDescent="0.3">
      <c r="A4248" s="14" t="s">
        <v>500</v>
      </c>
      <c r="B4248" s="14" t="s">
        <v>181</v>
      </c>
      <c r="C4248" s="14" t="s">
        <v>373</v>
      </c>
      <c r="D4248" s="14" t="s">
        <v>374</v>
      </c>
      <c r="E4248" s="14" t="s">
        <v>342</v>
      </c>
      <c r="F4248" s="14" t="s">
        <v>343</v>
      </c>
      <c r="G4248" s="14" t="s">
        <v>343</v>
      </c>
      <c r="H4248" s="14" t="s">
        <v>343</v>
      </c>
      <c r="U4248" s="14">
        <v>7.0000000000000007E-2</v>
      </c>
      <c r="V4248" s="14">
        <v>7.0000000000000007E-2</v>
      </c>
      <c r="W4248" s="14">
        <v>0.14000000000000001</v>
      </c>
      <c r="X4248" s="14">
        <v>0.14000000000000001</v>
      </c>
    </row>
    <row r="4249" spans="1:24" hidden="1" x14ac:dyDescent="0.3">
      <c r="A4249" s="14" t="s">
        <v>500</v>
      </c>
      <c r="B4249" s="14" t="s">
        <v>181</v>
      </c>
      <c r="C4249" s="14" t="s">
        <v>373</v>
      </c>
      <c r="D4249" s="14" t="s">
        <v>374</v>
      </c>
      <c r="E4249" s="14" t="s">
        <v>344</v>
      </c>
      <c r="F4249" s="14" t="s">
        <v>343</v>
      </c>
      <c r="G4249" s="14" t="s">
        <v>343</v>
      </c>
      <c r="H4249" s="14" t="s">
        <v>343</v>
      </c>
      <c r="U4249" s="14">
        <v>126</v>
      </c>
      <c r="V4249" s="14">
        <v>129</v>
      </c>
      <c r="W4249" s="14">
        <v>116</v>
      </c>
      <c r="X4249" s="14">
        <v>111</v>
      </c>
    </row>
    <row r="4250" spans="1:24" hidden="1" x14ac:dyDescent="0.3">
      <c r="A4250" s="14" t="s">
        <v>500</v>
      </c>
      <c r="B4250" s="14" t="s">
        <v>181</v>
      </c>
      <c r="C4250" s="14" t="s">
        <v>375</v>
      </c>
      <c r="D4250" s="14" t="s">
        <v>376</v>
      </c>
      <c r="E4250" s="14" t="s">
        <v>342</v>
      </c>
      <c r="F4250" s="14" t="s">
        <v>343</v>
      </c>
      <c r="G4250" s="14" t="s">
        <v>343</v>
      </c>
      <c r="H4250" s="14" t="s">
        <v>343</v>
      </c>
      <c r="U4250" s="14">
        <v>0.01</v>
      </c>
      <c r="V4250" s="14">
        <v>0.01</v>
      </c>
      <c r="W4250" s="14">
        <v>0.02</v>
      </c>
      <c r="X4250" s="14">
        <v>0.02</v>
      </c>
    </row>
    <row r="4251" spans="1:24" hidden="1" x14ac:dyDescent="0.3">
      <c r="A4251" s="14" t="s">
        <v>500</v>
      </c>
      <c r="B4251" s="14" t="s">
        <v>181</v>
      </c>
      <c r="C4251" s="14" t="s">
        <v>375</v>
      </c>
      <c r="D4251" s="14" t="s">
        <v>376</v>
      </c>
      <c r="E4251" s="14" t="s">
        <v>344</v>
      </c>
      <c r="F4251" s="14" t="s">
        <v>343</v>
      </c>
      <c r="G4251" s="14" t="s">
        <v>343</v>
      </c>
      <c r="H4251" s="14" t="s">
        <v>343</v>
      </c>
      <c r="U4251" s="14">
        <v>148</v>
      </c>
      <c r="V4251" s="14">
        <v>150</v>
      </c>
      <c r="W4251" s="14">
        <v>152</v>
      </c>
      <c r="X4251" s="14">
        <v>144</v>
      </c>
    </row>
    <row r="4252" spans="1:24" hidden="1" x14ac:dyDescent="0.3">
      <c r="A4252" s="14" t="s">
        <v>501</v>
      </c>
      <c r="B4252" s="14" t="s">
        <v>182</v>
      </c>
      <c r="C4252" s="14" t="s">
        <v>340</v>
      </c>
      <c r="D4252" s="14" t="s">
        <v>341</v>
      </c>
      <c r="E4252" s="14" t="s">
        <v>342</v>
      </c>
      <c r="F4252" s="14" t="s">
        <v>343</v>
      </c>
      <c r="G4252" s="14" t="s">
        <v>343</v>
      </c>
      <c r="H4252" s="14" t="s">
        <v>343</v>
      </c>
      <c r="I4252" s="14">
        <v>0.71</v>
      </c>
      <c r="J4252" s="14">
        <v>0.73</v>
      </c>
      <c r="K4252" s="14">
        <v>0.75</v>
      </c>
      <c r="L4252" s="14">
        <v>0.75</v>
      </c>
      <c r="M4252" s="14">
        <v>0.77</v>
      </c>
      <c r="N4252" s="14">
        <v>0.78</v>
      </c>
      <c r="O4252" s="14">
        <v>0.76</v>
      </c>
      <c r="P4252" s="14">
        <v>0.77</v>
      </c>
      <c r="Q4252" s="14">
        <v>0.81</v>
      </c>
      <c r="R4252" s="14">
        <v>0.81</v>
      </c>
      <c r="S4252" s="14">
        <v>0.81</v>
      </c>
      <c r="T4252" s="14">
        <v>0.8</v>
      </c>
      <c r="U4252" s="14">
        <v>0.81</v>
      </c>
      <c r="V4252" s="14">
        <v>0.82</v>
      </c>
      <c r="W4252" s="14">
        <v>0.81</v>
      </c>
      <c r="X4252" s="14">
        <v>0.82</v>
      </c>
    </row>
    <row r="4253" spans="1:24" hidden="1" x14ac:dyDescent="0.3">
      <c r="A4253" s="14" t="s">
        <v>501</v>
      </c>
      <c r="B4253" s="14" t="s">
        <v>182</v>
      </c>
      <c r="C4253" s="14" t="s">
        <v>340</v>
      </c>
      <c r="D4253" s="14" t="s">
        <v>341</v>
      </c>
      <c r="E4253" s="14" t="s">
        <v>344</v>
      </c>
      <c r="F4253" s="14" t="s">
        <v>343</v>
      </c>
      <c r="G4253" s="14" t="s">
        <v>343</v>
      </c>
      <c r="H4253" s="14" t="s">
        <v>343</v>
      </c>
      <c r="I4253" s="14">
        <v>110</v>
      </c>
      <c r="J4253" s="14">
        <v>123</v>
      </c>
      <c r="K4253" s="14">
        <v>123</v>
      </c>
      <c r="L4253" s="14">
        <v>128</v>
      </c>
      <c r="M4253" s="14">
        <v>127</v>
      </c>
      <c r="N4253" s="14">
        <v>127</v>
      </c>
      <c r="O4253" s="14">
        <v>129</v>
      </c>
      <c r="P4253" s="14">
        <v>129</v>
      </c>
      <c r="Q4253" s="14">
        <v>132</v>
      </c>
      <c r="R4253" s="14">
        <v>135</v>
      </c>
      <c r="S4253" s="14">
        <v>135</v>
      </c>
      <c r="T4253" s="14">
        <v>136</v>
      </c>
      <c r="U4253" s="14">
        <v>139</v>
      </c>
      <c r="V4253" s="14">
        <v>143</v>
      </c>
      <c r="W4253" s="14">
        <v>144</v>
      </c>
      <c r="X4253" s="14">
        <v>135</v>
      </c>
    </row>
    <row r="4254" spans="1:24" hidden="1" x14ac:dyDescent="0.3">
      <c r="A4254" s="14" t="s">
        <v>501</v>
      </c>
      <c r="B4254" s="14" t="s">
        <v>182</v>
      </c>
      <c r="C4254" s="14" t="s">
        <v>345</v>
      </c>
      <c r="D4254" s="14" t="s">
        <v>346</v>
      </c>
      <c r="E4254" s="14" t="s">
        <v>342</v>
      </c>
      <c r="F4254" s="14" t="s">
        <v>343</v>
      </c>
      <c r="G4254" s="14" t="s">
        <v>343</v>
      </c>
      <c r="H4254" s="14" t="s">
        <v>343</v>
      </c>
      <c r="U4254" s="14">
        <v>0.19</v>
      </c>
      <c r="V4254" s="14">
        <v>0.18</v>
      </c>
      <c r="W4254" s="14">
        <v>0.16</v>
      </c>
      <c r="X4254" s="14">
        <v>0.19</v>
      </c>
    </row>
    <row r="4255" spans="1:24" hidden="1" x14ac:dyDescent="0.3">
      <c r="A4255" s="14" t="s">
        <v>501</v>
      </c>
      <c r="B4255" s="14" t="s">
        <v>182</v>
      </c>
      <c r="C4255" s="14" t="s">
        <v>345</v>
      </c>
      <c r="D4255" s="14" t="s">
        <v>346</v>
      </c>
      <c r="E4255" s="14" t="s">
        <v>344</v>
      </c>
      <c r="F4255" s="14" t="s">
        <v>343</v>
      </c>
      <c r="G4255" s="14" t="s">
        <v>343</v>
      </c>
      <c r="H4255" s="14" t="s">
        <v>343</v>
      </c>
      <c r="U4255" s="14">
        <v>141</v>
      </c>
      <c r="V4255" s="14">
        <v>148</v>
      </c>
      <c r="W4255" s="14">
        <v>151</v>
      </c>
      <c r="X4255" s="14">
        <v>143</v>
      </c>
    </row>
    <row r="4256" spans="1:24" hidden="1" x14ac:dyDescent="0.3">
      <c r="A4256" s="14" t="s">
        <v>501</v>
      </c>
      <c r="B4256" s="14" t="s">
        <v>182</v>
      </c>
      <c r="C4256" s="14" t="s">
        <v>347</v>
      </c>
      <c r="D4256" s="14" t="s">
        <v>348</v>
      </c>
      <c r="E4256" s="14" t="s">
        <v>342</v>
      </c>
      <c r="F4256" s="14" t="s">
        <v>343</v>
      </c>
      <c r="G4256" s="14" t="s">
        <v>343</v>
      </c>
      <c r="H4256" s="14" t="s">
        <v>343</v>
      </c>
      <c r="U4256" s="14">
        <v>0.31</v>
      </c>
      <c r="V4256" s="14">
        <v>0.3</v>
      </c>
      <c r="W4256" s="14">
        <v>0.27</v>
      </c>
      <c r="X4256" s="14">
        <v>0.26</v>
      </c>
    </row>
    <row r="4257" spans="1:24" hidden="1" x14ac:dyDescent="0.3">
      <c r="A4257" s="14" t="s">
        <v>501</v>
      </c>
      <c r="B4257" s="14" t="s">
        <v>182</v>
      </c>
      <c r="C4257" s="14" t="s">
        <v>347</v>
      </c>
      <c r="D4257" s="14" t="s">
        <v>348</v>
      </c>
      <c r="E4257" s="14" t="s">
        <v>344</v>
      </c>
      <c r="F4257" s="14" t="s">
        <v>343</v>
      </c>
      <c r="G4257" s="14" t="s">
        <v>343</v>
      </c>
      <c r="H4257" s="14" t="s">
        <v>343</v>
      </c>
      <c r="U4257" s="14">
        <v>142</v>
      </c>
      <c r="V4257" s="14">
        <v>147</v>
      </c>
      <c r="W4257" s="14">
        <v>149</v>
      </c>
      <c r="X4257" s="14">
        <v>141</v>
      </c>
    </row>
    <row r="4258" spans="1:24" hidden="1" x14ac:dyDescent="0.3">
      <c r="A4258" s="14" t="s">
        <v>501</v>
      </c>
      <c r="B4258" s="14" t="s">
        <v>182</v>
      </c>
      <c r="C4258" s="14" t="s">
        <v>349</v>
      </c>
      <c r="D4258" s="14" t="s">
        <v>350</v>
      </c>
      <c r="E4258" s="14" t="s">
        <v>342</v>
      </c>
      <c r="F4258" s="14" t="s">
        <v>343</v>
      </c>
      <c r="G4258" s="14" t="s">
        <v>343</v>
      </c>
      <c r="H4258" s="14" t="s">
        <v>343</v>
      </c>
      <c r="U4258" s="14">
        <v>0.03</v>
      </c>
      <c r="V4258" s="14">
        <v>0.05</v>
      </c>
      <c r="W4258" s="14">
        <v>0.05</v>
      </c>
      <c r="X4258" s="14">
        <v>0.05</v>
      </c>
    </row>
    <row r="4259" spans="1:24" hidden="1" x14ac:dyDescent="0.3">
      <c r="A4259" s="14" t="s">
        <v>501</v>
      </c>
      <c r="B4259" s="14" t="s">
        <v>182</v>
      </c>
      <c r="C4259" s="14" t="s">
        <v>349</v>
      </c>
      <c r="D4259" s="14" t="s">
        <v>350</v>
      </c>
      <c r="E4259" s="14" t="s">
        <v>344</v>
      </c>
      <c r="F4259" s="14" t="s">
        <v>343</v>
      </c>
      <c r="G4259" s="14" t="s">
        <v>343</v>
      </c>
      <c r="H4259" s="14" t="s">
        <v>343</v>
      </c>
      <c r="U4259" s="14">
        <v>142</v>
      </c>
      <c r="V4259" s="14">
        <v>146</v>
      </c>
      <c r="W4259" s="14">
        <v>150</v>
      </c>
      <c r="X4259" s="14">
        <v>138</v>
      </c>
    </row>
    <row r="4260" spans="1:24" hidden="1" x14ac:dyDescent="0.3">
      <c r="A4260" s="14" t="s">
        <v>501</v>
      </c>
      <c r="B4260" s="14" t="s">
        <v>182</v>
      </c>
      <c r="C4260" s="14" t="s">
        <v>351</v>
      </c>
      <c r="D4260" s="14" t="s">
        <v>352</v>
      </c>
      <c r="E4260" s="14" t="s">
        <v>342</v>
      </c>
      <c r="F4260" s="14" t="s">
        <v>343</v>
      </c>
      <c r="G4260" s="14" t="s">
        <v>343</v>
      </c>
      <c r="H4260" s="14" t="s">
        <v>343</v>
      </c>
      <c r="U4260" s="14">
        <v>0.28000000000000003</v>
      </c>
      <c r="V4260" s="14">
        <v>0.3</v>
      </c>
      <c r="W4260" s="14">
        <v>0.34</v>
      </c>
      <c r="X4260" s="14">
        <v>0.3</v>
      </c>
    </row>
    <row r="4261" spans="1:24" hidden="1" x14ac:dyDescent="0.3">
      <c r="A4261" s="14" t="s">
        <v>501</v>
      </c>
      <c r="B4261" s="14" t="s">
        <v>182</v>
      </c>
      <c r="C4261" s="14" t="s">
        <v>351</v>
      </c>
      <c r="D4261" s="14" t="s">
        <v>352</v>
      </c>
      <c r="E4261" s="14" t="s">
        <v>344</v>
      </c>
      <c r="F4261" s="14" t="s">
        <v>343</v>
      </c>
      <c r="G4261" s="14" t="s">
        <v>343</v>
      </c>
      <c r="H4261" s="14" t="s">
        <v>343</v>
      </c>
      <c r="U4261" s="14">
        <v>139</v>
      </c>
      <c r="V4261" s="14">
        <v>140</v>
      </c>
      <c r="W4261" s="14">
        <v>140</v>
      </c>
      <c r="X4261" s="14">
        <v>130</v>
      </c>
    </row>
    <row r="4262" spans="1:24" hidden="1" x14ac:dyDescent="0.3">
      <c r="A4262" s="14" t="s">
        <v>501</v>
      </c>
      <c r="B4262" s="14" t="s">
        <v>182</v>
      </c>
      <c r="C4262" s="14" t="s">
        <v>378</v>
      </c>
      <c r="D4262" s="14" t="s">
        <v>379</v>
      </c>
      <c r="E4262" s="14" t="s">
        <v>342</v>
      </c>
      <c r="F4262" s="14" t="s">
        <v>343</v>
      </c>
      <c r="G4262" s="14" t="s">
        <v>343</v>
      </c>
      <c r="H4262" s="14" t="s">
        <v>343</v>
      </c>
      <c r="S4262" s="14">
        <v>0.56000000000000005</v>
      </c>
      <c r="U4262" s="14">
        <v>0.56999999999999995</v>
      </c>
      <c r="V4262" s="14">
        <v>0.59</v>
      </c>
      <c r="W4262" s="14">
        <v>0.56999999999999995</v>
      </c>
      <c r="X4262" s="14">
        <v>0.62</v>
      </c>
    </row>
    <row r="4263" spans="1:24" hidden="1" x14ac:dyDescent="0.3">
      <c r="A4263" s="14" t="s">
        <v>501</v>
      </c>
      <c r="B4263" s="14" t="s">
        <v>182</v>
      </c>
      <c r="C4263" s="14" t="s">
        <v>378</v>
      </c>
      <c r="D4263" s="14" t="s">
        <v>379</v>
      </c>
      <c r="E4263" s="14" t="s">
        <v>344</v>
      </c>
      <c r="F4263" s="14" t="s">
        <v>343</v>
      </c>
      <c r="G4263" s="14" t="s">
        <v>343</v>
      </c>
      <c r="H4263" s="14" t="s">
        <v>343</v>
      </c>
      <c r="S4263" s="14">
        <v>114</v>
      </c>
      <c r="U4263" s="14">
        <v>106</v>
      </c>
      <c r="V4263" s="14">
        <v>102</v>
      </c>
      <c r="W4263" s="14">
        <v>113</v>
      </c>
      <c r="X4263" s="14">
        <v>86</v>
      </c>
    </row>
    <row r="4264" spans="1:24" hidden="1" x14ac:dyDescent="0.3">
      <c r="A4264" s="14" t="s">
        <v>501</v>
      </c>
      <c r="B4264" s="14" t="s">
        <v>182</v>
      </c>
      <c r="C4264" s="14" t="s">
        <v>353</v>
      </c>
      <c r="D4264" s="14" t="s">
        <v>354</v>
      </c>
      <c r="E4264" s="14" t="s">
        <v>342</v>
      </c>
      <c r="F4264" s="14" t="s">
        <v>343</v>
      </c>
      <c r="G4264" s="14" t="s">
        <v>343</v>
      </c>
      <c r="H4264" s="14" t="s">
        <v>343</v>
      </c>
      <c r="U4264" s="14">
        <v>0.64</v>
      </c>
      <c r="V4264" s="14">
        <v>0.65</v>
      </c>
      <c r="W4264" s="14">
        <v>0.65</v>
      </c>
      <c r="X4264" s="14">
        <v>0.67</v>
      </c>
    </row>
    <row r="4265" spans="1:24" hidden="1" x14ac:dyDescent="0.3">
      <c r="A4265" s="14" t="s">
        <v>501</v>
      </c>
      <c r="B4265" s="14" t="s">
        <v>182</v>
      </c>
      <c r="C4265" s="14" t="s">
        <v>353</v>
      </c>
      <c r="D4265" s="14" t="s">
        <v>354</v>
      </c>
      <c r="E4265" s="14" t="s">
        <v>344</v>
      </c>
      <c r="F4265" s="14" t="s">
        <v>343</v>
      </c>
      <c r="G4265" s="14" t="s">
        <v>343</v>
      </c>
      <c r="H4265" s="14" t="s">
        <v>343</v>
      </c>
      <c r="U4265" s="14">
        <v>132</v>
      </c>
      <c r="V4265" s="14">
        <v>143</v>
      </c>
      <c r="W4265" s="14">
        <v>144</v>
      </c>
      <c r="X4265" s="14">
        <v>133</v>
      </c>
    </row>
    <row r="4266" spans="1:24" hidden="1" x14ac:dyDescent="0.3">
      <c r="A4266" s="14" t="s">
        <v>501</v>
      </c>
      <c r="B4266" s="14" t="s">
        <v>182</v>
      </c>
      <c r="C4266" s="14" t="s">
        <v>380</v>
      </c>
      <c r="D4266" s="14" t="s">
        <v>381</v>
      </c>
      <c r="E4266" s="14" t="s">
        <v>342</v>
      </c>
      <c r="F4266" s="14" t="s">
        <v>343</v>
      </c>
      <c r="G4266" s="14" t="s">
        <v>343</v>
      </c>
      <c r="H4266" s="14" t="s">
        <v>343</v>
      </c>
      <c r="U4266" s="14">
        <v>0.86</v>
      </c>
      <c r="V4266" s="14">
        <v>0.84</v>
      </c>
      <c r="W4266" s="14">
        <v>0.84</v>
      </c>
    </row>
    <row r="4267" spans="1:24" hidden="1" x14ac:dyDescent="0.3">
      <c r="A4267" s="14" t="s">
        <v>501</v>
      </c>
      <c r="B4267" s="14" t="s">
        <v>182</v>
      </c>
      <c r="C4267" s="14" t="s">
        <v>380</v>
      </c>
      <c r="D4267" s="14" t="s">
        <v>381</v>
      </c>
      <c r="E4267" s="14" t="s">
        <v>344</v>
      </c>
      <c r="F4267" s="14" t="s">
        <v>343</v>
      </c>
      <c r="G4267" s="14" t="s">
        <v>343</v>
      </c>
      <c r="H4267" s="14" t="s">
        <v>343</v>
      </c>
      <c r="U4267" s="14">
        <v>133</v>
      </c>
      <c r="V4267" s="14">
        <v>143</v>
      </c>
      <c r="W4267" s="14">
        <v>145</v>
      </c>
    </row>
    <row r="4268" spans="1:24" hidden="1" x14ac:dyDescent="0.3">
      <c r="A4268" s="14" t="s">
        <v>501</v>
      </c>
      <c r="B4268" s="14" t="s">
        <v>182</v>
      </c>
      <c r="C4268" s="14" t="s">
        <v>355</v>
      </c>
      <c r="D4268" s="14" t="s">
        <v>356</v>
      </c>
      <c r="E4268" s="14" t="s">
        <v>342</v>
      </c>
      <c r="F4268" s="14" t="s">
        <v>343</v>
      </c>
      <c r="G4268" s="14" t="s">
        <v>343</v>
      </c>
      <c r="H4268" s="14" t="s">
        <v>343</v>
      </c>
      <c r="U4268" s="14">
        <v>0.81</v>
      </c>
      <c r="V4268" s="14">
        <v>0.9</v>
      </c>
      <c r="W4268" s="14">
        <v>0.85</v>
      </c>
      <c r="X4268" s="14">
        <v>0.87</v>
      </c>
    </row>
    <row r="4269" spans="1:24" hidden="1" x14ac:dyDescent="0.3">
      <c r="A4269" s="14" t="s">
        <v>501</v>
      </c>
      <c r="B4269" s="14" t="s">
        <v>182</v>
      </c>
      <c r="C4269" s="14" t="s">
        <v>355</v>
      </c>
      <c r="D4269" s="14" t="s">
        <v>356</v>
      </c>
      <c r="E4269" s="14" t="s">
        <v>344</v>
      </c>
      <c r="F4269" s="14" t="s">
        <v>343</v>
      </c>
      <c r="G4269" s="14" t="s">
        <v>343</v>
      </c>
      <c r="H4269" s="14" t="s">
        <v>343</v>
      </c>
      <c r="U4269" s="14">
        <v>137</v>
      </c>
      <c r="V4269" s="14">
        <v>135</v>
      </c>
      <c r="W4269" s="14">
        <v>139</v>
      </c>
      <c r="X4269" s="14">
        <v>124</v>
      </c>
    </row>
    <row r="4270" spans="1:24" hidden="1" x14ac:dyDescent="0.3">
      <c r="A4270" s="14" t="s">
        <v>501</v>
      </c>
      <c r="B4270" s="14" t="s">
        <v>182</v>
      </c>
      <c r="C4270" s="14" t="s">
        <v>357</v>
      </c>
      <c r="D4270" s="14" t="s">
        <v>358</v>
      </c>
      <c r="E4270" s="14" t="s">
        <v>342</v>
      </c>
      <c r="F4270" s="14" t="s">
        <v>343</v>
      </c>
      <c r="G4270" s="14" t="s">
        <v>343</v>
      </c>
      <c r="H4270" s="14" t="s">
        <v>343</v>
      </c>
      <c r="U4270" s="14">
        <v>0.87</v>
      </c>
      <c r="V4270" s="14">
        <v>0.88</v>
      </c>
      <c r="W4270" s="14">
        <v>0.87</v>
      </c>
      <c r="X4270" s="14">
        <v>0.98</v>
      </c>
    </row>
    <row r="4271" spans="1:24" hidden="1" x14ac:dyDescent="0.3">
      <c r="A4271" s="14" t="s">
        <v>501</v>
      </c>
      <c r="B4271" s="14" t="s">
        <v>182</v>
      </c>
      <c r="C4271" s="14" t="s">
        <v>357</v>
      </c>
      <c r="D4271" s="14" t="s">
        <v>358</v>
      </c>
      <c r="E4271" s="14" t="s">
        <v>344</v>
      </c>
      <c r="F4271" s="14" t="s">
        <v>343</v>
      </c>
      <c r="G4271" s="14" t="s">
        <v>343</v>
      </c>
      <c r="H4271" s="14" t="s">
        <v>343</v>
      </c>
      <c r="U4271" s="14">
        <v>109</v>
      </c>
      <c r="V4271" s="14">
        <v>111</v>
      </c>
      <c r="W4271" s="14">
        <v>114</v>
      </c>
      <c r="X4271" s="14">
        <v>102</v>
      </c>
    </row>
    <row r="4272" spans="1:24" hidden="1" x14ac:dyDescent="0.3">
      <c r="A4272" s="14" t="s">
        <v>501</v>
      </c>
      <c r="B4272" s="14" t="s">
        <v>182</v>
      </c>
      <c r="C4272" s="14" t="s">
        <v>359</v>
      </c>
      <c r="D4272" s="14" t="s">
        <v>360</v>
      </c>
      <c r="E4272" s="14" t="s">
        <v>342</v>
      </c>
      <c r="F4272" s="14" t="s">
        <v>343</v>
      </c>
      <c r="G4272" s="14" t="s">
        <v>343</v>
      </c>
      <c r="H4272" s="14" t="s">
        <v>343</v>
      </c>
      <c r="I4272" s="14">
        <v>0.37</v>
      </c>
      <c r="J4272" s="14">
        <v>0.37</v>
      </c>
      <c r="K4272" s="14">
        <v>0.37</v>
      </c>
      <c r="L4272" s="14">
        <v>0.34</v>
      </c>
      <c r="M4272" s="14">
        <v>0.31</v>
      </c>
      <c r="N4272" s="14">
        <v>0.34</v>
      </c>
      <c r="O4272" s="14">
        <v>0.31</v>
      </c>
      <c r="P4272" s="14">
        <v>0.31</v>
      </c>
      <c r="Q4272" s="14">
        <v>0.31</v>
      </c>
      <c r="R4272" s="14">
        <v>0.33</v>
      </c>
      <c r="S4272" s="14">
        <v>0.32</v>
      </c>
      <c r="T4272" s="14">
        <v>0.31</v>
      </c>
      <c r="U4272" s="14">
        <v>0.32</v>
      </c>
      <c r="V4272" s="14">
        <v>0.33</v>
      </c>
      <c r="W4272" s="14">
        <v>0.32</v>
      </c>
      <c r="X4272" s="14">
        <v>0.33</v>
      </c>
    </row>
    <row r="4273" spans="1:24" hidden="1" x14ac:dyDescent="0.3">
      <c r="A4273" s="14" t="s">
        <v>501</v>
      </c>
      <c r="B4273" s="14" t="s">
        <v>182</v>
      </c>
      <c r="C4273" s="14" t="s">
        <v>359</v>
      </c>
      <c r="D4273" s="14" t="s">
        <v>360</v>
      </c>
      <c r="E4273" s="14" t="s">
        <v>344</v>
      </c>
      <c r="F4273" s="14" t="s">
        <v>343</v>
      </c>
      <c r="G4273" s="14" t="s">
        <v>343</v>
      </c>
      <c r="H4273" s="14" t="s">
        <v>343</v>
      </c>
      <c r="I4273" s="14">
        <v>112</v>
      </c>
      <c r="J4273" s="14">
        <v>126</v>
      </c>
      <c r="K4273" s="14">
        <v>128</v>
      </c>
      <c r="L4273" s="14">
        <v>132</v>
      </c>
      <c r="M4273" s="14">
        <v>133</v>
      </c>
      <c r="N4273" s="14">
        <v>134</v>
      </c>
      <c r="O4273" s="14">
        <v>134</v>
      </c>
      <c r="P4273" s="14">
        <v>135</v>
      </c>
      <c r="Q4273" s="14">
        <v>141</v>
      </c>
      <c r="R4273" s="14">
        <v>143</v>
      </c>
      <c r="S4273" s="14">
        <v>143</v>
      </c>
      <c r="T4273" s="14">
        <v>143</v>
      </c>
      <c r="U4273" s="14">
        <v>146</v>
      </c>
      <c r="V4273" s="14">
        <v>150</v>
      </c>
      <c r="W4273" s="14">
        <v>152</v>
      </c>
      <c r="X4273" s="14">
        <v>145</v>
      </c>
    </row>
    <row r="4274" spans="1:24" x14ac:dyDescent="0.3">
      <c r="A4274" s="14" t="s">
        <v>501</v>
      </c>
      <c r="B4274" s="14" t="s">
        <v>182</v>
      </c>
      <c r="C4274" s="14" t="s">
        <v>361</v>
      </c>
      <c r="D4274" s="14" t="s">
        <v>362</v>
      </c>
      <c r="E4274" s="14" t="s">
        <v>342</v>
      </c>
      <c r="F4274" s="14" t="s">
        <v>343</v>
      </c>
      <c r="G4274" s="14" t="s">
        <v>343</v>
      </c>
      <c r="H4274" s="14" t="s">
        <v>343</v>
      </c>
      <c r="I4274" s="14">
        <v>0.95</v>
      </c>
      <c r="J4274" s="14">
        <v>0.95</v>
      </c>
      <c r="K4274" s="14">
        <v>0.95</v>
      </c>
      <c r="L4274" s="14">
        <v>0.95</v>
      </c>
      <c r="M4274" s="14">
        <v>0.96</v>
      </c>
      <c r="N4274" s="14">
        <v>0.96</v>
      </c>
      <c r="O4274" s="14">
        <v>0.96</v>
      </c>
      <c r="P4274" s="14">
        <v>0.96</v>
      </c>
      <c r="Q4274" s="14">
        <v>0.97</v>
      </c>
      <c r="R4274" s="14">
        <v>0.97</v>
      </c>
      <c r="S4274" s="14">
        <v>0.97</v>
      </c>
      <c r="T4274" s="14">
        <v>0.95</v>
      </c>
      <c r="U4274" s="14">
        <v>0.95</v>
      </c>
      <c r="V4274" s="14">
        <v>0.95</v>
      </c>
      <c r="W4274" s="14">
        <v>0.94</v>
      </c>
      <c r="X4274" s="14">
        <v>0.94</v>
      </c>
    </row>
    <row r="4275" spans="1:24" hidden="1" x14ac:dyDescent="0.3">
      <c r="A4275" s="14" t="s">
        <v>501</v>
      </c>
      <c r="B4275" s="14" t="s">
        <v>182</v>
      </c>
      <c r="C4275" s="14" t="s">
        <v>361</v>
      </c>
      <c r="D4275" s="14" t="s">
        <v>362</v>
      </c>
      <c r="E4275" s="14" t="s">
        <v>344</v>
      </c>
      <c r="F4275" s="14" t="s">
        <v>343</v>
      </c>
      <c r="G4275" s="14" t="s">
        <v>343</v>
      </c>
      <c r="H4275" s="14" t="s">
        <v>343</v>
      </c>
      <c r="I4275" s="14">
        <v>112</v>
      </c>
      <c r="J4275" s="14">
        <v>121</v>
      </c>
      <c r="K4275" s="14">
        <v>123</v>
      </c>
      <c r="L4275" s="14">
        <v>128</v>
      </c>
      <c r="M4275" s="14">
        <v>122</v>
      </c>
      <c r="N4275" s="14">
        <v>123</v>
      </c>
      <c r="O4275" s="14">
        <v>123</v>
      </c>
      <c r="P4275" s="14">
        <v>124</v>
      </c>
      <c r="Q4275" s="14">
        <v>119</v>
      </c>
      <c r="R4275" s="14">
        <v>125</v>
      </c>
      <c r="S4275" s="14">
        <v>124</v>
      </c>
      <c r="T4275" s="14">
        <v>140</v>
      </c>
      <c r="U4275" s="14">
        <v>145</v>
      </c>
      <c r="V4275" s="14">
        <v>149</v>
      </c>
      <c r="W4275" s="14">
        <v>153</v>
      </c>
      <c r="X4275" s="14">
        <v>143</v>
      </c>
    </row>
    <row r="4276" spans="1:24" hidden="1" x14ac:dyDescent="0.3">
      <c r="A4276" s="14" t="s">
        <v>501</v>
      </c>
      <c r="B4276" s="14" t="s">
        <v>182</v>
      </c>
      <c r="C4276" s="14" t="s">
        <v>363</v>
      </c>
      <c r="D4276" s="14" t="s">
        <v>364</v>
      </c>
      <c r="E4276" s="14" t="s">
        <v>342</v>
      </c>
      <c r="F4276" s="14" t="s">
        <v>343</v>
      </c>
      <c r="G4276" s="14" t="s">
        <v>343</v>
      </c>
      <c r="H4276" s="14" t="s">
        <v>343</v>
      </c>
      <c r="U4276" s="14">
        <v>1.01</v>
      </c>
      <c r="V4276" s="14">
        <v>1</v>
      </c>
      <c r="W4276" s="14">
        <v>1</v>
      </c>
      <c r="X4276" s="14">
        <v>1</v>
      </c>
    </row>
    <row r="4277" spans="1:24" hidden="1" x14ac:dyDescent="0.3">
      <c r="A4277" s="14" t="s">
        <v>501</v>
      </c>
      <c r="B4277" s="14" t="s">
        <v>182</v>
      </c>
      <c r="C4277" s="14" t="s">
        <v>363</v>
      </c>
      <c r="D4277" s="14" t="s">
        <v>364</v>
      </c>
      <c r="E4277" s="14" t="s">
        <v>344</v>
      </c>
      <c r="F4277" s="14" t="s">
        <v>343</v>
      </c>
      <c r="G4277" s="14" t="s">
        <v>343</v>
      </c>
      <c r="H4277" s="14" t="s">
        <v>343</v>
      </c>
      <c r="U4277" s="14">
        <v>141</v>
      </c>
      <c r="V4277" s="14">
        <v>145</v>
      </c>
      <c r="W4277" s="14">
        <v>149</v>
      </c>
      <c r="X4277" s="14">
        <v>140</v>
      </c>
    </row>
    <row r="4278" spans="1:24" hidden="1" x14ac:dyDescent="0.3">
      <c r="A4278" s="14" t="s">
        <v>501</v>
      </c>
      <c r="B4278" s="14" t="s">
        <v>182</v>
      </c>
      <c r="C4278" s="14" t="s">
        <v>365</v>
      </c>
      <c r="D4278" s="14" t="s">
        <v>366</v>
      </c>
      <c r="E4278" s="14" t="s">
        <v>342</v>
      </c>
      <c r="F4278" s="14" t="s">
        <v>343</v>
      </c>
      <c r="G4278" s="14" t="s">
        <v>343</v>
      </c>
      <c r="H4278" s="14" t="s">
        <v>343</v>
      </c>
      <c r="U4278" s="14">
        <v>0.92</v>
      </c>
      <c r="V4278" s="14">
        <v>0.92</v>
      </c>
      <c r="W4278" s="14">
        <v>0.92</v>
      </c>
      <c r="X4278" s="14">
        <v>0.92</v>
      </c>
    </row>
    <row r="4279" spans="1:24" hidden="1" x14ac:dyDescent="0.3">
      <c r="A4279" s="14" t="s">
        <v>501</v>
      </c>
      <c r="B4279" s="14" t="s">
        <v>182</v>
      </c>
      <c r="C4279" s="14" t="s">
        <v>365</v>
      </c>
      <c r="D4279" s="14" t="s">
        <v>366</v>
      </c>
      <c r="E4279" s="14" t="s">
        <v>344</v>
      </c>
      <c r="F4279" s="14" t="s">
        <v>343</v>
      </c>
      <c r="G4279" s="14" t="s">
        <v>343</v>
      </c>
      <c r="H4279" s="14" t="s">
        <v>343</v>
      </c>
      <c r="U4279" s="14">
        <v>144</v>
      </c>
      <c r="V4279" s="14">
        <v>148</v>
      </c>
      <c r="W4279" s="14">
        <v>151</v>
      </c>
      <c r="X4279" s="14">
        <v>141</v>
      </c>
    </row>
    <row r="4280" spans="1:24" hidden="1" x14ac:dyDescent="0.3">
      <c r="A4280" s="14" t="s">
        <v>501</v>
      </c>
      <c r="B4280" s="14" t="s">
        <v>182</v>
      </c>
      <c r="C4280" s="14" t="s">
        <v>367</v>
      </c>
      <c r="D4280" s="14" t="s">
        <v>368</v>
      </c>
      <c r="E4280" s="14" t="s">
        <v>342</v>
      </c>
      <c r="F4280" s="14" t="s">
        <v>343</v>
      </c>
      <c r="G4280" s="14" t="s">
        <v>343</v>
      </c>
      <c r="H4280" s="14" t="s">
        <v>343</v>
      </c>
      <c r="I4280" s="14">
        <v>0.54</v>
      </c>
      <c r="J4280" s="14">
        <v>0.55000000000000004</v>
      </c>
      <c r="K4280" s="14">
        <v>0.55000000000000004</v>
      </c>
      <c r="L4280" s="14">
        <v>0.55000000000000004</v>
      </c>
      <c r="M4280" s="14">
        <v>0.55000000000000004</v>
      </c>
      <c r="N4280" s="14">
        <v>0.56000000000000005</v>
      </c>
      <c r="O4280" s="14">
        <v>0.55000000000000004</v>
      </c>
      <c r="P4280" s="14">
        <v>0.55000000000000004</v>
      </c>
      <c r="Q4280" s="14">
        <v>0.55000000000000004</v>
      </c>
      <c r="R4280" s="14">
        <v>0.56000000000000005</v>
      </c>
      <c r="S4280" s="14">
        <v>0.56000000000000005</v>
      </c>
      <c r="T4280" s="14">
        <v>0.55000000000000004</v>
      </c>
      <c r="U4280" s="14">
        <v>0.55000000000000004</v>
      </c>
      <c r="V4280" s="14">
        <v>0.56000000000000005</v>
      </c>
      <c r="W4280" s="14">
        <v>0.56000000000000005</v>
      </c>
      <c r="X4280" s="14">
        <v>0.56000000000000005</v>
      </c>
    </row>
    <row r="4281" spans="1:24" hidden="1" x14ac:dyDescent="0.3">
      <c r="A4281" s="14" t="s">
        <v>501</v>
      </c>
      <c r="B4281" s="14" t="s">
        <v>182</v>
      </c>
      <c r="C4281" s="14" t="s">
        <v>367</v>
      </c>
      <c r="D4281" s="14" t="s">
        <v>368</v>
      </c>
      <c r="E4281" s="14" t="s">
        <v>344</v>
      </c>
      <c r="F4281" s="14" t="s">
        <v>343</v>
      </c>
      <c r="G4281" s="14" t="s">
        <v>343</v>
      </c>
      <c r="H4281" s="14" t="s">
        <v>343</v>
      </c>
      <c r="I4281" s="14">
        <v>112</v>
      </c>
      <c r="J4281" s="14">
        <v>126</v>
      </c>
      <c r="K4281" s="14">
        <v>127</v>
      </c>
      <c r="L4281" s="14">
        <v>132</v>
      </c>
      <c r="M4281" s="14">
        <v>132</v>
      </c>
      <c r="N4281" s="14">
        <v>133</v>
      </c>
      <c r="O4281" s="14">
        <v>134</v>
      </c>
      <c r="P4281" s="14">
        <v>135</v>
      </c>
      <c r="Q4281" s="14">
        <v>141</v>
      </c>
      <c r="R4281" s="14">
        <v>144</v>
      </c>
      <c r="S4281" s="14">
        <v>143</v>
      </c>
      <c r="T4281" s="14">
        <v>143</v>
      </c>
      <c r="U4281" s="14">
        <v>148</v>
      </c>
      <c r="V4281" s="14">
        <v>151</v>
      </c>
      <c r="W4281" s="14">
        <v>153</v>
      </c>
      <c r="X4281" s="14">
        <v>145</v>
      </c>
    </row>
    <row r="4282" spans="1:24" hidden="1" x14ac:dyDescent="0.3">
      <c r="A4282" s="14" t="s">
        <v>501</v>
      </c>
      <c r="B4282" s="14" t="s">
        <v>182</v>
      </c>
      <c r="C4282" s="14" t="s">
        <v>369</v>
      </c>
      <c r="D4282" s="14" t="s">
        <v>370</v>
      </c>
      <c r="E4282" s="14" t="s">
        <v>342</v>
      </c>
      <c r="F4282" s="14" t="s">
        <v>343</v>
      </c>
      <c r="G4282" s="14" t="s">
        <v>343</v>
      </c>
      <c r="H4282" s="14" t="s">
        <v>343</v>
      </c>
      <c r="I4282" s="14">
        <v>0.15</v>
      </c>
      <c r="J4282" s="14">
        <v>0.15</v>
      </c>
      <c r="K4282" s="14">
        <v>0.15</v>
      </c>
      <c r="L4282" s="14">
        <v>0.15</v>
      </c>
      <c r="M4282" s="14">
        <v>0.15</v>
      </c>
      <c r="N4282" s="14">
        <v>0.15</v>
      </c>
      <c r="O4282" s="14">
        <v>0.16</v>
      </c>
      <c r="P4282" s="14">
        <v>0.15</v>
      </c>
      <c r="Q4282" s="14">
        <v>0.13</v>
      </c>
      <c r="R4282" s="14">
        <v>0.13</v>
      </c>
      <c r="S4282" s="14">
        <v>0.13</v>
      </c>
      <c r="T4282" s="14">
        <v>0.13</v>
      </c>
      <c r="U4282" s="14">
        <v>0.13</v>
      </c>
      <c r="V4282" s="14">
        <v>0.16</v>
      </c>
      <c r="W4282" s="14">
        <v>0.15</v>
      </c>
      <c r="X4282" s="14">
        <v>0.16</v>
      </c>
    </row>
    <row r="4283" spans="1:24" hidden="1" x14ac:dyDescent="0.3">
      <c r="A4283" s="14" t="s">
        <v>501</v>
      </c>
      <c r="B4283" s="14" t="s">
        <v>182</v>
      </c>
      <c r="C4283" s="14" t="s">
        <v>369</v>
      </c>
      <c r="D4283" s="14" t="s">
        <v>370</v>
      </c>
      <c r="E4283" s="14" t="s">
        <v>344</v>
      </c>
      <c r="F4283" s="14" t="s">
        <v>343</v>
      </c>
      <c r="G4283" s="14" t="s">
        <v>343</v>
      </c>
      <c r="H4283" s="14" t="s">
        <v>343</v>
      </c>
      <c r="I4283" s="14">
        <v>37</v>
      </c>
      <c r="J4283" s="14">
        <v>43</v>
      </c>
      <c r="K4283" s="14">
        <v>50</v>
      </c>
      <c r="L4283" s="14">
        <v>55</v>
      </c>
      <c r="M4283" s="14">
        <v>52</v>
      </c>
      <c r="N4283" s="14">
        <v>54</v>
      </c>
      <c r="O4283" s="14">
        <v>52</v>
      </c>
      <c r="P4283" s="14">
        <v>64</v>
      </c>
      <c r="Q4283" s="14">
        <v>85</v>
      </c>
      <c r="R4283" s="14">
        <v>87</v>
      </c>
      <c r="S4283" s="14">
        <v>90</v>
      </c>
      <c r="T4283" s="14">
        <v>95</v>
      </c>
      <c r="U4283" s="14">
        <v>97</v>
      </c>
      <c r="V4283" s="14">
        <v>93</v>
      </c>
      <c r="W4283" s="14">
        <v>98</v>
      </c>
      <c r="X4283" s="14">
        <v>95</v>
      </c>
    </row>
    <row r="4284" spans="1:24" hidden="1" x14ac:dyDescent="0.3">
      <c r="A4284" s="14" t="s">
        <v>501</v>
      </c>
      <c r="B4284" s="14" t="s">
        <v>182</v>
      </c>
      <c r="C4284" s="14" t="s">
        <v>371</v>
      </c>
      <c r="D4284" s="14" t="s">
        <v>372</v>
      </c>
      <c r="E4284" s="14" t="s">
        <v>342</v>
      </c>
      <c r="F4284" s="14" t="s">
        <v>343</v>
      </c>
      <c r="G4284" s="14" t="s">
        <v>343</v>
      </c>
      <c r="H4284" s="14" t="s">
        <v>343</v>
      </c>
      <c r="U4284" s="14">
        <v>0.1</v>
      </c>
      <c r="V4284" s="14">
        <v>0.1</v>
      </c>
      <c r="W4284" s="14">
        <v>0.1</v>
      </c>
      <c r="X4284" s="14">
        <v>0.1</v>
      </c>
    </row>
    <row r="4285" spans="1:24" hidden="1" x14ac:dyDescent="0.3">
      <c r="A4285" s="14" t="s">
        <v>501</v>
      </c>
      <c r="B4285" s="14" t="s">
        <v>182</v>
      </c>
      <c r="C4285" s="14" t="s">
        <v>371</v>
      </c>
      <c r="D4285" s="14" t="s">
        <v>372</v>
      </c>
      <c r="E4285" s="14" t="s">
        <v>344</v>
      </c>
      <c r="F4285" s="14" t="s">
        <v>343</v>
      </c>
      <c r="G4285" s="14" t="s">
        <v>343</v>
      </c>
      <c r="H4285" s="14" t="s">
        <v>343</v>
      </c>
      <c r="U4285" s="14">
        <v>28</v>
      </c>
      <c r="V4285" s="14">
        <v>29</v>
      </c>
      <c r="W4285" s="14">
        <v>33</v>
      </c>
      <c r="X4285" s="14">
        <v>31</v>
      </c>
    </row>
    <row r="4286" spans="1:24" hidden="1" x14ac:dyDescent="0.3">
      <c r="A4286" s="14" t="s">
        <v>501</v>
      </c>
      <c r="B4286" s="14" t="s">
        <v>182</v>
      </c>
      <c r="C4286" s="14" t="s">
        <v>373</v>
      </c>
      <c r="D4286" s="14" t="s">
        <v>374</v>
      </c>
      <c r="E4286" s="14" t="s">
        <v>342</v>
      </c>
      <c r="F4286" s="14" t="s">
        <v>343</v>
      </c>
      <c r="G4286" s="14" t="s">
        <v>343</v>
      </c>
      <c r="H4286" s="14" t="s">
        <v>343</v>
      </c>
      <c r="U4286" s="14">
        <v>0</v>
      </c>
      <c r="V4286" s="14">
        <v>0.14000000000000001</v>
      </c>
      <c r="W4286" s="14">
        <v>0.12</v>
      </c>
      <c r="X4286" s="14">
        <v>0.12</v>
      </c>
    </row>
    <row r="4287" spans="1:24" hidden="1" x14ac:dyDescent="0.3">
      <c r="A4287" s="14" t="s">
        <v>501</v>
      </c>
      <c r="B4287" s="14" t="s">
        <v>182</v>
      </c>
      <c r="C4287" s="14" t="s">
        <v>373</v>
      </c>
      <c r="D4287" s="14" t="s">
        <v>374</v>
      </c>
      <c r="E4287" s="14" t="s">
        <v>344</v>
      </c>
      <c r="F4287" s="14" t="s">
        <v>343</v>
      </c>
      <c r="G4287" s="14" t="s">
        <v>343</v>
      </c>
      <c r="H4287" s="14" t="s">
        <v>343</v>
      </c>
      <c r="U4287" s="14">
        <v>144</v>
      </c>
      <c r="V4287" s="14">
        <v>112</v>
      </c>
      <c r="W4287" s="14">
        <v>119</v>
      </c>
      <c r="X4287" s="14">
        <v>114</v>
      </c>
    </row>
    <row r="4288" spans="1:24" hidden="1" x14ac:dyDescent="0.3">
      <c r="A4288" s="14" t="s">
        <v>501</v>
      </c>
      <c r="B4288" s="14" t="s">
        <v>182</v>
      </c>
      <c r="C4288" s="14" t="s">
        <v>375</v>
      </c>
      <c r="D4288" s="14" t="s">
        <v>376</v>
      </c>
      <c r="E4288" s="14" t="s">
        <v>342</v>
      </c>
      <c r="F4288" s="14" t="s">
        <v>343</v>
      </c>
      <c r="G4288" s="14" t="s">
        <v>343</v>
      </c>
      <c r="H4288" s="14" t="s">
        <v>343</v>
      </c>
      <c r="U4288" s="14">
        <v>0.26</v>
      </c>
      <c r="V4288" s="14">
        <v>0.25</v>
      </c>
      <c r="W4288" s="14">
        <v>0.25</v>
      </c>
      <c r="X4288" s="14">
        <v>0.26</v>
      </c>
    </row>
    <row r="4289" spans="1:24" hidden="1" x14ac:dyDescent="0.3">
      <c r="A4289" s="14" t="s">
        <v>501</v>
      </c>
      <c r="B4289" s="14" t="s">
        <v>182</v>
      </c>
      <c r="C4289" s="14" t="s">
        <v>375</v>
      </c>
      <c r="D4289" s="14" t="s">
        <v>376</v>
      </c>
      <c r="E4289" s="14" t="s">
        <v>344</v>
      </c>
      <c r="F4289" s="14" t="s">
        <v>343</v>
      </c>
      <c r="G4289" s="14" t="s">
        <v>343</v>
      </c>
      <c r="H4289" s="14" t="s">
        <v>343</v>
      </c>
      <c r="U4289" s="14">
        <v>78</v>
      </c>
      <c r="V4289" s="14">
        <v>91</v>
      </c>
      <c r="W4289" s="14">
        <v>102</v>
      </c>
      <c r="X4289" s="14">
        <v>94</v>
      </c>
    </row>
    <row r="4290" spans="1:24" hidden="1" x14ac:dyDescent="0.3">
      <c r="A4290" s="14" t="s">
        <v>502</v>
      </c>
      <c r="B4290" s="14" t="s">
        <v>185</v>
      </c>
      <c r="C4290" s="14" t="s">
        <v>340</v>
      </c>
      <c r="D4290" s="14" t="s">
        <v>341</v>
      </c>
      <c r="E4290" s="14" t="s">
        <v>342</v>
      </c>
      <c r="F4290" s="14" t="s">
        <v>343</v>
      </c>
      <c r="G4290" s="14" t="s">
        <v>343</v>
      </c>
      <c r="H4290" s="14" t="s">
        <v>343</v>
      </c>
      <c r="I4290" s="14">
        <v>1</v>
      </c>
      <c r="J4290" s="14">
        <v>0.99</v>
      </c>
      <c r="K4290" s="14">
        <v>0.99</v>
      </c>
      <c r="L4290" s="14">
        <v>0.99</v>
      </c>
      <c r="M4290" s="14">
        <v>0.99</v>
      </c>
      <c r="N4290" s="14">
        <v>0.99</v>
      </c>
      <c r="O4290" s="14">
        <v>0.99</v>
      </c>
      <c r="P4290" s="14">
        <v>1</v>
      </c>
      <c r="Q4290" s="14">
        <v>0.99</v>
      </c>
      <c r="R4290" s="14">
        <v>0.99</v>
      </c>
      <c r="S4290" s="14">
        <v>0.99</v>
      </c>
      <c r="T4290" s="14">
        <v>1</v>
      </c>
      <c r="U4290" s="14">
        <v>1</v>
      </c>
      <c r="V4290" s="14">
        <v>0.99</v>
      </c>
      <c r="W4290" s="14">
        <v>0.99</v>
      </c>
      <c r="X4290" s="14">
        <v>1</v>
      </c>
    </row>
    <row r="4291" spans="1:24" hidden="1" x14ac:dyDescent="0.3">
      <c r="A4291" s="14" t="s">
        <v>502</v>
      </c>
      <c r="B4291" s="14" t="s">
        <v>185</v>
      </c>
      <c r="C4291" s="14" t="s">
        <v>340</v>
      </c>
      <c r="D4291" s="14" t="s">
        <v>341</v>
      </c>
      <c r="E4291" s="14" t="s">
        <v>344</v>
      </c>
      <c r="F4291" s="14" t="s">
        <v>343</v>
      </c>
      <c r="G4291" s="14" t="s">
        <v>343</v>
      </c>
      <c r="H4291" s="14" t="s">
        <v>343</v>
      </c>
      <c r="I4291" s="14">
        <v>35</v>
      </c>
      <c r="J4291" s="14">
        <v>40</v>
      </c>
      <c r="K4291" s="14">
        <v>54</v>
      </c>
      <c r="L4291" s="14">
        <v>52</v>
      </c>
      <c r="M4291" s="14">
        <v>55</v>
      </c>
      <c r="N4291" s="14">
        <v>54</v>
      </c>
      <c r="O4291" s="14">
        <v>62</v>
      </c>
      <c r="P4291" s="14">
        <v>43</v>
      </c>
      <c r="Q4291" s="14">
        <v>60</v>
      </c>
      <c r="R4291" s="14">
        <v>62</v>
      </c>
      <c r="S4291" s="14">
        <v>62</v>
      </c>
      <c r="T4291" s="14">
        <v>55</v>
      </c>
      <c r="U4291" s="14">
        <v>64</v>
      </c>
      <c r="V4291" s="14">
        <v>65</v>
      </c>
      <c r="W4291" s="14">
        <v>66</v>
      </c>
      <c r="X4291" s="14">
        <v>35</v>
      </c>
    </row>
    <row r="4292" spans="1:24" hidden="1" x14ac:dyDescent="0.3">
      <c r="A4292" s="14" t="s">
        <v>502</v>
      </c>
      <c r="B4292" s="14" t="s">
        <v>185</v>
      </c>
      <c r="C4292" s="14" t="s">
        <v>345</v>
      </c>
      <c r="D4292" s="14" t="s">
        <v>346</v>
      </c>
      <c r="E4292" s="14" t="s">
        <v>342</v>
      </c>
      <c r="F4292" s="14" t="s">
        <v>343</v>
      </c>
      <c r="G4292" s="14" t="s">
        <v>343</v>
      </c>
      <c r="H4292" s="14" t="s">
        <v>343</v>
      </c>
      <c r="U4292" s="14">
        <v>0.66</v>
      </c>
      <c r="V4292" s="14">
        <v>0.67</v>
      </c>
      <c r="W4292" s="14">
        <v>0.67</v>
      </c>
      <c r="X4292" s="14">
        <v>0.78</v>
      </c>
    </row>
    <row r="4293" spans="1:24" hidden="1" x14ac:dyDescent="0.3">
      <c r="A4293" s="14" t="s">
        <v>502</v>
      </c>
      <c r="B4293" s="14" t="s">
        <v>185</v>
      </c>
      <c r="C4293" s="14" t="s">
        <v>345</v>
      </c>
      <c r="D4293" s="14" t="s">
        <v>346</v>
      </c>
      <c r="E4293" s="14" t="s">
        <v>344</v>
      </c>
      <c r="F4293" s="14" t="s">
        <v>343</v>
      </c>
      <c r="G4293" s="14" t="s">
        <v>343</v>
      </c>
      <c r="H4293" s="14" t="s">
        <v>343</v>
      </c>
      <c r="U4293" s="14">
        <v>54</v>
      </c>
      <c r="V4293" s="14">
        <v>51</v>
      </c>
      <c r="W4293" s="14">
        <v>51</v>
      </c>
      <c r="X4293" s="14">
        <v>21</v>
      </c>
    </row>
    <row r="4294" spans="1:24" hidden="1" x14ac:dyDescent="0.3">
      <c r="A4294" s="14" t="s">
        <v>502</v>
      </c>
      <c r="B4294" s="14" t="s">
        <v>185</v>
      </c>
      <c r="C4294" s="14" t="s">
        <v>347</v>
      </c>
      <c r="D4294" s="14" t="s">
        <v>348</v>
      </c>
      <c r="E4294" s="14" t="s">
        <v>342</v>
      </c>
      <c r="F4294" s="14" t="s">
        <v>343</v>
      </c>
      <c r="G4294" s="14" t="s">
        <v>343</v>
      </c>
      <c r="H4294" s="14" t="s">
        <v>343</v>
      </c>
      <c r="U4294" s="14">
        <v>0.67</v>
      </c>
      <c r="V4294" s="14">
        <v>0.68</v>
      </c>
      <c r="W4294" s="14">
        <v>0.71</v>
      </c>
      <c r="X4294" s="14">
        <v>0.69</v>
      </c>
    </row>
    <row r="4295" spans="1:24" hidden="1" x14ac:dyDescent="0.3">
      <c r="A4295" s="14" t="s">
        <v>502</v>
      </c>
      <c r="B4295" s="14" t="s">
        <v>185</v>
      </c>
      <c r="C4295" s="14" t="s">
        <v>347</v>
      </c>
      <c r="D4295" s="14" t="s">
        <v>348</v>
      </c>
      <c r="E4295" s="14" t="s">
        <v>344</v>
      </c>
      <c r="F4295" s="14" t="s">
        <v>343</v>
      </c>
      <c r="G4295" s="14" t="s">
        <v>343</v>
      </c>
      <c r="H4295" s="14" t="s">
        <v>343</v>
      </c>
      <c r="U4295" s="14">
        <v>104</v>
      </c>
      <c r="V4295" s="14">
        <v>109</v>
      </c>
      <c r="W4295" s="14">
        <v>107</v>
      </c>
      <c r="X4295" s="14">
        <v>98</v>
      </c>
    </row>
    <row r="4296" spans="1:24" hidden="1" x14ac:dyDescent="0.3">
      <c r="A4296" s="14" t="s">
        <v>502</v>
      </c>
      <c r="B4296" s="14" t="s">
        <v>185</v>
      </c>
      <c r="C4296" s="14" t="s">
        <v>349</v>
      </c>
      <c r="D4296" s="14" t="s">
        <v>350</v>
      </c>
      <c r="E4296" s="14" t="s">
        <v>342</v>
      </c>
      <c r="F4296" s="14" t="s">
        <v>343</v>
      </c>
      <c r="G4296" s="14" t="s">
        <v>343</v>
      </c>
      <c r="H4296" s="14" t="s">
        <v>343</v>
      </c>
      <c r="U4296" s="14">
        <v>0.74</v>
      </c>
      <c r="V4296" s="14">
        <v>0.94</v>
      </c>
      <c r="W4296" s="14">
        <v>0.9</v>
      </c>
      <c r="X4296" s="14">
        <v>0.86</v>
      </c>
    </row>
    <row r="4297" spans="1:24" hidden="1" x14ac:dyDescent="0.3">
      <c r="A4297" s="14" t="s">
        <v>502</v>
      </c>
      <c r="B4297" s="14" t="s">
        <v>185</v>
      </c>
      <c r="C4297" s="14" t="s">
        <v>349</v>
      </c>
      <c r="D4297" s="14" t="s">
        <v>350</v>
      </c>
      <c r="E4297" s="14" t="s">
        <v>344</v>
      </c>
      <c r="F4297" s="14" t="s">
        <v>343</v>
      </c>
      <c r="G4297" s="14" t="s">
        <v>343</v>
      </c>
      <c r="H4297" s="14" t="s">
        <v>343</v>
      </c>
      <c r="U4297" s="14">
        <v>14</v>
      </c>
      <c r="V4297" s="14">
        <v>9</v>
      </c>
      <c r="W4297" s="14">
        <v>16</v>
      </c>
      <c r="X4297" s="14">
        <v>19</v>
      </c>
    </row>
    <row r="4298" spans="1:24" hidden="1" x14ac:dyDescent="0.3">
      <c r="A4298" s="14" t="s">
        <v>502</v>
      </c>
      <c r="B4298" s="14" t="s">
        <v>185</v>
      </c>
      <c r="C4298" s="14" t="s">
        <v>351</v>
      </c>
      <c r="D4298" s="14" t="s">
        <v>352</v>
      </c>
      <c r="E4298" s="14" t="s">
        <v>342</v>
      </c>
      <c r="F4298" s="14" t="s">
        <v>343</v>
      </c>
      <c r="G4298" s="14" t="s">
        <v>343</v>
      </c>
      <c r="H4298" s="14" t="s">
        <v>343</v>
      </c>
      <c r="U4298" s="14">
        <v>1</v>
      </c>
      <c r="V4298" s="14">
        <v>1</v>
      </c>
      <c r="W4298" s="14">
        <v>1</v>
      </c>
      <c r="X4298" s="14">
        <v>1</v>
      </c>
    </row>
    <row r="4299" spans="1:24" hidden="1" x14ac:dyDescent="0.3">
      <c r="A4299" s="14" t="s">
        <v>502</v>
      </c>
      <c r="B4299" s="14" t="s">
        <v>185</v>
      </c>
      <c r="C4299" s="14" t="s">
        <v>351</v>
      </c>
      <c r="D4299" s="14" t="s">
        <v>352</v>
      </c>
      <c r="E4299" s="14" t="s">
        <v>344</v>
      </c>
      <c r="F4299" s="14" t="s">
        <v>343</v>
      </c>
      <c r="G4299" s="14" t="s">
        <v>343</v>
      </c>
      <c r="H4299" s="14" t="s">
        <v>343</v>
      </c>
      <c r="U4299" s="14">
        <v>1</v>
      </c>
      <c r="V4299" s="14">
        <v>1</v>
      </c>
      <c r="W4299" s="14">
        <v>1</v>
      </c>
      <c r="X4299" s="14">
        <v>1</v>
      </c>
    </row>
    <row r="4300" spans="1:24" hidden="1" x14ac:dyDescent="0.3">
      <c r="A4300" s="14" t="s">
        <v>502</v>
      </c>
      <c r="B4300" s="14" t="s">
        <v>185</v>
      </c>
      <c r="C4300" s="14" t="s">
        <v>378</v>
      </c>
      <c r="D4300" s="14" t="s">
        <v>379</v>
      </c>
      <c r="E4300" s="14" t="s">
        <v>342</v>
      </c>
      <c r="F4300" s="14" t="s">
        <v>343</v>
      </c>
      <c r="G4300" s="14" t="s">
        <v>343</v>
      </c>
      <c r="H4300" s="14" t="s">
        <v>343</v>
      </c>
      <c r="S4300" s="14">
        <v>0.64</v>
      </c>
      <c r="U4300" s="14">
        <v>0.59</v>
      </c>
      <c r="V4300" s="14">
        <v>0.59</v>
      </c>
      <c r="W4300" s="14">
        <v>0.6</v>
      </c>
      <c r="X4300" s="14">
        <v>0.62</v>
      </c>
    </row>
    <row r="4301" spans="1:24" hidden="1" x14ac:dyDescent="0.3">
      <c r="A4301" s="14" t="s">
        <v>502</v>
      </c>
      <c r="B4301" s="14" t="s">
        <v>185</v>
      </c>
      <c r="C4301" s="14" t="s">
        <v>378</v>
      </c>
      <c r="D4301" s="14" t="s">
        <v>379</v>
      </c>
      <c r="E4301" s="14" t="s">
        <v>344</v>
      </c>
      <c r="F4301" s="14" t="s">
        <v>343</v>
      </c>
      <c r="G4301" s="14" t="s">
        <v>343</v>
      </c>
      <c r="H4301" s="14" t="s">
        <v>343</v>
      </c>
      <c r="S4301" s="14">
        <v>75</v>
      </c>
      <c r="U4301" s="14">
        <v>100</v>
      </c>
      <c r="V4301" s="14">
        <v>104</v>
      </c>
      <c r="W4301" s="14">
        <v>104</v>
      </c>
      <c r="X4301" s="14">
        <v>88</v>
      </c>
    </row>
    <row r="4302" spans="1:24" hidden="1" x14ac:dyDescent="0.3">
      <c r="A4302" s="14" t="s">
        <v>502</v>
      </c>
      <c r="B4302" s="14" t="s">
        <v>185</v>
      </c>
      <c r="C4302" s="14" t="s">
        <v>353</v>
      </c>
      <c r="D4302" s="14" t="s">
        <v>354</v>
      </c>
      <c r="E4302" s="14" t="s">
        <v>342</v>
      </c>
      <c r="F4302" s="14" t="s">
        <v>343</v>
      </c>
      <c r="G4302" s="14" t="s">
        <v>343</v>
      </c>
      <c r="H4302" s="14" t="s">
        <v>343</v>
      </c>
      <c r="U4302" s="14">
        <v>0.99</v>
      </c>
      <c r="V4302" s="14">
        <v>0.99</v>
      </c>
      <c r="W4302" s="14">
        <v>0.99</v>
      </c>
      <c r="X4302" s="14">
        <v>0.99</v>
      </c>
    </row>
    <row r="4303" spans="1:24" hidden="1" x14ac:dyDescent="0.3">
      <c r="A4303" s="14" t="s">
        <v>502</v>
      </c>
      <c r="B4303" s="14" t="s">
        <v>185</v>
      </c>
      <c r="C4303" s="14" t="s">
        <v>353</v>
      </c>
      <c r="D4303" s="14" t="s">
        <v>354</v>
      </c>
      <c r="E4303" s="14" t="s">
        <v>344</v>
      </c>
      <c r="F4303" s="14" t="s">
        <v>343</v>
      </c>
      <c r="G4303" s="14" t="s">
        <v>343</v>
      </c>
      <c r="H4303" s="14" t="s">
        <v>343</v>
      </c>
      <c r="U4303" s="14">
        <v>71</v>
      </c>
      <c r="V4303" s="14">
        <v>74</v>
      </c>
      <c r="W4303" s="14">
        <v>75</v>
      </c>
      <c r="X4303" s="14">
        <v>67</v>
      </c>
    </row>
    <row r="4304" spans="1:24" hidden="1" x14ac:dyDescent="0.3">
      <c r="A4304" s="14" t="s">
        <v>502</v>
      </c>
      <c r="B4304" s="14" t="s">
        <v>185</v>
      </c>
      <c r="C4304" s="14" t="s">
        <v>380</v>
      </c>
      <c r="D4304" s="14" t="s">
        <v>381</v>
      </c>
      <c r="E4304" s="14" t="s">
        <v>342</v>
      </c>
      <c r="F4304" s="14" t="s">
        <v>343</v>
      </c>
      <c r="G4304" s="14" t="s">
        <v>343</v>
      </c>
      <c r="H4304" s="14" t="s">
        <v>343</v>
      </c>
      <c r="U4304" s="14">
        <v>0.99</v>
      </c>
      <c r="V4304" s="14">
        <v>0.99</v>
      </c>
      <c r="W4304" s="14">
        <v>0.99</v>
      </c>
      <c r="X4304" s="14">
        <v>1</v>
      </c>
    </row>
    <row r="4305" spans="1:24" hidden="1" x14ac:dyDescent="0.3">
      <c r="A4305" s="14" t="s">
        <v>502</v>
      </c>
      <c r="B4305" s="14" t="s">
        <v>185</v>
      </c>
      <c r="C4305" s="14" t="s">
        <v>380</v>
      </c>
      <c r="D4305" s="14" t="s">
        <v>381</v>
      </c>
      <c r="E4305" s="14" t="s">
        <v>344</v>
      </c>
      <c r="F4305" s="14" t="s">
        <v>343</v>
      </c>
      <c r="G4305" s="14" t="s">
        <v>343</v>
      </c>
      <c r="H4305" s="14" t="s">
        <v>343</v>
      </c>
      <c r="U4305" s="14">
        <v>89</v>
      </c>
      <c r="V4305" s="14">
        <v>108</v>
      </c>
      <c r="W4305" s="14">
        <v>109</v>
      </c>
      <c r="X4305" s="14">
        <v>1</v>
      </c>
    </row>
    <row r="4306" spans="1:24" hidden="1" x14ac:dyDescent="0.3">
      <c r="A4306" s="14" t="s">
        <v>502</v>
      </c>
      <c r="B4306" s="14" t="s">
        <v>185</v>
      </c>
      <c r="C4306" s="14" t="s">
        <v>355</v>
      </c>
      <c r="D4306" s="14" t="s">
        <v>356</v>
      </c>
      <c r="E4306" s="14" t="s">
        <v>342</v>
      </c>
      <c r="F4306" s="14" t="s">
        <v>343</v>
      </c>
      <c r="G4306" s="14" t="s">
        <v>343</v>
      </c>
      <c r="H4306" s="14" t="s">
        <v>343</v>
      </c>
      <c r="U4306" s="14">
        <v>1</v>
      </c>
      <c r="V4306" s="14">
        <v>1</v>
      </c>
      <c r="W4306" s="14">
        <v>1</v>
      </c>
      <c r="X4306" s="14">
        <v>1</v>
      </c>
    </row>
    <row r="4307" spans="1:24" hidden="1" x14ac:dyDescent="0.3">
      <c r="A4307" s="14" t="s">
        <v>502</v>
      </c>
      <c r="B4307" s="14" t="s">
        <v>185</v>
      </c>
      <c r="C4307" s="14" t="s">
        <v>355</v>
      </c>
      <c r="D4307" s="14" t="s">
        <v>356</v>
      </c>
      <c r="E4307" s="14" t="s">
        <v>344</v>
      </c>
      <c r="F4307" s="14" t="s">
        <v>343</v>
      </c>
      <c r="G4307" s="14" t="s">
        <v>343</v>
      </c>
      <c r="H4307" s="14" t="s">
        <v>343</v>
      </c>
      <c r="U4307" s="14">
        <v>1</v>
      </c>
      <c r="V4307" s="14">
        <v>1</v>
      </c>
      <c r="W4307" s="14">
        <v>1</v>
      </c>
      <c r="X4307" s="14">
        <v>1</v>
      </c>
    </row>
    <row r="4308" spans="1:24" hidden="1" x14ac:dyDescent="0.3">
      <c r="A4308" s="14" t="s">
        <v>502</v>
      </c>
      <c r="B4308" s="14" t="s">
        <v>185</v>
      </c>
      <c r="C4308" s="14" t="s">
        <v>357</v>
      </c>
      <c r="D4308" s="14" t="s">
        <v>358</v>
      </c>
      <c r="E4308" s="14" t="s">
        <v>342</v>
      </c>
      <c r="F4308" s="14" t="s">
        <v>343</v>
      </c>
      <c r="G4308" s="14" t="s">
        <v>343</v>
      </c>
      <c r="H4308" s="14" t="s">
        <v>343</v>
      </c>
      <c r="U4308" s="14">
        <v>1</v>
      </c>
      <c r="V4308" s="14">
        <v>1</v>
      </c>
      <c r="W4308" s="14">
        <v>1</v>
      </c>
      <c r="X4308" s="14">
        <v>1</v>
      </c>
    </row>
    <row r="4309" spans="1:24" hidden="1" x14ac:dyDescent="0.3">
      <c r="A4309" s="14" t="s">
        <v>502</v>
      </c>
      <c r="B4309" s="14" t="s">
        <v>185</v>
      </c>
      <c r="C4309" s="14" t="s">
        <v>357</v>
      </c>
      <c r="D4309" s="14" t="s">
        <v>358</v>
      </c>
      <c r="E4309" s="14" t="s">
        <v>344</v>
      </c>
      <c r="F4309" s="14" t="s">
        <v>343</v>
      </c>
      <c r="G4309" s="14" t="s">
        <v>343</v>
      </c>
      <c r="H4309" s="14" t="s">
        <v>343</v>
      </c>
      <c r="U4309" s="14">
        <v>1</v>
      </c>
      <c r="V4309" s="14">
        <v>1</v>
      </c>
      <c r="W4309" s="14">
        <v>1</v>
      </c>
      <c r="X4309" s="14">
        <v>1</v>
      </c>
    </row>
    <row r="4310" spans="1:24" hidden="1" x14ac:dyDescent="0.3">
      <c r="A4310" s="14" t="s">
        <v>502</v>
      </c>
      <c r="B4310" s="14" t="s">
        <v>185</v>
      </c>
      <c r="C4310" s="14" t="s">
        <v>359</v>
      </c>
      <c r="D4310" s="14" t="s">
        <v>360</v>
      </c>
      <c r="E4310" s="14" t="s">
        <v>342</v>
      </c>
      <c r="F4310" s="14" t="s">
        <v>343</v>
      </c>
      <c r="G4310" s="14" t="s">
        <v>343</v>
      </c>
      <c r="H4310" s="14" t="s">
        <v>343</v>
      </c>
      <c r="I4310" s="14">
        <v>0.65</v>
      </c>
      <c r="J4310" s="14">
        <v>0.66</v>
      </c>
      <c r="K4310" s="14">
        <v>0.68</v>
      </c>
      <c r="L4310" s="14">
        <v>0.68</v>
      </c>
      <c r="M4310" s="14">
        <v>0.69</v>
      </c>
      <c r="N4310" s="14">
        <v>0.68</v>
      </c>
      <c r="O4310" s="14">
        <v>0.7</v>
      </c>
      <c r="P4310" s="14">
        <v>0.71</v>
      </c>
      <c r="Q4310" s="14">
        <v>0.71</v>
      </c>
      <c r="R4310" s="14">
        <v>0.7</v>
      </c>
      <c r="S4310" s="14">
        <v>0.7</v>
      </c>
      <c r="T4310" s="14">
        <v>0.69</v>
      </c>
      <c r="U4310" s="14">
        <v>0.69</v>
      </c>
      <c r="V4310" s="14">
        <v>0.72</v>
      </c>
      <c r="W4310" s="14">
        <v>0.73</v>
      </c>
      <c r="X4310" s="14">
        <v>0.75</v>
      </c>
    </row>
    <row r="4311" spans="1:24" hidden="1" x14ac:dyDescent="0.3">
      <c r="A4311" s="14" t="s">
        <v>502</v>
      </c>
      <c r="B4311" s="14" t="s">
        <v>185</v>
      </c>
      <c r="C4311" s="14" t="s">
        <v>359</v>
      </c>
      <c r="D4311" s="14" t="s">
        <v>360</v>
      </c>
      <c r="E4311" s="14" t="s">
        <v>344</v>
      </c>
      <c r="F4311" s="14" t="s">
        <v>343</v>
      </c>
      <c r="G4311" s="14" t="s">
        <v>343</v>
      </c>
      <c r="H4311" s="14" t="s">
        <v>343</v>
      </c>
      <c r="I4311" s="14">
        <v>44</v>
      </c>
      <c r="J4311" s="14">
        <v>54</v>
      </c>
      <c r="K4311" s="14">
        <v>49</v>
      </c>
      <c r="L4311" s="14">
        <v>51</v>
      </c>
      <c r="M4311" s="14">
        <v>47</v>
      </c>
      <c r="N4311" s="14">
        <v>51</v>
      </c>
      <c r="O4311" s="14">
        <v>48</v>
      </c>
      <c r="P4311" s="14">
        <v>45</v>
      </c>
      <c r="Q4311" s="14">
        <v>48</v>
      </c>
      <c r="R4311" s="14">
        <v>57</v>
      </c>
      <c r="S4311" s="14">
        <v>55</v>
      </c>
      <c r="T4311" s="14">
        <v>62</v>
      </c>
      <c r="U4311" s="14">
        <v>59</v>
      </c>
      <c r="V4311" s="14">
        <v>47</v>
      </c>
      <c r="W4311" s="14">
        <v>45</v>
      </c>
      <c r="X4311" s="14">
        <v>32</v>
      </c>
    </row>
    <row r="4312" spans="1:24" x14ac:dyDescent="0.3">
      <c r="A4312" s="14" t="s">
        <v>502</v>
      </c>
      <c r="B4312" s="14" t="s">
        <v>185</v>
      </c>
      <c r="C4312" s="14" t="s">
        <v>361</v>
      </c>
      <c r="D4312" s="14" t="s">
        <v>362</v>
      </c>
      <c r="E4312" s="14" t="s">
        <v>342</v>
      </c>
      <c r="F4312" s="14" t="s">
        <v>343</v>
      </c>
      <c r="G4312" s="14" t="s">
        <v>343</v>
      </c>
      <c r="H4312" s="14" t="s">
        <v>343</v>
      </c>
      <c r="I4312" s="14">
        <v>0.98</v>
      </c>
      <c r="J4312" s="14">
        <v>0.98</v>
      </c>
      <c r="K4312" s="14">
        <v>0.98</v>
      </c>
      <c r="L4312" s="14">
        <v>0.98</v>
      </c>
      <c r="M4312" s="14">
        <v>0.98</v>
      </c>
      <c r="N4312" s="14">
        <v>0.98</v>
      </c>
      <c r="O4312" s="14">
        <v>0.98</v>
      </c>
      <c r="P4312" s="14">
        <v>0.98</v>
      </c>
      <c r="Q4312" s="14">
        <v>0.98</v>
      </c>
      <c r="R4312" s="14">
        <v>0.98</v>
      </c>
      <c r="S4312" s="14">
        <v>0.98</v>
      </c>
      <c r="T4312" s="14">
        <v>0.98</v>
      </c>
      <c r="U4312" s="14">
        <v>0.98</v>
      </c>
      <c r="V4312" s="14">
        <v>0.98</v>
      </c>
      <c r="W4312" s="14">
        <v>0.97</v>
      </c>
      <c r="X4312" s="14">
        <v>0.97</v>
      </c>
    </row>
    <row r="4313" spans="1:24" hidden="1" x14ac:dyDescent="0.3">
      <c r="A4313" s="14" t="s">
        <v>502</v>
      </c>
      <c r="B4313" s="14" t="s">
        <v>185</v>
      </c>
      <c r="C4313" s="14" t="s">
        <v>361</v>
      </c>
      <c r="D4313" s="14" t="s">
        <v>362</v>
      </c>
      <c r="E4313" s="14" t="s">
        <v>344</v>
      </c>
      <c r="F4313" s="14" t="s">
        <v>343</v>
      </c>
      <c r="G4313" s="14" t="s">
        <v>343</v>
      </c>
      <c r="H4313" s="14" t="s">
        <v>343</v>
      </c>
      <c r="I4313" s="14">
        <v>47</v>
      </c>
      <c r="J4313" s="14">
        <v>1</v>
      </c>
      <c r="K4313" s="14">
        <v>1</v>
      </c>
      <c r="L4313" s="14">
        <v>1</v>
      </c>
      <c r="M4313" s="14">
        <v>65</v>
      </c>
      <c r="N4313" s="14">
        <v>65</v>
      </c>
      <c r="O4313" s="14">
        <v>64</v>
      </c>
      <c r="P4313" s="14">
        <v>61</v>
      </c>
      <c r="Q4313" s="14">
        <v>1</v>
      </c>
      <c r="R4313" s="14">
        <v>1</v>
      </c>
      <c r="S4313" s="14">
        <v>1</v>
      </c>
      <c r="T4313" s="14">
        <v>1</v>
      </c>
      <c r="U4313" s="14">
        <v>1</v>
      </c>
      <c r="V4313" s="14">
        <v>1</v>
      </c>
      <c r="W4313" s="14">
        <v>69</v>
      </c>
      <c r="X4313" s="14">
        <v>62</v>
      </c>
    </row>
    <row r="4314" spans="1:24" hidden="1" x14ac:dyDescent="0.3">
      <c r="A4314" s="14" t="s">
        <v>502</v>
      </c>
      <c r="B4314" s="14" t="s">
        <v>185</v>
      </c>
      <c r="C4314" s="14" t="s">
        <v>363</v>
      </c>
      <c r="D4314" s="14" t="s">
        <v>364</v>
      </c>
      <c r="E4314" s="14" t="s">
        <v>342</v>
      </c>
      <c r="F4314" s="14" t="s">
        <v>343</v>
      </c>
      <c r="G4314" s="14" t="s">
        <v>343</v>
      </c>
      <c r="H4314" s="14" t="s">
        <v>343</v>
      </c>
      <c r="U4314" s="14">
        <v>1.06</v>
      </c>
      <c r="V4314" s="14">
        <v>1.06</v>
      </c>
      <c r="W4314" s="14">
        <v>1.04</v>
      </c>
      <c r="X4314" s="14">
        <v>1.04</v>
      </c>
    </row>
    <row r="4315" spans="1:24" hidden="1" x14ac:dyDescent="0.3">
      <c r="A4315" s="14" t="s">
        <v>502</v>
      </c>
      <c r="B4315" s="14" t="s">
        <v>185</v>
      </c>
      <c r="C4315" s="14" t="s">
        <v>363</v>
      </c>
      <c r="D4315" s="14" t="s">
        <v>364</v>
      </c>
      <c r="E4315" s="14" t="s">
        <v>344</v>
      </c>
      <c r="F4315" s="14" t="s">
        <v>343</v>
      </c>
      <c r="G4315" s="14" t="s">
        <v>343</v>
      </c>
      <c r="H4315" s="14" t="s">
        <v>343</v>
      </c>
      <c r="U4315" s="14">
        <v>1</v>
      </c>
      <c r="V4315" s="14">
        <v>1</v>
      </c>
      <c r="W4315" s="14">
        <v>76</v>
      </c>
      <c r="X4315" s="14">
        <v>68</v>
      </c>
    </row>
    <row r="4316" spans="1:24" hidden="1" x14ac:dyDescent="0.3">
      <c r="A4316" s="14" t="s">
        <v>502</v>
      </c>
      <c r="B4316" s="14" t="s">
        <v>185</v>
      </c>
      <c r="C4316" s="14" t="s">
        <v>365</v>
      </c>
      <c r="D4316" s="14" t="s">
        <v>366</v>
      </c>
      <c r="E4316" s="14" t="s">
        <v>342</v>
      </c>
      <c r="F4316" s="14" t="s">
        <v>343</v>
      </c>
      <c r="G4316" s="14" t="s">
        <v>343</v>
      </c>
      <c r="H4316" s="14" t="s">
        <v>343</v>
      </c>
      <c r="U4316" s="14">
        <v>0.94</v>
      </c>
      <c r="V4316" s="14">
        <v>0.94</v>
      </c>
      <c r="W4316" s="14">
        <v>0.94</v>
      </c>
      <c r="X4316" s="14">
        <v>0.94</v>
      </c>
    </row>
    <row r="4317" spans="1:24" hidden="1" x14ac:dyDescent="0.3">
      <c r="A4317" s="14" t="s">
        <v>502</v>
      </c>
      <c r="B4317" s="14" t="s">
        <v>185</v>
      </c>
      <c r="C4317" s="14" t="s">
        <v>365</v>
      </c>
      <c r="D4317" s="14" t="s">
        <v>366</v>
      </c>
      <c r="E4317" s="14" t="s">
        <v>344</v>
      </c>
      <c r="F4317" s="14" t="s">
        <v>343</v>
      </c>
      <c r="G4317" s="14" t="s">
        <v>343</v>
      </c>
      <c r="H4317" s="14" t="s">
        <v>343</v>
      </c>
      <c r="U4317" s="14">
        <v>1</v>
      </c>
      <c r="V4317" s="14">
        <v>1</v>
      </c>
      <c r="W4317" s="14">
        <v>1</v>
      </c>
      <c r="X4317" s="14">
        <v>1</v>
      </c>
    </row>
    <row r="4318" spans="1:24" hidden="1" x14ac:dyDescent="0.3">
      <c r="A4318" s="14" t="s">
        <v>502</v>
      </c>
      <c r="B4318" s="14" t="s">
        <v>185</v>
      </c>
      <c r="C4318" s="14" t="s">
        <v>367</v>
      </c>
      <c r="D4318" s="14" t="s">
        <v>368</v>
      </c>
      <c r="E4318" s="14" t="s">
        <v>342</v>
      </c>
      <c r="F4318" s="14" t="s">
        <v>343</v>
      </c>
      <c r="G4318" s="14" t="s">
        <v>343</v>
      </c>
      <c r="H4318" s="14" t="s">
        <v>343</v>
      </c>
      <c r="I4318" s="14">
        <v>0.69</v>
      </c>
      <c r="J4318" s="14">
        <v>0.7</v>
      </c>
      <c r="K4318" s="14">
        <v>0.71</v>
      </c>
      <c r="L4318" s="14">
        <v>0.7</v>
      </c>
      <c r="M4318" s="14">
        <v>0.71</v>
      </c>
      <c r="N4318" s="14">
        <v>0.7</v>
      </c>
      <c r="O4318" s="14">
        <v>0.71</v>
      </c>
      <c r="P4318" s="14">
        <v>0.72</v>
      </c>
      <c r="Q4318" s="14">
        <v>0.72</v>
      </c>
      <c r="R4318" s="14">
        <v>0.72</v>
      </c>
      <c r="S4318" s="14">
        <v>0.72</v>
      </c>
      <c r="T4318" s="14">
        <v>0.72</v>
      </c>
      <c r="U4318" s="14">
        <v>0.72</v>
      </c>
      <c r="V4318" s="14">
        <v>0.73</v>
      </c>
      <c r="W4318" s="14">
        <v>0.74</v>
      </c>
      <c r="X4318" s="14">
        <v>0.74</v>
      </c>
    </row>
    <row r="4319" spans="1:24" hidden="1" x14ac:dyDescent="0.3">
      <c r="A4319" s="14" t="s">
        <v>502</v>
      </c>
      <c r="B4319" s="14" t="s">
        <v>185</v>
      </c>
      <c r="C4319" s="14" t="s">
        <v>367</v>
      </c>
      <c r="D4319" s="14" t="s">
        <v>368</v>
      </c>
      <c r="E4319" s="14" t="s">
        <v>344</v>
      </c>
      <c r="F4319" s="14" t="s">
        <v>343</v>
      </c>
      <c r="G4319" s="14" t="s">
        <v>343</v>
      </c>
      <c r="H4319" s="14" t="s">
        <v>343</v>
      </c>
      <c r="I4319" s="14">
        <v>31</v>
      </c>
      <c r="J4319" s="14">
        <v>38</v>
      </c>
      <c r="K4319" s="14">
        <v>34</v>
      </c>
      <c r="L4319" s="14">
        <v>43</v>
      </c>
      <c r="M4319" s="14">
        <v>39</v>
      </c>
      <c r="N4319" s="14">
        <v>40</v>
      </c>
      <c r="O4319" s="14">
        <v>40</v>
      </c>
      <c r="P4319" s="14">
        <v>37</v>
      </c>
      <c r="Q4319" s="14">
        <v>46</v>
      </c>
      <c r="R4319" s="14">
        <v>44</v>
      </c>
      <c r="S4319" s="14">
        <v>47</v>
      </c>
      <c r="T4319" s="14">
        <v>43</v>
      </c>
      <c r="U4319" s="14">
        <v>45</v>
      </c>
      <c r="V4319" s="14">
        <v>46</v>
      </c>
      <c r="W4319" s="14">
        <v>44</v>
      </c>
      <c r="X4319" s="14">
        <v>40</v>
      </c>
    </row>
    <row r="4320" spans="1:24" hidden="1" x14ac:dyDescent="0.3">
      <c r="A4320" s="14" t="s">
        <v>502</v>
      </c>
      <c r="B4320" s="14" t="s">
        <v>185</v>
      </c>
      <c r="C4320" s="14" t="s">
        <v>369</v>
      </c>
      <c r="D4320" s="14" t="s">
        <v>370</v>
      </c>
      <c r="E4320" s="14" t="s">
        <v>342</v>
      </c>
      <c r="F4320" s="14" t="s">
        <v>343</v>
      </c>
      <c r="G4320" s="14" t="s">
        <v>343</v>
      </c>
      <c r="H4320" s="14" t="s">
        <v>343</v>
      </c>
      <c r="I4320" s="14">
        <v>0.15</v>
      </c>
      <c r="J4320" s="14">
        <v>0.15</v>
      </c>
      <c r="K4320" s="14">
        <v>0.19</v>
      </c>
      <c r="L4320" s="14">
        <v>0.15</v>
      </c>
      <c r="M4320" s="14">
        <v>0.17</v>
      </c>
      <c r="N4320" s="14">
        <v>0.17</v>
      </c>
      <c r="O4320" s="14">
        <v>0.18</v>
      </c>
      <c r="P4320" s="14">
        <v>0.18</v>
      </c>
      <c r="Q4320" s="14">
        <v>0.19</v>
      </c>
      <c r="R4320" s="14">
        <v>0.21</v>
      </c>
      <c r="S4320" s="14">
        <v>0.21</v>
      </c>
      <c r="T4320" s="14">
        <v>0.22</v>
      </c>
      <c r="U4320" s="14">
        <v>0.22</v>
      </c>
      <c r="V4320" s="14">
        <v>0.22</v>
      </c>
      <c r="W4320" s="14">
        <v>0.25</v>
      </c>
      <c r="X4320" s="14">
        <v>0.25</v>
      </c>
    </row>
    <row r="4321" spans="1:24" hidden="1" x14ac:dyDescent="0.3">
      <c r="A4321" s="14" t="s">
        <v>502</v>
      </c>
      <c r="B4321" s="14" t="s">
        <v>185</v>
      </c>
      <c r="C4321" s="14" t="s">
        <v>369</v>
      </c>
      <c r="D4321" s="14" t="s">
        <v>370</v>
      </c>
      <c r="E4321" s="14" t="s">
        <v>344</v>
      </c>
      <c r="F4321" s="14" t="s">
        <v>343</v>
      </c>
      <c r="G4321" s="14" t="s">
        <v>343</v>
      </c>
      <c r="H4321" s="14" t="s">
        <v>343</v>
      </c>
      <c r="I4321" s="14">
        <v>35</v>
      </c>
      <c r="J4321" s="14">
        <v>40</v>
      </c>
      <c r="K4321" s="14">
        <v>38</v>
      </c>
      <c r="L4321" s="14">
        <v>52</v>
      </c>
      <c r="M4321" s="14">
        <v>48</v>
      </c>
      <c r="N4321" s="14">
        <v>47</v>
      </c>
      <c r="O4321" s="14">
        <v>44</v>
      </c>
      <c r="P4321" s="14">
        <v>48</v>
      </c>
      <c r="Q4321" s="14">
        <v>52</v>
      </c>
      <c r="R4321" s="14">
        <v>51</v>
      </c>
      <c r="S4321" s="14">
        <v>54</v>
      </c>
      <c r="T4321" s="14">
        <v>51</v>
      </c>
      <c r="U4321" s="14">
        <v>53</v>
      </c>
      <c r="V4321" s="14">
        <v>62</v>
      </c>
      <c r="W4321" s="14">
        <v>57</v>
      </c>
      <c r="X4321" s="14">
        <v>54</v>
      </c>
    </row>
    <row r="4322" spans="1:24" hidden="1" x14ac:dyDescent="0.3">
      <c r="A4322" s="14" t="s">
        <v>502</v>
      </c>
      <c r="B4322" s="14" t="s">
        <v>185</v>
      </c>
      <c r="C4322" s="14" t="s">
        <v>371</v>
      </c>
      <c r="D4322" s="14" t="s">
        <v>372</v>
      </c>
      <c r="E4322" s="14" t="s">
        <v>342</v>
      </c>
      <c r="F4322" s="14" t="s">
        <v>343</v>
      </c>
      <c r="G4322" s="14" t="s">
        <v>343</v>
      </c>
      <c r="H4322" s="14" t="s">
        <v>343</v>
      </c>
      <c r="U4322" s="14">
        <v>0.11</v>
      </c>
      <c r="V4322" s="14">
        <v>0.11</v>
      </c>
      <c r="W4322" s="14">
        <v>0.11</v>
      </c>
      <c r="X4322" s="14">
        <v>0.11</v>
      </c>
    </row>
    <row r="4323" spans="1:24" hidden="1" x14ac:dyDescent="0.3">
      <c r="A4323" s="14" t="s">
        <v>502</v>
      </c>
      <c r="B4323" s="14" t="s">
        <v>185</v>
      </c>
      <c r="C4323" s="14" t="s">
        <v>371</v>
      </c>
      <c r="D4323" s="14" t="s">
        <v>372</v>
      </c>
      <c r="E4323" s="14" t="s">
        <v>344</v>
      </c>
      <c r="F4323" s="14" t="s">
        <v>343</v>
      </c>
      <c r="G4323" s="14" t="s">
        <v>343</v>
      </c>
      <c r="H4323" s="14" t="s">
        <v>343</v>
      </c>
      <c r="U4323" s="14">
        <v>27</v>
      </c>
      <c r="V4323" s="14">
        <v>28</v>
      </c>
      <c r="W4323" s="14">
        <v>30</v>
      </c>
      <c r="X4323" s="14">
        <v>29</v>
      </c>
    </row>
    <row r="4324" spans="1:24" hidden="1" x14ac:dyDescent="0.3">
      <c r="A4324" s="14" t="s">
        <v>502</v>
      </c>
      <c r="B4324" s="14" t="s">
        <v>185</v>
      </c>
      <c r="C4324" s="14" t="s">
        <v>373</v>
      </c>
      <c r="D4324" s="14" t="s">
        <v>374</v>
      </c>
      <c r="E4324" s="14" t="s">
        <v>342</v>
      </c>
      <c r="F4324" s="14" t="s">
        <v>343</v>
      </c>
      <c r="G4324" s="14" t="s">
        <v>343</v>
      </c>
      <c r="H4324" s="14" t="s">
        <v>343</v>
      </c>
      <c r="U4324" s="14">
        <v>0.42</v>
      </c>
      <c r="V4324" s="14">
        <v>0.36</v>
      </c>
      <c r="W4324" s="14">
        <v>0.46</v>
      </c>
      <c r="X4324" s="14">
        <v>0.46</v>
      </c>
    </row>
    <row r="4325" spans="1:24" hidden="1" x14ac:dyDescent="0.3">
      <c r="A4325" s="14" t="s">
        <v>502</v>
      </c>
      <c r="B4325" s="14" t="s">
        <v>185</v>
      </c>
      <c r="C4325" s="14" t="s">
        <v>373</v>
      </c>
      <c r="D4325" s="14" t="s">
        <v>374</v>
      </c>
      <c r="E4325" s="14" t="s">
        <v>344</v>
      </c>
      <c r="F4325" s="14" t="s">
        <v>343</v>
      </c>
      <c r="G4325" s="14" t="s">
        <v>343</v>
      </c>
      <c r="H4325" s="14" t="s">
        <v>343</v>
      </c>
      <c r="U4325" s="14">
        <v>26</v>
      </c>
      <c r="V4325" s="14">
        <v>53</v>
      </c>
      <c r="W4325" s="14">
        <v>47</v>
      </c>
      <c r="X4325" s="14">
        <v>46</v>
      </c>
    </row>
    <row r="4326" spans="1:24" hidden="1" x14ac:dyDescent="0.3">
      <c r="A4326" s="14" t="s">
        <v>502</v>
      </c>
      <c r="B4326" s="14" t="s">
        <v>185</v>
      </c>
      <c r="C4326" s="14" t="s">
        <v>375</v>
      </c>
      <c r="D4326" s="14" t="s">
        <v>376</v>
      </c>
      <c r="E4326" s="14" t="s">
        <v>342</v>
      </c>
      <c r="F4326" s="14" t="s">
        <v>343</v>
      </c>
      <c r="G4326" s="14" t="s">
        <v>343</v>
      </c>
      <c r="H4326" s="14" t="s">
        <v>343</v>
      </c>
      <c r="U4326" s="14">
        <v>0.22</v>
      </c>
      <c r="V4326" s="14">
        <v>0.27</v>
      </c>
      <c r="W4326" s="14">
        <v>0.28999999999999998</v>
      </c>
      <c r="X4326" s="14">
        <v>0.28999999999999998</v>
      </c>
    </row>
    <row r="4327" spans="1:24" hidden="1" x14ac:dyDescent="0.3">
      <c r="A4327" s="14" t="s">
        <v>502</v>
      </c>
      <c r="B4327" s="14" t="s">
        <v>185</v>
      </c>
      <c r="C4327" s="14" t="s">
        <v>375</v>
      </c>
      <c r="D4327" s="14" t="s">
        <v>376</v>
      </c>
      <c r="E4327" s="14" t="s">
        <v>344</v>
      </c>
      <c r="F4327" s="14" t="s">
        <v>343</v>
      </c>
      <c r="G4327" s="14" t="s">
        <v>343</v>
      </c>
      <c r="H4327" s="14" t="s">
        <v>343</v>
      </c>
      <c r="U4327" s="14">
        <v>94</v>
      </c>
      <c r="V4327" s="14">
        <v>82</v>
      </c>
      <c r="W4327" s="14">
        <v>87</v>
      </c>
      <c r="X4327" s="14">
        <v>85</v>
      </c>
    </row>
    <row r="4328" spans="1:24" hidden="1" x14ac:dyDescent="0.3">
      <c r="A4328" s="14" t="s">
        <v>503</v>
      </c>
      <c r="B4328" s="14" t="s">
        <v>188</v>
      </c>
      <c r="C4328" s="14" t="s">
        <v>340</v>
      </c>
      <c r="D4328" s="14" t="s">
        <v>341</v>
      </c>
      <c r="E4328" s="14" t="s">
        <v>342</v>
      </c>
      <c r="F4328" s="14" t="s">
        <v>343</v>
      </c>
      <c r="G4328" s="14" t="s">
        <v>343</v>
      </c>
      <c r="H4328" s="14" t="s">
        <v>343</v>
      </c>
      <c r="I4328" s="14">
        <v>0.98</v>
      </c>
      <c r="J4328" s="14">
        <v>0.98</v>
      </c>
      <c r="K4328" s="14">
        <v>0.98</v>
      </c>
      <c r="L4328" s="14">
        <v>0.98</v>
      </c>
      <c r="M4328" s="14">
        <v>0.98</v>
      </c>
      <c r="N4328" s="14">
        <v>0.98</v>
      </c>
      <c r="O4328" s="14">
        <v>0.98</v>
      </c>
      <c r="P4328" s="14">
        <v>0.98</v>
      </c>
      <c r="Q4328" s="14">
        <v>0.99</v>
      </c>
      <c r="R4328" s="14">
        <v>0.99</v>
      </c>
      <c r="S4328" s="14">
        <v>0.99</v>
      </c>
      <c r="T4328" s="14">
        <v>0.99</v>
      </c>
      <c r="U4328" s="14">
        <v>0.99</v>
      </c>
      <c r="V4328" s="14">
        <v>0.98</v>
      </c>
      <c r="W4328" s="14">
        <v>0.98</v>
      </c>
      <c r="X4328" s="14">
        <v>0.95</v>
      </c>
    </row>
    <row r="4329" spans="1:24" hidden="1" x14ac:dyDescent="0.3">
      <c r="A4329" s="14" t="s">
        <v>503</v>
      </c>
      <c r="B4329" s="14" t="s">
        <v>188</v>
      </c>
      <c r="C4329" s="14" t="s">
        <v>340</v>
      </c>
      <c r="D4329" s="14" t="s">
        <v>341</v>
      </c>
      <c r="E4329" s="14" t="s">
        <v>344</v>
      </c>
      <c r="F4329" s="14" t="s">
        <v>343</v>
      </c>
      <c r="G4329" s="14" t="s">
        <v>343</v>
      </c>
      <c r="H4329" s="14" t="s">
        <v>343</v>
      </c>
      <c r="I4329" s="14">
        <v>70</v>
      </c>
      <c r="J4329" s="14">
        <v>80</v>
      </c>
      <c r="K4329" s="14">
        <v>84</v>
      </c>
      <c r="L4329" s="14">
        <v>89</v>
      </c>
      <c r="M4329" s="14">
        <v>89</v>
      </c>
      <c r="N4329" s="14">
        <v>88</v>
      </c>
      <c r="O4329" s="14">
        <v>88</v>
      </c>
      <c r="P4329" s="14">
        <v>88</v>
      </c>
      <c r="Q4329" s="14">
        <v>84</v>
      </c>
      <c r="R4329" s="14">
        <v>87</v>
      </c>
      <c r="S4329" s="14">
        <v>80</v>
      </c>
      <c r="T4329" s="14">
        <v>82</v>
      </c>
      <c r="U4329" s="14">
        <v>89</v>
      </c>
      <c r="V4329" s="14">
        <v>94</v>
      </c>
      <c r="W4329" s="14">
        <v>95</v>
      </c>
      <c r="X4329" s="14">
        <v>112</v>
      </c>
    </row>
    <row r="4330" spans="1:24" hidden="1" x14ac:dyDescent="0.3">
      <c r="A4330" s="14" t="s">
        <v>503</v>
      </c>
      <c r="B4330" s="14" t="s">
        <v>188</v>
      </c>
      <c r="C4330" s="14" t="s">
        <v>345</v>
      </c>
      <c r="D4330" s="14" t="s">
        <v>346</v>
      </c>
      <c r="E4330" s="14" t="s">
        <v>342</v>
      </c>
      <c r="F4330" s="14" t="s">
        <v>343</v>
      </c>
      <c r="G4330" s="14" t="s">
        <v>343</v>
      </c>
      <c r="H4330" s="14" t="s">
        <v>343</v>
      </c>
      <c r="U4330" s="14">
        <v>0.64</v>
      </c>
      <c r="V4330" s="14">
        <v>0.67</v>
      </c>
      <c r="W4330" s="14">
        <v>0.63</v>
      </c>
      <c r="X4330" s="14">
        <v>0.7</v>
      </c>
    </row>
    <row r="4331" spans="1:24" hidden="1" x14ac:dyDescent="0.3">
      <c r="A4331" s="14" t="s">
        <v>503</v>
      </c>
      <c r="B4331" s="14" t="s">
        <v>188</v>
      </c>
      <c r="C4331" s="14" t="s">
        <v>345</v>
      </c>
      <c r="D4331" s="14" t="s">
        <v>346</v>
      </c>
      <c r="E4331" s="14" t="s">
        <v>344</v>
      </c>
      <c r="F4331" s="14" t="s">
        <v>343</v>
      </c>
      <c r="G4331" s="14" t="s">
        <v>343</v>
      </c>
      <c r="H4331" s="14" t="s">
        <v>343</v>
      </c>
      <c r="U4331" s="14">
        <v>62</v>
      </c>
      <c r="V4331" s="14">
        <v>48</v>
      </c>
      <c r="W4331" s="14">
        <v>71</v>
      </c>
      <c r="X4331" s="14">
        <v>48</v>
      </c>
    </row>
    <row r="4332" spans="1:24" hidden="1" x14ac:dyDescent="0.3">
      <c r="A4332" s="14" t="s">
        <v>503</v>
      </c>
      <c r="B4332" s="14" t="s">
        <v>188</v>
      </c>
      <c r="C4332" s="14" t="s">
        <v>347</v>
      </c>
      <c r="D4332" s="14" t="s">
        <v>348</v>
      </c>
      <c r="E4332" s="14" t="s">
        <v>342</v>
      </c>
      <c r="F4332" s="14" t="s">
        <v>343</v>
      </c>
      <c r="G4332" s="14" t="s">
        <v>343</v>
      </c>
      <c r="H4332" s="14" t="s">
        <v>343</v>
      </c>
      <c r="U4332" s="14">
        <v>0.83</v>
      </c>
      <c r="V4332" s="14">
        <v>0.84</v>
      </c>
      <c r="W4332" s="14">
        <v>0.84</v>
      </c>
      <c r="X4332" s="14">
        <v>0.81</v>
      </c>
    </row>
    <row r="4333" spans="1:24" hidden="1" x14ac:dyDescent="0.3">
      <c r="A4333" s="14" t="s">
        <v>503</v>
      </c>
      <c r="B4333" s="14" t="s">
        <v>188</v>
      </c>
      <c r="C4333" s="14" t="s">
        <v>347</v>
      </c>
      <c r="D4333" s="14" t="s">
        <v>348</v>
      </c>
      <c r="E4333" s="14" t="s">
        <v>344</v>
      </c>
      <c r="F4333" s="14" t="s">
        <v>343</v>
      </c>
      <c r="G4333" s="14" t="s">
        <v>343</v>
      </c>
      <c r="H4333" s="14" t="s">
        <v>343</v>
      </c>
      <c r="U4333" s="14">
        <v>63</v>
      </c>
      <c r="V4333" s="14">
        <v>67</v>
      </c>
      <c r="W4333" s="14">
        <v>67</v>
      </c>
      <c r="X4333" s="14">
        <v>61</v>
      </c>
    </row>
    <row r="4334" spans="1:24" hidden="1" x14ac:dyDescent="0.3">
      <c r="A4334" s="14" t="s">
        <v>503</v>
      </c>
      <c r="B4334" s="14" t="s">
        <v>188</v>
      </c>
      <c r="C4334" s="14" t="s">
        <v>349</v>
      </c>
      <c r="D4334" s="14" t="s">
        <v>350</v>
      </c>
      <c r="E4334" s="14" t="s">
        <v>342</v>
      </c>
      <c r="F4334" s="14" t="s">
        <v>343</v>
      </c>
      <c r="G4334" s="14" t="s">
        <v>343</v>
      </c>
      <c r="H4334" s="14" t="s">
        <v>343</v>
      </c>
      <c r="U4334" s="14">
        <v>0.44</v>
      </c>
      <c r="V4334" s="14">
        <v>0.47</v>
      </c>
      <c r="W4334" s="14">
        <v>0.44</v>
      </c>
      <c r="X4334" s="14">
        <v>0.53</v>
      </c>
    </row>
    <row r="4335" spans="1:24" hidden="1" x14ac:dyDescent="0.3">
      <c r="A4335" s="14" t="s">
        <v>503</v>
      </c>
      <c r="B4335" s="14" t="s">
        <v>188</v>
      </c>
      <c r="C4335" s="14" t="s">
        <v>349</v>
      </c>
      <c r="D4335" s="14" t="s">
        <v>350</v>
      </c>
      <c r="E4335" s="14" t="s">
        <v>344</v>
      </c>
      <c r="F4335" s="14" t="s">
        <v>343</v>
      </c>
      <c r="G4335" s="14" t="s">
        <v>343</v>
      </c>
      <c r="H4335" s="14" t="s">
        <v>343</v>
      </c>
      <c r="U4335" s="14">
        <v>81</v>
      </c>
      <c r="V4335" s="14">
        <v>75</v>
      </c>
      <c r="W4335" s="14">
        <v>86</v>
      </c>
      <c r="X4335" s="14">
        <v>69</v>
      </c>
    </row>
    <row r="4336" spans="1:24" hidden="1" x14ac:dyDescent="0.3">
      <c r="A4336" s="14" t="s">
        <v>503</v>
      </c>
      <c r="B4336" s="14" t="s">
        <v>188</v>
      </c>
      <c r="C4336" s="14" t="s">
        <v>351</v>
      </c>
      <c r="D4336" s="14" t="s">
        <v>352</v>
      </c>
      <c r="E4336" s="14" t="s">
        <v>342</v>
      </c>
      <c r="F4336" s="14" t="s">
        <v>343</v>
      </c>
      <c r="G4336" s="14" t="s">
        <v>343</v>
      </c>
      <c r="H4336" s="14" t="s">
        <v>343</v>
      </c>
      <c r="U4336" s="14">
        <v>0.86</v>
      </c>
      <c r="V4336" s="14">
        <v>0.89</v>
      </c>
      <c r="W4336" s="14">
        <v>0.82</v>
      </c>
      <c r="X4336" s="14">
        <v>0.78</v>
      </c>
    </row>
    <row r="4337" spans="1:24" hidden="1" x14ac:dyDescent="0.3">
      <c r="A4337" s="14" t="s">
        <v>503</v>
      </c>
      <c r="B4337" s="14" t="s">
        <v>188</v>
      </c>
      <c r="C4337" s="14" t="s">
        <v>351</v>
      </c>
      <c r="D4337" s="14" t="s">
        <v>352</v>
      </c>
      <c r="E4337" s="14" t="s">
        <v>344</v>
      </c>
      <c r="F4337" s="14" t="s">
        <v>343</v>
      </c>
      <c r="G4337" s="14" t="s">
        <v>343</v>
      </c>
      <c r="H4337" s="14" t="s">
        <v>343</v>
      </c>
      <c r="U4337" s="14">
        <v>93</v>
      </c>
      <c r="V4337" s="14">
        <v>94</v>
      </c>
      <c r="W4337" s="14">
        <v>96</v>
      </c>
      <c r="X4337" s="14">
        <v>95</v>
      </c>
    </row>
    <row r="4338" spans="1:24" hidden="1" x14ac:dyDescent="0.3">
      <c r="A4338" s="14" t="s">
        <v>503</v>
      </c>
      <c r="B4338" s="14" t="s">
        <v>188</v>
      </c>
      <c r="C4338" s="14" t="s">
        <v>378</v>
      </c>
      <c r="D4338" s="14" t="s">
        <v>379</v>
      </c>
      <c r="E4338" s="14" t="s">
        <v>342</v>
      </c>
      <c r="F4338" s="14" t="s">
        <v>343</v>
      </c>
      <c r="G4338" s="14" t="s">
        <v>343</v>
      </c>
      <c r="H4338" s="14" t="s">
        <v>343</v>
      </c>
      <c r="S4338" s="14">
        <v>0.49</v>
      </c>
      <c r="U4338" s="14">
        <v>0.51</v>
      </c>
      <c r="V4338" s="14">
        <v>0.51</v>
      </c>
      <c r="W4338" s="14">
        <v>0.52</v>
      </c>
      <c r="X4338" s="14">
        <v>0.56000000000000005</v>
      </c>
    </row>
    <row r="4339" spans="1:24" hidden="1" x14ac:dyDescent="0.3">
      <c r="A4339" s="14" t="s">
        <v>503</v>
      </c>
      <c r="B4339" s="14" t="s">
        <v>188</v>
      </c>
      <c r="C4339" s="14" t="s">
        <v>378</v>
      </c>
      <c r="D4339" s="14" t="s">
        <v>379</v>
      </c>
      <c r="E4339" s="14" t="s">
        <v>344</v>
      </c>
      <c r="F4339" s="14" t="s">
        <v>343</v>
      </c>
      <c r="G4339" s="14" t="s">
        <v>343</v>
      </c>
      <c r="H4339" s="14" t="s">
        <v>343</v>
      </c>
      <c r="S4339" s="14">
        <v>131</v>
      </c>
      <c r="U4339" s="14">
        <v>127</v>
      </c>
      <c r="V4339" s="14">
        <v>128</v>
      </c>
      <c r="W4339" s="14">
        <v>129</v>
      </c>
      <c r="X4339" s="14">
        <v>115</v>
      </c>
    </row>
    <row r="4340" spans="1:24" hidden="1" x14ac:dyDescent="0.3">
      <c r="A4340" s="14" t="s">
        <v>503</v>
      </c>
      <c r="B4340" s="14" t="s">
        <v>188</v>
      </c>
      <c r="C4340" s="14" t="s">
        <v>353</v>
      </c>
      <c r="D4340" s="14" t="s">
        <v>354</v>
      </c>
      <c r="E4340" s="14" t="s">
        <v>342</v>
      </c>
      <c r="F4340" s="14" t="s">
        <v>343</v>
      </c>
      <c r="G4340" s="14" t="s">
        <v>343</v>
      </c>
      <c r="H4340" s="14" t="s">
        <v>343</v>
      </c>
      <c r="U4340" s="14">
        <v>0.94</v>
      </c>
      <c r="V4340" s="14">
        <v>0.94</v>
      </c>
      <c r="W4340" s="14">
        <v>0.94</v>
      </c>
      <c r="X4340" s="14">
        <v>0.95</v>
      </c>
    </row>
    <row r="4341" spans="1:24" hidden="1" x14ac:dyDescent="0.3">
      <c r="A4341" s="14" t="s">
        <v>503</v>
      </c>
      <c r="B4341" s="14" t="s">
        <v>188</v>
      </c>
      <c r="C4341" s="14" t="s">
        <v>353</v>
      </c>
      <c r="D4341" s="14" t="s">
        <v>354</v>
      </c>
      <c r="E4341" s="14" t="s">
        <v>344</v>
      </c>
      <c r="F4341" s="14" t="s">
        <v>343</v>
      </c>
      <c r="G4341" s="14" t="s">
        <v>343</v>
      </c>
      <c r="H4341" s="14" t="s">
        <v>343</v>
      </c>
      <c r="U4341" s="14">
        <v>97</v>
      </c>
      <c r="V4341" s="14">
        <v>103</v>
      </c>
      <c r="W4341" s="14">
        <v>104</v>
      </c>
      <c r="X4341" s="14">
        <v>98</v>
      </c>
    </row>
    <row r="4342" spans="1:24" hidden="1" x14ac:dyDescent="0.3">
      <c r="A4342" s="14" t="s">
        <v>503</v>
      </c>
      <c r="B4342" s="14" t="s">
        <v>188</v>
      </c>
      <c r="C4342" s="14" t="s">
        <v>380</v>
      </c>
      <c r="D4342" s="14" t="s">
        <v>381</v>
      </c>
      <c r="E4342" s="14" t="s">
        <v>342</v>
      </c>
      <c r="F4342" s="14" t="s">
        <v>343</v>
      </c>
      <c r="G4342" s="14" t="s">
        <v>343</v>
      </c>
      <c r="H4342" s="14" t="s">
        <v>343</v>
      </c>
      <c r="U4342" s="14">
        <v>1</v>
      </c>
      <c r="V4342" s="14">
        <v>1</v>
      </c>
      <c r="W4342" s="14">
        <v>1</v>
      </c>
    </row>
    <row r="4343" spans="1:24" hidden="1" x14ac:dyDescent="0.3">
      <c r="A4343" s="14" t="s">
        <v>503</v>
      </c>
      <c r="B4343" s="14" t="s">
        <v>188</v>
      </c>
      <c r="C4343" s="14" t="s">
        <v>380</v>
      </c>
      <c r="D4343" s="14" t="s">
        <v>381</v>
      </c>
      <c r="E4343" s="14" t="s">
        <v>344</v>
      </c>
      <c r="F4343" s="14" t="s">
        <v>343</v>
      </c>
      <c r="G4343" s="14" t="s">
        <v>343</v>
      </c>
      <c r="H4343" s="14" t="s">
        <v>343</v>
      </c>
      <c r="U4343" s="14">
        <v>1</v>
      </c>
      <c r="V4343" s="14">
        <v>1</v>
      </c>
      <c r="W4343" s="14">
        <v>1</v>
      </c>
    </row>
    <row r="4344" spans="1:24" hidden="1" x14ac:dyDescent="0.3">
      <c r="A4344" s="14" t="s">
        <v>503</v>
      </c>
      <c r="B4344" s="14" t="s">
        <v>188</v>
      </c>
      <c r="C4344" s="14" t="s">
        <v>355</v>
      </c>
      <c r="D4344" s="14" t="s">
        <v>356</v>
      </c>
      <c r="E4344" s="14" t="s">
        <v>342</v>
      </c>
      <c r="F4344" s="14" t="s">
        <v>343</v>
      </c>
      <c r="G4344" s="14" t="s">
        <v>343</v>
      </c>
      <c r="H4344" s="14" t="s">
        <v>343</v>
      </c>
      <c r="U4344" s="14">
        <v>1</v>
      </c>
      <c r="V4344" s="14">
        <v>0.96</v>
      </c>
      <c r="W4344" s="14">
        <v>0.96</v>
      </c>
      <c r="X4344" s="14">
        <v>0.93</v>
      </c>
    </row>
    <row r="4345" spans="1:24" hidden="1" x14ac:dyDescent="0.3">
      <c r="A4345" s="14" t="s">
        <v>503</v>
      </c>
      <c r="B4345" s="14" t="s">
        <v>188</v>
      </c>
      <c r="C4345" s="14" t="s">
        <v>355</v>
      </c>
      <c r="D4345" s="14" t="s">
        <v>356</v>
      </c>
      <c r="E4345" s="14" t="s">
        <v>344</v>
      </c>
      <c r="F4345" s="14" t="s">
        <v>343</v>
      </c>
      <c r="G4345" s="14" t="s">
        <v>343</v>
      </c>
      <c r="H4345" s="14" t="s">
        <v>343</v>
      </c>
      <c r="U4345" s="14">
        <v>1</v>
      </c>
      <c r="V4345" s="14">
        <v>125</v>
      </c>
      <c r="W4345" s="14">
        <v>125</v>
      </c>
      <c r="X4345" s="14">
        <v>116</v>
      </c>
    </row>
    <row r="4346" spans="1:24" hidden="1" x14ac:dyDescent="0.3">
      <c r="A4346" s="14" t="s">
        <v>503</v>
      </c>
      <c r="B4346" s="14" t="s">
        <v>188</v>
      </c>
      <c r="C4346" s="14" t="s">
        <v>357</v>
      </c>
      <c r="D4346" s="14" t="s">
        <v>358</v>
      </c>
      <c r="E4346" s="14" t="s">
        <v>342</v>
      </c>
      <c r="F4346" s="14" t="s">
        <v>343</v>
      </c>
      <c r="G4346" s="14" t="s">
        <v>343</v>
      </c>
      <c r="H4346" s="14" t="s">
        <v>343</v>
      </c>
      <c r="U4346" s="14">
        <v>1</v>
      </c>
      <c r="V4346" s="14">
        <v>1</v>
      </c>
      <c r="W4346" s="14">
        <v>1</v>
      </c>
      <c r="X4346" s="14">
        <v>1</v>
      </c>
    </row>
    <row r="4347" spans="1:24" hidden="1" x14ac:dyDescent="0.3">
      <c r="A4347" s="14" t="s">
        <v>503</v>
      </c>
      <c r="B4347" s="14" t="s">
        <v>188</v>
      </c>
      <c r="C4347" s="14" t="s">
        <v>357</v>
      </c>
      <c r="D4347" s="14" t="s">
        <v>358</v>
      </c>
      <c r="E4347" s="14" t="s">
        <v>344</v>
      </c>
      <c r="F4347" s="14" t="s">
        <v>343</v>
      </c>
      <c r="G4347" s="14" t="s">
        <v>343</v>
      </c>
      <c r="H4347" s="14" t="s">
        <v>343</v>
      </c>
      <c r="U4347" s="14">
        <v>1</v>
      </c>
      <c r="V4347" s="14">
        <v>1</v>
      </c>
      <c r="W4347" s="14">
        <v>1</v>
      </c>
      <c r="X4347" s="14">
        <v>1</v>
      </c>
    </row>
    <row r="4348" spans="1:24" hidden="1" x14ac:dyDescent="0.3">
      <c r="A4348" s="14" t="s">
        <v>503</v>
      </c>
      <c r="B4348" s="14" t="s">
        <v>188</v>
      </c>
      <c r="C4348" s="14" t="s">
        <v>359</v>
      </c>
      <c r="D4348" s="14" t="s">
        <v>360</v>
      </c>
      <c r="E4348" s="14" t="s">
        <v>342</v>
      </c>
      <c r="F4348" s="14" t="s">
        <v>343</v>
      </c>
      <c r="G4348" s="14" t="s">
        <v>343</v>
      </c>
      <c r="H4348" s="14" t="s">
        <v>343</v>
      </c>
      <c r="I4348" s="14">
        <v>0.53</v>
      </c>
      <c r="J4348" s="14">
        <v>0.54</v>
      </c>
      <c r="K4348" s="14">
        <v>0.6</v>
      </c>
      <c r="L4348" s="14">
        <v>0.64</v>
      </c>
      <c r="M4348" s="14">
        <v>0.62</v>
      </c>
      <c r="N4348" s="14">
        <v>0.61</v>
      </c>
      <c r="O4348" s="14">
        <v>0.61</v>
      </c>
      <c r="P4348" s="14">
        <v>0.63</v>
      </c>
      <c r="Q4348" s="14">
        <v>0.63</v>
      </c>
      <c r="R4348" s="14">
        <v>0.6</v>
      </c>
      <c r="S4348" s="14">
        <v>0.59</v>
      </c>
      <c r="T4348" s="14">
        <v>0.63</v>
      </c>
      <c r="U4348" s="14">
        <v>0.63</v>
      </c>
      <c r="V4348" s="14">
        <v>0.65</v>
      </c>
      <c r="W4348" s="14">
        <v>0.63</v>
      </c>
      <c r="X4348" s="14">
        <v>0.66</v>
      </c>
    </row>
    <row r="4349" spans="1:24" hidden="1" x14ac:dyDescent="0.3">
      <c r="A4349" s="14" t="s">
        <v>503</v>
      </c>
      <c r="B4349" s="14" t="s">
        <v>188</v>
      </c>
      <c r="C4349" s="14" t="s">
        <v>359</v>
      </c>
      <c r="D4349" s="14" t="s">
        <v>360</v>
      </c>
      <c r="E4349" s="14" t="s">
        <v>344</v>
      </c>
      <c r="F4349" s="14" t="s">
        <v>343</v>
      </c>
      <c r="G4349" s="14" t="s">
        <v>343</v>
      </c>
      <c r="H4349" s="14" t="s">
        <v>343</v>
      </c>
      <c r="I4349" s="14">
        <v>86</v>
      </c>
      <c r="J4349" s="14">
        <v>103</v>
      </c>
      <c r="K4349" s="14">
        <v>83</v>
      </c>
      <c r="L4349" s="14">
        <v>76</v>
      </c>
      <c r="M4349" s="14">
        <v>81</v>
      </c>
      <c r="N4349" s="14">
        <v>85</v>
      </c>
      <c r="O4349" s="14">
        <v>91</v>
      </c>
      <c r="P4349" s="14">
        <v>88</v>
      </c>
      <c r="Q4349" s="14">
        <v>98</v>
      </c>
      <c r="R4349" s="14">
        <v>110</v>
      </c>
      <c r="S4349" s="14">
        <v>111</v>
      </c>
      <c r="T4349" s="14">
        <v>98</v>
      </c>
      <c r="U4349" s="14">
        <v>94</v>
      </c>
      <c r="V4349" s="14">
        <v>90</v>
      </c>
      <c r="W4349" s="14">
        <v>109</v>
      </c>
      <c r="X4349" s="14">
        <v>86</v>
      </c>
    </row>
    <row r="4350" spans="1:24" x14ac:dyDescent="0.3">
      <c r="A4350" s="14" t="s">
        <v>503</v>
      </c>
      <c r="B4350" s="14" t="s">
        <v>188</v>
      </c>
      <c r="C4350" s="14" t="s">
        <v>361</v>
      </c>
      <c r="D4350" s="14" t="s">
        <v>362</v>
      </c>
      <c r="E4350" s="14" t="s">
        <v>342</v>
      </c>
      <c r="F4350" s="14" t="s">
        <v>343</v>
      </c>
      <c r="G4350" s="14" t="s">
        <v>343</v>
      </c>
      <c r="H4350" s="14" t="s">
        <v>343</v>
      </c>
      <c r="I4350" s="14">
        <v>0.98</v>
      </c>
      <c r="J4350" s="14">
        <v>0.97</v>
      </c>
      <c r="K4350" s="14">
        <v>0.97</v>
      </c>
      <c r="L4350" s="14">
        <v>0.97</v>
      </c>
      <c r="M4350" s="14">
        <v>0.97</v>
      </c>
      <c r="N4350" s="14">
        <v>0.97</v>
      </c>
      <c r="O4350" s="14">
        <v>0.97</v>
      </c>
      <c r="P4350" s="14">
        <v>0.97</v>
      </c>
      <c r="Q4350" s="14">
        <v>0.97</v>
      </c>
      <c r="R4350" s="14">
        <v>0.97</v>
      </c>
      <c r="S4350" s="14">
        <v>0.97</v>
      </c>
      <c r="T4350" s="14">
        <v>0.98</v>
      </c>
      <c r="U4350" s="14">
        <v>0.98</v>
      </c>
      <c r="V4350" s="14">
        <v>0.98</v>
      </c>
      <c r="W4350" s="14">
        <v>0.96</v>
      </c>
      <c r="X4350" s="14">
        <v>0.96</v>
      </c>
    </row>
    <row r="4351" spans="1:24" hidden="1" x14ac:dyDescent="0.3">
      <c r="A4351" s="14" t="s">
        <v>503</v>
      </c>
      <c r="B4351" s="14" t="s">
        <v>188</v>
      </c>
      <c r="C4351" s="14" t="s">
        <v>361</v>
      </c>
      <c r="D4351" s="14" t="s">
        <v>362</v>
      </c>
      <c r="E4351" s="14" t="s">
        <v>344</v>
      </c>
      <c r="F4351" s="14" t="s">
        <v>343</v>
      </c>
      <c r="G4351" s="14" t="s">
        <v>343</v>
      </c>
      <c r="H4351" s="14" t="s">
        <v>343</v>
      </c>
      <c r="I4351" s="14">
        <v>58</v>
      </c>
      <c r="J4351" s="14">
        <v>85</v>
      </c>
      <c r="K4351" s="14">
        <v>86</v>
      </c>
      <c r="L4351" s="14">
        <v>91</v>
      </c>
      <c r="M4351" s="14">
        <v>107</v>
      </c>
      <c r="N4351" s="14">
        <v>108</v>
      </c>
      <c r="O4351" s="14">
        <v>109</v>
      </c>
      <c r="P4351" s="14">
        <v>109</v>
      </c>
      <c r="Q4351" s="14">
        <v>93</v>
      </c>
      <c r="R4351" s="14">
        <v>101</v>
      </c>
      <c r="S4351" s="14">
        <v>100</v>
      </c>
      <c r="T4351" s="14">
        <v>49</v>
      </c>
      <c r="U4351" s="14">
        <v>65</v>
      </c>
      <c r="V4351" s="14">
        <v>62</v>
      </c>
      <c r="W4351" s="14">
        <v>125</v>
      </c>
      <c r="X4351" s="14">
        <v>120</v>
      </c>
    </row>
    <row r="4352" spans="1:24" hidden="1" x14ac:dyDescent="0.3">
      <c r="A4352" s="14" t="s">
        <v>503</v>
      </c>
      <c r="B4352" s="14" t="s">
        <v>188</v>
      </c>
      <c r="C4352" s="14" t="s">
        <v>363</v>
      </c>
      <c r="D4352" s="14" t="s">
        <v>364</v>
      </c>
      <c r="E4352" s="14" t="s">
        <v>342</v>
      </c>
      <c r="F4352" s="14" t="s">
        <v>343</v>
      </c>
      <c r="G4352" s="14" t="s">
        <v>343</v>
      </c>
      <c r="H4352" s="14" t="s">
        <v>343</v>
      </c>
      <c r="U4352" s="14">
        <v>1.05</v>
      </c>
      <c r="V4352" s="14">
        <v>1.05</v>
      </c>
      <c r="W4352" s="14">
        <v>1.01</v>
      </c>
      <c r="X4352" s="14">
        <v>1.01</v>
      </c>
    </row>
    <row r="4353" spans="1:24" hidden="1" x14ac:dyDescent="0.3">
      <c r="A4353" s="14" t="s">
        <v>503</v>
      </c>
      <c r="B4353" s="14" t="s">
        <v>188</v>
      </c>
      <c r="C4353" s="14" t="s">
        <v>363</v>
      </c>
      <c r="D4353" s="14" t="s">
        <v>364</v>
      </c>
      <c r="E4353" s="14" t="s">
        <v>344</v>
      </c>
      <c r="F4353" s="14" t="s">
        <v>343</v>
      </c>
      <c r="G4353" s="14" t="s">
        <v>343</v>
      </c>
      <c r="H4353" s="14" t="s">
        <v>343</v>
      </c>
      <c r="U4353" s="14">
        <v>73</v>
      </c>
      <c r="V4353" s="14">
        <v>75</v>
      </c>
      <c r="W4353" s="14">
        <v>133</v>
      </c>
      <c r="X4353" s="14">
        <v>127</v>
      </c>
    </row>
    <row r="4354" spans="1:24" hidden="1" x14ac:dyDescent="0.3">
      <c r="A4354" s="14" t="s">
        <v>503</v>
      </c>
      <c r="B4354" s="14" t="s">
        <v>188</v>
      </c>
      <c r="C4354" s="14" t="s">
        <v>365</v>
      </c>
      <c r="D4354" s="14" t="s">
        <v>366</v>
      </c>
      <c r="E4354" s="14" t="s">
        <v>342</v>
      </c>
      <c r="F4354" s="14" t="s">
        <v>343</v>
      </c>
      <c r="G4354" s="14" t="s">
        <v>343</v>
      </c>
      <c r="H4354" s="14" t="s">
        <v>343</v>
      </c>
      <c r="U4354" s="14">
        <v>0.94</v>
      </c>
      <c r="V4354" s="14">
        <v>0.94</v>
      </c>
      <c r="W4354" s="14">
        <v>0.94</v>
      </c>
      <c r="X4354" s="14">
        <v>0.94</v>
      </c>
    </row>
    <row r="4355" spans="1:24" hidden="1" x14ac:dyDescent="0.3">
      <c r="A4355" s="14" t="s">
        <v>503</v>
      </c>
      <c r="B4355" s="14" t="s">
        <v>188</v>
      </c>
      <c r="C4355" s="14" t="s">
        <v>365</v>
      </c>
      <c r="D4355" s="14" t="s">
        <v>366</v>
      </c>
      <c r="E4355" s="14" t="s">
        <v>344</v>
      </c>
      <c r="F4355" s="14" t="s">
        <v>343</v>
      </c>
      <c r="G4355" s="14" t="s">
        <v>343</v>
      </c>
      <c r="H4355" s="14" t="s">
        <v>343</v>
      </c>
      <c r="U4355" s="14">
        <v>1</v>
      </c>
      <c r="V4355" s="14">
        <v>1</v>
      </c>
      <c r="W4355" s="14">
        <v>1</v>
      </c>
      <c r="X4355" s="14">
        <v>1</v>
      </c>
    </row>
    <row r="4356" spans="1:24" hidden="1" x14ac:dyDescent="0.3">
      <c r="A4356" s="14" t="s">
        <v>503</v>
      </c>
      <c r="B4356" s="14" t="s">
        <v>188</v>
      </c>
      <c r="C4356" s="14" t="s">
        <v>367</v>
      </c>
      <c r="D4356" s="14" t="s">
        <v>368</v>
      </c>
      <c r="E4356" s="14" t="s">
        <v>342</v>
      </c>
      <c r="F4356" s="14" t="s">
        <v>343</v>
      </c>
      <c r="G4356" s="14" t="s">
        <v>343</v>
      </c>
      <c r="H4356" s="14" t="s">
        <v>343</v>
      </c>
      <c r="I4356" s="14">
        <v>0.66</v>
      </c>
      <c r="J4356" s="14">
        <v>0.66</v>
      </c>
      <c r="K4356" s="14">
        <v>0.7</v>
      </c>
      <c r="L4356" s="14">
        <v>0.7</v>
      </c>
      <c r="M4356" s="14">
        <v>0.69</v>
      </c>
      <c r="N4356" s="14">
        <v>0.68</v>
      </c>
      <c r="O4356" s="14">
        <v>0.67</v>
      </c>
      <c r="P4356" s="14">
        <v>0.68</v>
      </c>
      <c r="Q4356" s="14">
        <v>0.72</v>
      </c>
      <c r="R4356" s="14">
        <v>0.68</v>
      </c>
      <c r="S4356" s="14">
        <v>0.69</v>
      </c>
      <c r="T4356" s="14">
        <v>0.72</v>
      </c>
      <c r="U4356" s="14">
        <v>0.72</v>
      </c>
      <c r="V4356" s="14">
        <v>0.71</v>
      </c>
      <c r="W4356" s="14">
        <v>0.72</v>
      </c>
      <c r="X4356" s="14">
        <v>0.75</v>
      </c>
    </row>
    <row r="4357" spans="1:24" hidden="1" x14ac:dyDescent="0.3">
      <c r="A4357" s="14" t="s">
        <v>503</v>
      </c>
      <c r="B4357" s="14" t="s">
        <v>188</v>
      </c>
      <c r="C4357" s="14" t="s">
        <v>367</v>
      </c>
      <c r="D4357" s="14" t="s">
        <v>368</v>
      </c>
      <c r="E4357" s="14" t="s">
        <v>344</v>
      </c>
      <c r="F4357" s="14" t="s">
        <v>343</v>
      </c>
      <c r="G4357" s="14" t="s">
        <v>343</v>
      </c>
      <c r="H4357" s="14" t="s">
        <v>343</v>
      </c>
      <c r="I4357" s="14">
        <v>60</v>
      </c>
      <c r="J4357" s="14">
        <v>75</v>
      </c>
      <c r="K4357" s="14">
        <v>48</v>
      </c>
      <c r="L4357" s="14">
        <v>44</v>
      </c>
      <c r="M4357" s="14">
        <v>60</v>
      </c>
      <c r="N4357" s="14">
        <v>73</v>
      </c>
      <c r="O4357" s="14">
        <v>78</v>
      </c>
      <c r="P4357" s="14">
        <v>80</v>
      </c>
      <c r="Q4357" s="14">
        <v>45</v>
      </c>
      <c r="R4357" s="14">
        <v>89</v>
      </c>
      <c r="S4357" s="14">
        <v>80</v>
      </c>
      <c r="T4357" s="14">
        <v>48</v>
      </c>
      <c r="U4357" s="14">
        <v>52</v>
      </c>
      <c r="V4357" s="14">
        <v>66</v>
      </c>
      <c r="W4357" s="14">
        <v>62</v>
      </c>
      <c r="X4357" s="14">
        <v>37</v>
      </c>
    </row>
    <row r="4358" spans="1:24" hidden="1" x14ac:dyDescent="0.3">
      <c r="A4358" s="14" t="s">
        <v>503</v>
      </c>
      <c r="B4358" s="14" t="s">
        <v>188</v>
      </c>
      <c r="C4358" s="14" t="s">
        <v>369</v>
      </c>
      <c r="D4358" s="14" t="s">
        <v>370</v>
      </c>
      <c r="E4358" s="14" t="s">
        <v>342</v>
      </c>
      <c r="F4358" s="14" t="s">
        <v>343</v>
      </c>
      <c r="G4358" s="14" t="s">
        <v>343</v>
      </c>
      <c r="H4358" s="14" t="s">
        <v>343</v>
      </c>
      <c r="I4358" s="14">
        <v>0.17</v>
      </c>
      <c r="J4358" s="14">
        <v>0.17</v>
      </c>
      <c r="K4358" s="14">
        <v>0.23</v>
      </c>
      <c r="L4358" s="14">
        <v>0.22</v>
      </c>
      <c r="M4358" s="14">
        <v>0.19</v>
      </c>
      <c r="N4358" s="14">
        <v>0.16</v>
      </c>
      <c r="O4358" s="14">
        <v>0.14000000000000001</v>
      </c>
      <c r="P4358" s="14">
        <v>0.14000000000000001</v>
      </c>
      <c r="Q4358" s="14">
        <v>0.28999999999999998</v>
      </c>
      <c r="R4358" s="14">
        <v>0.17</v>
      </c>
      <c r="S4358" s="14">
        <v>0.19</v>
      </c>
      <c r="T4358" s="14">
        <v>0.28000000000000003</v>
      </c>
      <c r="U4358" s="14">
        <v>0.28000000000000003</v>
      </c>
      <c r="V4358" s="14">
        <v>0.25</v>
      </c>
      <c r="W4358" s="14">
        <v>0.31</v>
      </c>
      <c r="X4358" s="14">
        <v>0.42</v>
      </c>
    </row>
    <row r="4359" spans="1:24" hidden="1" x14ac:dyDescent="0.3">
      <c r="A4359" s="14" t="s">
        <v>503</v>
      </c>
      <c r="B4359" s="14" t="s">
        <v>188</v>
      </c>
      <c r="C4359" s="14" t="s">
        <v>369</v>
      </c>
      <c r="D4359" s="14" t="s">
        <v>370</v>
      </c>
      <c r="E4359" s="14" t="s">
        <v>344</v>
      </c>
      <c r="F4359" s="14" t="s">
        <v>343</v>
      </c>
      <c r="G4359" s="14" t="s">
        <v>343</v>
      </c>
      <c r="H4359" s="14" t="s">
        <v>343</v>
      </c>
      <c r="I4359" s="14">
        <v>31</v>
      </c>
      <c r="J4359" s="14">
        <v>34</v>
      </c>
      <c r="K4359" s="14">
        <v>29</v>
      </c>
      <c r="L4359" s="14">
        <v>33</v>
      </c>
      <c r="M4359" s="14">
        <v>37</v>
      </c>
      <c r="N4359" s="14">
        <v>50</v>
      </c>
      <c r="O4359" s="14">
        <v>65</v>
      </c>
      <c r="P4359" s="14">
        <v>69</v>
      </c>
      <c r="Q4359" s="14">
        <v>27</v>
      </c>
      <c r="R4359" s="14">
        <v>67</v>
      </c>
      <c r="S4359" s="14">
        <v>60</v>
      </c>
      <c r="T4359" s="14">
        <v>33</v>
      </c>
      <c r="U4359" s="14">
        <v>36</v>
      </c>
      <c r="V4359" s="14">
        <v>53</v>
      </c>
      <c r="W4359" s="14">
        <v>43</v>
      </c>
      <c r="X4359" s="14">
        <v>27</v>
      </c>
    </row>
    <row r="4360" spans="1:24" hidden="1" x14ac:dyDescent="0.3">
      <c r="A4360" s="14" t="s">
        <v>503</v>
      </c>
      <c r="B4360" s="14" t="s">
        <v>188</v>
      </c>
      <c r="C4360" s="14" t="s">
        <v>371</v>
      </c>
      <c r="D4360" s="14" t="s">
        <v>372</v>
      </c>
      <c r="E4360" s="14" t="s">
        <v>342</v>
      </c>
      <c r="F4360" s="14" t="s">
        <v>343</v>
      </c>
      <c r="G4360" s="14" t="s">
        <v>343</v>
      </c>
      <c r="H4360" s="14" t="s">
        <v>343</v>
      </c>
      <c r="U4360" s="14">
        <v>0.04</v>
      </c>
      <c r="V4360" s="14">
        <v>0.04</v>
      </c>
      <c r="W4360" s="14">
        <v>0.05</v>
      </c>
      <c r="X4360" s="14">
        <v>0.06</v>
      </c>
    </row>
    <row r="4361" spans="1:24" hidden="1" x14ac:dyDescent="0.3">
      <c r="A4361" s="14" t="s">
        <v>503</v>
      </c>
      <c r="B4361" s="14" t="s">
        <v>188</v>
      </c>
      <c r="C4361" s="14" t="s">
        <v>371</v>
      </c>
      <c r="D4361" s="14" t="s">
        <v>372</v>
      </c>
      <c r="E4361" s="14" t="s">
        <v>344</v>
      </c>
      <c r="F4361" s="14" t="s">
        <v>343</v>
      </c>
      <c r="G4361" s="14" t="s">
        <v>343</v>
      </c>
      <c r="H4361" s="14" t="s">
        <v>343</v>
      </c>
      <c r="U4361" s="14">
        <v>46</v>
      </c>
      <c r="V4361" s="14">
        <v>48</v>
      </c>
      <c r="W4361" s="14">
        <v>51</v>
      </c>
      <c r="X4361" s="14">
        <v>43</v>
      </c>
    </row>
    <row r="4362" spans="1:24" hidden="1" x14ac:dyDescent="0.3">
      <c r="A4362" s="14" t="s">
        <v>503</v>
      </c>
      <c r="B4362" s="14" t="s">
        <v>188</v>
      </c>
      <c r="C4362" s="14" t="s">
        <v>373</v>
      </c>
      <c r="D4362" s="14" t="s">
        <v>374</v>
      </c>
      <c r="E4362" s="14" t="s">
        <v>342</v>
      </c>
      <c r="F4362" s="14" t="s">
        <v>343</v>
      </c>
      <c r="G4362" s="14" t="s">
        <v>343</v>
      </c>
      <c r="H4362" s="14" t="s">
        <v>343</v>
      </c>
      <c r="U4362" s="14">
        <v>0.57999999999999996</v>
      </c>
      <c r="V4362" s="14">
        <v>0.38</v>
      </c>
      <c r="W4362" s="14">
        <v>0.73</v>
      </c>
      <c r="X4362" s="14">
        <v>0.73</v>
      </c>
    </row>
    <row r="4363" spans="1:24" hidden="1" x14ac:dyDescent="0.3">
      <c r="A4363" s="14" t="s">
        <v>503</v>
      </c>
      <c r="B4363" s="14" t="s">
        <v>188</v>
      </c>
      <c r="C4363" s="14" t="s">
        <v>373</v>
      </c>
      <c r="D4363" s="14" t="s">
        <v>374</v>
      </c>
      <c r="E4363" s="14" t="s">
        <v>344</v>
      </c>
      <c r="F4363" s="14" t="s">
        <v>343</v>
      </c>
      <c r="G4363" s="14" t="s">
        <v>343</v>
      </c>
      <c r="H4363" s="14" t="s">
        <v>343</v>
      </c>
      <c r="U4363" s="14">
        <v>17</v>
      </c>
      <c r="V4363" s="14">
        <v>47</v>
      </c>
      <c r="W4363" s="14">
        <v>20</v>
      </c>
      <c r="X4363" s="14">
        <v>20</v>
      </c>
    </row>
    <row r="4364" spans="1:24" hidden="1" x14ac:dyDescent="0.3">
      <c r="A4364" s="14" t="s">
        <v>503</v>
      </c>
      <c r="B4364" s="14" t="s">
        <v>188</v>
      </c>
      <c r="C4364" s="14" t="s">
        <v>375</v>
      </c>
      <c r="D4364" s="14" t="s">
        <v>376</v>
      </c>
      <c r="E4364" s="14" t="s">
        <v>342</v>
      </c>
      <c r="F4364" s="14" t="s">
        <v>343</v>
      </c>
      <c r="G4364" s="14" t="s">
        <v>343</v>
      </c>
      <c r="H4364" s="14" t="s">
        <v>343</v>
      </c>
      <c r="U4364" s="14">
        <v>0.38</v>
      </c>
      <c r="V4364" s="14">
        <v>0.43</v>
      </c>
      <c r="W4364" s="14">
        <v>0.36</v>
      </c>
      <c r="X4364" s="14">
        <v>0.67</v>
      </c>
    </row>
    <row r="4365" spans="1:24" hidden="1" x14ac:dyDescent="0.3">
      <c r="A4365" s="14" t="s">
        <v>503</v>
      </c>
      <c r="B4365" s="14" t="s">
        <v>188</v>
      </c>
      <c r="C4365" s="14" t="s">
        <v>375</v>
      </c>
      <c r="D4365" s="14" t="s">
        <v>376</v>
      </c>
      <c r="E4365" s="14" t="s">
        <v>344</v>
      </c>
      <c r="F4365" s="14" t="s">
        <v>343</v>
      </c>
      <c r="G4365" s="14" t="s">
        <v>343</v>
      </c>
      <c r="H4365" s="14" t="s">
        <v>343</v>
      </c>
      <c r="U4365" s="14">
        <v>48</v>
      </c>
      <c r="V4365" s="14">
        <v>44</v>
      </c>
      <c r="W4365" s="14">
        <v>71</v>
      </c>
      <c r="X4365" s="14">
        <v>25</v>
      </c>
    </row>
    <row r="4366" spans="1:24" hidden="1" x14ac:dyDescent="0.3">
      <c r="A4366" s="14" t="s">
        <v>504</v>
      </c>
      <c r="B4366" s="14" t="s">
        <v>189</v>
      </c>
      <c r="C4366" s="14" t="s">
        <v>340</v>
      </c>
      <c r="D4366" s="14" t="s">
        <v>341</v>
      </c>
      <c r="E4366" s="14" t="s">
        <v>342</v>
      </c>
      <c r="F4366" s="14" t="s">
        <v>343</v>
      </c>
      <c r="G4366" s="14" t="s">
        <v>343</v>
      </c>
      <c r="H4366" s="14" t="s">
        <v>343</v>
      </c>
      <c r="I4366" s="14">
        <v>1</v>
      </c>
      <c r="J4366" s="14">
        <v>1</v>
      </c>
      <c r="K4366" s="14">
        <v>1</v>
      </c>
      <c r="L4366" s="14">
        <v>1</v>
      </c>
      <c r="M4366" s="14">
        <v>1</v>
      </c>
      <c r="N4366" s="14">
        <v>1</v>
      </c>
      <c r="O4366" s="14">
        <v>1</v>
      </c>
      <c r="P4366" s="14">
        <v>1</v>
      </c>
      <c r="Q4366" s="14">
        <v>1</v>
      </c>
      <c r="R4366" s="14">
        <v>1</v>
      </c>
      <c r="S4366" s="14">
        <v>1</v>
      </c>
      <c r="T4366" s="14">
        <v>1</v>
      </c>
      <c r="U4366" s="14">
        <v>1</v>
      </c>
      <c r="V4366" s="14">
        <v>1</v>
      </c>
      <c r="W4366" s="14">
        <v>1</v>
      </c>
      <c r="X4366" s="14">
        <v>1</v>
      </c>
    </row>
    <row r="4367" spans="1:24" hidden="1" x14ac:dyDescent="0.3">
      <c r="A4367" s="14" t="s">
        <v>504</v>
      </c>
      <c r="B4367" s="14" t="s">
        <v>189</v>
      </c>
      <c r="C4367" s="14" t="s">
        <v>340</v>
      </c>
      <c r="D4367" s="14" t="s">
        <v>341</v>
      </c>
      <c r="E4367" s="14" t="s">
        <v>344</v>
      </c>
      <c r="F4367" s="14" t="s">
        <v>343</v>
      </c>
      <c r="G4367" s="14" t="s">
        <v>343</v>
      </c>
      <c r="H4367" s="14" t="s">
        <v>343</v>
      </c>
      <c r="I4367" s="14">
        <v>1</v>
      </c>
      <c r="J4367" s="14">
        <v>1</v>
      </c>
      <c r="K4367" s="14">
        <v>1</v>
      </c>
      <c r="L4367" s="14">
        <v>1</v>
      </c>
      <c r="M4367" s="14">
        <v>1</v>
      </c>
      <c r="N4367" s="14">
        <v>1</v>
      </c>
      <c r="O4367" s="14">
        <v>1</v>
      </c>
      <c r="P4367" s="14">
        <v>1</v>
      </c>
      <c r="Q4367" s="14">
        <v>1</v>
      </c>
      <c r="R4367" s="14">
        <v>34</v>
      </c>
      <c r="S4367" s="14">
        <v>1</v>
      </c>
      <c r="T4367" s="14">
        <v>1</v>
      </c>
      <c r="U4367" s="14">
        <v>1</v>
      </c>
      <c r="V4367" s="14">
        <v>37</v>
      </c>
      <c r="W4367" s="14">
        <v>39</v>
      </c>
      <c r="X4367" s="14">
        <v>46</v>
      </c>
    </row>
    <row r="4368" spans="1:24" hidden="1" x14ac:dyDescent="0.3">
      <c r="A4368" s="14" t="s">
        <v>504</v>
      </c>
      <c r="B4368" s="14" t="s">
        <v>189</v>
      </c>
      <c r="C4368" s="14" t="s">
        <v>345</v>
      </c>
      <c r="D4368" s="14" t="s">
        <v>346</v>
      </c>
      <c r="E4368" s="14" t="s">
        <v>342</v>
      </c>
      <c r="F4368" s="14" t="s">
        <v>343</v>
      </c>
      <c r="G4368" s="14" t="s">
        <v>343</v>
      </c>
      <c r="H4368" s="14" t="s">
        <v>343</v>
      </c>
      <c r="U4368" s="14">
        <v>0.69</v>
      </c>
      <c r="V4368" s="14">
        <v>0.66</v>
      </c>
      <c r="W4368" s="14">
        <v>0.69</v>
      </c>
      <c r="X4368" s="14">
        <v>0.71</v>
      </c>
    </row>
    <row r="4369" spans="1:24" hidden="1" x14ac:dyDescent="0.3">
      <c r="A4369" s="14" t="s">
        <v>504</v>
      </c>
      <c r="B4369" s="14" t="s">
        <v>189</v>
      </c>
      <c r="C4369" s="14" t="s">
        <v>345</v>
      </c>
      <c r="D4369" s="14" t="s">
        <v>346</v>
      </c>
      <c r="E4369" s="14" t="s">
        <v>344</v>
      </c>
      <c r="F4369" s="14" t="s">
        <v>343</v>
      </c>
      <c r="G4369" s="14" t="s">
        <v>343</v>
      </c>
      <c r="H4369" s="14" t="s">
        <v>343</v>
      </c>
      <c r="U4369" s="14">
        <v>37</v>
      </c>
      <c r="V4369" s="14">
        <v>58</v>
      </c>
      <c r="W4369" s="14">
        <v>47</v>
      </c>
      <c r="X4369" s="14">
        <v>43</v>
      </c>
    </row>
    <row r="4370" spans="1:24" hidden="1" x14ac:dyDescent="0.3">
      <c r="A4370" s="14" t="s">
        <v>504</v>
      </c>
      <c r="B4370" s="14" t="s">
        <v>189</v>
      </c>
      <c r="C4370" s="14" t="s">
        <v>347</v>
      </c>
      <c r="D4370" s="14" t="s">
        <v>348</v>
      </c>
      <c r="E4370" s="14" t="s">
        <v>342</v>
      </c>
      <c r="F4370" s="14" t="s">
        <v>343</v>
      </c>
      <c r="G4370" s="14" t="s">
        <v>343</v>
      </c>
      <c r="H4370" s="14" t="s">
        <v>343</v>
      </c>
      <c r="U4370" s="14">
        <v>0.67</v>
      </c>
      <c r="V4370" s="14">
        <v>0.63</v>
      </c>
      <c r="W4370" s="14">
        <v>0.65</v>
      </c>
      <c r="X4370" s="14">
        <v>0.64</v>
      </c>
    </row>
    <row r="4371" spans="1:24" hidden="1" x14ac:dyDescent="0.3">
      <c r="A4371" s="14" t="s">
        <v>504</v>
      </c>
      <c r="B4371" s="14" t="s">
        <v>189</v>
      </c>
      <c r="C4371" s="14" t="s">
        <v>347</v>
      </c>
      <c r="D4371" s="14" t="s">
        <v>348</v>
      </c>
      <c r="E4371" s="14" t="s">
        <v>344</v>
      </c>
      <c r="F4371" s="14" t="s">
        <v>343</v>
      </c>
      <c r="G4371" s="14" t="s">
        <v>343</v>
      </c>
      <c r="H4371" s="14" t="s">
        <v>343</v>
      </c>
      <c r="U4371" s="14">
        <v>106</v>
      </c>
      <c r="V4371" s="14">
        <v>121</v>
      </c>
      <c r="W4371" s="14">
        <v>118</v>
      </c>
      <c r="X4371" s="14">
        <v>111</v>
      </c>
    </row>
    <row r="4372" spans="1:24" hidden="1" x14ac:dyDescent="0.3">
      <c r="A4372" s="14" t="s">
        <v>504</v>
      </c>
      <c r="B4372" s="14" t="s">
        <v>189</v>
      </c>
      <c r="C4372" s="14" t="s">
        <v>349</v>
      </c>
      <c r="D4372" s="14" t="s">
        <v>350</v>
      </c>
      <c r="E4372" s="14" t="s">
        <v>342</v>
      </c>
      <c r="F4372" s="14" t="s">
        <v>343</v>
      </c>
      <c r="G4372" s="14" t="s">
        <v>343</v>
      </c>
      <c r="H4372" s="14" t="s">
        <v>343</v>
      </c>
      <c r="U4372" s="14">
        <v>1</v>
      </c>
      <c r="V4372" s="14">
        <v>1</v>
      </c>
      <c r="W4372" s="14">
        <v>1</v>
      </c>
      <c r="X4372" s="14">
        <v>1</v>
      </c>
    </row>
    <row r="4373" spans="1:24" hidden="1" x14ac:dyDescent="0.3">
      <c r="A4373" s="14" t="s">
        <v>504</v>
      </c>
      <c r="B4373" s="14" t="s">
        <v>189</v>
      </c>
      <c r="C4373" s="14" t="s">
        <v>349</v>
      </c>
      <c r="D4373" s="14" t="s">
        <v>350</v>
      </c>
      <c r="E4373" s="14" t="s">
        <v>344</v>
      </c>
      <c r="F4373" s="14" t="s">
        <v>343</v>
      </c>
      <c r="G4373" s="14" t="s">
        <v>343</v>
      </c>
      <c r="H4373" s="14" t="s">
        <v>343</v>
      </c>
      <c r="U4373" s="14">
        <v>1</v>
      </c>
      <c r="V4373" s="14">
        <v>1</v>
      </c>
      <c r="W4373" s="14">
        <v>1</v>
      </c>
      <c r="X4373" s="14">
        <v>1</v>
      </c>
    </row>
    <row r="4374" spans="1:24" hidden="1" x14ac:dyDescent="0.3">
      <c r="A4374" s="14" t="s">
        <v>504</v>
      </c>
      <c r="B4374" s="14" t="s">
        <v>189</v>
      </c>
      <c r="C4374" s="14" t="s">
        <v>351</v>
      </c>
      <c r="D4374" s="14" t="s">
        <v>352</v>
      </c>
      <c r="E4374" s="14" t="s">
        <v>342</v>
      </c>
      <c r="F4374" s="14" t="s">
        <v>343</v>
      </c>
      <c r="G4374" s="14" t="s">
        <v>343</v>
      </c>
      <c r="H4374" s="14" t="s">
        <v>343</v>
      </c>
      <c r="U4374" s="14">
        <v>1</v>
      </c>
      <c r="V4374" s="14">
        <v>1</v>
      </c>
      <c r="W4374" s="14">
        <v>1</v>
      </c>
      <c r="X4374" s="14">
        <v>1</v>
      </c>
    </row>
    <row r="4375" spans="1:24" hidden="1" x14ac:dyDescent="0.3">
      <c r="A4375" s="14" t="s">
        <v>504</v>
      </c>
      <c r="B4375" s="14" t="s">
        <v>189</v>
      </c>
      <c r="C4375" s="14" t="s">
        <v>351</v>
      </c>
      <c r="D4375" s="14" t="s">
        <v>352</v>
      </c>
      <c r="E4375" s="14" t="s">
        <v>344</v>
      </c>
      <c r="F4375" s="14" t="s">
        <v>343</v>
      </c>
      <c r="G4375" s="14" t="s">
        <v>343</v>
      </c>
      <c r="H4375" s="14" t="s">
        <v>343</v>
      </c>
      <c r="U4375" s="14">
        <v>1</v>
      </c>
      <c r="V4375" s="14">
        <v>1</v>
      </c>
      <c r="W4375" s="14">
        <v>1</v>
      </c>
      <c r="X4375" s="14">
        <v>1</v>
      </c>
    </row>
    <row r="4376" spans="1:24" hidden="1" x14ac:dyDescent="0.3">
      <c r="A4376" s="14" t="s">
        <v>504</v>
      </c>
      <c r="B4376" s="14" t="s">
        <v>189</v>
      </c>
      <c r="C4376" s="14" t="s">
        <v>378</v>
      </c>
      <c r="D4376" s="14" t="s">
        <v>379</v>
      </c>
      <c r="E4376" s="14" t="s">
        <v>342</v>
      </c>
      <c r="F4376" s="14" t="s">
        <v>343</v>
      </c>
      <c r="G4376" s="14" t="s">
        <v>343</v>
      </c>
      <c r="H4376" s="14" t="s">
        <v>343</v>
      </c>
      <c r="S4376" s="14">
        <v>0.8</v>
      </c>
      <c r="U4376" s="14">
        <v>0.79</v>
      </c>
      <c r="V4376" s="14">
        <v>0.81</v>
      </c>
      <c r="W4376" s="14">
        <v>0.78</v>
      </c>
      <c r="X4376" s="14">
        <v>0.77</v>
      </c>
    </row>
    <row r="4377" spans="1:24" hidden="1" x14ac:dyDescent="0.3">
      <c r="A4377" s="14" t="s">
        <v>504</v>
      </c>
      <c r="B4377" s="14" t="s">
        <v>189</v>
      </c>
      <c r="C4377" s="14" t="s">
        <v>378</v>
      </c>
      <c r="D4377" s="14" t="s">
        <v>379</v>
      </c>
      <c r="E4377" s="14" t="s">
        <v>344</v>
      </c>
      <c r="F4377" s="14" t="s">
        <v>343</v>
      </c>
      <c r="G4377" s="14" t="s">
        <v>343</v>
      </c>
      <c r="H4377" s="14" t="s">
        <v>343</v>
      </c>
      <c r="S4377" s="14">
        <v>7</v>
      </c>
      <c r="U4377" s="14">
        <v>9</v>
      </c>
      <c r="V4377" s="14">
        <v>5</v>
      </c>
      <c r="W4377" s="14">
        <v>15</v>
      </c>
      <c r="X4377" s="14">
        <v>12</v>
      </c>
    </row>
    <row r="4378" spans="1:24" hidden="1" x14ac:dyDescent="0.3">
      <c r="A4378" s="14" t="s">
        <v>504</v>
      </c>
      <c r="B4378" s="14" t="s">
        <v>189</v>
      </c>
      <c r="C4378" s="14" t="s">
        <v>353</v>
      </c>
      <c r="D4378" s="14" t="s">
        <v>354</v>
      </c>
      <c r="E4378" s="14" t="s">
        <v>342</v>
      </c>
      <c r="F4378" s="14" t="s">
        <v>343</v>
      </c>
      <c r="G4378" s="14" t="s">
        <v>343</v>
      </c>
      <c r="H4378" s="14" t="s">
        <v>343</v>
      </c>
      <c r="U4378" s="14">
        <v>1</v>
      </c>
      <c r="V4378" s="14">
        <v>1</v>
      </c>
      <c r="W4378" s="14">
        <v>1</v>
      </c>
      <c r="X4378" s="14">
        <v>1</v>
      </c>
    </row>
    <row r="4379" spans="1:24" hidden="1" x14ac:dyDescent="0.3">
      <c r="A4379" s="14" t="s">
        <v>504</v>
      </c>
      <c r="B4379" s="14" t="s">
        <v>189</v>
      </c>
      <c r="C4379" s="14" t="s">
        <v>353</v>
      </c>
      <c r="D4379" s="14" t="s">
        <v>354</v>
      </c>
      <c r="E4379" s="14" t="s">
        <v>344</v>
      </c>
      <c r="F4379" s="14" t="s">
        <v>343</v>
      </c>
      <c r="G4379" s="14" t="s">
        <v>343</v>
      </c>
      <c r="H4379" s="14" t="s">
        <v>343</v>
      </c>
      <c r="U4379" s="14">
        <v>1</v>
      </c>
      <c r="V4379" s="14">
        <v>1</v>
      </c>
      <c r="W4379" s="14">
        <v>1</v>
      </c>
      <c r="X4379" s="14">
        <v>1</v>
      </c>
    </row>
    <row r="4380" spans="1:24" hidden="1" x14ac:dyDescent="0.3">
      <c r="A4380" s="14" t="s">
        <v>504</v>
      </c>
      <c r="B4380" s="14" t="s">
        <v>189</v>
      </c>
      <c r="C4380" s="14" t="s">
        <v>380</v>
      </c>
      <c r="D4380" s="14" t="s">
        <v>381</v>
      </c>
      <c r="E4380" s="14" t="s">
        <v>342</v>
      </c>
      <c r="F4380" s="14" t="s">
        <v>343</v>
      </c>
      <c r="G4380" s="14" t="s">
        <v>343</v>
      </c>
      <c r="H4380" s="14" t="s">
        <v>343</v>
      </c>
      <c r="U4380" s="14">
        <v>1</v>
      </c>
      <c r="V4380" s="14">
        <v>1</v>
      </c>
      <c r="W4380" s="14">
        <v>1</v>
      </c>
      <c r="X4380" s="14">
        <v>0.99</v>
      </c>
    </row>
    <row r="4381" spans="1:24" hidden="1" x14ac:dyDescent="0.3">
      <c r="A4381" s="14" t="s">
        <v>504</v>
      </c>
      <c r="B4381" s="14" t="s">
        <v>189</v>
      </c>
      <c r="C4381" s="14" t="s">
        <v>380</v>
      </c>
      <c r="D4381" s="14" t="s">
        <v>381</v>
      </c>
      <c r="E4381" s="14" t="s">
        <v>344</v>
      </c>
      <c r="F4381" s="14" t="s">
        <v>343</v>
      </c>
      <c r="G4381" s="14" t="s">
        <v>343</v>
      </c>
      <c r="H4381" s="14" t="s">
        <v>343</v>
      </c>
      <c r="U4381" s="14">
        <v>1</v>
      </c>
      <c r="V4381" s="14">
        <v>83</v>
      </c>
      <c r="W4381" s="14">
        <v>84</v>
      </c>
      <c r="X4381" s="14">
        <v>89</v>
      </c>
    </row>
    <row r="4382" spans="1:24" hidden="1" x14ac:dyDescent="0.3">
      <c r="A4382" s="14" t="s">
        <v>504</v>
      </c>
      <c r="B4382" s="14" t="s">
        <v>189</v>
      </c>
      <c r="C4382" s="14" t="s">
        <v>355</v>
      </c>
      <c r="D4382" s="14" t="s">
        <v>356</v>
      </c>
      <c r="E4382" s="14" t="s">
        <v>342</v>
      </c>
      <c r="F4382" s="14" t="s">
        <v>343</v>
      </c>
      <c r="G4382" s="14" t="s">
        <v>343</v>
      </c>
      <c r="H4382" s="14" t="s">
        <v>343</v>
      </c>
      <c r="U4382" s="14">
        <v>1</v>
      </c>
      <c r="V4382" s="14">
        <v>1</v>
      </c>
      <c r="X4382" s="14">
        <v>1</v>
      </c>
    </row>
    <row r="4383" spans="1:24" hidden="1" x14ac:dyDescent="0.3">
      <c r="A4383" s="14" t="s">
        <v>504</v>
      </c>
      <c r="B4383" s="14" t="s">
        <v>189</v>
      </c>
      <c r="C4383" s="14" t="s">
        <v>355</v>
      </c>
      <c r="D4383" s="14" t="s">
        <v>356</v>
      </c>
      <c r="E4383" s="14" t="s">
        <v>344</v>
      </c>
      <c r="F4383" s="14" t="s">
        <v>343</v>
      </c>
      <c r="G4383" s="14" t="s">
        <v>343</v>
      </c>
      <c r="H4383" s="14" t="s">
        <v>343</v>
      </c>
      <c r="U4383" s="14">
        <v>1</v>
      </c>
      <c r="V4383" s="14">
        <v>1</v>
      </c>
      <c r="W4383" s="14">
        <v>1</v>
      </c>
      <c r="X4383" s="14">
        <v>1</v>
      </c>
    </row>
    <row r="4384" spans="1:24" hidden="1" x14ac:dyDescent="0.3">
      <c r="A4384" s="14" t="s">
        <v>504</v>
      </c>
      <c r="B4384" s="14" t="s">
        <v>189</v>
      </c>
      <c r="C4384" s="14" t="s">
        <v>357</v>
      </c>
      <c r="D4384" s="14" t="s">
        <v>358</v>
      </c>
      <c r="E4384" s="14" t="s">
        <v>342</v>
      </c>
      <c r="F4384" s="14" t="s">
        <v>343</v>
      </c>
      <c r="G4384" s="14" t="s">
        <v>343</v>
      </c>
      <c r="H4384" s="14" t="s">
        <v>343</v>
      </c>
      <c r="U4384" s="14">
        <v>1</v>
      </c>
      <c r="V4384" s="14">
        <v>1</v>
      </c>
      <c r="W4384" s="14">
        <v>1</v>
      </c>
      <c r="X4384" s="14">
        <v>1</v>
      </c>
    </row>
    <row r="4385" spans="1:24" hidden="1" x14ac:dyDescent="0.3">
      <c r="A4385" s="14" t="s">
        <v>504</v>
      </c>
      <c r="B4385" s="14" t="s">
        <v>189</v>
      </c>
      <c r="C4385" s="14" t="s">
        <v>357</v>
      </c>
      <c r="D4385" s="14" t="s">
        <v>358</v>
      </c>
      <c r="E4385" s="14" t="s">
        <v>344</v>
      </c>
      <c r="F4385" s="14" t="s">
        <v>343</v>
      </c>
      <c r="G4385" s="14" t="s">
        <v>343</v>
      </c>
      <c r="H4385" s="14" t="s">
        <v>343</v>
      </c>
      <c r="U4385" s="14">
        <v>1</v>
      </c>
      <c r="V4385" s="14">
        <v>1</v>
      </c>
      <c r="W4385" s="14">
        <v>1</v>
      </c>
      <c r="X4385" s="14">
        <v>1</v>
      </c>
    </row>
    <row r="4386" spans="1:24" hidden="1" x14ac:dyDescent="0.3">
      <c r="A4386" s="14" t="s">
        <v>504</v>
      </c>
      <c r="B4386" s="14" t="s">
        <v>189</v>
      </c>
      <c r="C4386" s="14" t="s">
        <v>359</v>
      </c>
      <c r="D4386" s="14" t="s">
        <v>360</v>
      </c>
      <c r="E4386" s="14" t="s">
        <v>342</v>
      </c>
      <c r="F4386" s="14" t="s">
        <v>343</v>
      </c>
      <c r="G4386" s="14" t="s">
        <v>343</v>
      </c>
      <c r="H4386" s="14" t="s">
        <v>343</v>
      </c>
      <c r="I4386" s="14">
        <v>0.76</v>
      </c>
      <c r="J4386" s="14">
        <v>0.79</v>
      </c>
      <c r="K4386" s="14">
        <v>0.77</v>
      </c>
      <c r="L4386" s="14">
        <v>0.76</v>
      </c>
      <c r="M4386" s="14">
        <v>0.76</v>
      </c>
      <c r="N4386" s="14">
        <v>0.76</v>
      </c>
      <c r="O4386" s="14">
        <v>0.77</v>
      </c>
      <c r="P4386" s="14">
        <v>0.78</v>
      </c>
      <c r="Q4386" s="14">
        <v>0.78</v>
      </c>
      <c r="R4386" s="14">
        <v>0.8</v>
      </c>
      <c r="S4386" s="14">
        <v>0.78</v>
      </c>
      <c r="T4386" s="14">
        <v>0.76</v>
      </c>
      <c r="U4386" s="14">
        <v>0.8</v>
      </c>
      <c r="V4386" s="14">
        <v>0.79</v>
      </c>
      <c r="W4386" s="14">
        <v>0.8</v>
      </c>
      <c r="X4386" s="14">
        <v>0.79</v>
      </c>
    </row>
    <row r="4387" spans="1:24" hidden="1" x14ac:dyDescent="0.3">
      <c r="A4387" s="14" t="s">
        <v>504</v>
      </c>
      <c r="B4387" s="14" t="s">
        <v>189</v>
      </c>
      <c r="C4387" s="14" t="s">
        <v>359</v>
      </c>
      <c r="D4387" s="14" t="s">
        <v>360</v>
      </c>
      <c r="E4387" s="14" t="s">
        <v>344</v>
      </c>
      <c r="F4387" s="14" t="s">
        <v>343</v>
      </c>
      <c r="G4387" s="14" t="s">
        <v>343</v>
      </c>
      <c r="H4387" s="14" t="s">
        <v>343</v>
      </c>
      <c r="I4387" s="14">
        <v>4</v>
      </c>
      <c r="J4387" s="14">
        <v>2</v>
      </c>
      <c r="K4387" s="14">
        <v>8</v>
      </c>
      <c r="L4387" s="14">
        <v>11</v>
      </c>
      <c r="M4387" s="14">
        <v>13</v>
      </c>
      <c r="N4387" s="14">
        <v>15</v>
      </c>
      <c r="O4387" s="14">
        <v>17</v>
      </c>
      <c r="P4387" s="14">
        <v>16</v>
      </c>
      <c r="Q4387" s="14">
        <v>24</v>
      </c>
      <c r="R4387" s="14">
        <v>16</v>
      </c>
      <c r="S4387" s="14">
        <v>21</v>
      </c>
      <c r="T4387" s="14">
        <v>25</v>
      </c>
      <c r="U4387" s="14">
        <v>14</v>
      </c>
      <c r="V4387" s="14">
        <v>14</v>
      </c>
      <c r="W4387" s="14">
        <v>18</v>
      </c>
      <c r="X4387" s="14">
        <v>16</v>
      </c>
    </row>
    <row r="4388" spans="1:24" x14ac:dyDescent="0.3">
      <c r="A4388" s="14" t="s">
        <v>504</v>
      </c>
      <c r="B4388" s="14" t="s">
        <v>189</v>
      </c>
      <c r="C4388" s="14" t="s">
        <v>361</v>
      </c>
      <c r="D4388" s="14" t="s">
        <v>362</v>
      </c>
      <c r="E4388" s="14" t="s">
        <v>342</v>
      </c>
      <c r="F4388" s="14" t="s">
        <v>343</v>
      </c>
      <c r="G4388" s="14" t="s">
        <v>343</v>
      </c>
      <c r="H4388" s="14" t="s">
        <v>343</v>
      </c>
      <c r="I4388" s="14">
        <v>0.98</v>
      </c>
      <c r="J4388" s="14">
        <v>0.98</v>
      </c>
      <c r="K4388" s="14">
        <v>0.98</v>
      </c>
      <c r="L4388" s="14">
        <v>0.98</v>
      </c>
      <c r="M4388" s="14">
        <v>0.98</v>
      </c>
      <c r="N4388" s="14">
        <v>0.98</v>
      </c>
      <c r="O4388" s="14">
        <v>0.98</v>
      </c>
      <c r="P4388" s="14">
        <v>0.98</v>
      </c>
      <c r="Q4388" s="14">
        <v>0.98</v>
      </c>
      <c r="R4388" s="14">
        <v>0.98</v>
      </c>
      <c r="S4388" s="14">
        <v>0.98</v>
      </c>
      <c r="T4388" s="14">
        <v>0.98</v>
      </c>
      <c r="U4388" s="14">
        <v>0.98</v>
      </c>
      <c r="V4388" s="14">
        <v>0.98</v>
      </c>
      <c r="W4388" s="14">
        <v>0.98</v>
      </c>
      <c r="X4388" s="14">
        <v>0.98</v>
      </c>
    </row>
    <row r="4389" spans="1:24" hidden="1" x14ac:dyDescent="0.3">
      <c r="A4389" s="14" t="s">
        <v>504</v>
      </c>
      <c r="B4389" s="14" t="s">
        <v>189</v>
      </c>
      <c r="C4389" s="14" t="s">
        <v>361</v>
      </c>
      <c r="D4389" s="14" t="s">
        <v>362</v>
      </c>
      <c r="E4389" s="14" t="s">
        <v>344</v>
      </c>
      <c r="F4389" s="14" t="s">
        <v>343</v>
      </c>
      <c r="G4389" s="14" t="s">
        <v>343</v>
      </c>
      <c r="H4389" s="14" t="s">
        <v>343</v>
      </c>
      <c r="I4389" s="14">
        <v>1</v>
      </c>
      <c r="J4389" s="14">
        <v>1</v>
      </c>
      <c r="K4389" s="14">
        <v>1</v>
      </c>
      <c r="L4389" s="14">
        <v>1</v>
      </c>
      <c r="M4389" s="14">
        <v>1</v>
      </c>
      <c r="N4389" s="14">
        <v>1</v>
      </c>
      <c r="O4389" s="14">
        <v>1</v>
      </c>
      <c r="P4389" s="14">
        <v>1</v>
      </c>
      <c r="Q4389" s="14">
        <v>1</v>
      </c>
      <c r="R4389" s="14">
        <v>1</v>
      </c>
      <c r="S4389" s="14">
        <v>1</v>
      </c>
      <c r="T4389" s="14">
        <v>36</v>
      </c>
      <c r="U4389" s="14">
        <v>42</v>
      </c>
      <c r="V4389" s="14">
        <v>41</v>
      </c>
      <c r="W4389" s="14">
        <v>34</v>
      </c>
      <c r="X4389" s="14">
        <v>30</v>
      </c>
    </row>
    <row r="4390" spans="1:24" hidden="1" x14ac:dyDescent="0.3">
      <c r="A4390" s="14" t="s">
        <v>504</v>
      </c>
      <c r="B4390" s="14" t="s">
        <v>189</v>
      </c>
      <c r="C4390" s="14" t="s">
        <v>363</v>
      </c>
      <c r="D4390" s="14" t="s">
        <v>364</v>
      </c>
      <c r="E4390" s="14" t="s">
        <v>342</v>
      </c>
      <c r="F4390" s="14" t="s">
        <v>343</v>
      </c>
      <c r="G4390" s="14" t="s">
        <v>343</v>
      </c>
      <c r="H4390" s="14" t="s">
        <v>343</v>
      </c>
      <c r="U4390" s="14">
        <v>1.06</v>
      </c>
      <c r="V4390" s="14">
        <v>1.06</v>
      </c>
      <c r="W4390" s="14">
        <v>1.06</v>
      </c>
      <c r="X4390" s="14">
        <v>1.06</v>
      </c>
    </row>
    <row r="4391" spans="1:24" hidden="1" x14ac:dyDescent="0.3">
      <c r="A4391" s="14" t="s">
        <v>504</v>
      </c>
      <c r="B4391" s="14" t="s">
        <v>189</v>
      </c>
      <c r="C4391" s="14" t="s">
        <v>363</v>
      </c>
      <c r="D4391" s="14" t="s">
        <v>364</v>
      </c>
      <c r="E4391" s="14" t="s">
        <v>344</v>
      </c>
      <c r="F4391" s="14" t="s">
        <v>343</v>
      </c>
      <c r="G4391" s="14" t="s">
        <v>343</v>
      </c>
      <c r="H4391" s="14" t="s">
        <v>343</v>
      </c>
      <c r="U4391" s="14">
        <v>1</v>
      </c>
      <c r="V4391" s="14">
        <v>1</v>
      </c>
      <c r="W4391" s="14">
        <v>1</v>
      </c>
      <c r="X4391" s="14">
        <v>1</v>
      </c>
    </row>
    <row r="4392" spans="1:24" hidden="1" x14ac:dyDescent="0.3">
      <c r="A4392" s="14" t="s">
        <v>504</v>
      </c>
      <c r="B4392" s="14" t="s">
        <v>189</v>
      </c>
      <c r="C4392" s="14" t="s">
        <v>365</v>
      </c>
      <c r="D4392" s="14" t="s">
        <v>366</v>
      </c>
      <c r="E4392" s="14" t="s">
        <v>342</v>
      </c>
      <c r="F4392" s="14" t="s">
        <v>343</v>
      </c>
      <c r="G4392" s="14" t="s">
        <v>343</v>
      </c>
      <c r="H4392" s="14" t="s">
        <v>343</v>
      </c>
      <c r="U4392" s="14">
        <v>0.94</v>
      </c>
      <c r="V4392" s="14">
        <v>0.94</v>
      </c>
      <c r="W4392" s="14">
        <v>0.94</v>
      </c>
      <c r="X4392" s="14">
        <v>0.94</v>
      </c>
    </row>
    <row r="4393" spans="1:24" hidden="1" x14ac:dyDescent="0.3">
      <c r="A4393" s="14" t="s">
        <v>504</v>
      </c>
      <c r="B4393" s="14" t="s">
        <v>189</v>
      </c>
      <c r="C4393" s="14" t="s">
        <v>365</v>
      </c>
      <c r="D4393" s="14" t="s">
        <v>366</v>
      </c>
      <c r="E4393" s="14" t="s">
        <v>344</v>
      </c>
      <c r="F4393" s="14" t="s">
        <v>343</v>
      </c>
      <c r="G4393" s="14" t="s">
        <v>343</v>
      </c>
      <c r="H4393" s="14" t="s">
        <v>343</v>
      </c>
      <c r="U4393" s="14">
        <v>114</v>
      </c>
      <c r="V4393" s="14">
        <v>112</v>
      </c>
      <c r="W4393" s="14">
        <v>116</v>
      </c>
      <c r="X4393" s="14">
        <v>111</v>
      </c>
    </row>
    <row r="4394" spans="1:24" hidden="1" x14ac:dyDescent="0.3">
      <c r="A4394" s="14" t="s">
        <v>504</v>
      </c>
      <c r="B4394" s="14" t="s">
        <v>189</v>
      </c>
      <c r="C4394" s="14" t="s">
        <v>367</v>
      </c>
      <c r="D4394" s="14" t="s">
        <v>368</v>
      </c>
      <c r="E4394" s="14" t="s">
        <v>342</v>
      </c>
      <c r="F4394" s="14" t="s">
        <v>343</v>
      </c>
      <c r="G4394" s="14" t="s">
        <v>343</v>
      </c>
      <c r="H4394" s="14" t="s">
        <v>343</v>
      </c>
      <c r="I4394" s="14">
        <v>0.75</v>
      </c>
      <c r="J4394" s="14">
        <v>0.76</v>
      </c>
      <c r="K4394" s="14">
        <v>0.76</v>
      </c>
      <c r="L4394" s="14">
        <v>0.76</v>
      </c>
      <c r="M4394" s="14">
        <v>0.77</v>
      </c>
      <c r="N4394" s="14">
        <v>0.77</v>
      </c>
      <c r="O4394" s="14">
        <v>0.78</v>
      </c>
      <c r="P4394" s="14">
        <v>0.78</v>
      </c>
      <c r="Q4394" s="14">
        <v>0.78</v>
      </c>
      <c r="R4394" s="14">
        <v>0.79</v>
      </c>
      <c r="S4394" s="14">
        <v>0.79</v>
      </c>
      <c r="T4394" s="14">
        <v>0.79</v>
      </c>
      <c r="U4394" s="14">
        <v>0.8</v>
      </c>
      <c r="V4394" s="14">
        <v>0.78</v>
      </c>
      <c r="W4394" s="14">
        <v>0.78</v>
      </c>
      <c r="X4394" s="14">
        <v>0.78</v>
      </c>
    </row>
    <row r="4395" spans="1:24" hidden="1" x14ac:dyDescent="0.3">
      <c r="A4395" s="14" t="s">
        <v>504</v>
      </c>
      <c r="B4395" s="14" t="s">
        <v>189</v>
      </c>
      <c r="C4395" s="14" t="s">
        <v>367</v>
      </c>
      <c r="D4395" s="14" t="s">
        <v>368</v>
      </c>
      <c r="E4395" s="14" t="s">
        <v>344</v>
      </c>
      <c r="F4395" s="14" t="s">
        <v>343</v>
      </c>
      <c r="G4395" s="14" t="s">
        <v>343</v>
      </c>
      <c r="H4395" s="14" t="s">
        <v>343</v>
      </c>
      <c r="I4395" s="14">
        <v>6</v>
      </c>
      <c r="J4395" s="14">
        <v>6</v>
      </c>
      <c r="K4395" s="14">
        <v>6</v>
      </c>
      <c r="L4395" s="14">
        <v>9</v>
      </c>
      <c r="M4395" s="14">
        <v>9</v>
      </c>
      <c r="N4395" s="14">
        <v>8</v>
      </c>
      <c r="O4395" s="14">
        <v>8</v>
      </c>
      <c r="P4395" s="14">
        <v>5</v>
      </c>
      <c r="Q4395" s="14">
        <v>9</v>
      </c>
      <c r="R4395" s="14">
        <v>7</v>
      </c>
      <c r="S4395" s="14">
        <v>7</v>
      </c>
      <c r="T4395" s="14">
        <v>10</v>
      </c>
      <c r="U4395" s="14">
        <v>8</v>
      </c>
      <c r="V4395" s="14">
        <v>16</v>
      </c>
      <c r="W4395" s="14">
        <v>17</v>
      </c>
      <c r="X4395" s="14">
        <v>19</v>
      </c>
    </row>
    <row r="4396" spans="1:24" hidden="1" x14ac:dyDescent="0.3">
      <c r="A4396" s="14" t="s">
        <v>504</v>
      </c>
      <c r="B4396" s="14" t="s">
        <v>189</v>
      </c>
      <c r="C4396" s="14" t="s">
        <v>369</v>
      </c>
      <c r="D4396" s="14" t="s">
        <v>370</v>
      </c>
      <c r="E4396" s="14" t="s">
        <v>342</v>
      </c>
      <c r="F4396" s="14" t="s">
        <v>343</v>
      </c>
      <c r="G4396" s="14" t="s">
        <v>343</v>
      </c>
      <c r="H4396" s="14" t="s">
        <v>343</v>
      </c>
      <c r="I4396" s="14">
        <v>0.27</v>
      </c>
      <c r="J4396" s="14">
        <v>0.28000000000000003</v>
      </c>
      <c r="K4396" s="14">
        <v>0.27</v>
      </c>
      <c r="L4396" s="14">
        <v>0.28999999999999998</v>
      </c>
      <c r="M4396" s="14">
        <v>0.32</v>
      </c>
      <c r="N4396" s="14">
        <v>0.33</v>
      </c>
      <c r="O4396" s="14">
        <v>0.35</v>
      </c>
      <c r="P4396" s="14">
        <v>0.38</v>
      </c>
      <c r="Q4396" s="14">
        <v>0.37</v>
      </c>
      <c r="R4396" s="14">
        <v>0.38</v>
      </c>
      <c r="S4396" s="14">
        <v>0.39</v>
      </c>
      <c r="T4396" s="14">
        <v>0.42</v>
      </c>
      <c r="U4396" s="14">
        <v>0.42</v>
      </c>
      <c r="V4396" s="14">
        <v>0.35</v>
      </c>
      <c r="W4396" s="14">
        <v>0.36</v>
      </c>
      <c r="X4396" s="14">
        <v>0.36</v>
      </c>
    </row>
    <row r="4397" spans="1:24" hidden="1" x14ac:dyDescent="0.3">
      <c r="A4397" s="14" t="s">
        <v>504</v>
      </c>
      <c r="B4397" s="14" t="s">
        <v>189</v>
      </c>
      <c r="C4397" s="14" t="s">
        <v>369</v>
      </c>
      <c r="D4397" s="14" t="s">
        <v>370</v>
      </c>
      <c r="E4397" s="14" t="s">
        <v>344</v>
      </c>
      <c r="F4397" s="14" t="s">
        <v>343</v>
      </c>
      <c r="G4397" s="14" t="s">
        <v>343</v>
      </c>
      <c r="H4397" s="14" t="s">
        <v>343</v>
      </c>
      <c r="I4397" s="14">
        <v>16</v>
      </c>
      <c r="J4397" s="14">
        <v>14</v>
      </c>
      <c r="K4397" s="14">
        <v>22</v>
      </c>
      <c r="L4397" s="14">
        <v>19</v>
      </c>
      <c r="M4397" s="14">
        <v>17</v>
      </c>
      <c r="N4397" s="14">
        <v>16</v>
      </c>
      <c r="O4397" s="14">
        <v>14</v>
      </c>
      <c r="P4397" s="14">
        <v>10</v>
      </c>
      <c r="Q4397" s="14">
        <v>17</v>
      </c>
      <c r="R4397" s="14">
        <v>17</v>
      </c>
      <c r="S4397" s="14">
        <v>17</v>
      </c>
      <c r="T4397" s="14">
        <v>13</v>
      </c>
      <c r="U4397" s="14">
        <v>13</v>
      </c>
      <c r="V4397" s="14">
        <v>29</v>
      </c>
      <c r="W4397" s="14">
        <v>33</v>
      </c>
      <c r="X4397" s="14">
        <v>35</v>
      </c>
    </row>
    <row r="4398" spans="1:24" hidden="1" x14ac:dyDescent="0.3">
      <c r="A4398" s="14" t="s">
        <v>504</v>
      </c>
      <c r="B4398" s="14" t="s">
        <v>189</v>
      </c>
      <c r="C4398" s="14" t="s">
        <v>371</v>
      </c>
      <c r="D4398" s="14" t="s">
        <v>372</v>
      </c>
      <c r="E4398" s="14" t="s">
        <v>342</v>
      </c>
      <c r="F4398" s="14" t="s">
        <v>343</v>
      </c>
      <c r="G4398" s="14" t="s">
        <v>343</v>
      </c>
      <c r="H4398" s="14" t="s">
        <v>343</v>
      </c>
      <c r="U4398" s="14">
        <v>0.46</v>
      </c>
      <c r="V4398" s="14">
        <v>0.46</v>
      </c>
      <c r="W4398" s="14">
        <v>0.46</v>
      </c>
      <c r="X4398" s="14">
        <v>0.46</v>
      </c>
    </row>
    <row r="4399" spans="1:24" hidden="1" x14ac:dyDescent="0.3">
      <c r="A4399" s="14" t="s">
        <v>504</v>
      </c>
      <c r="B4399" s="14" t="s">
        <v>189</v>
      </c>
      <c r="C4399" s="14" t="s">
        <v>371</v>
      </c>
      <c r="D4399" s="14" t="s">
        <v>372</v>
      </c>
      <c r="E4399" s="14" t="s">
        <v>344</v>
      </c>
      <c r="F4399" s="14" t="s">
        <v>343</v>
      </c>
      <c r="G4399" s="14" t="s">
        <v>343</v>
      </c>
      <c r="H4399" s="14" t="s">
        <v>343</v>
      </c>
      <c r="U4399" s="14">
        <v>5</v>
      </c>
      <c r="V4399" s="14">
        <v>6</v>
      </c>
      <c r="W4399" s="14">
        <v>5</v>
      </c>
      <c r="X4399" s="14">
        <v>6</v>
      </c>
    </row>
    <row r="4400" spans="1:24" hidden="1" x14ac:dyDescent="0.3">
      <c r="A4400" s="14" t="s">
        <v>504</v>
      </c>
      <c r="B4400" s="14" t="s">
        <v>189</v>
      </c>
      <c r="C4400" s="14" t="s">
        <v>373</v>
      </c>
      <c r="D4400" s="14" t="s">
        <v>374</v>
      </c>
      <c r="E4400" s="14" t="s">
        <v>342</v>
      </c>
      <c r="F4400" s="14" t="s">
        <v>343</v>
      </c>
      <c r="G4400" s="14" t="s">
        <v>343</v>
      </c>
      <c r="H4400" s="14" t="s">
        <v>343</v>
      </c>
      <c r="U4400" s="14">
        <v>0.33</v>
      </c>
      <c r="V4400" s="14">
        <v>0.12</v>
      </c>
      <c r="W4400" s="14">
        <v>0.15</v>
      </c>
      <c r="X4400" s="14">
        <v>0.15</v>
      </c>
    </row>
    <row r="4401" spans="1:24" hidden="1" x14ac:dyDescent="0.3">
      <c r="A4401" s="14" t="s">
        <v>504</v>
      </c>
      <c r="B4401" s="14" t="s">
        <v>189</v>
      </c>
      <c r="C4401" s="14" t="s">
        <v>373</v>
      </c>
      <c r="D4401" s="14" t="s">
        <v>374</v>
      </c>
      <c r="E4401" s="14" t="s">
        <v>344</v>
      </c>
      <c r="F4401" s="14" t="s">
        <v>343</v>
      </c>
      <c r="G4401" s="14" t="s">
        <v>343</v>
      </c>
      <c r="H4401" s="14" t="s">
        <v>343</v>
      </c>
      <c r="U4401" s="14">
        <v>39</v>
      </c>
      <c r="V4401" s="14">
        <v>118</v>
      </c>
      <c r="W4401" s="14">
        <v>113</v>
      </c>
      <c r="X4401" s="14">
        <v>108</v>
      </c>
    </row>
    <row r="4402" spans="1:24" hidden="1" x14ac:dyDescent="0.3">
      <c r="A4402" s="14" t="s">
        <v>504</v>
      </c>
      <c r="B4402" s="14" t="s">
        <v>189</v>
      </c>
      <c r="C4402" s="14" t="s">
        <v>375</v>
      </c>
      <c r="D4402" s="14" t="s">
        <v>376</v>
      </c>
      <c r="E4402" s="14" t="s">
        <v>342</v>
      </c>
      <c r="F4402" s="14" t="s">
        <v>343</v>
      </c>
      <c r="G4402" s="14" t="s">
        <v>343</v>
      </c>
      <c r="H4402" s="14" t="s">
        <v>343</v>
      </c>
      <c r="U4402" s="14">
        <v>0.42</v>
      </c>
      <c r="V4402" s="14">
        <v>0.39</v>
      </c>
      <c r="W4402" s="14">
        <v>0.39</v>
      </c>
      <c r="X4402" s="14">
        <v>0.38</v>
      </c>
    </row>
    <row r="4403" spans="1:24" hidden="1" x14ac:dyDescent="0.3">
      <c r="A4403" s="14" t="s">
        <v>504</v>
      </c>
      <c r="B4403" s="14" t="s">
        <v>189</v>
      </c>
      <c r="C4403" s="14" t="s">
        <v>375</v>
      </c>
      <c r="D4403" s="14" t="s">
        <v>376</v>
      </c>
      <c r="E4403" s="14" t="s">
        <v>344</v>
      </c>
      <c r="F4403" s="14" t="s">
        <v>343</v>
      </c>
      <c r="G4403" s="14" t="s">
        <v>343</v>
      </c>
      <c r="H4403" s="14" t="s">
        <v>343</v>
      </c>
      <c r="U4403" s="14">
        <v>43</v>
      </c>
      <c r="V4403" s="14">
        <v>51</v>
      </c>
      <c r="W4403" s="14">
        <v>54</v>
      </c>
      <c r="X4403" s="14">
        <v>63</v>
      </c>
    </row>
    <row r="4404" spans="1:24" hidden="1" x14ac:dyDescent="0.3">
      <c r="A4404" s="14" t="s">
        <v>505</v>
      </c>
      <c r="B4404" s="14" t="s">
        <v>186</v>
      </c>
      <c r="C4404" s="14" t="s">
        <v>340</v>
      </c>
      <c r="D4404" s="14" t="s">
        <v>341</v>
      </c>
      <c r="E4404" s="14" t="s">
        <v>342</v>
      </c>
      <c r="F4404" s="14" t="s">
        <v>343</v>
      </c>
      <c r="G4404" s="14" t="s">
        <v>343</v>
      </c>
      <c r="H4404" s="14" t="s">
        <v>343</v>
      </c>
      <c r="V4404" s="14">
        <v>0.9</v>
      </c>
      <c r="W4404" s="14">
        <v>0.9</v>
      </c>
    </row>
    <row r="4405" spans="1:24" hidden="1" x14ac:dyDescent="0.3">
      <c r="A4405" s="14" t="s">
        <v>505</v>
      </c>
      <c r="B4405" s="14" t="s">
        <v>186</v>
      </c>
      <c r="C4405" s="14" t="s">
        <v>340</v>
      </c>
      <c r="D4405" s="14" t="s">
        <v>341</v>
      </c>
      <c r="E4405" s="14" t="s">
        <v>344</v>
      </c>
      <c r="F4405" s="14" t="s">
        <v>343</v>
      </c>
      <c r="G4405" s="14" t="s">
        <v>343</v>
      </c>
      <c r="H4405" s="14" t="s">
        <v>343</v>
      </c>
      <c r="V4405" s="14">
        <v>132</v>
      </c>
      <c r="W4405" s="14">
        <v>133</v>
      </c>
    </row>
    <row r="4406" spans="1:24" hidden="1" x14ac:dyDescent="0.3">
      <c r="A4406" s="14" t="s">
        <v>505</v>
      </c>
      <c r="B4406" s="14" t="s">
        <v>186</v>
      </c>
      <c r="C4406" s="14" t="s">
        <v>345</v>
      </c>
      <c r="D4406" s="14" t="s">
        <v>346</v>
      </c>
      <c r="E4406" s="14" t="s">
        <v>342</v>
      </c>
      <c r="F4406" s="14" t="s">
        <v>343</v>
      </c>
      <c r="G4406" s="14" t="s">
        <v>343</v>
      </c>
      <c r="H4406" s="14" t="s">
        <v>343</v>
      </c>
      <c r="V4406" s="14">
        <v>0.74</v>
      </c>
      <c r="W4406" s="14">
        <v>0.74</v>
      </c>
    </row>
    <row r="4407" spans="1:24" hidden="1" x14ac:dyDescent="0.3">
      <c r="A4407" s="14" t="s">
        <v>505</v>
      </c>
      <c r="B4407" s="14" t="s">
        <v>186</v>
      </c>
      <c r="C4407" s="14" t="s">
        <v>345</v>
      </c>
      <c r="D4407" s="14" t="s">
        <v>346</v>
      </c>
      <c r="E4407" s="14" t="s">
        <v>344</v>
      </c>
      <c r="F4407" s="14" t="s">
        <v>343</v>
      </c>
      <c r="G4407" s="14" t="s">
        <v>343</v>
      </c>
      <c r="H4407" s="14" t="s">
        <v>343</v>
      </c>
      <c r="V4407" s="14">
        <v>24</v>
      </c>
      <c r="W4407" s="14">
        <v>24</v>
      </c>
    </row>
    <row r="4408" spans="1:24" hidden="1" x14ac:dyDescent="0.3">
      <c r="A4408" s="14" t="s">
        <v>505</v>
      </c>
      <c r="B4408" s="14" t="s">
        <v>186</v>
      </c>
      <c r="C4408" s="14" t="s">
        <v>347</v>
      </c>
      <c r="D4408" s="14" t="s">
        <v>348</v>
      </c>
      <c r="E4408" s="14" t="s">
        <v>342</v>
      </c>
      <c r="F4408" s="14" t="s">
        <v>343</v>
      </c>
      <c r="G4408" s="14" t="s">
        <v>343</v>
      </c>
      <c r="H4408" s="14" t="s">
        <v>343</v>
      </c>
      <c r="V4408" s="14">
        <v>0.98</v>
      </c>
      <c r="W4408" s="14">
        <v>0.98</v>
      </c>
    </row>
    <row r="4409" spans="1:24" hidden="1" x14ac:dyDescent="0.3">
      <c r="A4409" s="14" t="s">
        <v>505</v>
      </c>
      <c r="B4409" s="14" t="s">
        <v>186</v>
      </c>
      <c r="C4409" s="14" t="s">
        <v>347</v>
      </c>
      <c r="D4409" s="14" t="s">
        <v>348</v>
      </c>
      <c r="E4409" s="14" t="s">
        <v>344</v>
      </c>
      <c r="F4409" s="14" t="s">
        <v>343</v>
      </c>
      <c r="G4409" s="14" t="s">
        <v>343</v>
      </c>
      <c r="H4409" s="14" t="s">
        <v>343</v>
      </c>
      <c r="V4409" s="14">
        <v>8</v>
      </c>
      <c r="W4409" s="14">
        <v>7</v>
      </c>
    </row>
    <row r="4410" spans="1:24" hidden="1" x14ac:dyDescent="0.3">
      <c r="A4410" s="14" t="s">
        <v>505</v>
      </c>
      <c r="B4410" s="14" t="s">
        <v>186</v>
      </c>
      <c r="C4410" s="14" t="s">
        <v>349</v>
      </c>
      <c r="D4410" s="14" t="s">
        <v>350</v>
      </c>
      <c r="E4410" s="14" t="s">
        <v>342</v>
      </c>
      <c r="F4410" s="14" t="s">
        <v>343</v>
      </c>
      <c r="G4410" s="14" t="s">
        <v>343</v>
      </c>
      <c r="H4410" s="14" t="s">
        <v>343</v>
      </c>
      <c r="V4410" s="14">
        <v>0.22</v>
      </c>
      <c r="W4410" s="14">
        <v>0.22</v>
      </c>
    </row>
    <row r="4411" spans="1:24" hidden="1" x14ac:dyDescent="0.3">
      <c r="A4411" s="14" t="s">
        <v>505</v>
      </c>
      <c r="B4411" s="14" t="s">
        <v>186</v>
      </c>
      <c r="C4411" s="14" t="s">
        <v>349</v>
      </c>
      <c r="D4411" s="14" t="s">
        <v>350</v>
      </c>
      <c r="E4411" s="14" t="s">
        <v>344</v>
      </c>
      <c r="F4411" s="14" t="s">
        <v>343</v>
      </c>
      <c r="G4411" s="14" t="s">
        <v>343</v>
      </c>
      <c r="H4411" s="14" t="s">
        <v>343</v>
      </c>
      <c r="V4411" s="14">
        <v>123</v>
      </c>
      <c r="W4411" s="14">
        <v>129</v>
      </c>
    </row>
    <row r="4412" spans="1:24" hidden="1" x14ac:dyDescent="0.3">
      <c r="A4412" s="14" t="s">
        <v>505</v>
      </c>
      <c r="B4412" s="14" t="s">
        <v>186</v>
      </c>
      <c r="C4412" s="14" t="s">
        <v>351</v>
      </c>
      <c r="D4412" s="14" t="s">
        <v>352</v>
      </c>
      <c r="E4412" s="14" t="s">
        <v>342</v>
      </c>
      <c r="F4412" s="14" t="s">
        <v>343</v>
      </c>
      <c r="G4412" s="14" t="s">
        <v>343</v>
      </c>
      <c r="H4412" s="14" t="s">
        <v>343</v>
      </c>
      <c r="V4412" s="14">
        <v>0.66</v>
      </c>
      <c r="W4412" s="14">
        <v>0.66</v>
      </c>
    </row>
    <row r="4413" spans="1:24" hidden="1" x14ac:dyDescent="0.3">
      <c r="A4413" s="14" t="s">
        <v>505</v>
      </c>
      <c r="B4413" s="14" t="s">
        <v>186</v>
      </c>
      <c r="C4413" s="14" t="s">
        <v>351</v>
      </c>
      <c r="D4413" s="14" t="s">
        <v>352</v>
      </c>
      <c r="E4413" s="14" t="s">
        <v>344</v>
      </c>
      <c r="F4413" s="14" t="s">
        <v>343</v>
      </c>
      <c r="G4413" s="14" t="s">
        <v>343</v>
      </c>
      <c r="H4413" s="14" t="s">
        <v>343</v>
      </c>
      <c r="V4413" s="14">
        <v>113</v>
      </c>
      <c r="W4413" s="14">
        <v>111</v>
      </c>
    </row>
    <row r="4414" spans="1:24" hidden="1" x14ac:dyDescent="0.3">
      <c r="A4414" s="14" t="s">
        <v>505</v>
      </c>
      <c r="B4414" s="14" t="s">
        <v>186</v>
      </c>
      <c r="C4414" s="14" t="s">
        <v>353</v>
      </c>
      <c r="D4414" s="14" t="s">
        <v>354</v>
      </c>
      <c r="E4414" s="14" t="s">
        <v>342</v>
      </c>
      <c r="F4414" s="14" t="s">
        <v>343</v>
      </c>
      <c r="G4414" s="14" t="s">
        <v>343</v>
      </c>
      <c r="H4414" s="14" t="s">
        <v>343</v>
      </c>
      <c r="V4414" s="14">
        <v>0.89</v>
      </c>
      <c r="W4414" s="14">
        <v>0.89</v>
      </c>
    </row>
    <row r="4415" spans="1:24" hidden="1" x14ac:dyDescent="0.3">
      <c r="A4415" s="14" t="s">
        <v>505</v>
      </c>
      <c r="B4415" s="14" t="s">
        <v>186</v>
      </c>
      <c r="C4415" s="14" t="s">
        <v>353</v>
      </c>
      <c r="D4415" s="14" t="s">
        <v>354</v>
      </c>
      <c r="E4415" s="14" t="s">
        <v>344</v>
      </c>
      <c r="F4415" s="14" t="s">
        <v>343</v>
      </c>
      <c r="G4415" s="14" t="s">
        <v>343</v>
      </c>
      <c r="H4415" s="14" t="s">
        <v>343</v>
      </c>
      <c r="V4415" s="14">
        <v>115</v>
      </c>
      <c r="W4415" s="14">
        <v>116</v>
      </c>
    </row>
    <row r="4416" spans="1:24" hidden="1" x14ac:dyDescent="0.3">
      <c r="A4416" s="14" t="s">
        <v>505</v>
      </c>
      <c r="B4416" s="14" t="s">
        <v>186</v>
      </c>
      <c r="C4416" s="14" t="s">
        <v>380</v>
      </c>
      <c r="D4416" s="14" t="s">
        <v>381</v>
      </c>
      <c r="E4416" s="14" t="s">
        <v>342</v>
      </c>
      <c r="F4416" s="14" t="s">
        <v>343</v>
      </c>
      <c r="G4416" s="14" t="s">
        <v>343</v>
      </c>
      <c r="H4416" s="14" t="s">
        <v>343</v>
      </c>
      <c r="V4416" s="14">
        <v>0.93</v>
      </c>
      <c r="W4416" s="14">
        <v>0.93</v>
      </c>
    </row>
    <row r="4417" spans="1:23" hidden="1" x14ac:dyDescent="0.3">
      <c r="A4417" s="14" t="s">
        <v>505</v>
      </c>
      <c r="B4417" s="14" t="s">
        <v>186</v>
      </c>
      <c r="C4417" s="14" t="s">
        <v>380</v>
      </c>
      <c r="D4417" s="14" t="s">
        <v>381</v>
      </c>
      <c r="E4417" s="14" t="s">
        <v>344</v>
      </c>
      <c r="F4417" s="14" t="s">
        <v>343</v>
      </c>
      <c r="G4417" s="14" t="s">
        <v>343</v>
      </c>
      <c r="H4417" s="14" t="s">
        <v>343</v>
      </c>
      <c r="V4417" s="14">
        <v>134</v>
      </c>
      <c r="W4417" s="14">
        <v>135</v>
      </c>
    </row>
    <row r="4418" spans="1:23" hidden="1" x14ac:dyDescent="0.3">
      <c r="A4418" s="14" t="s">
        <v>505</v>
      </c>
      <c r="B4418" s="14" t="s">
        <v>186</v>
      </c>
      <c r="C4418" s="14" t="s">
        <v>355</v>
      </c>
      <c r="D4418" s="14" t="s">
        <v>356</v>
      </c>
      <c r="E4418" s="14" t="s">
        <v>342</v>
      </c>
      <c r="F4418" s="14" t="s">
        <v>343</v>
      </c>
      <c r="G4418" s="14" t="s">
        <v>343</v>
      </c>
      <c r="H4418" s="14" t="s">
        <v>343</v>
      </c>
      <c r="V4418" s="14">
        <v>0.82</v>
      </c>
      <c r="W4418" s="14">
        <v>0.82</v>
      </c>
    </row>
    <row r="4419" spans="1:23" hidden="1" x14ac:dyDescent="0.3">
      <c r="A4419" s="14" t="s">
        <v>505</v>
      </c>
      <c r="B4419" s="14" t="s">
        <v>186</v>
      </c>
      <c r="C4419" s="14" t="s">
        <v>355</v>
      </c>
      <c r="D4419" s="14" t="s">
        <v>356</v>
      </c>
      <c r="E4419" s="14" t="s">
        <v>344</v>
      </c>
      <c r="F4419" s="14" t="s">
        <v>343</v>
      </c>
      <c r="G4419" s="14" t="s">
        <v>343</v>
      </c>
      <c r="H4419" s="14" t="s">
        <v>343</v>
      </c>
      <c r="V4419" s="14">
        <v>141</v>
      </c>
      <c r="W4419" s="14">
        <v>140</v>
      </c>
    </row>
    <row r="4420" spans="1:23" hidden="1" x14ac:dyDescent="0.3">
      <c r="A4420" s="14" t="s">
        <v>505</v>
      </c>
      <c r="B4420" s="14" t="s">
        <v>186</v>
      </c>
      <c r="C4420" s="14" t="s">
        <v>359</v>
      </c>
      <c r="D4420" s="14" t="s">
        <v>360</v>
      </c>
      <c r="E4420" s="14" t="s">
        <v>342</v>
      </c>
      <c r="F4420" s="14" t="s">
        <v>343</v>
      </c>
      <c r="G4420" s="14" t="s">
        <v>343</v>
      </c>
      <c r="H4420" s="14" t="s">
        <v>343</v>
      </c>
      <c r="V4420" s="14">
        <v>0.68</v>
      </c>
      <c r="W4420" s="14">
        <v>0.68</v>
      </c>
    </row>
    <row r="4421" spans="1:23" hidden="1" x14ac:dyDescent="0.3">
      <c r="A4421" s="14" t="s">
        <v>505</v>
      </c>
      <c r="B4421" s="14" t="s">
        <v>186</v>
      </c>
      <c r="C4421" s="14" t="s">
        <v>359</v>
      </c>
      <c r="D4421" s="14" t="s">
        <v>360</v>
      </c>
      <c r="E4421" s="14" t="s">
        <v>344</v>
      </c>
      <c r="F4421" s="14" t="s">
        <v>343</v>
      </c>
      <c r="G4421" s="14" t="s">
        <v>343</v>
      </c>
      <c r="H4421" s="14" t="s">
        <v>343</v>
      </c>
      <c r="V4421" s="14">
        <v>70</v>
      </c>
      <c r="W4421" s="14">
        <v>79</v>
      </c>
    </row>
    <row r="4422" spans="1:23" hidden="1" x14ac:dyDescent="0.3">
      <c r="A4422" s="14" t="s">
        <v>505</v>
      </c>
      <c r="B4422" s="14" t="s">
        <v>186</v>
      </c>
      <c r="C4422" s="14" t="s">
        <v>361</v>
      </c>
      <c r="D4422" s="14" t="s">
        <v>362</v>
      </c>
      <c r="E4422" s="14" t="s">
        <v>342</v>
      </c>
      <c r="F4422" s="14" t="s">
        <v>343</v>
      </c>
      <c r="G4422" s="14" t="s">
        <v>343</v>
      </c>
      <c r="H4422" s="14" t="s">
        <v>343</v>
      </c>
      <c r="V4422" s="14">
        <v>0.96</v>
      </c>
      <c r="W4422" s="14">
        <v>0.96</v>
      </c>
    </row>
    <row r="4423" spans="1:23" hidden="1" x14ac:dyDescent="0.3">
      <c r="A4423" s="14" t="s">
        <v>505</v>
      </c>
      <c r="B4423" s="14" t="s">
        <v>186</v>
      </c>
      <c r="C4423" s="14" t="s">
        <v>361</v>
      </c>
      <c r="D4423" s="14" t="s">
        <v>362</v>
      </c>
      <c r="E4423" s="14" t="s">
        <v>344</v>
      </c>
      <c r="F4423" s="14" t="s">
        <v>343</v>
      </c>
      <c r="G4423" s="14" t="s">
        <v>343</v>
      </c>
      <c r="H4423" s="14" t="s">
        <v>343</v>
      </c>
      <c r="V4423" s="14">
        <v>136</v>
      </c>
      <c r="W4423" s="14">
        <v>142</v>
      </c>
    </row>
    <row r="4424" spans="1:23" hidden="1" x14ac:dyDescent="0.3">
      <c r="A4424" s="14" t="s">
        <v>505</v>
      </c>
      <c r="B4424" s="14" t="s">
        <v>186</v>
      </c>
      <c r="C4424" s="14" t="s">
        <v>363</v>
      </c>
      <c r="D4424" s="14" t="s">
        <v>364</v>
      </c>
      <c r="E4424" s="14" t="s">
        <v>342</v>
      </c>
      <c r="F4424" s="14" t="s">
        <v>343</v>
      </c>
      <c r="G4424" s="14" t="s">
        <v>343</v>
      </c>
      <c r="H4424" s="14" t="s">
        <v>343</v>
      </c>
      <c r="V4424" s="14">
        <v>1.05</v>
      </c>
      <c r="W4424" s="14">
        <v>1.03</v>
      </c>
    </row>
    <row r="4425" spans="1:23" hidden="1" x14ac:dyDescent="0.3">
      <c r="A4425" s="14" t="s">
        <v>505</v>
      </c>
      <c r="B4425" s="14" t="s">
        <v>186</v>
      </c>
      <c r="C4425" s="14" t="s">
        <v>363</v>
      </c>
      <c r="D4425" s="14" t="s">
        <v>364</v>
      </c>
      <c r="E4425" s="14" t="s">
        <v>344</v>
      </c>
      <c r="F4425" s="14" t="s">
        <v>343</v>
      </c>
      <c r="G4425" s="14" t="s">
        <v>343</v>
      </c>
      <c r="H4425" s="14" t="s">
        <v>343</v>
      </c>
      <c r="V4425" s="14">
        <v>78</v>
      </c>
      <c r="W4425" s="14">
        <v>86</v>
      </c>
    </row>
    <row r="4426" spans="1:23" hidden="1" x14ac:dyDescent="0.3">
      <c r="A4426" s="14" t="s">
        <v>505</v>
      </c>
      <c r="B4426" s="14" t="s">
        <v>186</v>
      </c>
      <c r="C4426" s="14" t="s">
        <v>365</v>
      </c>
      <c r="D4426" s="14" t="s">
        <v>366</v>
      </c>
      <c r="E4426" s="14" t="s">
        <v>342</v>
      </c>
      <c r="F4426" s="14" t="s">
        <v>343</v>
      </c>
      <c r="G4426" s="14" t="s">
        <v>343</v>
      </c>
      <c r="H4426" s="14" t="s">
        <v>343</v>
      </c>
      <c r="V4426" s="14">
        <v>0.93</v>
      </c>
      <c r="W4426" s="14">
        <v>0.93</v>
      </c>
    </row>
    <row r="4427" spans="1:23" hidden="1" x14ac:dyDescent="0.3">
      <c r="A4427" s="14" t="s">
        <v>505</v>
      </c>
      <c r="B4427" s="14" t="s">
        <v>186</v>
      </c>
      <c r="C4427" s="14" t="s">
        <v>365</v>
      </c>
      <c r="D4427" s="14" t="s">
        <v>366</v>
      </c>
      <c r="E4427" s="14" t="s">
        <v>344</v>
      </c>
      <c r="F4427" s="14" t="s">
        <v>343</v>
      </c>
      <c r="G4427" s="14" t="s">
        <v>343</v>
      </c>
      <c r="H4427" s="14" t="s">
        <v>343</v>
      </c>
      <c r="V4427" s="14">
        <v>145</v>
      </c>
      <c r="W4427" s="14">
        <v>149</v>
      </c>
    </row>
    <row r="4428" spans="1:23" hidden="1" x14ac:dyDescent="0.3">
      <c r="A4428" s="14" t="s">
        <v>505</v>
      </c>
      <c r="B4428" s="14" t="s">
        <v>186</v>
      </c>
      <c r="C4428" s="14" t="s">
        <v>367</v>
      </c>
      <c r="D4428" s="14" t="s">
        <v>368</v>
      </c>
      <c r="E4428" s="14" t="s">
        <v>342</v>
      </c>
      <c r="F4428" s="14" t="s">
        <v>343</v>
      </c>
      <c r="G4428" s="14" t="s">
        <v>343</v>
      </c>
      <c r="H4428" s="14" t="s">
        <v>343</v>
      </c>
      <c r="V4428" s="14">
        <v>0.64</v>
      </c>
      <c r="W4428" s="14">
        <v>0.64</v>
      </c>
    </row>
    <row r="4429" spans="1:23" hidden="1" x14ac:dyDescent="0.3">
      <c r="A4429" s="14" t="s">
        <v>505</v>
      </c>
      <c r="B4429" s="14" t="s">
        <v>186</v>
      </c>
      <c r="C4429" s="14" t="s">
        <v>367</v>
      </c>
      <c r="D4429" s="14" t="s">
        <v>368</v>
      </c>
      <c r="E4429" s="14" t="s">
        <v>344</v>
      </c>
      <c r="F4429" s="14" t="s">
        <v>343</v>
      </c>
      <c r="G4429" s="14" t="s">
        <v>343</v>
      </c>
      <c r="H4429" s="14" t="s">
        <v>343</v>
      </c>
      <c r="V4429" s="14">
        <v>127</v>
      </c>
      <c r="W4429" s="14">
        <v>135</v>
      </c>
    </row>
    <row r="4430" spans="1:23" hidden="1" x14ac:dyDescent="0.3">
      <c r="A4430" s="14" t="s">
        <v>505</v>
      </c>
      <c r="B4430" s="14" t="s">
        <v>186</v>
      </c>
      <c r="C4430" s="14" t="s">
        <v>369</v>
      </c>
      <c r="D4430" s="14" t="s">
        <v>370</v>
      </c>
      <c r="E4430" s="14" t="s">
        <v>342</v>
      </c>
      <c r="F4430" s="14" t="s">
        <v>343</v>
      </c>
      <c r="G4430" s="14" t="s">
        <v>343</v>
      </c>
      <c r="H4430" s="14" t="s">
        <v>343</v>
      </c>
      <c r="V4430" s="14">
        <v>0</v>
      </c>
      <c r="W4430" s="14">
        <v>0</v>
      </c>
    </row>
    <row r="4431" spans="1:23" hidden="1" x14ac:dyDescent="0.3">
      <c r="A4431" s="14" t="s">
        <v>505</v>
      </c>
      <c r="B4431" s="14" t="s">
        <v>186</v>
      </c>
      <c r="C4431" s="14" t="s">
        <v>369</v>
      </c>
      <c r="D4431" s="14" t="s">
        <v>370</v>
      </c>
      <c r="E4431" s="14" t="s">
        <v>344</v>
      </c>
      <c r="F4431" s="14" t="s">
        <v>343</v>
      </c>
      <c r="G4431" s="14" t="s">
        <v>343</v>
      </c>
      <c r="H4431" s="14" t="s">
        <v>343</v>
      </c>
      <c r="V4431" s="14">
        <v>152</v>
      </c>
      <c r="W4431" s="14">
        <v>155</v>
      </c>
    </row>
    <row r="4432" spans="1:23" hidden="1" x14ac:dyDescent="0.3">
      <c r="A4432" s="14" t="s">
        <v>505</v>
      </c>
      <c r="B4432" s="14" t="s">
        <v>186</v>
      </c>
      <c r="C4432" s="14" t="s">
        <v>371</v>
      </c>
      <c r="D4432" s="14" t="s">
        <v>372</v>
      </c>
      <c r="E4432" s="14" t="s">
        <v>342</v>
      </c>
      <c r="F4432" s="14" t="s">
        <v>343</v>
      </c>
      <c r="G4432" s="14" t="s">
        <v>343</v>
      </c>
      <c r="H4432" s="14" t="s">
        <v>343</v>
      </c>
      <c r="V4432" s="14">
        <v>0</v>
      </c>
      <c r="W4432" s="14">
        <v>0</v>
      </c>
    </row>
    <row r="4433" spans="1:24" hidden="1" x14ac:dyDescent="0.3">
      <c r="A4433" s="14" t="s">
        <v>505</v>
      </c>
      <c r="B4433" s="14" t="s">
        <v>186</v>
      </c>
      <c r="C4433" s="14" t="s">
        <v>371</v>
      </c>
      <c r="D4433" s="14" t="s">
        <v>372</v>
      </c>
      <c r="E4433" s="14" t="s">
        <v>344</v>
      </c>
      <c r="F4433" s="14" t="s">
        <v>343</v>
      </c>
      <c r="G4433" s="14" t="s">
        <v>343</v>
      </c>
      <c r="H4433" s="14" t="s">
        <v>343</v>
      </c>
      <c r="V4433" s="14">
        <v>73</v>
      </c>
      <c r="W4433" s="14">
        <v>76</v>
      </c>
    </row>
    <row r="4434" spans="1:24" hidden="1" x14ac:dyDescent="0.3">
      <c r="A4434" s="14" t="s">
        <v>505</v>
      </c>
      <c r="B4434" s="14" t="s">
        <v>186</v>
      </c>
      <c r="C4434" s="14" t="s">
        <v>373</v>
      </c>
      <c r="D4434" s="14" t="s">
        <v>374</v>
      </c>
      <c r="E4434" s="14" t="s">
        <v>342</v>
      </c>
      <c r="F4434" s="14" t="s">
        <v>343</v>
      </c>
      <c r="G4434" s="14" t="s">
        <v>343</v>
      </c>
      <c r="H4434" s="14" t="s">
        <v>343</v>
      </c>
      <c r="V4434" s="14">
        <v>0</v>
      </c>
      <c r="W4434" s="14">
        <v>0</v>
      </c>
    </row>
    <row r="4435" spans="1:24" hidden="1" x14ac:dyDescent="0.3">
      <c r="A4435" s="14" t="s">
        <v>505</v>
      </c>
      <c r="B4435" s="14" t="s">
        <v>186</v>
      </c>
      <c r="C4435" s="14" t="s">
        <v>373</v>
      </c>
      <c r="D4435" s="14" t="s">
        <v>374</v>
      </c>
      <c r="E4435" s="14" t="s">
        <v>344</v>
      </c>
      <c r="F4435" s="14" t="s">
        <v>343</v>
      </c>
      <c r="G4435" s="14" t="s">
        <v>343</v>
      </c>
      <c r="H4435" s="14" t="s">
        <v>343</v>
      </c>
      <c r="V4435" s="14">
        <v>145</v>
      </c>
      <c r="W4435" s="14">
        <v>148</v>
      </c>
    </row>
    <row r="4436" spans="1:24" hidden="1" x14ac:dyDescent="0.3">
      <c r="A4436" s="14" t="s">
        <v>505</v>
      </c>
      <c r="B4436" s="14" t="s">
        <v>186</v>
      </c>
      <c r="C4436" s="14" t="s">
        <v>375</v>
      </c>
      <c r="D4436" s="14" t="s">
        <v>376</v>
      </c>
      <c r="E4436" s="14" t="s">
        <v>342</v>
      </c>
      <c r="F4436" s="14" t="s">
        <v>343</v>
      </c>
      <c r="G4436" s="14" t="s">
        <v>343</v>
      </c>
      <c r="H4436" s="14" t="s">
        <v>343</v>
      </c>
      <c r="V4436" s="14">
        <v>0</v>
      </c>
      <c r="W4436" s="14">
        <v>0</v>
      </c>
    </row>
    <row r="4437" spans="1:24" hidden="1" x14ac:dyDescent="0.3">
      <c r="A4437" s="14" t="s">
        <v>505</v>
      </c>
      <c r="B4437" s="14" t="s">
        <v>186</v>
      </c>
      <c r="C4437" s="14" t="s">
        <v>375</v>
      </c>
      <c r="D4437" s="14" t="s">
        <v>376</v>
      </c>
      <c r="E4437" s="14" t="s">
        <v>344</v>
      </c>
      <c r="F4437" s="14" t="s">
        <v>343</v>
      </c>
      <c r="G4437" s="14" t="s">
        <v>343</v>
      </c>
      <c r="H4437" s="14" t="s">
        <v>343</v>
      </c>
      <c r="V4437" s="14">
        <v>152</v>
      </c>
      <c r="W4437" s="14">
        <v>155</v>
      </c>
    </row>
    <row r="4438" spans="1:24" hidden="1" x14ac:dyDescent="0.3">
      <c r="A4438" s="14" t="s">
        <v>506</v>
      </c>
      <c r="B4438" s="14" t="s">
        <v>191</v>
      </c>
      <c r="C4438" s="14" t="s">
        <v>340</v>
      </c>
      <c r="D4438" s="14" t="s">
        <v>341</v>
      </c>
      <c r="E4438" s="14" t="s">
        <v>342</v>
      </c>
      <c r="F4438" s="14" t="s">
        <v>343</v>
      </c>
      <c r="G4438" s="14" t="s">
        <v>343</v>
      </c>
      <c r="H4438" s="14" t="s">
        <v>343</v>
      </c>
      <c r="I4438" s="14">
        <v>1</v>
      </c>
      <c r="J4438" s="14">
        <v>1</v>
      </c>
      <c r="K4438" s="14">
        <v>1</v>
      </c>
      <c r="L4438" s="14">
        <v>1</v>
      </c>
      <c r="M4438" s="14">
        <v>1</v>
      </c>
      <c r="N4438" s="14">
        <v>1</v>
      </c>
      <c r="O4438" s="14">
        <v>1</v>
      </c>
      <c r="P4438" s="14">
        <v>1</v>
      </c>
      <c r="Q4438" s="14">
        <v>1</v>
      </c>
      <c r="R4438" s="14">
        <v>1</v>
      </c>
      <c r="S4438" s="14">
        <v>1</v>
      </c>
      <c r="T4438" s="14">
        <v>1</v>
      </c>
      <c r="U4438" s="14">
        <v>1</v>
      </c>
      <c r="V4438" s="14">
        <v>1</v>
      </c>
      <c r="W4438" s="14">
        <v>1</v>
      </c>
      <c r="X4438" s="14">
        <v>0.99</v>
      </c>
    </row>
    <row r="4439" spans="1:24" hidden="1" x14ac:dyDescent="0.3">
      <c r="A4439" s="14" t="s">
        <v>506</v>
      </c>
      <c r="B4439" s="14" t="s">
        <v>191</v>
      </c>
      <c r="C4439" s="14" t="s">
        <v>340</v>
      </c>
      <c r="D4439" s="14" t="s">
        <v>341</v>
      </c>
      <c r="E4439" s="14" t="s">
        <v>344</v>
      </c>
      <c r="F4439" s="14" t="s">
        <v>343</v>
      </c>
      <c r="G4439" s="14" t="s">
        <v>343</v>
      </c>
      <c r="H4439" s="14" t="s">
        <v>343</v>
      </c>
      <c r="I4439" s="14">
        <v>12</v>
      </c>
      <c r="J4439" s="14">
        <v>1</v>
      </c>
      <c r="K4439" s="14">
        <v>30</v>
      </c>
      <c r="L4439" s="14">
        <v>33</v>
      </c>
      <c r="M4439" s="14">
        <v>29</v>
      </c>
      <c r="N4439" s="14">
        <v>28</v>
      </c>
      <c r="O4439" s="14">
        <v>34</v>
      </c>
      <c r="P4439" s="14">
        <v>37</v>
      </c>
      <c r="Q4439" s="14">
        <v>36</v>
      </c>
      <c r="R4439" s="14">
        <v>38</v>
      </c>
      <c r="S4439" s="14">
        <v>31</v>
      </c>
      <c r="T4439" s="14">
        <v>31</v>
      </c>
      <c r="U4439" s="14">
        <v>50</v>
      </c>
      <c r="V4439" s="14">
        <v>58</v>
      </c>
      <c r="W4439" s="14">
        <v>60</v>
      </c>
      <c r="X4439" s="14">
        <v>70</v>
      </c>
    </row>
    <row r="4440" spans="1:24" hidden="1" x14ac:dyDescent="0.3">
      <c r="A4440" s="14" t="s">
        <v>506</v>
      </c>
      <c r="B4440" s="14" t="s">
        <v>191</v>
      </c>
      <c r="C4440" s="14" t="s">
        <v>345</v>
      </c>
      <c r="D4440" s="14" t="s">
        <v>346</v>
      </c>
      <c r="E4440" s="14" t="s">
        <v>342</v>
      </c>
      <c r="F4440" s="14" t="s">
        <v>343</v>
      </c>
      <c r="G4440" s="14" t="s">
        <v>343</v>
      </c>
      <c r="H4440" s="14" t="s">
        <v>343</v>
      </c>
      <c r="U4440" s="14">
        <v>0.65</v>
      </c>
      <c r="V4440" s="14">
        <v>0.65</v>
      </c>
      <c r="W4440" s="14">
        <v>0.64</v>
      </c>
      <c r="X4440" s="14">
        <v>0.64</v>
      </c>
    </row>
    <row r="4441" spans="1:24" hidden="1" x14ac:dyDescent="0.3">
      <c r="A4441" s="14" t="s">
        <v>506</v>
      </c>
      <c r="B4441" s="14" t="s">
        <v>191</v>
      </c>
      <c r="C4441" s="14" t="s">
        <v>345</v>
      </c>
      <c r="D4441" s="14" t="s">
        <v>346</v>
      </c>
      <c r="E4441" s="14" t="s">
        <v>344</v>
      </c>
      <c r="F4441" s="14" t="s">
        <v>343</v>
      </c>
      <c r="G4441" s="14" t="s">
        <v>343</v>
      </c>
      <c r="H4441" s="14" t="s">
        <v>343</v>
      </c>
      <c r="U4441" s="14">
        <v>59</v>
      </c>
      <c r="V4441" s="14">
        <v>62</v>
      </c>
      <c r="W4441" s="14">
        <v>65</v>
      </c>
      <c r="X4441" s="14">
        <v>75</v>
      </c>
    </row>
    <row r="4442" spans="1:24" hidden="1" x14ac:dyDescent="0.3">
      <c r="A4442" s="14" t="s">
        <v>506</v>
      </c>
      <c r="B4442" s="14" t="s">
        <v>191</v>
      </c>
      <c r="C4442" s="14" t="s">
        <v>347</v>
      </c>
      <c r="D4442" s="14" t="s">
        <v>348</v>
      </c>
      <c r="E4442" s="14" t="s">
        <v>342</v>
      </c>
      <c r="F4442" s="14" t="s">
        <v>343</v>
      </c>
      <c r="G4442" s="14" t="s">
        <v>343</v>
      </c>
      <c r="H4442" s="14" t="s">
        <v>343</v>
      </c>
      <c r="U4442" s="14">
        <v>0.82</v>
      </c>
      <c r="V4442" s="14">
        <v>0.82</v>
      </c>
      <c r="W4442" s="14">
        <v>0.81</v>
      </c>
      <c r="X4442" s="14">
        <v>0.75</v>
      </c>
    </row>
    <row r="4443" spans="1:24" hidden="1" x14ac:dyDescent="0.3">
      <c r="A4443" s="14" t="s">
        <v>506</v>
      </c>
      <c r="B4443" s="14" t="s">
        <v>191</v>
      </c>
      <c r="C4443" s="14" t="s">
        <v>347</v>
      </c>
      <c r="D4443" s="14" t="s">
        <v>348</v>
      </c>
      <c r="E4443" s="14" t="s">
        <v>344</v>
      </c>
      <c r="F4443" s="14" t="s">
        <v>343</v>
      </c>
      <c r="G4443" s="14" t="s">
        <v>343</v>
      </c>
      <c r="H4443" s="14" t="s">
        <v>343</v>
      </c>
      <c r="U4443" s="14">
        <v>70</v>
      </c>
      <c r="V4443" s="14">
        <v>77</v>
      </c>
      <c r="W4443" s="14">
        <v>81</v>
      </c>
      <c r="X4443" s="14">
        <v>82</v>
      </c>
    </row>
    <row r="4444" spans="1:24" hidden="1" x14ac:dyDescent="0.3">
      <c r="A4444" s="14" t="s">
        <v>506</v>
      </c>
      <c r="B4444" s="14" t="s">
        <v>191</v>
      </c>
      <c r="C4444" s="14" t="s">
        <v>349</v>
      </c>
      <c r="D4444" s="14" t="s">
        <v>350</v>
      </c>
      <c r="E4444" s="14" t="s">
        <v>342</v>
      </c>
      <c r="F4444" s="14" t="s">
        <v>343</v>
      </c>
      <c r="G4444" s="14" t="s">
        <v>343</v>
      </c>
      <c r="H4444" s="14" t="s">
        <v>343</v>
      </c>
      <c r="U4444" s="14">
        <v>0.7</v>
      </c>
      <c r="V4444" s="14">
        <v>0.74</v>
      </c>
      <c r="W4444" s="14">
        <v>0.76</v>
      </c>
      <c r="X4444" s="14">
        <v>0.76</v>
      </c>
    </row>
    <row r="4445" spans="1:24" hidden="1" x14ac:dyDescent="0.3">
      <c r="A4445" s="14" t="s">
        <v>506</v>
      </c>
      <c r="B4445" s="14" t="s">
        <v>191</v>
      </c>
      <c r="C4445" s="14" t="s">
        <v>349</v>
      </c>
      <c r="D4445" s="14" t="s">
        <v>350</v>
      </c>
      <c r="E4445" s="14" t="s">
        <v>344</v>
      </c>
      <c r="F4445" s="14" t="s">
        <v>343</v>
      </c>
      <c r="G4445" s="14" t="s">
        <v>343</v>
      </c>
      <c r="H4445" s="14" t="s">
        <v>343</v>
      </c>
      <c r="U4445" s="14">
        <v>20</v>
      </c>
      <c r="V4445" s="14">
        <v>18</v>
      </c>
      <c r="W4445" s="14">
        <v>28</v>
      </c>
      <c r="X4445" s="14">
        <v>26</v>
      </c>
    </row>
    <row r="4446" spans="1:24" hidden="1" x14ac:dyDescent="0.3">
      <c r="A4446" s="14" t="s">
        <v>506</v>
      </c>
      <c r="B4446" s="14" t="s">
        <v>191</v>
      </c>
      <c r="C4446" s="14" t="s">
        <v>351</v>
      </c>
      <c r="D4446" s="14" t="s">
        <v>352</v>
      </c>
      <c r="E4446" s="14" t="s">
        <v>342</v>
      </c>
      <c r="F4446" s="14" t="s">
        <v>343</v>
      </c>
      <c r="G4446" s="14" t="s">
        <v>343</v>
      </c>
      <c r="H4446" s="14" t="s">
        <v>343</v>
      </c>
      <c r="U4446" s="14">
        <v>1</v>
      </c>
      <c r="V4446" s="14">
        <v>1</v>
      </c>
      <c r="W4446" s="14">
        <v>1</v>
      </c>
      <c r="X4446" s="14">
        <v>1</v>
      </c>
    </row>
    <row r="4447" spans="1:24" hidden="1" x14ac:dyDescent="0.3">
      <c r="A4447" s="14" t="s">
        <v>506</v>
      </c>
      <c r="B4447" s="14" t="s">
        <v>191</v>
      </c>
      <c r="C4447" s="14" t="s">
        <v>351</v>
      </c>
      <c r="D4447" s="14" t="s">
        <v>352</v>
      </c>
      <c r="E4447" s="14" t="s">
        <v>344</v>
      </c>
      <c r="F4447" s="14" t="s">
        <v>343</v>
      </c>
      <c r="G4447" s="14" t="s">
        <v>343</v>
      </c>
      <c r="H4447" s="14" t="s">
        <v>343</v>
      </c>
      <c r="U4447" s="14">
        <v>1</v>
      </c>
      <c r="V4447" s="14">
        <v>1</v>
      </c>
      <c r="W4447" s="14">
        <v>1</v>
      </c>
      <c r="X4447" s="14">
        <v>1</v>
      </c>
    </row>
    <row r="4448" spans="1:24" hidden="1" x14ac:dyDescent="0.3">
      <c r="A4448" s="14" t="s">
        <v>506</v>
      </c>
      <c r="B4448" s="14" t="s">
        <v>191</v>
      </c>
      <c r="C4448" s="14" t="s">
        <v>378</v>
      </c>
      <c r="D4448" s="14" t="s">
        <v>379</v>
      </c>
      <c r="E4448" s="14" t="s">
        <v>342</v>
      </c>
      <c r="F4448" s="14" t="s">
        <v>343</v>
      </c>
      <c r="G4448" s="14" t="s">
        <v>343</v>
      </c>
      <c r="H4448" s="14" t="s">
        <v>343</v>
      </c>
      <c r="S4448" s="14">
        <v>0.53</v>
      </c>
      <c r="U4448" s="14">
        <v>0.56000000000000005</v>
      </c>
      <c r="V4448" s="14">
        <v>0.56000000000000005</v>
      </c>
      <c r="W4448" s="14">
        <v>0.54</v>
      </c>
      <c r="X4448" s="14">
        <v>0.55000000000000004</v>
      </c>
    </row>
    <row r="4449" spans="1:24" hidden="1" x14ac:dyDescent="0.3">
      <c r="A4449" s="14" t="s">
        <v>506</v>
      </c>
      <c r="B4449" s="14" t="s">
        <v>191</v>
      </c>
      <c r="C4449" s="14" t="s">
        <v>378</v>
      </c>
      <c r="D4449" s="14" t="s">
        <v>379</v>
      </c>
      <c r="E4449" s="14" t="s">
        <v>344</v>
      </c>
      <c r="F4449" s="14" t="s">
        <v>343</v>
      </c>
      <c r="G4449" s="14" t="s">
        <v>343</v>
      </c>
      <c r="H4449" s="14" t="s">
        <v>343</v>
      </c>
      <c r="S4449" s="14">
        <v>124</v>
      </c>
      <c r="U4449" s="14">
        <v>112</v>
      </c>
      <c r="V4449" s="14">
        <v>116</v>
      </c>
      <c r="W4449" s="14">
        <v>125</v>
      </c>
      <c r="X4449" s="14">
        <v>119</v>
      </c>
    </row>
    <row r="4450" spans="1:24" hidden="1" x14ac:dyDescent="0.3">
      <c r="A4450" s="14" t="s">
        <v>506</v>
      </c>
      <c r="B4450" s="14" t="s">
        <v>191</v>
      </c>
      <c r="C4450" s="14" t="s">
        <v>353</v>
      </c>
      <c r="D4450" s="14" t="s">
        <v>354</v>
      </c>
      <c r="E4450" s="14" t="s">
        <v>342</v>
      </c>
      <c r="F4450" s="14" t="s">
        <v>343</v>
      </c>
      <c r="G4450" s="14" t="s">
        <v>343</v>
      </c>
      <c r="H4450" s="14" t="s">
        <v>343</v>
      </c>
      <c r="U4450" s="14">
        <v>0.99</v>
      </c>
      <c r="V4450" s="14">
        <v>0.99</v>
      </c>
      <c r="W4450" s="14">
        <v>0.99</v>
      </c>
    </row>
    <row r="4451" spans="1:24" hidden="1" x14ac:dyDescent="0.3">
      <c r="A4451" s="14" t="s">
        <v>506</v>
      </c>
      <c r="B4451" s="14" t="s">
        <v>191</v>
      </c>
      <c r="C4451" s="14" t="s">
        <v>353</v>
      </c>
      <c r="D4451" s="14" t="s">
        <v>354</v>
      </c>
      <c r="E4451" s="14" t="s">
        <v>344</v>
      </c>
      <c r="F4451" s="14" t="s">
        <v>343</v>
      </c>
      <c r="G4451" s="14" t="s">
        <v>343</v>
      </c>
      <c r="H4451" s="14" t="s">
        <v>343</v>
      </c>
      <c r="U4451" s="14">
        <v>66</v>
      </c>
      <c r="V4451" s="14">
        <v>72</v>
      </c>
      <c r="W4451" s="14">
        <v>72</v>
      </c>
    </row>
    <row r="4452" spans="1:24" hidden="1" x14ac:dyDescent="0.3">
      <c r="A4452" s="14" t="s">
        <v>506</v>
      </c>
      <c r="B4452" s="14" t="s">
        <v>191</v>
      </c>
      <c r="C4452" s="14" t="s">
        <v>380</v>
      </c>
      <c r="D4452" s="14" t="s">
        <v>381</v>
      </c>
      <c r="E4452" s="14" t="s">
        <v>342</v>
      </c>
      <c r="F4452" s="14" t="s">
        <v>343</v>
      </c>
      <c r="G4452" s="14" t="s">
        <v>343</v>
      </c>
      <c r="H4452" s="14" t="s">
        <v>343</v>
      </c>
      <c r="U4452" s="14">
        <v>1</v>
      </c>
      <c r="V4452" s="14">
        <v>1</v>
      </c>
      <c r="W4452" s="14">
        <v>1</v>
      </c>
      <c r="X4452" s="14">
        <v>1</v>
      </c>
    </row>
    <row r="4453" spans="1:24" hidden="1" x14ac:dyDescent="0.3">
      <c r="A4453" s="14" t="s">
        <v>506</v>
      </c>
      <c r="B4453" s="14" t="s">
        <v>191</v>
      </c>
      <c r="C4453" s="14" t="s">
        <v>380</v>
      </c>
      <c r="D4453" s="14" t="s">
        <v>381</v>
      </c>
      <c r="E4453" s="14" t="s">
        <v>344</v>
      </c>
      <c r="F4453" s="14" t="s">
        <v>343</v>
      </c>
      <c r="G4453" s="14" t="s">
        <v>343</v>
      </c>
      <c r="H4453" s="14" t="s">
        <v>343</v>
      </c>
      <c r="U4453" s="14">
        <v>70</v>
      </c>
      <c r="V4453" s="14">
        <v>91</v>
      </c>
      <c r="W4453" s="14">
        <v>94</v>
      </c>
      <c r="X4453" s="14">
        <v>1</v>
      </c>
    </row>
    <row r="4454" spans="1:24" hidden="1" x14ac:dyDescent="0.3">
      <c r="A4454" s="14" t="s">
        <v>506</v>
      </c>
      <c r="B4454" s="14" t="s">
        <v>191</v>
      </c>
      <c r="C4454" s="14" t="s">
        <v>355</v>
      </c>
      <c r="D4454" s="14" t="s">
        <v>356</v>
      </c>
      <c r="E4454" s="14" t="s">
        <v>342</v>
      </c>
      <c r="F4454" s="14" t="s">
        <v>343</v>
      </c>
      <c r="G4454" s="14" t="s">
        <v>343</v>
      </c>
      <c r="H4454" s="14" t="s">
        <v>343</v>
      </c>
      <c r="U4454" s="14">
        <v>1</v>
      </c>
      <c r="V4454" s="14">
        <v>1</v>
      </c>
      <c r="W4454" s="14">
        <v>1</v>
      </c>
      <c r="X4454" s="14">
        <v>0.97</v>
      </c>
    </row>
    <row r="4455" spans="1:24" hidden="1" x14ac:dyDescent="0.3">
      <c r="A4455" s="14" t="s">
        <v>506</v>
      </c>
      <c r="B4455" s="14" t="s">
        <v>191</v>
      </c>
      <c r="C4455" s="14" t="s">
        <v>355</v>
      </c>
      <c r="D4455" s="14" t="s">
        <v>356</v>
      </c>
      <c r="E4455" s="14" t="s">
        <v>344</v>
      </c>
      <c r="F4455" s="14" t="s">
        <v>343</v>
      </c>
      <c r="G4455" s="14" t="s">
        <v>343</v>
      </c>
      <c r="H4455" s="14" t="s">
        <v>343</v>
      </c>
      <c r="U4455" s="14">
        <v>1</v>
      </c>
      <c r="V4455" s="14">
        <v>1</v>
      </c>
      <c r="W4455" s="14">
        <v>1</v>
      </c>
      <c r="X4455" s="14">
        <v>99</v>
      </c>
    </row>
    <row r="4456" spans="1:24" hidden="1" x14ac:dyDescent="0.3">
      <c r="A4456" s="14" t="s">
        <v>506</v>
      </c>
      <c r="B4456" s="14" t="s">
        <v>191</v>
      </c>
      <c r="C4456" s="14" t="s">
        <v>357</v>
      </c>
      <c r="D4456" s="14" t="s">
        <v>358</v>
      </c>
      <c r="E4456" s="14" t="s">
        <v>342</v>
      </c>
      <c r="F4456" s="14" t="s">
        <v>343</v>
      </c>
      <c r="G4456" s="14" t="s">
        <v>343</v>
      </c>
      <c r="H4456" s="14" t="s">
        <v>343</v>
      </c>
      <c r="U4456" s="14">
        <v>1</v>
      </c>
      <c r="V4456" s="14">
        <v>1</v>
      </c>
      <c r="W4456" s="14">
        <v>1</v>
      </c>
      <c r="X4456" s="14">
        <v>1</v>
      </c>
    </row>
    <row r="4457" spans="1:24" hidden="1" x14ac:dyDescent="0.3">
      <c r="A4457" s="14" t="s">
        <v>506</v>
      </c>
      <c r="B4457" s="14" t="s">
        <v>191</v>
      </c>
      <c r="C4457" s="14" t="s">
        <v>357</v>
      </c>
      <c r="D4457" s="14" t="s">
        <v>358</v>
      </c>
      <c r="E4457" s="14" t="s">
        <v>344</v>
      </c>
      <c r="F4457" s="14" t="s">
        <v>343</v>
      </c>
      <c r="G4457" s="14" t="s">
        <v>343</v>
      </c>
      <c r="H4457" s="14" t="s">
        <v>343</v>
      </c>
      <c r="U4457" s="14">
        <v>1</v>
      </c>
      <c r="V4457" s="14">
        <v>1</v>
      </c>
      <c r="W4457" s="14">
        <v>1</v>
      </c>
      <c r="X4457" s="14">
        <v>1</v>
      </c>
    </row>
    <row r="4458" spans="1:24" hidden="1" x14ac:dyDescent="0.3">
      <c r="A4458" s="14" t="s">
        <v>506</v>
      </c>
      <c r="B4458" s="14" t="s">
        <v>191</v>
      </c>
      <c r="C4458" s="14" t="s">
        <v>359</v>
      </c>
      <c r="D4458" s="14" t="s">
        <v>360</v>
      </c>
      <c r="E4458" s="14" t="s">
        <v>342</v>
      </c>
      <c r="F4458" s="14" t="s">
        <v>343</v>
      </c>
      <c r="G4458" s="14" t="s">
        <v>343</v>
      </c>
      <c r="H4458" s="14" t="s">
        <v>343</v>
      </c>
      <c r="I4458" s="14">
        <v>0.64</v>
      </c>
      <c r="J4458" s="14">
        <v>0.62</v>
      </c>
      <c r="K4458" s="14">
        <v>0.62</v>
      </c>
      <c r="L4458" s="14">
        <v>0.64</v>
      </c>
      <c r="M4458" s="14">
        <v>0.65</v>
      </c>
      <c r="N4458" s="14">
        <v>0.65</v>
      </c>
      <c r="O4458" s="14">
        <v>0.65</v>
      </c>
      <c r="P4458" s="14">
        <v>0.66</v>
      </c>
      <c r="Q4458" s="14">
        <v>0.68</v>
      </c>
      <c r="R4458" s="14">
        <v>0.67</v>
      </c>
      <c r="S4458" s="14">
        <v>0.69</v>
      </c>
      <c r="T4458" s="14">
        <v>0.7</v>
      </c>
      <c r="U4458" s="14">
        <v>0.71</v>
      </c>
      <c r="V4458" s="14">
        <v>0.71</v>
      </c>
      <c r="W4458" s="14">
        <v>0.7</v>
      </c>
      <c r="X4458" s="14">
        <v>0.7</v>
      </c>
    </row>
    <row r="4459" spans="1:24" hidden="1" x14ac:dyDescent="0.3">
      <c r="A4459" s="14" t="s">
        <v>506</v>
      </c>
      <c r="B4459" s="14" t="s">
        <v>191</v>
      </c>
      <c r="C4459" s="14" t="s">
        <v>359</v>
      </c>
      <c r="D4459" s="14" t="s">
        <v>360</v>
      </c>
      <c r="E4459" s="14" t="s">
        <v>344</v>
      </c>
      <c r="F4459" s="14" t="s">
        <v>343</v>
      </c>
      <c r="G4459" s="14" t="s">
        <v>343</v>
      </c>
      <c r="H4459" s="14" t="s">
        <v>343</v>
      </c>
      <c r="I4459" s="14">
        <v>50</v>
      </c>
      <c r="J4459" s="14">
        <v>74</v>
      </c>
      <c r="K4459" s="14">
        <v>73</v>
      </c>
      <c r="L4459" s="14">
        <v>71</v>
      </c>
      <c r="M4459" s="14">
        <v>63</v>
      </c>
      <c r="N4459" s="14">
        <v>65</v>
      </c>
      <c r="O4459" s="14">
        <v>72</v>
      </c>
      <c r="P4459" s="14">
        <v>73</v>
      </c>
      <c r="Q4459" s="14">
        <v>61</v>
      </c>
      <c r="R4459" s="14">
        <v>75</v>
      </c>
      <c r="S4459" s="14">
        <v>58</v>
      </c>
      <c r="T4459" s="14">
        <v>55</v>
      </c>
      <c r="U4459" s="14">
        <v>51</v>
      </c>
      <c r="V4459" s="14">
        <v>57</v>
      </c>
      <c r="W4459" s="14">
        <v>63</v>
      </c>
      <c r="X4459" s="14">
        <v>74</v>
      </c>
    </row>
    <row r="4460" spans="1:24" x14ac:dyDescent="0.3">
      <c r="A4460" s="14" t="s">
        <v>506</v>
      </c>
      <c r="B4460" s="14" t="s">
        <v>191</v>
      </c>
      <c r="C4460" s="14" t="s">
        <v>361</v>
      </c>
      <c r="D4460" s="14" t="s">
        <v>362</v>
      </c>
      <c r="E4460" s="14" t="s">
        <v>342</v>
      </c>
      <c r="F4460" s="14" t="s">
        <v>343</v>
      </c>
      <c r="G4460" s="14" t="s">
        <v>343</v>
      </c>
      <c r="H4460" s="14" t="s">
        <v>343</v>
      </c>
      <c r="I4460" s="14">
        <v>0.98</v>
      </c>
      <c r="J4460" s="14">
        <v>0.98</v>
      </c>
      <c r="K4460" s="14">
        <v>0.98</v>
      </c>
      <c r="L4460" s="14">
        <v>0.98</v>
      </c>
      <c r="M4460" s="14">
        <v>0.98</v>
      </c>
      <c r="N4460" s="14">
        <v>0.98</v>
      </c>
      <c r="O4460" s="14">
        <v>0.98</v>
      </c>
      <c r="P4460" s="14">
        <v>0.98</v>
      </c>
      <c r="Q4460" s="14">
        <v>0.98</v>
      </c>
      <c r="R4460" s="14">
        <v>0.98</v>
      </c>
      <c r="S4460" s="14">
        <v>0.98</v>
      </c>
      <c r="T4460" s="14">
        <v>0.98</v>
      </c>
      <c r="U4460" s="14">
        <v>0.98</v>
      </c>
      <c r="V4460" s="14">
        <v>0.98</v>
      </c>
      <c r="W4460" s="14">
        <v>0.98</v>
      </c>
      <c r="X4460" s="14">
        <v>0.98</v>
      </c>
    </row>
    <row r="4461" spans="1:24" hidden="1" x14ac:dyDescent="0.3">
      <c r="A4461" s="14" t="s">
        <v>506</v>
      </c>
      <c r="B4461" s="14" t="s">
        <v>191</v>
      </c>
      <c r="C4461" s="14" t="s">
        <v>361</v>
      </c>
      <c r="D4461" s="14" t="s">
        <v>362</v>
      </c>
      <c r="E4461" s="14" t="s">
        <v>344</v>
      </c>
      <c r="F4461" s="14" t="s">
        <v>343</v>
      </c>
      <c r="G4461" s="14" t="s">
        <v>343</v>
      </c>
      <c r="H4461" s="14" t="s">
        <v>343</v>
      </c>
      <c r="I4461" s="14">
        <v>36</v>
      </c>
      <c r="J4461" s="14">
        <v>37</v>
      </c>
      <c r="K4461" s="14">
        <v>38</v>
      </c>
      <c r="L4461" s="14">
        <v>41</v>
      </c>
      <c r="M4461" s="14">
        <v>46</v>
      </c>
      <c r="N4461" s="14">
        <v>48</v>
      </c>
      <c r="O4461" s="14">
        <v>34</v>
      </c>
      <c r="P4461" s="14">
        <v>34</v>
      </c>
      <c r="Q4461" s="14">
        <v>37</v>
      </c>
      <c r="R4461" s="14">
        <v>42</v>
      </c>
      <c r="S4461" s="14">
        <v>40</v>
      </c>
      <c r="T4461" s="14">
        <v>1</v>
      </c>
      <c r="U4461" s="14">
        <v>1</v>
      </c>
      <c r="V4461" s="14">
        <v>1</v>
      </c>
      <c r="W4461" s="14">
        <v>1</v>
      </c>
      <c r="X4461" s="14">
        <v>1</v>
      </c>
    </row>
    <row r="4462" spans="1:24" hidden="1" x14ac:dyDescent="0.3">
      <c r="A4462" s="14" t="s">
        <v>506</v>
      </c>
      <c r="B4462" s="14" t="s">
        <v>191</v>
      </c>
      <c r="C4462" s="14" t="s">
        <v>363</v>
      </c>
      <c r="D4462" s="14" t="s">
        <v>364</v>
      </c>
      <c r="E4462" s="14" t="s">
        <v>342</v>
      </c>
      <c r="F4462" s="14" t="s">
        <v>343</v>
      </c>
      <c r="G4462" s="14" t="s">
        <v>343</v>
      </c>
      <c r="H4462" s="14" t="s">
        <v>343</v>
      </c>
      <c r="U4462" s="14">
        <v>1.06</v>
      </c>
      <c r="V4462" s="14">
        <v>1.06</v>
      </c>
      <c r="W4462" s="14">
        <v>1.06</v>
      </c>
      <c r="X4462" s="14">
        <v>1.06</v>
      </c>
    </row>
    <row r="4463" spans="1:24" hidden="1" x14ac:dyDescent="0.3">
      <c r="A4463" s="14" t="s">
        <v>506</v>
      </c>
      <c r="B4463" s="14" t="s">
        <v>191</v>
      </c>
      <c r="C4463" s="14" t="s">
        <v>363</v>
      </c>
      <c r="D4463" s="14" t="s">
        <v>364</v>
      </c>
      <c r="E4463" s="14" t="s">
        <v>344</v>
      </c>
      <c r="F4463" s="14" t="s">
        <v>343</v>
      </c>
      <c r="G4463" s="14" t="s">
        <v>343</v>
      </c>
      <c r="H4463" s="14" t="s">
        <v>343</v>
      </c>
      <c r="U4463" s="14">
        <v>1</v>
      </c>
      <c r="V4463" s="14">
        <v>1</v>
      </c>
      <c r="W4463" s="14">
        <v>1</v>
      </c>
      <c r="X4463" s="14">
        <v>1</v>
      </c>
    </row>
    <row r="4464" spans="1:24" hidden="1" x14ac:dyDescent="0.3">
      <c r="A4464" s="14" t="s">
        <v>506</v>
      </c>
      <c r="B4464" s="14" t="s">
        <v>191</v>
      </c>
      <c r="C4464" s="14" t="s">
        <v>365</v>
      </c>
      <c r="D4464" s="14" t="s">
        <v>366</v>
      </c>
      <c r="E4464" s="14" t="s">
        <v>342</v>
      </c>
      <c r="F4464" s="14" t="s">
        <v>343</v>
      </c>
      <c r="G4464" s="14" t="s">
        <v>343</v>
      </c>
      <c r="H4464" s="14" t="s">
        <v>343</v>
      </c>
      <c r="U4464" s="14">
        <v>0.94</v>
      </c>
      <c r="V4464" s="14">
        <v>0.94</v>
      </c>
      <c r="W4464" s="14">
        <v>0.94</v>
      </c>
      <c r="X4464" s="14">
        <v>0.94</v>
      </c>
    </row>
    <row r="4465" spans="1:24" hidden="1" x14ac:dyDescent="0.3">
      <c r="A4465" s="14" t="s">
        <v>506</v>
      </c>
      <c r="B4465" s="14" t="s">
        <v>191</v>
      </c>
      <c r="C4465" s="14" t="s">
        <v>365</v>
      </c>
      <c r="D4465" s="14" t="s">
        <v>366</v>
      </c>
      <c r="E4465" s="14" t="s">
        <v>344</v>
      </c>
      <c r="F4465" s="14" t="s">
        <v>343</v>
      </c>
      <c r="G4465" s="14" t="s">
        <v>343</v>
      </c>
      <c r="H4465" s="14" t="s">
        <v>343</v>
      </c>
      <c r="U4465" s="14">
        <v>1</v>
      </c>
      <c r="V4465" s="14">
        <v>1</v>
      </c>
      <c r="W4465" s="14">
        <v>1</v>
      </c>
      <c r="X4465" s="14">
        <v>1</v>
      </c>
    </row>
    <row r="4466" spans="1:24" hidden="1" x14ac:dyDescent="0.3">
      <c r="A4466" s="14" t="s">
        <v>506</v>
      </c>
      <c r="B4466" s="14" t="s">
        <v>191</v>
      </c>
      <c r="C4466" s="14" t="s">
        <v>367</v>
      </c>
      <c r="D4466" s="14" t="s">
        <v>368</v>
      </c>
      <c r="E4466" s="14" t="s">
        <v>342</v>
      </c>
      <c r="F4466" s="14" t="s">
        <v>343</v>
      </c>
      <c r="G4466" s="14" t="s">
        <v>343</v>
      </c>
      <c r="H4466" s="14" t="s">
        <v>343</v>
      </c>
      <c r="I4466" s="14">
        <v>0.68</v>
      </c>
      <c r="J4466" s="14">
        <v>0.68</v>
      </c>
      <c r="K4466" s="14">
        <v>0.7</v>
      </c>
      <c r="L4466" s="14">
        <v>0.7</v>
      </c>
      <c r="M4466" s="14">
        <v>0.7</v>
      </c>
      <c r="N4466" s="14">
        <v>0.7</v>
      </c>
      <c r="O4466" s="14">
        <v>0.7</v>
      </c>
      <c r="P4466" s="14">
        <v>0.7</v>
      </c>
      <c r="Q4466" s="14">
        <v>0.71</v>
      </c>
      <c r="R4466" s="14">
        <v>0.72</v>
      </c>
      <c r="S4466" s="14">
        <v>0.73</v>
      </c>
      <c r="T4466" s="14">
        <v>0.73</v>
      </c>
      <c r="U4466" s="14">
        <v>0.73</v>
      </c>
      <c r="V4466" s="14">
        <v>0.74</v>
      </c>
      <c r="W4466" s="14">
        <v>0.71</v>
      </c>
      <c r="X4466" s="14">
        <v>0.71</v>
      </c>
    </row>
    <row r="4467" spans="1:24" hidden="1" x14ac:dyDescent="0.3">
      <c r="A4467" s="14" t="s">
        <v>506</v>
      </c>
      <c r="B4467" s="14" t="s">
        <v>191</v>
      </c>
      <c r="C4467" s="14" t="s">
        <v>367</v>
      </c>
      <c r="D4467" s="14" t="s">
        <v>368</v>
      </c>
      <c r="E4467" s="14" t="s">
        <v>344</v>
      </c>
      <c r="F4467" s="14" t="s">
        <v>343</v>
      </c>
      <c r="G4467" s="14" t="s">
        <v>343</v>
      </c>
      <c r="H4467" s="14" t="s">
        <v>343</v>
      </c>
      <c r="I4467" s="14">
        <v>44</v>
      </c>
      <c r="J4467" s="14">
        <v>60</v>
      </c>
      <c r="K4467" s="14">
        <v>49</v>
      </c>
      <c r="L4467" s="14">
        <v>50</v>
      </c>
      <c r="M4467" s="14">
        <v>43</v>
      </c>
      <c r="N4467" s="14">
        <v>42</v>
      </c>
      <c r="O4467" s="14">
        <v>53</v>
      </c>
      <c r="P4467" s="14">
        <v>54</v>
      </c>
      <c r="Q4467" s="14">
        <v>57</v>
      </c>
      <c r="R4467" s="14">
        <v>51</v>
      </c>
      <c r="S4467" s="14">
        <v>38</v>
      </c>
      <c r="T4467" s="14">
        <v>39</v>
      </c>
      <c r="U4467" s="14">
        <v>42</v>
      </c>
      <c r="V4467" s="14">
        <v>40</v>
      </c>
      <c r="W4467" s="14">
        <v>75</v>
      </c>
      <c r="X4467" s="14">
        <v>77</v>
      </c>
    </row>
    <row r="4468" spans="1:24" hidden="1" x14ac:dyDescent="0.3">
      <c r="A4468" s="14" t="s">
        <v>506</v>
      </c>
      <c r="B4468" s="14" t="s">
        <v>191</v>
      </c>
      <c r="C4468" s="14" t="s">
        <v>369</v>
      </c>
      <c r="D4468" s="14" t="s">
        <v>370</v>
      </c>
      <c r="E4468" s="14" t="s">
        <v>342</v>
      </c>
      <c r="F4468" s="14" t="s">
        <v>343</v>
      </c>
      <c r="G4468" s="14" t="s">
        <v>343</v>
      </c>
      <c r="H4468" s="14" t="s">
        <v>343</v>
      </c>
      <c r="I4468" s="14">
        <v>0.11</v>
      </c>
      <c r="J4468" s="14">
        <v>0.11</v>
      </c>
      <c r="K4468" s="14">
        <v>0.18</v>
      </c>
      <c r="L4468" s="14">
        <v>0.18</v>
      </c>
      <c r="M4468" s="14">
        <v>0.18</v>
      </c>
      <c r="N4468" s="14">
        <v>0.18</v>
      </c>
      <c r="O4468" s="14">
        <v>0.18</v>
      </c>
      <c r="P4468" s="14">
        <v>0.18</v>
      </c>
      <c r="Q4468" s="14">
        <v>0.16</v>
      </c>
      <c r="R4468" s="14">
        <v>0.21</v>
      </c>
      <c r="S4468" s="14">
        <v>0.24</v>
      </c>
      <c r="T4468" s="14">
        <v>0.23</v>
      </c>
      <c r="U4468" s="14">
        <v>0.23</v>
      </c>
      <c r="V4468" s="14">
        <v>0.26</v>
      </c>
      <c r="W4468" s="14">
        <v>0.17</v>
      </c>
      <c r="X4468" s="14">
        <v>0.17</v>
      </c>
    </row>
    <row r="4469" spans="1:24" hidden="1" x14ac:dyDescent="0.3">
      <c r="A4469" s="14" t="s">
        <v>506</v>
      </c>
      <c r="B4469" s="14" t="s">
        <v>191</v>
      </c>
      <c r="C4469" s="14" t="s">
        <v>369</v>
      </c>
      <c r="D4469" s="14" t="s">
        <v>370</v>
      </c>
      <c r="E4469" s="14" t="s">
        <v>344</v>
      </c>
      <c r="F4469" s="14" t="s">
        <v>343</v>
      </c>
      <c r="G4469" s="14" t="s">
        <v>343</v>
      </c>
      <c r="H4469" s="14" t="s">
        <v>343</v>
      </c>
      <c r="I4469" s="14">
        <v>58</v>
      </c>
      <c r="J4469" s="14">
        <v>63</v>
      </c>
      <c r="K4469" s="14">
        <v>39</v>
      </c>
      <c r="L4469" s="14">
        <v>40</v>
      </c>
      <c r="M4469" s="14">
        <v>41</v>
      </c>
      <c r="N4469" s="14">
        <v>40</v>
      </c>
      <c r="O4469" s="14">
        <v>46</v>
      </c>
      <c r="P4469" s="14">
        <v>49</v>
      </c>
      <c r="Q4469" s="14">
        <v>68</v>
      </c>
      <c r="R4469" s="14">
        <v>52</v>
      </c>
      <c r="S4469" s="14">
        <v>44</v>
      </c>
      <c r="T4469" s="14">
        <v>49</v>
      </c>
      <c r="U4469" s="14">
        <v>50</v>
      </c>
      <c r="V4469" s="14">
        <v>49</v>
      </c>
      <c r="W4469" s="14">
        <v>89</v>
      </c>
      <c r="X4469" s="14">
        <v>87</v>
      </c>
    </row>
    <row r="4470" spans="1:24" hidden="1" x14ac:dyDescent="0.3">
      <c r="A4470" s="14" t="s">
        <v>506</v>
      </c>
      <c r="B4470" s="14" t="s">
        <v>191</v>
      </c>
      <c r="C4470" s="14" t="s">
        <v>371</v>
      </c>
      <c r="D4470" s="14" t="s">
        <v>372</v>
      </c>
      <c r="E4470" s="14" t="s">
        <v>342</v>
      </c>
      <c r="F4470" s="14" t="s">
        <v>343</v>
      </c>
      <c r="G4470" s="14" t="s">
        <v>343</v>
      </c>
      <c r="H4470" s="14" t="s">
        <v>343</v>
      </c>
      <c r="U4470" s="14">
        <v>0.08</v>
      </c>
      <c r="V4470" s="14">
        <v>0.08</v>
      </c>
      <c r="W4470" s="14">
        <v>0.08</v>
      </c>
      <c r="X4470" s="14">
        <v>0.08</v>
      </c>
    </row>
    <row r="4471" spans="1:24" hidden="1" x14ac:dyDescent="0.3">
      <c r="A4471" s="14" t="s">
        <v>506</v>
      </c>
      <c r="B4471" s="14" t="s">
        <v>191</v>
      </c>
      <c r="C4471" s="14" t="s">
        <v>371</v>
      </c>
      <c r="D4471" s="14" t="s">
        <v>372</v>
      </c>
      <c r="E4471" s="14" t="s">
        <v>344</v>
      </c>
      <c r="F4471" s="14" t="s">
        <v>343</v>
      </c>
      <c r="G4471" s="14" t="s">
        <v>343</v>
      </c>
      <c r="H4471" s="14" t="s">
        <v>343</v>
      </c>
      <c r="U4471" s="14">
        <v>31</v>
      </c>
      <c r="V4471" s="14">
        <v>33</v>
      </c>
      <c r="W4471" s="14">
        <v>37</v>
      </c>
      <c r="X4471" s="14">
        <v>37</v>
      </c>
    </row>
    <row r="4472" spans="1:24" hidden="1" x14ac:dyDescent="0.3">
      <c r="A4472" s="14" t="s">
        <v>506</v>
      </c>
      <c r="B4472" s="14" t="s">
        <v>191</v>
      </c>
      <c r="C4472" s="14" t="s">
        <v>373</v>
      </c>
      <c r="D4472" s="14" t="s">
        <v>374</v>
      </c>
      <c r="E4472" s="14" t="s">
        <v>342</v>
      </c>
      <c r="F4472" s="14" t="s">
        <v>343</v>
      </c>
      <c r="G4472" s="14" t="s">
        <v>343</v>
      </c>
      <c r="H4472" s="14" t="s">
        <v>343</v>
      </c>
      <c r="U4472" s="14">
        <v>0.28999999999999998</v>
      </c>
      <c r="V4472" s="14">
        <v>0.38</v>
      </c>
      <c r="W4472" s="14">
        <v>0.05</v>
      </c>
      <c r="X4472" s="14">
        <v>0.05</v>
      </c>
    </row>
    <row r="4473" spans="1:24" hidden="1" x14ac:dyDescent="0.3">
      <c r="A4473" s="14" t="s">
        <v>506</v>
      </c>
      <c r="B4473" s="14" t="s">
        <v>191</v>
      </c>
      <c r="C4473" s="14" t="s">
        <v>373</v>
      </c>
      <c r="D4473" s="14" t="s">
        <v>374</v>
      </c>
      <c r="E4473" s="14" t="s">
        <v>344</v>
      </c>
      <c r="F4473" s="14" t="s">
        <v>343</v>
      </c>
      <c r="G4473" s="14" t="s">
        <v>343</v>
      </c>
      <c r="H4473" s="14" t="s">
        <v>343</v>
      </c>
      <c r="U4473" s="14">
        <v>53</v>
      </c>
      <c r="V4473" s="14">
        <v>49</v>
      </c>
      <c r="W4473" s="14">
        <v>142</v>
      </c>
      <c r="X4473" s="14">
        <v>134</v>
      </c>
    </row>
    <row r="4474" spans="1:24" hidden="1" x14ac:dyDescent="0.3">
      <c r="A4474" s="14" t="s">
        <v>506</v>
      </c>
      <c r="B4474" s="14" t="s">
        <v>191</v>
      </c>
      <c r="C4474" s="14" t="s">
        <v>375</v>
      </c>
      <c r="D4474" s="14" t="s">
        <v>376</v>
      </c>
      <c r="E4474" s="14" t="s">
        <v>342</v>
      </c>
      <c r="F4474" s="14" t="s">
        <v>343</v>
      </c>
      <c r="G4474" s="14" t="s">
        <v>343</v>
      </c>
      <c r="H4474" s="14" t="s">
        <v>343</v>
      </c>
      <c r="U4474" s="14">
        <v>0.39</v>
      </c>
      <c r="V4474" s="14">
        <v>0.41</v>
      </c>
      <c r="W4474" s="14">
        <v>0.4</v>
      </c>
      <c r="X4474" s="14">
        <v>0.4</v>
      </c>
    </row>
    <row r="4475" spans="1:24" hidden="1" x14ac:dyDescent="0.3">
      <c r="A4475" s="14" t="s">
        <v>506</v>
      </c>
      <c r="B4475" s="14" t="s">
        <v>191</v>
      </c>
      <c r="C4475" s="14" t="s">
        <v>375</v>
      </c>
      <c r="D4475" s="14" t="s">
        <v>376</v>
      </c>
      <c r="E4475" s="14" t="s">
        <v>344</v>
      </c>
      <c r="F4475" s="14" t="s">
        <v>343</v>
      </c>
      <c r="G4475" s="14" t="s">
        <v>343</v>
      </c>
      <c r="H4475" s="14" t="s">
        <v>343</v>
      </c>
      <c r="U4475" s="14">
        <v>46</v>
      </c>
      <c r="V4475" s="14">
        <v>50</v>
      </c>
      <c r="W4475" s="14">
        <v>53</v>
      </c>
      <c r="X4475" s="14">
        <v>60</v>
      </c>
    </row>
    <row r="4476" spans="1:24" hidden="1" x14ac:dyDescent="0.3">
      <c r="A4476" s="14" t="s">
        <v>507</v>
      </c>
      <c r="B4476" s="14" t="s">
        <v>192</v>
      </c>
      <c r="C4476" s="14" t="s">
        <v>340</v>
      </c>
      <c r="D4476" s="14" t="s">
        <v>341</v>
      </c>
      <c r="E4476" s="14" t="s">
        <v>342</v>
      </c>
      <c r="F4476" s="14" t="s">
        <v>343</v>
      </c>
      <c r="G4476" s="14" t="s">
        <v>343</v>
      </c>
      <c r="H4476" s="14" t="s">
        <v>343</v>
      </c>
      <c r="I4476" s="14">
        <v>0.99</v>
      </c>
      <c r="J4476" s="14">
        <v>0.99</v>
      </c>
      <c r="K4476" s="14">
        <v>0.99</v>
      </c>
      <c r="L4476" s="14">
        <v>0.99</v>
      </c>
      <c r="M4476" s="14">
        <v>0.99</v>
      </c>
      <c r="N4476" s="14">
        <v>0.99</v>
      </c>
      <c r="O4476" s="14">
        <v>0.99</v>
      </c>
      <c r="P4476" s="14">
        <v>0.99</v>
      </c>
      <c r="Q4476" s="14">
        <v>0.99</v>
      </c>
      <c r="R4476" s="14">
        <v>1</v>
      </c>
      <c r="S4476" s="14">
        <v>0.99</v>
      </c>
      <c r="T4476" s="14">
        <v>0.99</v>
      </c>
      <c r="U4476" s="14">
        <v>0.99</v>
      </c>
      <c r="V4476" s="14">
        <v>0.99</v>
      </c>
      <c r="W4476" s="14">
        <v>0.99</v>
      </c>
      <c r="X4476" s="14">
        <v>0.99</v>
      </c>
    </row>
    <row r="4477" spans="1:24" hidden="1" x14ac:dyDescent="0.3">
      <c r="A4477" s="14" t="s">
        <v>507</v>
      </c>
      <c r="B4477" s="14" t="s">
        <v>192</v>
      </c>
      <c r="C4477" s="14" t="s">
        <v>340</v>
      </c>
      <c r="D4477" s="14" t="s">
        <v>341</v>
      </c>
      <c r="E4477" s="14" t="s">
        <v>344</v>
      </c>
      <c r="F4477" s="14" t="s">
        <v>343</v>
      </c>
      <c r="G4477" s="14" t="s">
        <v>343</v>
      </c>
      <c r="H4477" s="14" t="s">
        <v>343</v>
      </c>
      <c r="I4477" s="14">
        <v>57</v>
      </c>
      <c r="J4477" s="14">
        <v>58</v>
      </c>
      <c r="K4477" s="14">
        <v>71</v>
      </c>
      <c r="L4477" s="14">
        <v>76</v>
      </c>
      <c r="M4477" s="14">
        <v>69</v>
      </c>
      <c r="N4477" s="14">
        <v>55</v>
      </c>
      <c r="O4477" s="14">
        <v>57</v>
      </c>
      <c r="P4477" s="14">
        <v>56</v>
      </c>
      <c r="Q4477" s="14">
        <v>68</v>
      </c>
      <c r="R4477" s="14">
        <v>60</v>
      </c>
      <c r="S4477" s="14">
        <v>63</v>
      </c>
      <c r="T4477" s="14">
        <v>70</v>
      </c>
      <c r="U4477" s="14">
        <v>82</v>
      </c>
      <c r="V4477" s="14">
        <v>73</v>
      </c>
      <c r="W4477" s="14">
        <v>76</v>
      </c>
      <c r="X4477" s="14">
        <v>75</v>
      </c>
    </row>
    <row r="4478" spans="1:24" hidden="1" x14ac:dyDescent="0.3">
      <c r="A4478" s="14" t="s">
        <v>507</v>
      </c>
      <c r="B4478" s="14" t="s">
        <v>192</v>
      </c>
      <c r="C4478" s="14" t="s">
        <v>345</v>
      </c>
      <c r="D4478" s="14" t="s">
        <v>346</v>
      </c>
      <c r="E4478" s="14" t="s">
        <v>342</v>
      </c>
      <c r="F4478" s="14" t="s">
        <v>343</v>
      </c>
      <c r="G4478" s="14" t="s">
        <v>343</v>
      </c>
      <c r="H4478" s="14" t="s">
        <v>343</v>
      </c>
      <c r="U4478" s="14">
        <v>0.72</v>
      </c>
      <c r="V4478" s="14">
        <v>0.72</v>
      </c>
      <c r="W4478" s="14">
        <v>0.73</v>
      </c>
      <c r="X4478" s="14">
        <v>0.76</v>
      </c>
    </row>
    <row r="4479" spans="1:24" hidden="1" x14ac:dyDescent="0.3">
      <c r="A4479" s="14" t="s">
        <v>507</v>
      </c>
      <c r="B4479" s="14" t="s">
        <v>192</v>
      </c>
      <c r="C4479" s="14" t="s">
        <v>345</v>
      </c>
      <c r="D4479" s="14" t="s">
        <v>346</v>
      </c>
      <c r="E4479" s="14" t="s">
        <v>344</v>
      </c>
      <c r="F4479" s="14" t="s">
        <v>343</v>
      </c>
      <c r="G4479" s="14" t="s">
        <v>343</v>
      </c>
      <c r="H4479" s="14" t="s">
        <v>343</v>
      </c>
      <c r="U4479" s="14">
        <v>25</v>
      </c>
      <c r="V4479" s="14">
        <v>30</v>
      </c>
      <c r="W4479" s="14">
        <v>27</v>
      </c>
      <c r="X4479" s="14">
        <v>24</v>
      </c>
    </row>
    <row r="4480" spans="1:24" hidden="1" x14ac:dyDescent="0.3">
      <c r="A4480" s="14" t="s">
        <v>507</v>
      </c>
      <c r="B4480" s="14" t="s">
        <v>192</v>
      </c>
      <c r="C4480" s="14" t="s">
        <v>347</v>
      </c>
      <c r="D4480" s="14" t="s">
        <v>348</v>
      </c>
      <c r="E4480" s="14" t="s">
        <v>342</v>
      </c>
      <c r="F4480" s="14" t="s">
        <v>343</v>
      </c>
      <c r="G4480" s="14" t="s">
        <v>343</v>
      </c>
      <c r="H4480" s="14" t="s">
        <v>343</v>
      </c>
      <c r="U4480" s="14">
        <v>0.91</v>
      </c>
      <c r="V4480" s="14">
        <v>0.92</v>
      </c>
      <c r="W4480" s="14">
        <v>0.93</v>
      </c>
      <c r="X4480" s="14">
        <v>0.87</v>
      </c>
    </row>
    <row r="4481" spans="1:24" hidden="1" x14ac:dyDescent="0.3">
      <c r="A4481" s="14" t="s">
        <v>507</v>
      </c>
      <c r="B4481" s="14" t="s">
        <v>192</v>
      </c>
      <c r="C4481" s="14" t="s">
        <v>347</v>
      </c>
      <c r="D4481" s="14" t="s">
        <v>348</v>
      </c>
      <c r="E4481" s="14" t="s">
        <v>344</v>
      </c>
      <c r="F4481" s="14" t="s">
        <v>343</v>
      </c>
      <c r="G4481" s="14" t="s">
        <v>343</v>
      </c>
      <c r="H4481" s="14" t="s">
        <v>343</v>
      </c>
      <c r="U4481" s="14">
        <v>29</v>
      </c>
      <c r="V4481" s="14">
        <v>28</v>
      </c>
      <c r="W4481" s="14">
        <v>24</v>
      </c>
      <c r="X4481" s="14">
        <v>34</v>
      </c>
    </row>
    <row r="4482" spans="1:24" hidden="1" x14ac:dyDescent="0.3">
      <c r="A4482" s="14" t="s">
        <v>507</v>
      </c>
      <c r="B4482" s="14" t="s">
        <v>192</v>
      </c>
      <c r="C4482" s="14" t="s">
        <v>349</v>
      </c>
      <c r="D4482" s="14" t="s">
        <v>350</v>
      </c>
      <c r="E4482" s="14" t="s">
        <v>342</v>
      </c>
      <c r="F4482" s="14" t="s">
        <v>343</v>
      </c>
      <c r="G4482" s="14" t="s">
        <v>343</v>
      </c>
      <c r="H4482" s="14" t="s">
        <v>343</v>
      </c>
      <c r="U4482" s="14">
        <v>0.52</v>
      </c>
      <c r="V4482" s="14">
        <v>0.51</v>
      </c>
      <c r="W4482" s="14">
        <v>0.59</v>
      </c>
      <c r="X4482" s="14">
        <v>0.55000000000000004</v>
      </c>
    </row>
    <row r="4483" spans="1:24" hidden="1" x14ac:dyDescent="0.3">
      <c r="A4483" s="14" t="s">
        <v>507</v>
      </c>
      <c r="B4483" s="14" t="s">
        <v>192</v>
      </c>
      <c r="C4483" s="14" t="s">
        <v>349</v>
      </c>
      <c r="D4483" s="14" t="s">
        <v>350</v>
      </c>
      <c r="E4483" s="14" t="s">
        <v>344</v>
      </c>
      <c r="F4483" s="14" t="s">
        <v>343</v>
      </c>
      <c r="G4483" s="14" t="s">
        <v>343</v>
      </c>
      <c r="H4483" s="14" t="s">
        <v>343</v>
      </c>
      <c r="U4483" s="14">
        <v>58</v>
      </c>
      <c r="V4483" s="14">
        <v>63</v>
      </c>
      <c r="W4483" s="14">
        <v>49</v>
      </c>
      <c r="X4483" s="14">
        <v>59</v>
      </c>
    </row>
    <row r="4484" spans="1:24" hidden="1" x14ac:dyDescent="0.3">
      <c r="A4484" s="14" t="s">
        <v>507</v>
      </c>
      <c r="B4484" s="14" t="s">
        <v>192</v>
      </c>
      <c r="C4484" s="14" t="s">
        <v>351</v>
      </c>
      <c r="D4484" s="14" t="s">
        <v>352</v>
      </c>
      <c r="E4484" s="14" t="s">
        <v>342</v>
      </c>
      <c r="F4484" s="14" t="s">
        <v>343</v>
      </c>
      <c r="G4484" s="14" t="s">
        <v>343</v>
      </c>
      <c r="H4484" s="14" t="s">
        <v>343</v>
      </c>
      <c r="U4484" s="14">
        <v>1</v>
      </c>
      <c r="V4484" s="14">
        <v>1</v>
      </c>
      <c r="W4484" s="14">
        <v>1</v>
      </c>
      <c r="X4484" s="14">
        <v>1</v>
      </c>
    </row>
    <row r="4485" spans="1:24" hidden="1" x14ac:dyDescent="0.3">
      <c r="A4485" s="14" t="s">
        <v>507</v>
      </c>
      <c r="B4485" s="14" t="s">
        <v>192</v>
      </c>
      <c r="C4485" s="14" t="s">
        <v>351</v>
      </c>
      <c r="D4485" s="14" t="s">
        <v>352</v>
      </c>
      <c r="E4485" s="14" t="s">
        <v>344</v>
      </c>
      <c r="F4485" s="14" t="s">
        <v>343</v>
      </c>
      <c r="G4485" s="14" t="s">
        <v>343</v>
      </c>
      <c r="H4485" s="14" t="s">
        <v>343</v>
      </c>
      <c r="U4485" s="14">
        <v>1</v>
      </c>
      <c r="V4485" s="14">
        <v>1</v>
      </c>
      <c r="W4485" s="14">
        <v>1</v>
      </c>
      <c r="X4485" s="14">
        <v>1</v>
      </c>
    </row>
    <row r="4486" spans="1:24" hidden="1" x14ac:dyDescent="0.3">
      <c r="A4486" s="14" t="s">
        <v>507</v>
      </c>
      <c r="B4486" s="14" t="s">
        <v>192</v>
      </c>
      <c r="C4486" s="14" t="s">
        <v>378</v>
      </c>
      <c r="D4486" s="14" t="s">
        <v>379</v>
      </c>
      <c r="E4486" s="14" t="s">
        <v>342</v>
      </c>
      <c r="F4486" s="14" t="s">
        <v>343</v>
      </c>
      <c r="G4486" s="14" t="s">
        <v>343</v>
      </c>
      <c r="H4486" s="14" t="s">
        <v>343</v>
      </c>
      <c r="S4486" s="14">
        <v>0.59</v>
      </c>
      <c r="U4486" s="14">
        <v>0.57999999999999996</v>
      </c>
      <c r="V4486" s="14">
        <v>0.6</v>
      </c>
      <c r="W4486" s="14">
        <v>0.61</v>
      </c>
      <c r="X4486" s="14">
        <v>0.62</v>
      </c>
    </row>
    <row r="4487" spans="1:24" hidden="1" x14ac:dyDescent="0.3">
      <c r="A4487" s="14" t="s">
        <v>507</v>
      </c>
      <c r="B4487" s="14" t="s">
        <v>192</v>
      </c>
      <c r="C4487" s="14" t="s">
        <v>378</v>
      </c>
      <c r="D4487" s="14" t="s">
        <v>379</v>
      </c>
      <c r="E4487" s="14" t="s">
        <v>344</v>
      </c>
      <c r="F4487" s="14" t="s">
        <v>343</v>
      </c>
      <c r="G4487" s="14" t="s">
        <v>343</v>
      </c>
      <c r="H4487" s="14" t="s">
        <v>343</v>
      </c>
      <c r="S4487" s="14">
        <v>97</v>
      </c>
      <c r="U4487" s="14">
        <v>103</v>
      </c>
      <c r="V4487" s="14">
        <v>100</v>
      </c>
      <c r="W4487" s="14">
        <v>99</v>
      </c>
      <c r="X4487" s="14">
        <v>84</v>
      </c>
    </row>
    <row r="4488" spans="1:24" hidden="1" x14ac:dyDescent="0.3">
      <c r="A4488" s="14" t="s">
        <v>507</v>
      </c>
      <c r="B4488" s="14" t="s">
        <v>192</v>
      </c>
      <c r="C4488" s="14" t="s">
        <v>353</v>
      </c>
      <c r="D4488" s="14" t="s">
        <v>354</v>
      </c>
      <c r="E4488" s="14" t="s">
        <v>342</v>
      </c>
      <c r="F4488" s="14" t="s">
        <v>343</v>
      </c>
      <c r="G4488" s="14" t="s">
        <v>343</v>
      </c>
      <c r="H4488" s="14" t="s">
        <v>343</v>
      </c>
      <c r="U4488" s="14">
        <v>0.96</v>
      </c>
      <c r="V4488" s="14">
        <v>0.98</v>
      </c>
      <c r="W4488" s="14">
        <v>0.98</v>
      </c>
      <c r="X4488" s="14">
        <v>0.98</v>
      </c>
    </row>
    <row r="4489" spans="1:24" hidden="1" x14ac:dyDescent="0.3">
      <c r="A4489" s="14" t="s">
        <v>507</v>
      </c>
      <c r="B4489" s="14" t="s">
        <v>192</v>
      </c>
      <c r="C4489" s="14" t="s">
        <v>353</v>
      </c>
      <c r="D4489" s="14" t="s">
        <v>354</v>
      </c>
      <c r="E4489" s="14" t="s">
        <v>344</v>
      </c>
      <c r="F4489" s="14" t="s">
        <v>343</v>
      </c>
      <c r="G4489" s="14" t="s">
        <v>343</v>
      </c>
      <c r="H4489" s="14" t="s">
        <v>343</v>
      </c>
      <c r="U4489" s="14">
        <v>84</v>
      </c>
      <c r="V4489" s="14">
        <v>87</v>
      </c>
      <c r="W4489" s="14">
        <v>88</v>
      </c>
      <c r="X4489" s="14">
        <v>81</v>
      </c>
    </row>
    <row r="4490" spans="1:24" hidden="1" x14ac:dyDescent="0.3">
      <c r="A4490" s="14" t="s">
        <v>507</v>
      </c>
      <c r="B4490" s="14" t="s">
        <v>192</v>
      </c>
      <c r="C4490" s="14" t="s">
        <v>380</v>
      </c>
      <c r="D4490" s="14" t="s">
        <v>381</v>
      </c>
      <c r="E4490" s="14" t="s">
        <v>342</v>
      </c>
      <c r="F4490" s="14" t="s">
        <v>343</v>
      </c>
      <c r="G4490" s="14" t="s">
        <v>343</v>
      </c>
      <c r="H4490" s="14" t="s">
        <v>343</v>
      </c>
      <c r="U4490" s="14">
        <v>0.99</v>
      </c>
      <c r="V4490" s="14">
        <v>0.99</v>
      </c>
      <c r="W4490" s="14">
        <v>0.99</v>
      </c>
      <c r="X4490" s="14">
        <v>0.99</v>
      </c>
    </row>
    <row r="4491" spans="1:24" hidden="1" x14ac:dyDescent="0.3">
      <c r="A4491" s="14" t="s">
        <v>507</v>
      </c>
      <c r="B4491" s="14" t="s">
        <v>192</v>
      </c>
      <c r="C4491" s="14" t="s">
        <v>380</v>
      </c>
      <c r="D4491" s="14" t="s">
        <v>381</v>
      </c>
      <c r="E4491" s="14" t="s">
        <v>344</v>
      </c>
      <c r="F4491" s="14" t="s">
        <v>343</v>
      </c>
      <c r="G4491" s="14" t="s">
        <v>343</v>
      </c>
      <c r="H4491" s="14" t="s">
        <v>343</v>
      </c>
      <c r="U4491" s="14">
        <v>85</v>
      </c>
      <c r="V4491" s="14">
        <v>107</v>
      </c>
      <c r="W4491" s="14">
        <v>108</v>
      </c>
      <c r="X4491" s="14">
        <v>95</v>
      </c>
    </row>
    <row r="4492" spans="1:24" hidden="1" x14ac:dyDescent="0.3">
      <c r="A4492" s="14" t="s">
        <v>507</v>
      </c>
      <c r="B4492" s="14" t="s">
        <v>192</v>
      </c>
      <c r="C4492" s="14" t="s">
        <v>355</v>
      </c>
      <c r="D4492" s="14" t="s">
        <v>356</v>
      </c>
      <c r="E4492" s="14" t="s">
        <v>342</v>
      </c>
      <c r="F4492" s="14" t="s">
        <v>343</v>
      </c>
      <c r="G4492" s="14" t="s">
        <v>343</v>
      </c>
      <c r="H4492" s="14" t="s">
        <v>343</v>
      </c>
      <c r="U4492" s="14">
        <v>1</v>
      </c>
      <c r="V4492" s="14">
        <v>1</v>
      </c>
      <c r="W4492" s="14">
        <v>1</v>
      </c>
      <c r="X4492" s="14">
        <v>1</v>
      </c>
    </row>
    <row r="4493" spans="1:24" hidden="1" x14ac:dyDescent="0.3">
      <c r="A4493" s="14" t="s">
        <v>507</v>
      </c>
      <c r="B4493" s="14" t="s">
        <v>192</v>
      </c>
      <c r="C4493" s="14" t="s">
        <v>355</v>
      </c>
      <c r="D4493" s="14" t="s">
        <v>356</v>
      </c>
      <c r="E4493" s="14" t="s">
        <v>344</v>
      </c>
      <c r="F4493" s="14" t="s">
        <v>343</v>
      </c>
      <c r="G4493" s="14" t="s">
        <v>343</v>
      </c>
      <c r="H4493" s="14" t="s">
        <v>343</v>
      </c>
      <c r="U4493" s="14">
        <v>1</v>
      </c>
      <c r="V4493" s="14">
        <v>1</v>
      </c>
      <c r="W4493" s="14">
        <v>1</v>
      </c>
      <c r="X4493" s="14">
        <v>1</v>
      </c>
    </row>
    <row r="4494" spans="1:24" hidden="1" x14ac:dyDescent="0.3">
      <c r="A4494" s="14" t="s">
        <v>507</v>
      </c>
      <c r="B4494" s="14" t="s">
        <v>192</v>
      </c>
      <c r="C4494" s="14" t="s">
        <v>357</v>
      </c>
      <c r="D4494" s="14" t="s">
        <v>358</v>
      </c>
      <c r="E4494" s="14" t="s">
        <v>342</v>
      </c>
      <c r="F4494" s="14" t="s">
        <v>343</v>
      </c>
      <c r="G4494" s="14" t="s">
        <v>343</v>
      </c>
      <c r="H4494" s="14" t="s">
        <v>343</v>
      </c>
      <c r="U4494" s="14">
        <v>1</v>
      </c>
      <c r="V4494" s="14">
        <v>1</v>
      </c>
      <c r="W4494" s="14">
        <v>1</v>
      </c>
      <c r="X4494" s="14">
        <v>1</v>
      </c>
    </row>
    <row r="4495" spans="1:24" hidden="1" x14ac:dyDescent="0.3">
      <c r="A4495" s="14" t="s">
        <v>507</v>
      </c>
      <c r="B4495" s="14" t="s">
        <v>192</v>
      </c>
      <c r="C4495" s="14" t="s">
        <v>357</v>
      </c>
      <c r="D4495" s="14" t="s">
        <v>358</v>
      </c>
      <c r="E4495" s="14" t="s">
        <v>344</v>
      </c>
      <c r="F4495" s="14" t="s">
        <v>343</v>
      </c>
      <c r="G4495" s="14" t="s">
        <v>343</v>
      </c>
      <c r="H4495" s="14" t="s">
        <v>343</v>
      </c>
      <c r="U4495" s="14">
        <v>1</v>
      </c>
      <c r="V4495" s="14">
        <v>1</v>
      </c>
      <c r="W4495" s="14">
        <v>1</v>
      </c>
      <c r="X4495" s="14">
        <v>1</v>
      </c>
    </row>
    <row r="4496" spans="1:24" hidden="1" x14ac:dyDescent="0.3">
      <c r="A4496" s="14" t="s">
        <v>507</v>
      </c>
      <c r="B4496" s="14" t="s">
        <v>192</v>
      </c>
      <c r="C4496" s="14" t="s">
        <v>359</v>
      </c>
      <c r="D4496" s="14" t="s">
        <v>360</v>
      </c>
      <c r="E4496" s="14" t="s">
        <v>342</v>
      </c>
      <c r="F4496" s="14" t="s">
        <v>343</v>
      </c>
      <c r="G4496" s="14" t="s">
        <v>343</v>
      </c>
      <c r="H4496" s="14" t="s">
        <v>343</v>
      </c>
      <c r="I4496" s="14">
        <v>0.67</v>
      </c>
      <c r="J4496" s="14">
        <v>0.68</v>
      </c>
      <c r="K4496" s="14">
        <v>0.7</v>
      </c>
      <c r="L4496" s="14">
        <v>0.68</v>
      </c>
      <c r="M4496" s="14">
        <v>0.67</v>
      </c>
      <c r="N4496" s="14">
        <v>0.66</v>
      </c>
      <c r="O4496" s="14">
        <v>0.68</v>
      </c>
      <c r="P4496" s="14">
        <v>0.67</v>
      </c>
      <c r="Q4496" s="14">
        <v>0.72</v>
      </c>
      <c r="R4496" s="14">
        <v>0.71</v>
      </c>
      <c r="S4496" s="14">
        <v>0.71</v>
      </c>
      <c r="T4496" s="14">
        <v>0.73</v>
      </c>
      <c r="U4496" s="14">
        <v>0.72</v>
      </c>
      <c r="V4496" s="14">
        <v>0.73</v>
      </c>
      <c r="W4496" s="14">
        <v>0.75</v>
      </c>
      <c r="X4496" s="14">
        <v>0.74</v>
      </c>
    </row>
    <row r="4497" spans="1:24" hidden="1" x14ac:dyDescent="0.3">
      <c r="A4497" s="14" t="s">
        <v>507</v>
      </c>
      <c r="B4497" s="14" t="s">
        <v>192</v>
      </c>
      <c r="C4497" s="14" t="s">
        <v>359</v>
      </c>
      <c r="D4497" s="14" t="s">
        <v>360</v>
      </c>
      <c r="E4497" s="14" t="s">
        <v>344</v>
      </c>
      <c r="F4497" s="14" t="s">
        <v>343</v>
      </c>
      <c r="G4497" s="14" t="s">
        <v>343</v>
      </c>
      <c r="H4497" s="14" t="s">
        <v>343</v>
      </c>
      <c r="I4497" s="14">
        <v>33</v>
      </c>
      <c r="J4497" s="14">
        <v>38</v>
      </c>
      <c r="K4497" s="14">
        <v>39</v>
      </c>
      <c r="L4497" s="14">
        <v>53</v>
      </c>
      <c r="M4497" s="14">
        <v>56</v>
      </c>
      <c r="N4497" s="14">
        <v>59</v>
      </c>
      <c r="O4497" s="14">
        <v>55</v>
      </c>
      <c r="P4497" s="14">
        <v>66</v>
      </c>
      <c r="Q4497" s="14">
        <v>44</v>
      </c>
      <c r="R4497" s="14">
        <v>46</v>
      </c>
      <c r="S4497" s="14">
        <v>46</v>
      </c>
      <c r="T4497" s="14">
        <v>35</v>
      </c>
      <c r="U4497" s="14">
        <v>44</v>
      </c>
      <c r="V4497" s="14">
        <v>46</v>
      </c>
      <c r="W4497" s="14">
        <v>38</v>
      </c>
      <c r="X4497" s="14">
        <v>41</v>
      </c>
    </row>
    <row r="4498" spans="1:24" x14ac:dyDescent="0.3">
      <c r="A4498" s="14" t="s">
        <v>507</v>
      </c>
      <c r="B4498" s="14" t="s">
        <v>192</v>
      </c>
      <c r="C4498" s="14" t="s">
        <v>361</v>
      </c>
      <c r="D4498" s="14" t="s">
        <v>362</v>
      </c>
      <c r="E4498" s="14" t="s">
        <v>342</v>
      </c>
      <c r="F4498" s="14" t="s">
        <v>343</v>
      </c>
      <c r="G4498" s="14" t="s">
        <v>343</v>
      </c>
      <c r="H4498" s="14" t="s">
        <v>343</v>
      </c>
      <c r="I4498" s="14">
        <v>0.97</v>
      </c>
      <c r="J4498" s="14">
        <v>0.97</v>
      </c>
      <c r="K4498" s="14">
        <v>0.97</v>
      </c>
      <c r="L4498" s="14">
        <v>0.97</v>
      </c>
      <c r="M4498" s="14">
        <v>0.97</v>
      </c>
      <c r="N4498" s="14">
        <v>0.97</v>
      </c>
      <c r="O4498" s="14">
        <v>0.97</v>
      </c>
      <c r="P4498" s="14">
        <v>0.97</v>
      </c>
      <c r="Q4498" s="14">
        <v>0.97</v>
      </c>
      <c r="R4498" s="14">
        <v>0.97</v>
      </c>
      <c r="S4498" s="14">
        <v>0.97</v>
      </c>
      <c r="T4498" s="14">
        <v>0.98</v>
      </c>
      <c r="U4498" s="14">
        <v>0.98</v>
      </c>
      <c r="V4498" s="14">
        <v>0.98</v>
      </c>
      <c r="W4498" s="14">
        <v>0.97</v>
      </c>
      <c r="X4498" s="14">
        <v>0.97</v>
      </c>
    </row>
    <row r="4499" spans="1:24" hidden="1" x14ac:dyDescent="0.3">
      <c r="A4499" s="14" t="s">
        <v>507</v>
      </c>
      <c r="B4499" s="14" t="s">
        <v>192</v>
      </c>
      <c r="C4499" s="14" t="s">
        <v>361</v>
      </c>
      <c r="D4499" s="14" t="s">
        <v>362</v>
      </c>
      <c r="E4499" s="14" t="s">
        <v>344</v>
      </c>
      <c r="F4499" s="14" t="s">
        <v>343</v>
      </c>
      <c r="G4499" s="14" t="s">
        <v>343</v>
      </c>
      <c r="H4499" s="14" t="s">
        <v>343</v>
      </c>
      <c r="I4499" s="14">
        <v>71</v>
      </c>
      <c r="J4499" s="14">
        <v>74</v>
      </c>
      <c r="K4499" s="14">
        <v>76</v>
      </c>
      <c r="L4499" s="14">
        <v>80</v>
      </c>
      <c r="M4499" s="14">
        <v>71</v>
      </c>
      <c r="N4499" s="14">
        <v>71</v>
      </c>
      <c r="O4499" s="14">
        <v>83</v>
      </c>
      <c r="P4499" s="14">
        <v>83</v>
      </c>
      <c r="Q4499" s="14">
        <v>85</v>
      </c>
      <c r="R4499" s="14">
        <v>79</v>
      </c>
      <c r="S4499" s="14">
        <v>76</v>
      </c>
      <c r="T4499" s="14">
        <v>55</v>
      </c>
      <c r="U4499" s="14">
        <v>54</v>
      </c>
      <c r="V4499" s="14">
        <v>50</v>
      </c>
      <c r="W4499" s="14">
        <v>73</v>
      </c>
      <c r="X4499" s="14">
        <v>67</v>
      </c>
    </row>
    <row r="4500" spans="1:24" hidden="1" x14ac:dyDescent="0.3">
      <c r="A4500" s="14" t="s">
        <v>507</v>
      </c>
      <c r="B4500" s="14" t="s">
        <v>192</v>
      </c>
      <c r="C4500" s="14" t="s">
        <v>363</v>
      </c>
      <c r="D4500" s="14" t="s">
        <v>364</v>
      </c>
      <c r="E4500" s="14" t="s">
        <v>342</v>
      </c>
      <c r="F4500" s="14" t="s">
        <v>343</v>
      </c>
      <c r="G4500" s="14" t="s">
        <v>343</v>
      </c>
      <c r="H4500" s="14" t="s">
        <v>343</v>
      </c>
      <c r="U4500" s="14">
        <v>1.06</v>
      </c>
      <c r="V4500" s="14">
        <v>1.06</v>
      </c>
      <c r="W4500" s="14">
        <v>1.04</v>
      </c>
      <c r="X4500" s="14">
        <v>1.04</v>
      </c>
    </row>
    <row r="4501" spans="1:24" hidden="1" x14ac:dyDescent="0.3">
      <c r="A4501" s="14" t="s">
        <v>507</v>
      </c>
      <c r="B4501" s="14" t="s">
        <v>192</v>
      </c>
      <c r="C4501" s="14" t="s">
        <v>363</v>
      </c>
      <c r="D4501" s="14" t="s">
        <v>364</v>
      </c>
      <c r="E4501" s="14" t="s">
        <v>344</v>
      </c>
      <c r="F4501" s="14" t="s">
        <v>343</v>
      </c>
      <c r="G4501" s="14" t="s">
        <v>343</v>
      </c>
      <c r="H4501" s="14" t="s">
        <v>343</v>
      </c>
      <c r="U4501" s="14">
        <v>61</v>
      </c>
      <c r="V4501" s="14">
        <v>63</v>
      </c>
      <c r="W4501" s="14">
        <v>80</v>
      </c>
      <c r="X4501" s="14">
        <v>72</v>
      </c>
    </row>
    <row r="4502" spans="1:24" hidden="1" x14ac:dyDescent="0.3">
      <c r="A4502" s="14" t="s">
        <v>507</v>
      </c>
      <c r="B4502" s="14" t="s">
        <v>192</v>
      </c>
      <c r="C4502" s="14" t="s">
        <v>365</v>
      </c>
      <c r="D4502" s="14" t="s">
        <v>366</v>
      </c>
      <c r="E4502" s="14" t="s">
        <v>342</v>
      </c>
      <c r="F4502" s="14" t="s">
        <v>343</v>
      </c>
      <c r="G4502" s="14" t="s">
        <v>343</v>
      </c>
      <c r="H4502" s="14" t="s">
        <v>343</v>
      </c>
      <c r="U4502" s="14">
        <v>0.94</v>
      </c>
      <c r="V4502" s="14">
        <v>0.94</v>
      </c>
      <c r="W4502" s="14">
        <v>0.94</v>
      </c>
      <c r="X4502" s="14">
        <v>0.94</v>
      </c>
    </row>
    <row r="4503" spans="1:24" hidden="1" x14ac:dyDescent="0.3">
      <c r="A4503" s="14" t="s">
        <v>507</v>
      </c>
      <c r="B4503" s="14" t="s">
        <v>192</v>
      </c>
      <c r="C4503" s="14" t="s">
        <v>365</v>
      </c>
      <c r="D4503" s="14" t="s">
        <v>366</v>
      </c>
      <c r="E4503" s="14" t="s">
        <v>344</v>
      </c>
      <c r="F4503" s="14" t="s">
        <v>343</v>
      </c>
      <c r="G4503" s="14" t="s">
        <v>343</v>
      </c>
      <c r="H4503" s="14" t="s">
        <v>343</v>
      </c>
      <c r="U4503" s="14">
        <v>114</v>
      </c>
      <c r="V4503" s="14">
        <v>112</v>
      </c>
      <c r="W4503" s="14">
        <v>116</v>
      </c>
      <c r="X4503" s="14">
        <v>111</v>
      </c>
    </row>
    <row r="4504" spans="1:24" hidden="1" x14ac:dyDescent="0.3">
      <c r="A4504" s="14" t="s">
        <v>507</v>
      </c>
      <c r="B4504" s="14" t="s">
        <v>192</v>
      </c>
      <c r="C4504" s="14" t="s">
        <v>367</v>
      </c>
      <c r="D4504" s="14" t="s">
        <v>368</v>
      </c>
      <c r="E4504" s="14" t="s">
        <v>342</v>
      </c>
      <c r="F4504" s="14" t="s">
        <v>343</v>
      </c>
      <c r="G4504" s="14" t="s">
        <v>343</v>
      </c>
      <c r="H4504" s="14" t="s">
        <v>343</v>
      </c>
      <c r="I4504" s="14">
        <v>0.69</v>
      </c>
      <c r="J4504" s="14">
        <v>0.7</v>
      </c>
      <c r="K4504" s="14">
        <v>0.71</v>
      </c>
      <c r="L4504" s="14">
        <v>0.7</v>
      </c>
      <c r="M4504" s="14">
        <v>0.72</v>
      </c>
      <c r="N4504" s="14">
        <v>0.71</v>
      </c>
      <c r="O4504" s="14">
        <v>0.71</v>
      </c>
      <c r="P4504" s="14">
        <v>0.71</v>
      </c>
      <c r="Q4504" s="14">
        <v>0.72</v>
      </c>
      <c r="R4504" s="14">
        <v>0.73</v>
      </c>
      <c r="S4504" s="14">
        <v>0.74</v>
      </c>
      <c r="T4504" s="14">
        <v>0.73</v>
      </c>
      <c r="U4504" s="14">
        <v>0.73</v>
      </c>
      <c r="V4504" s="14">
        <v>0.74</v>
      </c>
      <c r="W4504" s="14">
        <v>0.78</v>
      </c>
      <c r="X4504" s="14">
        <v>0.77</v>
      </c>
    </row>
    <row r="4505" spans="1:24" hidden="1" x14ac:dyDescent="0.3">
      <c r="A4505" s="14" t="s">
        <v>507</v>
      </c>
      <c r="B4505" s="14" t="s">
        <v>192</v>
      </c>
      <c r="C4505" s="14" t="s">
        <v>367</v>
      </c>
      <c r="D4505" s="14" t="s">
        <v>368</v>
      </c>
      <c r="E4505" s="14" t="s">
        <v>344</v>
      </c>
      <c r="F4505" s="14" t="s">
        <v>343</v>
      </c>
      <c r="G4505" s="14" t="s">
        <v>343</v>
      </c>
      <c r="H4505" s="14" t="s">
        <v>343</v>
      </c>
      <c r="I4505" s="14">
        <v>33</v>
      </c>
      <c r="J4505" s="14">
        <v>37</v>
      </c>
      <c r="K4505" s="14">
        <v>39</v>
      </c>
      <c r="L4505" s="14">
        <v>46</v>
      </c>
      <c r="M4505" s="14">
        <v>32</v>
      </c>
      <c r="N4505" s="14">
        <v>35</v>
      </c>
      <c r="O4505" s="14">
        <v>47</v>
      </c>
      <c r="P4505" s="14">
        <v>51</v>
      </c>
      <c r="Q4505" s="14">
        <v>39</v>
      </c>
      <c r="R4505" s="14">
        <v>39</v>
      </c>
      <c r="S4505" s="14">
        <v>31</v>
      </c>
      <c r="T4505" s="14">
        <v>33</v>
      </c>
      <c r="U4505" s="14">
        <v>37</v>
      </c>
      <c r="V4505" s="14">
        <v>35</v>
      </c>
      <c r="W4505" s="14">
        <v>22</v>
      </c>
      <c r="X4505" s="14">
        <v>29</v>
      </c>
    </row>
    <row r="4506" spans="1:24" hidden="1" x14ac:dyDescent="0.3">
      <c r="A4506" s="14" t="s">
        <v>507</v>
      </c>
      <c r="B4506" s="14" t="s">
        <v>192</v>
      </c>
      <c r="C4506" s="14" t="s">
        <v>369</v>
      </c>
      <c r="D4506" s="14" t="s">
        <v>370</v>
      </c>
      <c r="E4506" s="14" t="s">
        <v>342</v>
      </c>
      <c r="F4506" s="14" t="s">
        <v>343</v>
      </c>
      <c r="G4506" s="14" t="s">
        <v>343</v>
      </c>
      <c r="H4506" s="14" t="s">
        <v>343</v>
      </c>
      <c r="I4506" s="14">
        <v>0.14000000000000001</v>
      </c>
      <c r="J4506" s="14">
        <v>0.14000000000000001</v>
      </c>
      <c r="K4506" s="14">
        <v>0.16</v>
      </c>
      <c r="L4506" s="14">
        <v>0.16</v>
      </c>
      <c r="M4506" s="14">
        <v>0.23</v>
      </c>
      <c r="N4506" s="14">
        <v>0.23</v>
      </c>
      <c r="O4506" s="14">
        <v>0.18</v>
      </c>
      <c r="P4506" s="14">
        <v>0.18</v>
      </c>
      <c r="Q4506" s="14">
        <v>0.21</v>
      </c>
      <c r="R4506" s="14">
        <v>0.24</v>
      </c>
      <c r="S4506" s="14">
        <v>0.27</v>
      </c>
      <c r="T4506" s="14">
        <v>0.24</v>
      </c>
      <c r="U4506" s="14">
        <v>0.24</v>
      </c>
      <c r="V4506" s="14">
        <v>0.28000000000000003</v>
      </c>
      <c r="W4506" s="14">
        <v>0.39</v>
      </c>
      <c r="X4506" s="14">
        <v>0.36</v>
      </c>
    </row>
    <row r="4507" spans="1:24" hidden="1" x14ac:dyDescent="0.3">
      <c r="A4507" s="14" t="s">
        <v>507</v>
      </c>
      <c r="B4507" s="14" t="s">
        <v>192</v>
      </c>
      <c r="C4507" s="14" t="s">
        <v>369</v>
      </c>
      <c r="D4507" s="14" t="s">
        <v>370</v>
      </c>
      <c r="E4507" s="14" t="s">
        <v>344</v>
      </c>
      <c r="F4507" s="14" t="s">
        <v>343</v>
      </c>
      <c r="G4507" s="14" t="s">
        <v>343</v>
      </c>
      <c r="H4507" s="14" t="s">
        <v>343</v>
      </c>
      <c r="I4507" s="14">
        <v>40</v>
      </c>
      <c r="J4507" s="14">
        <v>47</v>
      </c>
      <c r="K4507" s="14">
        <v>45</v>
      </c>
      <c r="L4507" s="14">
        <v>47</v>
      </c>
      <c r="M4507" s="14">
        <v>32</v>
      </c>
      <c r="N4507" s="14">
        <v>34</v>
      </c>
      <c r="O4507" s="14">
        <v>43</v>
      </c>
      <c r="P4507" s="14">
        <v>46</v>
      </c>
      <c r="Q4507" s="14">
        <v>44</v>
      </c>
      <c r="R4507" s="14">
        <v>41</v>
      </c>
      <c r="S4507" s="14">
        <v>36</v>
      </c>
      <c r="T4507" s="14">
        <v>43</v>
      </c>
      <c r="U4507" s="14">
        <v>46</v>
      </c>
      <c r="V4507" s="14">
        <v>39</v>
      </c>
      <c r="W4507" s="14">
        <v>26</v>
      </c>
      <c r="X4507" s="14">
        <v>33</v>
      </c>
    </row>
    <row r="4508" spans="1:24" hidden="1" x14ac:dyDescent="0.3">
      <c r="A4508" s="14" t="s">
        <v>507</v>
      </c>
      <c r="B4508" s="14" t="s">
        <v>192</v>
      </c>
      <c r="C4508" s="14" t="s">
        <v>371</v>
      </c>
      <c r="D4508" s="14" t="s">
        <v>372</v>
      </c>
      <c r="E4508" s="14" t="s">
        <v>342</v>
      </c>
      <c r="F4508" s="14" t="s">
        <v>343</v>
      </c>
      <c r="G4508" s="14" t="s">
        <v>343</v>
      </c>
      <c r="H4508" s="14" t="s">
        <v>343</v>
      </c>
      <c r="U4508" s="14">
        <v>0.01</v>
      </c>
      <c r="V4508" s="14">
        <v>0.01</v>
      </c>
      <c r="W4508" s="14">
        <v>0.01</v>
      </c>
      <c r="X4508" s="14">
        <v>0.01</v>
      </c>
    </row>
    <row r="4509" spans="1:24" hidden="1" x14ac:dyDescent="0.3">
      <c r="A4509" s="14" t="s">
        <v>507</v>
      </c>
      <c r="B4509" s="14" t="s">
        <v>192</v>
      </c>
      <c r="C4509" s="14" t="s">
        <v>371</v>
      </c>
      <c r="D4509" s="14" t="s">
        <v>372</v>
      </c>
      <c r="E4509" s="14" t="s">
        <v>344</v>
      </c>
      <c r="F4509" s="14" t="s">
        <v>343</v>
      </c>
      <c r="G4509" s="14" t="s">
        <v>343</v>
      </c>
      <c r="H4509" s="14" t="s">
        <v>343</v>
      </c>
      <c r="U4509" s="14">
        <v>59</v>
      </c>
      <c r="V4509" s="14">
        <v>63</v>
      </c>
      <c r="W4509" s="14">
        <v>66</v>
      </c>
      <c r="X4509" s="14">
        <v>66</v>
      </c>
    </row>
    <row r="4510" spans="1:24" hidden="1" x14ac:dyDescent="0.3">
      <c r="A4510" s="14" t="s">
        <v>507</v>
      </c>
      <c r="B4510" s="14" t="s">
        <v>192</v>
      </c>
      <c r="C4510" s="14" t="s">
        <v>373</v>
      </c>
      <c r="D4510" s="14" t="s">
        <v>374</v>
      </c>
      <c r="E4510" s="14" t="s">
        <v>342</v>
      </c>
      <c r="F4510" s="14" t="s">
        <v>343</v>
      </c>
      <c r="G4510" s="14" t="s">
        <v>343</v>
      </c>
      <c r="H4510" s="14" t="s">
        <v>343</v>
      </c>
      <c r="U4510" s="14">
        <v>0.28999999999999998</v>
      </c>
      <c r="V4510" s="14">
        <v>0.42</v>
      </c>
      <c r="W4510" s="14">
        <v>0.73</v>
      </c>
      <c r="X4510" s="14">
        <v>0.73</v>
      </c>
    </row>
    <row r="4511" spans="1:24" hidden="1" x14ac:dyDescent="0.3">
      <c r="A4511" s="14" t="s">
        <v>507</v>
      </c>
      <c r="B4511" s="14" t="s">
        <v>192</v>
      </c>
      <c r="C4511" s="14" t="s">
        <v>373</v>
      </c>
      <c r="D4511" s="14" t="s">
        <v>374</v>
      </c>
      <c r="E4511" s="14" t="s">
        <v>344</v>
      </c>
      <c r="F4511" s="14" t="s">
        <v>343</v>
      </c>
      <c r="G4511" s="14" t="s">
        <v>343</v>
      </c>
      <c r="H4511" s="14" t="s">
        <v>343</v>
      </c>
      <c r="U4511" s="14">
        <v>56</v>
      </c>
      <c r="V4511" s="14">
        <v>38</v>
      </c>
      <c r="W4511" s="14">
        <v>20</v>
      </c>
      <c r="X4511" s="14">
        <v>20</v>
      </c>
    </row>
    <row r="4512" spans="1:24" hidden="1" x14ac:dyDescent="0.3">
      <c r="A4512" s="14" t="s">
        <v>507</v>
      </c>
      <c r="B4512" s="14" t="s">
        <v>192</v>
      </c>
      <c r="C4512" s="14" t="s">
        <v>375</v>
      </c>
      <c r="D4512" s="14" t="s">
        <v>376</v>
      </c>
      <c r="E4512" s="14" t="s">
        <v>342</v>
      </c>
      <c r="F4512" s="14" t="s">
        <v>343</v>
      </c>
      <c r="G4512" s="14" t="s">
        <v>343</v>
      </c>
      <c r="H4512" s="14" t="s">
        <v>343</v>
      </c>
      <c r="U4512" s="14">
        <v>0.53</v>
      </c>
      <c r="V4512" s="14">
        <v>0.55000000000000004</v>
      </c>
      <c r="W4512" s="14">
        <v>0.67</v>
      </c>
      <c r="X4512" s="14">
        <v>0.57999999999999996</v>
      </c>
    </row>
    <row r="4513" spans="1:24" hidden="1" x14ac:dyDescent="0.3">
      <c r="A4513" s="14" t="s">
        <v>507</v>
      </c>
      <c r="B4513" s="14" t="s">
        <v>192</v>
      </c>
      <c r="C4513" s="14" t="s">
        <v>375</v>
      </c>
      <c r="D4513" s="14" t="s">
        <v>376</v>
      </c>
      <c r="E4513" s="14" t="s">
        <v>344</v>
      </c>
      <c r="F4513" s="14" t="s">
        <v>343</v>
      </c>
      <c r="G4513" s="14" t="s">
        <v>343</v>
      </c>
      <c r="H4513" s="14" t="s">
        <v>343</v>
      </c>
      <c r="U4513" s="14">
        <v>28</v>
      </c>
      <c r="V4513" s="14">
        <v>31</v>
      </c>
      <c r="W4513" s="14">
        <v>20</v>
      </c>
      <c r="X4513" s="14">
        <v>35</v>
      </c>
    </row>
    <row r="4514" spans="1:24" hidden="1" x14ac:dyDescent="0.3">
      <c r="A4514" s="14" t="s">
        <v>508</v>
      </c>
      <c r="B4514" s="14" t="s">
        <v>187</v>
      </c>
      <c r="C4514" s="14" t="s">
        <v>340</v>
      </c>
      <c r="D4514" s="14" t="s">
        <v>341</v>
      </c>
      <c r="E4514" s="14" t="s">
        <v>342</v>
      </c>
      <c r="F4514" s="14" t="s">
        <v>343</v>
      </c>
      <c r="G4514" s="14" t="s">
        <v>343</v>
      </c>
      <c r="H4514" s="14" t="s">
        <v>343</v>
      </c>
      <c r="I4514" s="14">
        <v>0.94</v>
      </c>
      <c r="J4514" s="14">
        <v>0.95</v>
      </c>
      <c r="K4514" s="14">
        <v>1</v>
      </c>
      <c r="L4514" s="14">
        <v>1</v>
      </c>
      <c r="M4514" s="14">
        <v>1</v>
      </c>
      <c r="N4514" s="14">
        <v>0.99</v>
      </c>
      <c r="O4514" s="14">
        <v>1</v>
      </c>
      <c r="P4514" s="14">
        <v>0.99</v>
      </c>
      <c r="Q4514" s="14">
        <v>0.99</v>
      </c>
      <c r="R4514" s="14">
        <v>0.99</v>
      </c>
      <c r="S4514" s="14">
        <v>1</v>
      </c>
      <c r="T4514" s="14">
        <v>0.99</v>
      </c>
      <c r="U4514" s="14">
        <v>0.99</v>
      </c>
      <c r="V4514" s="14">
        <v>1</v>
      </c>
      <c r="W4514" s="14">
        <v>1</v>
      </c>
      <c r="X4514" s="14">
        <v>1</v>
      </c>
    </row>
    <row r="4515" spans="1:24" hidden="1" x14ac:dyDescent="0.3">
      <c r="A4515" s="14" t="s">
        <v>508</v>
      </c>
      <c r="B4515" s="14" t="s">
        <v>187</v>
      </c>
      <c r="C4515" s="14" t="s">
        <v>340</v>
      </c>
      <c r="D4515" s="14" t="s">
        <v>341</v>
      </c>
      <c r="E4515" s="14" t="s">
        <v>344</v>
      </c>
      <c r="F4515" s="14" t="s">
        <v>343</v>
      </c>
      <c r="G4515" s="14" t="s">
        <v>343</v>
      </c>
      <c r="H4515" s="14" t="s">
        <v>343</v>
      </c>
      <c r="I4515" s="14">
        <v>82</v>
      </c>
      <c r="J4515" s="14">
        <v>95</v>
      </c>
      <c r="K4515" s="14">
        <v>38</v>
      </c>
      <c r="L4515" s="14">
        <v>40</v>
      </c>
      <c r="M4515" s="14">
        <v>45</v>
      </c>
      <c r="N4515" s="14">
        <v>46</v>
      </c>
      <c r="O4515" s="14">
        <v>44</v>
      </c>
      <c r="P4515" s="14">
        <v>61</v>
      </c>
      <c r="Q4515" s="14">
        <v>67</v>
      </c>
      <c r="R4515" s="14">
        <v>63</v>
      </c>
      <c r="S4515" s="14">
        <v>59</v>
      </c>
      <c r="T4515" s="14">
        <v>61</v>
      </c>
      <c r="U4515" s="14">
        <v>67</v>
      </c>
      <c r="V4515" s="14">
        <v>46</v>
      </c>
      <c r="W4515" s="14">
        <v>47</v>
      </c>
      <c r="X4515" s="14">
        <v>38</v>
      </c>
    </row>
    <row r="4516" spans="1:24" hidden="1" x14ac:dyDescent="0.3">
      <c r="A4516" s="14" t="s">
        <v>508</v>
      </c>
      <c r="B4516" s="14" t="s">
        <v>187</v>
      </c>
      <c r="C4516" s="14" t="s">
        <v>345</v>
      </c>
      <c r="D4516" s="14" t="s">
        <v>346</v>
      </c>
      <c r="E4516" s="14" t="s">
        <v>342</v>
      </c>
      <c r="F4516" s="14" t="s">
        <v>343</v>
      </c>
      <c r="G4516" s="14" t="s">
        <v>343</v>
      </c>
      <c r="H4516" s="14" t="s">
        <v>343</v>
      </c>
      <c r="U4516" s="14">
        <v>0.54</v>
      </c>
      <c r="V4516" s="14">
        <v>0.56999999999999995</v>
      </c>
      <c r="W4516" s="14">
        <v>0.61</v>
      </c>
      <c r="X4516" s="14">
        <v>0.65</v>
      </c>
    </row>
    <row r="4517" spans="1:24" hidden="1" x14ac:dyDescent="0.3">
      <c r="A4517" s="14" t="s">
        <v>508</v>
      </c>
      <c r="B4517" s="14" t="s">
        <v>187</v>
      </c>
      <c r="C4517" s="14" t="s">
        <v>345</v>
      </c>
      <c r="D4517" s="14" t="s">
        <v>346</v>
      </c>
      <c r="E4517" s="14" t="s">
        <v>344</v>
      </c>
      <c r="F4517" s="14" t="s">
        <v>343</v>
      </c>
      <c r="G4517" s="14" t="s">
        <v>343</v>
      </c>
      <c r="H4517" s="14" t="s">
        <v>343</v>
      </c>
      <c r="U4517" s="14">
        <v>100</v>
      </c>
      <c r="V4517" s="14">
        <v>98</v>
      </c>
      <c r="W4517" s="14">
        <v>73</v>
      </c>
      <c r="X4517" s="14">
        <v>70</v>
      </c>
    </row>
    <row r="4518" spans="1:24" hidden="1" x14ac:dyDescent="0.3">
      <c r="A4518" s="14" t="s">
        <v>508</v>
      </c>
      <c r="B4518" s="14" t="s">
        <v>187</v>
      </c>
      <c r="C4518" s="14" t="s">
        <v>347</v>
      </c>
      <c r="D4518" s="14" t="s">
        <v>348</v>
      </c>
      <c r="E4518" s="14" t="s">
        <v>342</v>
      </c>
      <c r="F4518" s="14" t="s">
        <v>343</v>
      </c>
      <c r="G4518" s="14" t="s">
        <v>343</v>
      </c>
      <c r="H4518" s="14" t="s">
        <v>343</v>
      </c>
      <c r="U4518" s="14">
        <v>0.69</v>
      </c>
      <c r="V4518" s="14">
        <v>0.7</v>
      </c>
      <c r="W4518" s="14">
        <v>0.72</v>
      </c>
      <c r="X4518" s="14">
        <v>0.71</v>
      </c>
    </row>
    <row r="4519" spans="1:24" hidden="1" x14ac:dyDescent="0.3">
      <c r="A4519" s="14" t="s">
        <v>508</v>
      </c>
      <c r="B4519" s="14" t="s">
        <v>187</v>
      </c>
      <c r="C4519" s="14" t="s">
        <v>347</v>
      </c>
      <c r="D4519" s="14" t="s">
        <v>348</v>
      </c>
      <c r="E4519" s="14" t="s">
        <v>344</v>
      </c>
      <c r="F4519" s="14" t="s">
        <v>343</v>
      </c>
      <c r="G4519" s="14" t="s">
        <v>343</v>
      </c>
      <c r="H4519" s="14" t="s">
        <v>343</v>
      </c>
      <c r="U4519" s="14">
        <v>100</v>
      </c>
      <c r="V4519" s="14">
        <v>105</v>
      </c>
      <c r="W4519" s="14">
        <v>105</v>
      </c>
      <c r="X4519" s="14">
        <v>94</v>
      </c>
    </row>
    <row r="4520" spans="1:24" hidden="1" x14ac:dyDescent="0.3">
      <c r="A4520" s="14" t="s">
        <v>508</v>
      </c>
      <c r="B4520" s="14" t="s">
        <v>187</v>
      </c>
      <c r="C4520" s="14" t="s">
        <v>349</v>
      </c>
      <c r="D4520" s="14" t="s">
        <v>350</v>
      </c>
      <c r="E4520" s="14" t="s">
        <v>342</v>
      </c>
      <c r="F4520" s="14" t="s">
        <v>343</v>
      </c>
      <c r="G4520" s="14" t="s">
        <v>343</v>
      </c>
      <c r="H4520" s="14" t="s">
        <v>343</v>
      </c>
      <c r="U4520" s="14">
        <v>0.53</v>
      </c>
      <c r="V4520" s="14">
        <v>0.6</v>
      </c>
      <c r="W4520" s="14">
        <v>0.62</v>
      </c>
      <c r="X4520" s="14">
        <v>0.66</v>
      </c>
    </row>
    <row r="4521" spans="1:24" hidden="1" x14ac:dyDescent="0.3">
      <c r="A4521" s="14" t="s">
        <v>508</v>
      </c>
      <c r="B4521" s="14" t="s">
        <v>187</v>
      </c>
      <c r="C4521" s="14" t="s">
        <v>349</v>
      </c>
      <c r="D4521" s="14" t="s">
        <v>350</v>
      </c>
      <c r="E4521" s="14" t="s">
        <v>344</v>
      </c>
      <c r="F4521" s="14" t="s">
        <v>343</v>
      </c>
      <c r="G4521" s="14" t="s">
        <v>343</v>
      </c>
      <c r="H4521" s="14" t="s">
        <v>343</v>
      </c>
      <c r="U4521" s="14">
        <v>53</v>
      </c>
      <c r="V4521" s="14">
        <v>43</v>
      </c>
      <c r="W4521" s="14">
        <v>44</v>
      </c>
      <c r="X4521" s="14">
        <v>36</v>
      </c>
    </row>
    <row r="4522" spans="1:24" hidden="1" x14ac:dyDescent="0.3">
      <c r="A4522" s="14" t="s">
        <v>508</v>
      </c>
      <c r="B4522" s="14" t="s">
        <v>187</v>
      </c>
      <c r="C4522" s="14" t="s">
        <v>351</v>
      </c>
      <c r="D4522" s="14" t="s">
        <v>352</v>
      </c>
      <c r="E4522" s="14" t="s">
        <v>342</v>
      </c>
      <c r="F4522" s="14" t="s">
        <v>343</v>
      </c>
      <c r="G4522" s="14" t="s">
        <v>343</v>
      </c>
      <c r="H4522" s="14" t="s">
        <v>343</v>
      </c>
      <c r="U4522" s="14">
        <v>1</v>
      </c>
      <c r="V4522" s="14">
        <v>1</v>
      </c>
      <c r="W4522" s="14">
        <v>1</v>
      </c>
      <c r="X4522" s="14">
        <v>1</v>
      </c>
    </row>
    <row r="4523" spans="1:24" hidden="1" x14ac:dyDescent="0.3">
      <c r="A4523" s="14" t="s">
        <v>508</v>
      </c>
      <c r="B4523" s="14" t="s">
        <v>187</v>
      </c>
      <c r="C4523" s="14" t="s">
        <v>351</v>
      </c>
      <c r="D4523" s="14" t="s">
        <v>352</v>
      </c>
      <c r="E4523" s="14" t="s">
        <v>344</v>
      </c>
      <c r="F4523" s="14" t="s">
        <v>343</v>
      </c>
      <c r="G4523" s="14" t="s">
        <v>343</v>
      </c>
      <c r="H4523" s="14" t="s">
        <v>343</v>
      </c>
      <c r="U4523" s="14">
        <v>1</v>
      </c>
      <c r="V4523" s="14">
        <v>1</v>
      </c>
      <c r="W4523" s="14">
        <v>1</v>
      </c>
      <c r="X4523" s="14">
        <v>1</v>
      </c>
    </row>
    <row r="4524" spans="1:24" hidden="1" x14ac:dyDescent="0.3">
      <c r="A4524" s="14" t="s">
        <v>508</v>
      </c>
      <c r="B4524" s="14" t="s">
        <v>187</v>
      </c>
      <c r="C4524" s="14" t="s">
        <v>378</v>
      </c>
      <c r="D4524" s="14" t="s">
        <v>379</v>
      </c>
      <c r="E4524" s="14" t="s">
        <v>342</v>
      </c>
      <c r="F4524" s="14" t="s">
        <v>343</v>
      </c>
      <c r="G4524" s="14" t="s">
        <v>343</v>
      </c>
      <c r="H4524" s="14" t="s">
        <v>343</v>
      </c>
      <c r="S4524" s="14">
        <v>0.55000000000000004</v>
      </c>
      <c r="U4524" s="14">
        <v>0.53</v>
      </c>
      <c r="V4524" s="14">
        <v>0.54</v>
      </c>
      <c r="W4524" s="14">
        <v>0.57999999999999996</v>
      </c>
      <c r="X4524" s="14">
        <v>0.56999999999999995</v>
      </c>
    </row>
    <row r="4525" spans="1:24" hidden="1" x14ac:dyDescent="0.3">
      <c r="A4525" s="14" t="s">
        <v>508</v>
      </c>
      <c r="B4525" s="14" t="s">
        <v>187</v>
      </c>
      <c r="C4525" s="14" t="s">
        <v>378</v>
      </c>
      <c r="D4525" s="14" t="s">
        <v>379</v>
      </c>
      <c r="E4525" s="14" t="s">
        <v>344</v>
      </c>
      <c r="F4525" s="14" t="s">
        <v>343</v>
      </c>
      <c r="G4525" s="14" t="s">
        <v>343</v>
      </c>
      <c r="H4525" s="14" t="s">
        <v>343</v>
      </c>
      <c r="S4525" s="14">
        <v>115</v>
      </c>
      <c r="U4525" s="14">
        <v>118</v>
      </c>
      <c r="V4525" s="14">
        <v>120</v>
      </c>
      <c r="W4525" s="14">
        <v>112</v>
      </c>
      <c r="X4525" s="14">
        <v>112</v>
      </c>
    </row>
    <row r="4526" spans="1:24" hidden="1" x14ac:dyDescent="0.3">
      <c r="A4526" s="14" t="s">
        <v>508</v>
      </c>
      <c r="B4526" s="14" t="s">
        <v>187</v>
      </c>
      <c r="C4526" s="14" t="s">
        <v>353</v>
      </c>
      <c r="D4526" s="14" t="s">
        <v>354</v>
      </c>
      <c r="E4526" s="14" t="s">
        <v>342</v>
      </c>
      <c r="F4526" s="14" t="s">
        <v>343</v>
      </c>
      <c r="G4526" s="14" t="s">
        <v>343</v>
      </c>
      <c r="H4526" s="14" t="s">
        <v>343</v>
      </c>
      <c r="U4526" s="14">
        <v>0.98</v>
      </c>
      <c r="V4526" s="14">
        <v>0.99</v>
      </c>
      <c r="W4526" s="14">
        <v>0.99</v>
      </c>
      <c r="X4526" s="14">
        <v>0.99</v>
      </c>
    </row>
    <row r="4527" spans="1:24" hidden="1" x14ac:dyDescent="0.3">
      <c r="A4527" s="14" t="s">
        <v>508</v>
      </c>
      <c r="B4527" s="14" t="s">
        <v>187</v>
      </c>
      <c r="C4527" s="14" t="s">
        <v>353</v>
      </c>
      <c r="D4527" s="14" t="s">
        <v>354</v>
      </c>
      <c r="E4527" s="14" t="s">
        <v>344</v>
      </c>
      <c r="F4527" s="14" t="s">
        <v>343</v>
      </c>
      <c r="G4527" s="14" t="s">
        <v>343</v>
      </c>
      <c r="H4527" s="14" t="s">
        <v>343</v>
      </c>
      <c r="U4527" s="14">
        <v>72</v>
      </c>
      <c r="V4527" s="14">
        <v>73</v>
      </c>
      <c r="W4527" s="14">
        <v>73</v>
      </c>
      <c r="X4527" s="14">
        <v>65</v>
      </c>
    </row>
    <row r="4528" spans="1:24" hidden="1" x14ac:dyDescent="0.3">
      <c r="A4528" s="14" t="s">
        <v>508</v>
      </c>
      <c r="B4528" s="14" t="s">
        <v>187</v>
      </c>
      <c r="C4528" s="14" t="s">
        <v>380</v>
      </c>
      <c r="D4528" s="14" t="s">
        <v>381</v>
      </c>
      <c r="E4528" s="14" t="s">
        <v>342</v>
      </c>
      <c r="F4528" s="14" t="s">
        <v>343</v>
      </c>
      <c r="G4528" s="14" t="s">
        <v>343</v>
      </c>
      <c r="H4528" s="14" t="s">
        <v>343</v>
      </c>
      <c r="U4528" s="14">
        <v>0.99</v>
      </c>
      <c r="V4528" s="14">
        <v>1</v>
      </c>
      <c r="W4528" s="14">
        <v>1</v>
      </c>
      <c r="X4528" s="14">
        <v>1</v>
      </c>
    </row>
    <row r="4529" spans="1:24" hidden="1" x14ac:dyDescent="0.3">
      <c r="A4529" s="14" t="s">
        <v>508</v>
      </c>
      <c r="B4529" s="14" t="s">
        <v>187</v>
      </c>
      <c r="C4529" s="14" t="s">
        <v>380</v>
      </c>
      <c r="D4529" s="14" t="s">
        <v>381</v>
      </c>
      <c r="E4529" s="14" t="s">
        <v>344</v>
      </c>
      <c r="F4529" s="14" t="s">
        <v>343</v>
      </c>
      <c r="G4529" s="14" t="s">
        <v>343</v>
      </c>
      <c r="H4529" s="14" t="s">
        <v>343</v>
      </c>
      <c r="U4529" s="14">
        <v>88</v>
      </c>
      <c r="V4529" s="14">
        <v>1</v>
      </c>
      <c r="W4529" s="14">
        <v>1</v>
      </c>
      <c r="X4529" s="14">
        <v>65</v>
      </c>
    </row>
    <row r="4530" spans="1:24" hidden="1" x14ac:dyDescent="0.3">
      <c r="A4530" s="14" t="s">
        <v>508</v>
      </c>
      <c r="B4530" s="14" t="s">
        <v>187</v>
      </c>
      <c r="C4530" s="14" t="s">
        <v>355</v>
      </c>
      <c r="D4530" s="14" t="s">
        <v>356</v>
      </c>
      <c r="E4530" s="14" t="s">
        <v>342</v>
      </c>
      <c r="F4530" s="14" t="s">
        <v>343</v>
      </c>
      <c r="G4530" s="14" t="s">
        <v>343</v>
      </c>
      <c r="H4530" s="14" t="s">
        <v>343</v>
      </c>
      <c r="U4530" s="14">
        <v>1</v>
      </c>
      <c r="V4530" s="14">
        <v>1</v>
      </c>
      <c r="W4530" s="14">
        <v>1</v>
      </c>
      <c r="X4530" s="14">
        <v>1</v>
      </c>
    </row>
    <row r="4531" spans="1:24" hidden="1" x14ac:dyDescent="0.3">
      <c r="A4531" s="14" t="s">
        <v>508</v>
      </c>
      <c r="B4531" s="14" t="s">
        <v>187</v>
      </c>
      <c r="C4531" s="14" t="s">
        <v>355</v>
      </c>
      <c r="D4531" s="14" t="s">
        <v>356</v>
      </c>
      <c r="E4531" s="14" t="s">
        <v>344</v>
      </c>
      <c r="F4531" s="14" t="s">
        <v>343</v>
      </c>
      <c r="G4531" s="14" t="s">
        <v>343</v>
      </c>
      <c r="H4531" s="14" t="s">
        <v>343</v>
      </c>
      <c r="U4531" s="14">
        <v>1</v>
      </c>
      <c r="V4531" s="14">
        <v>1</v>
      </c>
      <c r="W4531" s="14">
        <v>1</v>
      </c>
      <c r="X4531" s="14">
        <v>1</v>
      </c>
    </row>
    <row r="4532" spans="1:24" hidden="1" x14ac:dyDescent="0.3">
      <c r="A4532" s="14" t="s">
        <v>508</v>
      </c>
      <c r="B4532" s="14" t="s">
        <v>187</v>
      </c>
      <c r="C4532" s="14" t="s">
        <v>357</v>
      </c>
      <c r="D4532" s="14" t="s">
        <v>358</v>
      </c>
      <c r="E4532" s="14" t="s">
        <v>342</v>
      </c>
      <c r="F4532" s="14" t="s">
        <v>343</v>
      </c>
      <c r="G4532" s="14" t="s">
        <v>343</v>
      </c>
      <c r="H4532" s="14" t="s">
        <v>343</v>
      </c>
      <c r="U4532" s="14">
        <v>1</v>
      </c>
      <c r="V4532" s="14">
        <v>1</v>
      </c>
      <c r="W4532" s="14">
        <v>1</v>
      </c>
    </row>
    <row r="4533" spans="1:24" hidden="1" x14ac:dyDescent="0.3">
      <c r="A4533" s="14" t="s">
        <v>508</v>
      </c>
      <c r="B4533" s="14" t="s">
        <v>187</v>
      </c>
      <c r="C4533" s="14" t="s">
        <v>357</v>
      </c>
      <c r="D4533" s="14" t="s">
        <v>358</v>
      </c>
      <c r="E4533" s="14" t="s">
        <v>344</v>
      </c>
      <c r="F4533" s="14" t="s">
        <v>343</v>
      </c>
      <c r="G4533" s="14" t="s">
        <v>343</v>
      </c>
      <c r="H4533" s="14" t="s">
        <v>343</v>
      </c>
      <c r="U4533" s="14">
        <v>1</v>
      </c>
      <c r="V4533" s="14">
        <v>1</v>
      </c>
      <c r="W4533" s="14">
        <v>1</v>
      </c>
    </row>
    <row r="4534" spans="1:24" hidden="1" x14ac:dyDescent="0.3">
      <c r="A4534" s="14" t="s">
        <v>508</v>
      </c>
      <c r="B4534" s="14" t="s">
        <v>187</v>
      </c>
      <c r="C4534" s="14" t="s">
        <v>359</v>
      </c>
      <c r="D4534" s="14" t="s">
        <v>360</v>
      </c>
      <c r="E4534" s="14" t="s">
        <v>342</v>
      </c>
      <c r="F4534" s="14" t="s">
        <v>343</v>
      </c>
      <c r="G4534" s="14" t="s">
        <v>343</v>
      </c>
      <c r="H4534" s="14" t="s">
        <v>343</v>
      </c>
      <c r="I4534" s="14">
        <v>0.55000000000000004</v>
      </c>
      <c r="J4534" s="14">
        <v>0.59</v>
      </c>
      <c r="K4534" s="14">
        <v>0.48</v>
      </c>
      <c r="L4534" s="14">
        <v>0.67</v>
      </c>
      <c r="M4534" s="14">
        <v>0.64</v>
      </c>
      <c r="N4534" s="14">
        <v>0.64</v>
      </c>
      <c r="O4534" s="14">
        <v>0.65</v>
      </c>
      <c r="P4534" s="14">
        <v>0.64</v>
      </c>
      <c r="Q4534" s="14">
        <v>0.65</v>
      </c>
      <c r="R4534" s="14">
        <v>0.62</v>
      </c>
      <c r="S4534" s="14">
        <v>0.66</v>
      </c>
      <c r="T4534" s="14">
        <v>0.65</v>
      </c>
      <c r="U4534" s="14">
        <v>0.62</v>
      </c>
      <c r="V4534" s="14">
        <v>0.64</v>
      </c>
      <c r="W4534" s="14">
        <v>0.67</v>
      </c>
      <c r="X4534" s="14">
        <v>0.68</v>
      </c>
    </row>
    <row r="4535" spans="1:24" hidden="1" x14ac:dyDescent="0.3">
      <c r="A4535" s="14" t="s">
        <v>508</v>
      </c>
      <c r="B4535" s="14" t="s">
        <v>187</v>
      </c>
      <c r="C4535" s="14" t="s">
        <v>359</v>
      </c>
      <c r="D4535" s="14" t="s">
        <v>360</v>
      </c>
      <c r="E4535" s="14" t="s">
        <v>344</v>
      </c>
      <c r="F4535" s="14" t="s">
        <v>343</v>
      </c>
      <c r="G4535" s="14" t="s">
        <v>343</v>
      </c>
      <c r="H4535" s="14" t="s">
        <v>343</v>
      </c>
      <c r="I4535" s="14">
        <v>80</v>
      </c>
      <c r="J4535" s="14">
        <v>83</v>
      </c>
      <c r="K4535" s="14">
        <v>111</v>
      </c>
      <c r="L4535" s="14">
        <v>58</v>
      </c>
      <c r="M4535" s="14">
        <v>71</v>
      </c>
      <c r="N4535" s="14">
        <v>69</v>
      </c>
      <c r="O4535" s="14">
        <v>71</v>
      </c>
      <c r="P4535" s="14">
        <v>83</v>
      </c>
      <c r="Q4535" s="14">
        <v>85</v>
      </c>
      <c r="R4535" s="14">
        <v>102</v>
      </c>
      <c r="S4535" s="14">
        <v>82</v>
      </c>
      <c r="T4535" s="14">
        <v>90</v>
      </c>
      <c r="U4535" s="14">
        <v>98</v>
      </c>
      <c r="V4535" s="14">
        <v>95</v>
      </c>
      <c r="W4535" s="14">
        <v>85</v>
      </c>
      <c r="X4535" s="14">
        <v>78</v>
      </c>
    </row>
    <row r="4536" spans="1:24" x14ac:dyDescent="0.3">
      <c r="A4536" s="14" t="s">
        <v>508</v>
      </c>
      <c r="B4536" s="14" t="s">
        <v>187</v>
      </c>
      <c r="C4536" s="14" t="s">
        <v>361</v>
      </c>
      <c r="D4536" s="14" t="s">
        <v>362</v>
      </c>
      <c r="E4536" s="14" t="s">
        <v>342</v>
      </c>
      <c r="F4536" s="14" t="s">
        <v>343</v>
      </c>
      <c r="G4536" s="14" t="s">
        <v>343</v>
      </c>
      <c r="H4536" s="14" t="s">
        <v>343</v>
      </c>
      <c r="I4536" s="14">
        <v>0.98</v>
      </c>
      <c r="J4536" s="14">
        <v>0.98</v>
      </c>
      <c r="K4536" s="14">
        <v>0.98</v>
      </c>
      <c r="L4536" s="14">
        <v>0.98</v>
      </c>
      <c r="M4536" s="14">
        <v>0.98</v>
      </c>
      <c r="N4536" s="14">
        <v>0.98</v>
      </c>
      <c r="O4536" s="14">
        <v>0.98</v>
      </c>
      <c r="P4536" s="14">
        <v>0.98</v>
      </c>
      <c r="Q4536" s="14">
        <v>0.98</v>
      </c>
      <c r="R4536" s="14">
        <v>0.98</v>
      </c>
      <c r="S4536" s="14">
        <v>0.98</v>
      </c>
      <c r="T4536" s="14">
        <v>0.97</v>
      </c>
      <c r="U4536" s="14">
        <v>0.97</v>
      </c>
      <c r="V4536" s="14">
        <v>0.97</v>
      </c>
      <c r="W4536" s="14">
        <v>0.97</v>
      </c>
      <c r="X4536" s="14">
        <v>0.98</v>
      </c>
    </row>
    <row r="4537" spans="1:24" hidden="1" x14ac:dyDescent="0.3">
      <c r="A4537" s="14" t="s">
        <v>508</v>
      </c>
      <c r="B4537" s="14" t="s">
        <v>187</v>
      </c>
      <c r="C4537" s="14" t="s">
        <v>361</v>
      </c>
      <c r="D4537" s="14" t="s">
        <v>362</v>
      </c>
      <c r="E4537" s="14" t="s">
        <v>344</v>
      </c>
      <c r="F4537" s="14" t="s">
        <v>343</v>
      </c>
      <c r="G4537" s="14" t="s">
        <v>343</v>
      </c>
      <c r="H4537" s="14" t="s">
        <v>343</v>
      </c>
      <c r="I4537" s="14">
        <v>1</v>
      </c>
      <c r="J4537" s="14">
        <v>1</v>
      </c>
      <c r="K4537" s="14">
        <v>1</v>
      </c>
      <c r="L4537" s="14">
        <v>1</v>
      </c>
      <c r="M4537" s="14">
        <v>57</v>
      </c>
      <c r="N4537" s="14">
        <v>58</v>
      </c>
      <c r="O4537" s="14">
        <v>58</v>
      </c>
      <c r="P4537" s="14">
        <v>55</v>
      </c>
      <c r="Q4537" s="14">
        <v>1</v>
      </c>
      <c r="R4537" s="14">
        <v>1</v>
      </c>
      <c r="S4537" s="14">
        <v>1</v>
      </c>
      <c r="T4537" s="14">
        <v>97</v>
      </c>
      <c r="U4537" s="14">
        <v>96</v>
      </c>
      <c r="V4537" s="14">
        <v>96</v>
      </c>
      <c r="W4537" s="14">
        <v>62</v>
      </c>
      <c r="X4537" s="14">
        <v>58</v>
      </c>
    </row>
    <row r="4538" spans="1:24" hidden="1" x14ac:dyDescent="0.3">
      <c r="A4538" s="14" t="s">
        <v>508</v>
      </c>
      <c r="B4538" s="14" t="s">
        <v>187</v>
      </c>
      <c r="C4538" s="14" t="s">
        <v>363</v>
      </c>
      <c r="D4538" s="14" t="s">
        <v>364</v>
      </c>
      <c r="E4538" s="14" t="s">
        <v>342</v>
      </c>
      <c r="F4538" s="14" t="s">
        <v>343</v>
      </c>
      <c r="G4538" s="14" t="s">
        <v>343</v>
      </c>
      <c r="H4538" s="14" t="s">
        <v>343</v>
      </c>
      <c r="U4538" s="14">
        <v>1.03</v>
      </c>
      <c r="V4538" s="14">
        <v>1.03</v>
      </c>
      <c r="W4538" s="14">
        <v>1.04</v>
      </c>
      <c r="X4538" s="14">
        <v>1.04</v>
      </c>
    </row>
    <row r="4539" spans="1:24" hidden="1" x14ac:dyDescent="0.3">
      <c r="A4539" s="14" t="s">
        <v>508</v>
      </c>
      <c r="B4539" s="14" t="s">
        <v>187</v>
      </c>
      <c r="C4539" s="14" t="s">
        <v>363</v>
      </c>
      <c r="D4539" s="14" t="s">
        <v>364</v>
      </c>
      <c r="E4539" s="14" t="s">
        <v>344</v>
      </c>
      <c r="F4539" s="14" t="s">
        <v>343</v>
      </c>
      <c r="G4539" s="14" t="s">
        <v>343</v>
      </c>
      <c r="H4539" s="14" t="s">
        <v>343</v>
      </c>
      <c r="U4539" s="14">
        <v>104</v>
      </c>
      <c r="V4539" s="14">
        <v>107</v>
      </c>
      <c r="W4539" s="14">
        <v>69</v>
      </c>
      <c r="X4539" s="14">
        <v>64</v>
      </c>
    </row>
    <row r="4540" spans="1:24" hidden="1" x14ac:dyDescent="0.3">
      <c r="A4540" s="14" t="s">
        <v>508</v>
      </c>
      <c r="B4540" s="14" t="s">
        <v>187</v>
      </c>
      <c r="C4540" s="14" t="s">
        <v>365</v>
      </c>
      <c r="D4540" s="14" t="s">
        <v>366</v>
      </c>
      <c r="E4540" s="14" t="s">
        <v>342</v>
      </c>
      <c r="F4540" s="14" t="s">
        <v>343</v>
      </c>
      <c r="G4540" s="14" t="s">
        <v>343</v>
      </c>
      <c r="H4540" s="14" t="s">
        <v>343</v>
      </c>
      <c r="U4540" s="14">
        <v>0.94</v>
      </c>
      <c r="V4540" s="14">
        <v>0.94</v>
      </c>
      <c r="W4540" s="14">
        <v>0.94</v>
      </c>
      <c r="X4540" s="14">
        <v>0.94</v>
      </c>
    </row>
    <row r="4541" spans="1:24" hidden="1" x14ac:dyDescent="0.3">
      <c r="A4541" s="14" t="s">
        <v>508</v>
      </c>
      <c r="B4541" s="14" t="s">
        <v>187</v>
      </c>
      <c r="C4541" s="14" t="s">
        <v>365</v>
      </c>
      <c r="D4541" s="14" t="s">
        <v>366</v>
      </c>
      <c r="E4541" s="14" t="s">
        <v>344</v>
      </c>
      <c r="F4541" s="14" t="s">
        <v>343</v>
      </c>
      <c r="G4541" s="14" t="s">
        <v>343</v>
      </c>
      <c r="H4541" s="14" t="s">
        <v>343</v>
      </c>
      <c r="U4541" s="14">
        <v>1</v>
      </c>
      <c r="V4541" s="14">
        <v>1</v>
      </c>
      <c r="W4541" s="14">
        <v>1</v>
      </c>
      <c r="X4541" s="14">
        <v>1</v>
      </c>
    </row>
    <row r="4542" spans="1:24" hidden="1" x14ac:dyDescent="0.3">
      <c r="A4542" s="14" t="s">
        <v>508</v>
      </c>
      <c r="B4542" s="14" t="s">
        <v>187</v>
      </c>
      <c r="C4542" s="14" t="s">
        <v>367</v>
      </c>
      <c r="D4542" s="14" t="s">
        <v>368</v>
      </c>
      <c r="E4542" s="14" t="s">
        <v>342</v>
      </c>
      <c r="F4542" s="14" t="s">
        <v>343</v>
      </c>
      <c r="G4542" s="14" t="s">
        <v>343</v>
      </c>
      <c r="H4542" s="14" t="s">
        <v>343</v>
      </c>
      <c r="I4542" s="14">
        <v>0.66</v>
      </c>
      <c r="J4542" s="14">
        <v>0.67</v>
      </c>
      <c r="K4542" s="14">
        <v>0.64</v>
      </c>
      <c r="L4542" s="14">
        <v>0.69</v>
      </c>
      <c r="M4542" s="14">
        <v>0.68</v>
      </c>
      <c r="N4542" s="14">
        <v>0.68</v>
      </c>
      <c r="O4542" s="14">
        <v>0.67</v>
      </c>
      <c r="P4542" s="14">
        <v>0.67</v>
      </c>
      <c r="Q4542" s="14">
        <v>0.69</v>
      </c>
      <c r="R4542" s="14">
        <v>0.67</v>
      </c>
      <c r="S4542" s="14">
        <v>0.68</v>
      </c>
      <c r="T4542" s="14">
        <v>0.68</v>
      </c>
      <c r="U4542" s="14">
        <v>0.67</v>
      </c>
      <c r="V4542" s="14">
        <v>0.68</v>
      </c>
      <c r="W4542" s="14">
        <v>0.7</v>
      </c>
      <c r="X4542" s="14">
        <v>0.71</v>
      </c>
    </row>
    <row r="4543" spans="1:24" hidden="1" x14ac:dyDescent="0.3">
      <c r="A4543" s="14" t="s">
        <v>508</v>
      </c>
      <c r="B4543" s="14" t="s">
        <v>187</v>
      </c>
      <c r="C4543" s="14" t="s">
        <v>367</v>
      </c>
      <c r="D4543" s="14" t="s">
        <v>368</v>
      </c>
      <c r="E4543" s="14" t="s">
        <v>344</v>
      </c>
      <c r="F4543" s="14" t="s">
        <v>343</v>
      </c>
      <c r="G4543" s="14" t="s">
        <v>343</v>
      </c>
      <c r="H4543" s="14" t="s">
        <v>343</v>
      </c>
      <c r="I4543" s="14">
        <v>64</v>
      </c>
      <c r="J4543" s="14">
        <v>69</v>
      </c>
      <c r="K4543" s="14">
        <v>100</v>
      </c>
      <c r="L4543" s="14">
        <v>66</v>
      </c>
      <c r="M4543" s="14">
        <v>69</v>
      </c>
      <c r="N4543" s="14">
        <v>67</v>
      </c>
      <c r="O4543" s="14">
        <v>83</v>
      </c>
      <c r="P4543" s="14">
        <v>89</v>
      </c>
      <c r="Q4543" s="14">
        <v>81</v>
      </c>
      <c r="R4543" s="14">
        <v>107</v>
      </c>
      <c r="S4543" s="14">
        <v>96</v>
      </c>
      <c r="T4543" s="14">
        <v>96</v>
      </c>
      <c r="U4543" s="14">
        <v>104</v>
      </c>
      <c r="V4543" s="14">
        <v>100</v>
      </c>
      <c r="W4543" s="14">
        <v>86</v>
      </c>
      <c r="X4543" s="14">
        <v>80</v>
      </c>
    </row>
    <row r="4544" spans="1:24" hidden="1" x14ac:dyDescent="0.3">
      <c r="A4544" s="14" t="s">
        <v>508</v>
      </c>
      <c r="B4544" s="14" t="s">
        <v>187</v>
      </c>
      <c r="C4544" s="14" t="s">
        <v>369</v>
      </c>
      <c r="D4544" s="14" t="s">
        <v>370</v>
      </c>
      <c r="E4544" s="14" t="s">
        <v>342</v>
      </c>
      <c r="F4544" s="14" t="s">
        <v>343</v>
      </c>
      <c r="G4544" s="14" t="s">
        <v>343</v>
      </c>
      <c r="H4544" s="14" t="s">
        <v>343</v>
      </c>
      <c r="I4544" s="14">
        <v>0.14000000000000001</v>
      </c>
      <c r="J4544" s="14">
        <v>0.14000000000000001</v>
      </c>
      <c r="K4544" s="14">
        <v>0.09</v>
      </c>
      <c r="L4544" s="14">
        <v>0.1</v>
      </c>
      <c r="M4544" s="14">
        <v>0.11</v>
      </c>
      <c r="N4544" s="14">
        <v>0.11</v>
      </c>
      <c r="O4544" s="14">
        <v>0.06</v>
      </c>
      <c r="P4544" s="14">
        <v>0.08</v>
      </c>
      <c r="Q4544" s="14">
        <v>0.14000000000000001</v>
      </c>
      <c r="S4544" s="14">
        <v>0.08</v>
      </c>
      <c r="T4544" s="14">
        <v>0.09</v>
      </c>
      <c r="U4544" s="14">
        <v>0.1</v>
      </c>
      <c r="V4544" s="14">
        <v>0.12</v>
      </c>
      <c r="W4544" s="14">
        <v>0.16</v>
      </c>
      <c r="X4544" s="14">
        <v>0.17</v>
      </c>
    </row>
    <row r="4545" spans="1:24" hidden="1" x14ac:dyDescent="0.3">
      <c r="A4545" s="14" t="s">
        <v>508</v>
      </c>
      <c r="B4545" s="14" t="s">
        <v>187</v>
      </c>
      <c r="C4545" s="14" t="s">
        <v>369</v>
      </c>
      <c r="D4545" s="14" t="s">
        <v>370</v>
      </c>
      <c r="E4545" s="14" t="s">
        <v>344</v>
      </c>
      <c r="F4545" s="14" t="s">
        <v>343</v>
      </c>
      <c r="G4545" s="14" t="s">
        <v>343</v>
      </c>
      <c r="H4545" s="14" t="s">
        <v>343</v>
      </c>
      <c r="I4545" s="14">
        <v>38</v>
      </c>
      <c r="J4545" s="14">
        <v>45</v>
      </c>
      <c r="K4545" s="14">
        <v>89</v>
      </c>
      <c r="L4545" s="14">
        <v>85</v>
      </c>
      <c r="M4545" s="14">
        <v>75</v>
      </c>
      <c r="N4545" s="14">
        <v>73</v>
      </c>
      <c r="O4545" s="14">
        <v>115</v>
      </c>
      <c r="P4545" s="14">
        <v>104</v>
      </c>
      <c r="Q4545" s="14">
        <v>79</v>
      </c>
      <c r="R4545" s="14">
        <v>122</v>
      </c>
      <c r="S4545" s="14">
        <v>122</v>
      </c>
      <c r="T4545" s="14">
        <v>113</v>
      </c>
      <c r="U4545" s="14">
        <v>114</v>
      </c>
      <c r="V4545" s="14">
        <v>112</v>
      </c>
      <c r="W4545" s="14">
        <v>94</v>
      </c>
      <c r="X4545" s="14">
        <v>84</v>
      </c>
    </row>
    <row r="4546" spans="1:24" hidden="1" x14ac:dyDescent="0.3">
      <c r="A4546" s="14" t="s">
        <v>508</v>
      </c>
      <c r="B4546" s="14" t="s">
        <v>187</v>
      </c>
      <c r="C4546" s="14" t="s">
        <v>371</v>
      </c>
      <c r="D4546" s="14" t="s">
        <v>372</v>
      </c>
      <c r="E4546" s="14" t="s">
        <v>342</v>
      </c>
      <c r="F4546" s="14" t="s">
        <v>343</v>
      </c>
      <c r="G4546" s="14" t="s">
        <v>343</v>
      </c>
      <c r="H4546" s="14" t="s">
        <v>343</v>
      </c>
      <c r="U4546" s="14">
        <v>0</v>
      </c>
      <c r="V4546" s="14">
        <v>0</v>
      </c>
      <c r="W4546" s="14">
        <v>0</v>
      </c>
      <c r="X4546" s="14">
        <v>0</v>
      </c>
    </row>
    <row r="4547" spans="1:24" hidden="1" x14ac:dyDescent="0.3">
      <c r="A4547" s="14" t="s">
        <v>508</v>
      </c>
      <c r="B4547" s="14" t="s">
        <v>187</v>
      </c>
      <c r="C4547" s="14" t="s">
        <v>371</v>
      </c>
      <c r="D4547" s="14" t="s">
        <v>372</v>
      </c>
      <c r="E4547" s="14" t="s">
        <v>344</v>
      </c>
      <c r="F4547" s="14" t="s">
        <v>343</v>
      </c>
      <c r="G4547" s="14" t="s">
        <v>343</v>
      </c>
      <c r="H4547" s="14" t="s">
        <v>343</v>
      </c>
      <c r="U4547" s="14">
        <v>71</v>
      </c>
      <c r="V4547" s="14">
        <v>73</v>
      </c>
      <c r="W4547" s="14">
        <v>76</v>
      </c>
      <c r="X4547" s="14">
        <v>78</v>
      </c>
    </row>
    <row r="4548" spans="1:24" hidden="1" x14ac:dyDescent="0.3">
      <c r="A4548" s="14" t="s">
        <v>508</v>
      </c>
      <c r="B4548" s="14" t="s">
        <v>187</v>
      </c>
      <c r="C4548" s="14" t="s">
        <v>373</v>
      </c>
      <c r="D4548" s="14" t="s">
        <v>374</v>
      </c>
      <c r="E4548" s="14" t="s">
        <v>342</v>
      </c>
      <c r="F4548" s="14" t="s">
        <v>343</v>
      </c>
      <c r="G4548" s="14" t="s">
        <v>343</v>
      </c>
      <c r="H4548" s="14" t="s">
        <v>343</v>
      </c>
      <c r="U4548" s="14">
        <v>0.18</v>
      </c>
      <c r="V4548" s="14">
        <v>0.27</v>
      </c>
      <c r="W4548" s="14">
        <v>0.44</v>
      </c>
      <c r="X4548" s="14">
        <v>0.44</v>
      </c>
    </row>
    <row r="4549" spans="1:24" hidden="1" x14ac:dyDescent="0.3">
      <c r="A4549" s="14" t="s">
        <v>508</v>
      </c>
      <c r="B4549" s="14" t="s">
        <v>187</v>
      </c>
      <c r="C4549" s="14" t="s">
        <v>373</v>
      </c>
      <c r="D4549" s="14" t="s">
        <v>374</v>
      </c>
      <c r="E4549" s="14" t="s">
        <v>344</v>
      </c>
      <c r="F4549" s="14" t="s">
        <v>343</v>
      </c>
      <c r="G4549" s="14" t="s">
        <v>343</v>
      </c>
      <c r="H4549" s="14" t="s">
        <v>343</v>
      </c>
      <c r="U4549" s="14">
        <v>93</v>
      </c>
      <c r="V4549" s="14">
        <v>78</v>
      </c>
      <c r="W4549" s="14">
        <v>52</v>
      </c>
      <c r="X4549" s="14">
        <v>50</v>
      </c>
    </row>
    <row r="4550" spans="1:24" hidden="1" x14ac:dyDescent="0.3">
      <c r="A4550" s="14" t="s">
        <v>508</v>
      </c>
      <c r="B4550" s="14" t="s">
        <v>187</v>
      </c>
      <c r="C4550" s="14" t="s">
        <v>375</v>
      </c>
      <c r="D4550" s="14" t="s">
        <v>376</v>
      </c>
      <c r="E4550" s="14" t="s">
        <v>342</v>
      </c>
      <c r="F4550" s="14" t="s">
        <v>343</v>
      </c>
      <c r="G4550" s="14" t="s">
        <v>343</v>
      </c>
      <c r="H4550" s="14" t="s">
        <v>343</v>
      </c>
      <c r="U4550" s="14">
        <v>0.18</v>
      </c>
      <c r="V4550" s="14">
        <v>0.18</v>
      </c>
      <c r="W4550" s="14">
        <v>0.18</v>
      </c>
      <c r="X4550" s="14">
        <v>0.21</v>
      </c>
    </row>
    <row r="4551" spans="1:24" hidden="1" x14ac:dyDescent="0.3">
      <c r="A4551" s="14" t="s">
        <v>508</v>
      </c>
      <c r="B4551" s="14" t="s">
        <v>187</v>
      </c>
      <c r="C4551" s="14" t="s">
        <v>375</v>
      </c>
      <c r="D4551" s="14" t="s">
        <v>376</v>
      </c>
      <c r="E4551" s="14" t="s">
        <v>344</v>
      </c>
      <c r="F4551" s="14" t="s">
        <v>343</v>
      </c>
      <c r="G4551" s="14" t="s">
        <v>343</v>
      </c>
      <c r="H4551" s="14" t="s">
        <v>343</v>
      </c>
      <c r="U4551" s="14">
        <v>111</v>
      </c>
      <c r="V4551" s="14">
        <v>115</v>
      </c>
      <c r="W4551" s="14">
        <v>123</v>
      </c>
      <c r="X4551" s="14">
        <v>108</v>
      </c>
    </row>
    <row r="4552" spans="1:24" hidden="1" x14ac:dyDescent="0.3">
      <c r="A4552" s="14" t="s">
        <v>509</v>
      </c>
      <c r="B4552" s="14" t="s">
        <v>194</v>
      </c>
      <c r="C4552" s="14" t="s">
        <v>340</v>
      </c>
      <c r="D4552" s="14" t="s">
        <v>341</v>
      </c>
      <c r="E4552" s="14" t="s">
        <v>342</v>
      </c>
      <c r="F4552" s="14" t="s">
        <v>343</v>
      </c>
      <c r="G4552" s="14" t="s">
        <v>343</v>
      </c>
      <c r="H4552" s="14" t="s">
        <v>343</v>
      </c>
      <c r="J4552" s="14">
        <v>0.99</v>
      </c>
      <c r="K4552" s="14">
        <v>1</v>
      </c>
      <c r="L4552" s="14">
        <v>0.99</v>
      </c>
      <c r="M4552" s="14">
        <v>0.99</v>
      </c>
      <c r="N4552" s="14">
        <v>0.99</v>
      </c>
      <c r="O4552" s="14">
        <v>1</v>
      </c>
      <c r="P4552" s="14">
        <v>0.99</v>
      </c>
      <c r="Q4552" s="14">
        <v>0.98</v>
      </c>
      <c r="R4552" s="14">
        <v>0.98</v>
      </c>
      <c r="S4552" s="14">
        <v>0.98</v>
      </c>
      <c r="T4552" s="14">
        <v>1</v>
      </c>
      <c r="U4552" s="14">
        <v>1</v>
      </c>
      <c r="V4552" s="14">
        <v>0.99</v>
      </c>
      <c r="W4552" s="14">
        <v>0.99</v>
      </c>
      <c r="X4552" s="14">
        <v>0.99</v>
      </c>
    </row>
    <row r="4553" spans="1:24" hidden="1" x14ac:dyDescent="0.3">
      <c r="A4553" s="14" t="s">
        <v>509</v>
      </c>
      <c r="B4553" s="14" t="s">
        <v>194</v>
      </c>
      <c r="C4553" s="14" t="s">
        <v>340</v>
      </c>
      <c r="D4553" s="14" t="s">
        <v>341</v>
      </c>
      <c r="E4553" s="14" t="s">
        <v>344</v>
      </c>
      <c r="F4553" s="14" t="s">
        <v>343</v>
      </c>
      <c r="G4553" s="14" t="s">
        <v>343</v>
      </c>
      <c r="H4553" s="14" t="s">
        <v>343</v>
      </c>
      <c r="J4553" s="14">
        <v>45</v>
      </c>
      <c r="K4553" s="14">
        <v>41</v>
      </c>
      <c r="L4553" s="14">
        <v>53</v>
      </c>
      <c r="M4553" s="14">
        <v>74</v>
      </c>
      <c r="N4553" s="14">
        <v>57</v>
      </c>
      <c r="O4553" s="14">
        <v>36</v>
      </c>
      <c r="P4553" s="14">
        <v>53</v>
      </c>
      <c r="Q4553" s="14">
        <v>94</v>
      </c>
      <c r="R4553" s="14">
        <v>96</v>
      </c>
      <c r="S4553" s="14">
        <v>92</v>
      </c>
      <c r="T4553" s="14">
        <v>33</v>
      </c>
      <c r="U4553" s="14">
        <v>62</v>
      </c>
      <c r="V4553" s="14">
        <v>83</v>
      </c>
      <c r="W4553" s="14">
        <v>86</v>
      </c>
      <c r="X4553" s="14">
        <v>83</v>
      </c>
    </row>
    <row r="4554" spans="1:24" hidden="1" x14ac:dyDescent="0.3">
      <c r="A4554" s="14" t="s">
        <v>509</v>
      </c>
      <c r="B4554" s="14" t="s">
        <v>194</v>
      </c>
      <c r="C4554" s="14" t="s">
        <v>345</v>
      </c>
      <c r="D4554" s="14" t="s">
        <v>346</v>
      </c>
      <c r="E4554" s="14" t="s">
        <v>342</v>
      </c>
      <c r="F4554" s="14" t="s">
        <v>343</v>
      </c>
      <c r="G4554" s="14" t="s">
        <v>343</v>
      </c>
      <c r="H4554" s="14" t="s">
        <v>343</v>
      </c>
      <c r="U4554" s="14">
        <v>0.47</v>
      </c>
      <c r="V4554" s="14">
        <v>0.44</v>
      </c>
      <c r="W4554" s="14">
        <v>0.42</v>
      </c>
      <c r="X4554" s="14">
        <v>0.46</v>
      </c>
    </row>
    <row r="4555" spans="1:24" hidden="1" x14ac:dyDescent="0.3">
      <c r="A4555" s="14" t="s">
        <v>509</v>
      </c>
      <c r="B4555" s="14" t="s">
        <v>194</v>
      </c>
      <c r="C4555" s="14" t="s">
        <v>345</v>
      </c>
      <c r="D4555" s="14" t="s">
        <v>346</v>
      </c>
      <c r="E4555" s="14" t="s">
        <v>344</v>
      </c>
      <c r="F4555" s="14" t="s">
        <v>343</v>
      </c>
      <c r="G4555" s="14" t="s">
        <v>343</v>
      </c>
      <c r="H4555" s="14" t="s">
        <v>343</v>
      </c>
      <c r="U4555" s="14">
        <v>120</v>
      </c>
      <c r="V4555" s="14">
        <v>129</v>
      </c>
      <c r="W4555" s="14">
        <v>130</v>
      </c>
      <c r="X4555" s="14">
        <v>126</v>
      </c>
    </row>
    <row r="4556" spans="1:24" hidden="1" x14ac:dyDescent="0.3">
      <c r="A4556" s="14" t="s">
        <v>509</v>
      </c>
      <c r="B4556" s="14" t="s">
        <v>194</v>
      </c>
      <c r="C4556" s="14" t="s">
        <v>347</v>
      </c>
      <c r="D4556" s="14" t="s">
        <v>348</v>
      </c>
      <c r="E4556" s="14" t="s">
        <v>342</v>
      </c>
      <c r="F4556" s="14" t="s">
        <v>343</v>
      </c>
      <c r="G4556" s="14" t="s">
        <v>343</v>
      </c>
      <c r="H4556" s="14" t="s">
        <v>343</v>
      </c>
      <c r="U4556" s="14">
        <v>0.62</v>
      </c>
      <c r="V4556" s="14">
        <v>0.62</v>
      </c>
      <c r="W4556" s="14">
        <v>0.61</v>
      </c>
      <c r="X4556" s="14">
        <v>0.6</v>
      </c>
    </row>
    <row r="4557" spans="1:24" hidden="1" x14ac:dyDescent="0.3">
      <c r="A4557" s="14" t="s">
        <v>509</v>
      </c>
      <c r="B4557" s="14" t="s">
        <v>194</v>
      </c>
      <c r="C4557" s="14" t="s">
        <v>347</v>
      </c>
      <c r="D4557" s="14" t="s">
        <v>348</v>
      </c>
      <c r="E4557" s="14" t="s">
        <v>344</v>
      </c>
      <c r="F4557" s="14" t="s">
        <v>343</v>
      </c>
      <c r="G4557" s="14" t="s">
        <v>343</v>
      </c>
      <c r="H4557" s="14" t="s">
        <v>343</v>
      </c>
      <c r="U4557" s="14">
        <v>120</v>
      </c>
      <c r="V4557" s="14">
        <v>123</v>
      </c>
      <c r="W4557" s="14">
        <v>128</v>
      </c>
      <c r="X4557" s="14">
        <v>117</v>
      </c>
    </row>
    <row r="4558" spans="1:24" hidden="1" x14ac:dyDescent="0.3">
      <c r="A4558" s="14" t="s">
        <v>509</v>
      </c>
      <c r="B4558" s="14" t="s">
        <v>194</v>
      </c>
      <c r="C4558" s="14" t="s">
        <v>349</v>
      </c>
      <c r="D4558" s="14" t="s">
        <v>350</v>
      </c>
      <c r="E4558" s="14" t="s">
        <v>342</v>
      </c>
      <c r="F4558" s="14" t="s">
        <v>343</v>
      </c>
      <c r="G4558" s="14" t="s">
        <v>343</v>
      </c>
      <c r="H4558" s="14" t="s">
        <v>343</v>
      </c>
      <c r="U4558" s="14">
        <v>0.18</v>
      </c>
      <c r="V4558" s="14">
        <v>0.18</v>
      </c>
      <c r="W4558" s="14">
        <v>0.18</v>
      </c>
      <c r="X4558" s="14">
        <v>0.12</v>
      </c>
    </row>
    <row r="4559" spans="1:24" hidden="1" x14ac:dyDescent="0.3">
      <c r="A4559" s="14" t="s">
        <v>509</v>
      </c>
      <c r="B4559" s="14" t="s">
        <v>194</v>
      </c>
      <c r="C4559" s="14" t="s">
        <v>349</v>
      </c>
      <c r="D4559" s="14" t="s">
        <v>350</v>
      </c>
      <c r="E4559" s="14" t="s">
        <v>344</v>
      </c>
      <c r="F4559" s="14" t="s">
        <v>343</v>
      </c>
      <c r="G4559" s="14" t="s">
        <v>343</v>
      </c>
      <c r="H4559" s="14" t="s">
        <v>343</v>
      </c>
      <c r="U4559" s="14">
        <v>124</v>
      </c>
      <c r="V4559" s="14">
        <v>130</v>
      </c>
      <c r="W4559" s="14">
        <v>136</v>
      </c>
      <c r="X4559" s="14">
        <v>132</v>
      </c>
    </row>
    <row r="4560" spans="1:24" hidden="1" x14ac:dyDescent="0.3">
      <c r="A4560" s="14" t="s">
        <v>509</v>
      </c>
      <c r="B4560" s="14" t="s">
        <v>194</v>
      </c>
      <c r="C4560" s="14" t="s">
        <v>351</v>
      </c>
      <c r="D4560" s="14" t="s">
        <v>352</v>
      </c>
      <c r="E4560" s="14" t="s">
        <v>342</v>
      </c>
      <c r="F4560" s="14" t="s">
        <v>343</v>
      </c>
      <c r="G4560" s="14" t="s">
        <v>343</v>
      </c>
      <c r="H4560" s="14" t="s">
        <v>343</v>
      </c>
      <c r="U4560" s="14">
        <v>0.28999999999999998</v>
      </c>
      <c r="V4560" s="14">
        <v>0.28000000000000003</v>
      </c>
      <c r="W4560" s="14">
        <v>0.31</v>
      </c>
      <c r="X4560" s="14">
        <v>0.25</v>
      </c>
    </row>
    <row r="4561" spans="1:24" hidden="1" x14ac:dyDescent="0.3">
      <c r="A4561" s="14" t="s">
        <v>509</v>
      </c>
      <c r="B4561" s="14" t="s">
        <v>194</v>
      </c>
      <c r="C4561" s="14" t="s">
        <v>351</v>
      </c>
      <c r="D4561" s="14" t="s">
        <v>352</v>
      </c>
      <c r="E4561" s="14" t="s">
        <v>344</v>
      </c>
      <c r="F4561" s="14" t="s">
        <v>343</v>
      </c>
      <c r="G4561" s="14" t="s">
        <v>343</v>
      </c>
      <c r="H4561" s="14" t="s">
        <v>343</v>
      </c>
      <c r="U4561" s="14">
        <v>138</v>
      </c>
      <c r="V4561" s="14">
        <v>142</v>
      </c>
      <c r="W4561" s="14">
        <v>144</v>
      </c>
      <c r="X4561" s="14">
        <v>135</v>
      </c>
    </row>
    <row r="4562" spans="1:24" hidden="1" x14ac:dyDescent="0.3">
      <c r="A4562" s="14" t="s">
        <v>509</v>
      </c>
      <c r="B4562" s="14" t="s">
        <v>194</v>
      </c>
      <c r="C4562" s="14" t="s">
        <v>378</v>
      </c>
      <c r="D4562" s="14" t="s">
        <v>379</v>
      </c>
      <c r="E4562" s="14" t="s">
        <v>342</v>
      </c>
      <c r="F4562" s="14" t="s">
        <v>343</v>
      </c>
      <c r="G4562" s="14" t="s">
        <v>343</v>
      </c>
      <c r="H4562" s="14" t="s">
        <v>343</v>
      </c>
      <c r="S4562" s="14">
        <v>0.79</v>
      </c>
      <c r="U4562" s="14">
        <v>0.72</v>
      </c>
      <c r="V4562" s="14">
        <v>0.75</v>
      </c>
      <c r="W4562" s="14">
        <v>0.73</v>
      </c>
      <c r="X4562" s="14">
        <v>0.75</v>
      </c>
    </row>
    <row r="4563" spans="1:24" hidden="1" x14ac:dyDescent="0.3">
      <c r="A4563" s="14" t="s">
        <v>509</v>
      </c>
      <c r="B4563" s="14" t="s">
        <v>194</v>
      </c>
      <c r="C4563" s="14" t="s">
        <v>378</v>
      </c>
      <c r="D4563" s="14" t="s">
        <v>379</v>
      </c>
      <c r="E4563" s="14" t="s">
        <v>344</v>
      </c>
      <c r="F4563" s="14" t="s">
        <v>343</v>
      </c>
      <c r="G4563" s="14" t="s">
        <v>343</v>
      </c>
      <c r="H4563" s="14" t="s">
        <v>343</v>
      </c>
      <c r="S4563" s="14">
        <v>9</v>
      </c>
      <c r="U4563" s="14">
        <v>34</v>
      </c>
      <c r="V4563" s="14">
        <v>18</v>
      </c>
      <c r="W4563" s="14">
        <v>31</v>
      </c>
      <c r="X4563" s="14">
        <v>21</v>
      </c>
    </row>
    <row r="4564" spans="1:24" hidden="1" x14ac:dyDescent="0.3">
      <c r="A4564" s="14" t="s">
        <v>509</v>
      </c>
      <c r="B4564" s="14" t="s">
        <v>194</v>
      </c>
      <c r="C4564" s="14" t="s">
        <v>353</v>
      </c>
      <c r="D4564" s="14" t="s">
        <v>354</v>
      </c>
      <c r="E4564" s="14" t="s">
        <v>342</v>
      </c>
      <c r="F4564" s="14" t="s">
        <v>343</v>
      </c>
      <c r="G4564" s="14" t="s">
        <v>343</v>
      </c>
      <c r="H4564" s="14" t="s">
        <v>343</v>
      </c>
      <c r="U4564" s="14">
        <v>0.99</v>
      </c>
      <c r="V4564" s="14">
        <v>1</v>
      </c>
      <c r="W4564" s="14">
        <v>1</v>
      </c>
      <c r="X4564" s="14">
        <v>1</v>
      </c>
    </row>
    <row r="4565" spans="1:24" hidden="1" x14ac:dyDescent="0.3">
      <c r="A4565" s="14" t="s">
        <v>509</v>
      </c>
      <c r="B4565" s="14" t="s">
        <v>194</v>
      </c>
      <c r="C4565" s="14" t="s">
        <v>353</v>
      </c>
      <c r="D4565" s="14" t="s">
        <v>354</v>
      </c>
      <c r="E4565" s="14" t="s">
        <v>344</v>
      </c>
      <c r="F4565" s="14" t="s">
        <v>343</v>
      </c>
      <c r="G4565" s="14" t="s">
        <v>343</v>
      </c>
      <c r="H4565" s="14" t="s">
        <v>343</v>
      </c>
      <c r="U4565" s="14">
        <v>59</v>
      </c>
      <c r="V4565" s="14">
        <v>1</v>
      </c>
      <c r="W4565" s="14">
        <v>1</v>
      </c>
      <c r="X4565" s="14">
        <v>1</v>
      </c>
    </row>
    <row r="4566" spans="1:24" hidden="1" x14ac:dyDescent="0.3">
      <c r="A4566" s="14" t="s">
        <v>509</v>
      </c>
      <c r="B4566" s="14" t="s">
        <v>194</v>
      </c>
      <c r="C4566" s="14" t="s">
        <v>380</v>
      </c>
      <c r="D4566" s="14" t="s">
        <v>381</v>
      </c>
      <c r="E4566" s="14" t="s">
        <v>342</v>
      </c>
      <c r="F4566" s="14" t="s">
        <v>343</v>
      </c>
      <c r="G4566" s="14" t="s">
        <v>343</v>
      </c>
      <c r="H4566" s="14" t="s">
        <v>343</v>
      </c>
      <c r="U4566" s="14">
        <v>0.99</v>
      </c>
      <c r="V4566" s="14">
        <v>1</v>
      </c>
      <c r="W4566" s="14">
        <v>1</v>
      </c>
      <c r="X4566" s="14">
        <v>1</v>
      </c>
    </row>
    <row r="4567" spans="1:24" hidden="1" x14ac:dyDescent="0.3">
      <c r="A4567" s="14" t="s">
        <v>509</v>
      </c>
      <c r="B4567" s="14" t="s">
        <v>194</v>
      </c>
      <c r="C4567" s="14" t="s">
        <v>380</v>
      </c>
      <c r="D4567" s="14" t="s">
        <v>381</v>
      </c>
      <c r="E4567" s="14" t="s">
        <v>344</v>
      </c>
      <c r="F4567" s="14" t="s">
        <v>343</v>
      </c>
      <c r="G4567" s="14" t="s">
        <v>343</v>
      </c>
      <c r="H4567" s="14" t="s">
        <v>343</v>
      </c>
      <c r="U4567" s="14">
        <v>98</v>
      </c>
      <c r="V4567" s="14">
        <v>1</v>
      </c>
      <c r="W4567" s="14">
        <v>1</v>
      </c>
      <c r="X4567" s="14">
        <v>1</v>
      </c>
    </row>
    <row r="4568" spans="1:24" hidden="1" x14ac:dyDescent="0.3">
      <c r="A4568" s="14" t="s">
        <v>509</v>
      </c>
      <c r="B4568" s="14" t="s">
        <v>194</v>
      </c>
      <c r="C4568" s="14" t="s">
        <v>355</v>
      </c>
      <c r="D4568" s="14" t="s">
        <v>356</v>
      </c>
      <c r="E4568" s="14" t="s">
        <v>342</v>
      </c>
      <c r="F4568" s="14" t="s">
        <v>343</v>
      </c>
      <c r="G4568" s="14" t="s">
        <v>343</v>
      </c>
      <c r="H4568" s="14" t="s">
        <v>343</v>
      </c>
      <c r="U4568" s="14">
        <v>1</v>
      </c>
      <c r="V4568" s="14">
        <v>0.96</v>
      </c>
      <c r="W4568" s="14">
        <v>0.96</v>
      </c>
      <c r="X4568" s="14">
        <v>0.94</v>
      </c>
    </row>
    <row r="4569" spans="1:24" hidden="1" x14ac:dyDescent="0.3">
      <c r="A4569" s="14" t="s">
        <v>509</v>
      </c>
      <c r="B4569" s="14" t="s">
        <v>194</v>
      </c>
      <c r="C4569" s="14" t="s">
        <v>355</v>
      </c>
      <c r="D4569" s="14" t="s">
        <v>356</v>
      </c>
      <c r="E4569" s="14" t="s">
        <v>344</v>
      </c>
      <c r="F4569" s="14" t="s">
        <v>343</v>
      </c>
      <c r="G4569" s="14" t="s">
        <v>343</v>
      </c>
      <c r="H4569" s="14" t="s">
        <v>343</v>
      </c>
      <c r="U4569" s="14">
        <v>1</v>
      </c>
      <c r="V4569" s="14">
        <v>127</v>
      </c>
      <c r="W4569" s="14">
        <v>127</v>
      </c>
      <c r="X4569" s="14">
        <v>115</v>
      </c>
    </row>
    <row r="4570" spans="1:24" hidden="1" x14ac:dyDescent="0.3">
      <c r="A4570" s="14" t="s">
        <v>509</v>
      </c>
      <c r="B4570" s="14" t="s">
        <v>194</v>
      </c>
      <c r="C4570" s="14" t="s">
        <v>357</v>
      </c>
      <c r="D4570" s="14" t="s">
        <v>358</v>
      </c>
      <c r="E4570" s="14" t="s">
        <v>342</v>
      </c>
      <c r="F4570" s="14" t="s">
        <v>343</v>
      </c>
      <c r="G4570" s="14" t="s">
        <v>343</v>
      </c>
      <c r="H4570" s="14" t="s">
        <v>343</v>
      </c>
      <c r="U4570" s="14">
        <v>1</v>
      </c>
      <c r="V4570" s="14">
        <v>1</v>
      </c>
      <c r="W4570" s="14">
        <v>1</v>
      </c>
      <c r="X4570" s="14">
        <v>1</v>
      </c>
    </row>
    <row r="4571" spans="1:24" hidden="1" x14ac:dyDescent="0.3">
      <c r="A4571" s="14" t="s">
        <v>509</v>
      </c>
      <c r="B4571" s="14" t="s">
        <v>194</v>
      </c>
      <c r="C4571" s="14" t="s">
        <v>357</v>
      </c>
      <c r="D4571" s="14" t="s">
        <v>358</v>
      </c>
      <c r="E4571" s="14" t="s">
        <v>344</v>
      </c>
      <c r="F4571" s="14" t="s">
        <v>343</v>
      </c>
      <c r="G4571" s="14" t="s">
        <v>343</v>
      </c>
      <c r="H4571" s="14" t="s">
        <v>343</v>
      </c>
      <c r="U4571" s="14">
        <v>1</v>
      </c>
      <c r="V4571" s="14">
        <v>1</v>
      </c>
      <c r="W4571" s="14">
        <v>1</v>
      </c>
      <c r="X4571" s="14">
        <v>1</v>
      </c>
    </row>
    <row r="4572" spans="1:24" hidden="1" x14ac:dyDescent="0.3">
      <c r="A4572" s="14" t="s">
        <v>509</v>
      </c>
      <c r="B4572" s="14" t="s">
        <v>194</v>
      </c>
      <c r="C4572" s="14" t="s">
        <v>359</v>
      </c>
      <c r="D4572" s="14" t="s">
        <v>360</v>
      </c>
      <c r="E4572" s="14" t="s">
        <v>342</v>
      </c>
      <c r="F4572" s="14" t="s">
        <v>343</v>
      </c>
      <c r="G4572" s="14" t="s">
        <v>343</v>
      </c>
      <c r="H4572" s="14" t="s">
        <v>343</v>
      </c>
      <c r="J4572" s="14">
        <v>0.46</v>
      </c>
      <c r="K4572" s="14">
        <v>0.41</v>
      </c>
      <c r="L4572" s="14">
        <v>0.4</v>
      </c>
      <c r="M4572" s="14">
        <v>0.48</v>
      </c>
      <c r="N4572" s="14">
        <v>0.55000000000000004</v>
      </c>
      <c r="O4572" s="14">
        <v>0.56000000000000005</v>
      </c>
      <c r="P4572" s="14">
        <v>0.56999999999999995</v>
      </c>
      <c r="Q4572" s="14">
        <v>0.62</v>
      </c>
      <c r="R4572" s="14">
        <v>0.63</v>
      </c>
      <c r="S4572" s="14">
        <v>0.62</v>
      </c>
      <c r="T4572" s="14">
        <v>0.52</v>
      </c>
      <c r="U4572" s="14">
        <v>0.51</v>
      </c>
      <c r="V4572" s="14">
        <v>0.51</v>
      </c>
      <c r="W4572" s="14">
        <v>0.5</v>
      </c>
      <c r="X4572" s="14">
        <v>0.5</v>
      </c>
    </row>
    <row r="4573" spans="1:24" hidden="1" x14ac:dyDescent="0.3">
      <c r="A4573" s="14" t="s">
        <v>509</v>
      </c>
      <c r="B4573" s="14" t="s">
        <v>194</v>
      </c>
      <c r="C4573" s="14" t="s">
        <v>359</v>
      </c>
      <c r="D4573" s="14" t="s">
        <v>360</v>
      </c>
      <c r="E4573" s="14" t="s">
        <v>344</v>
      </c>
      <c r="F4573" s="14" t="s">
        <v>343</v>
      </c>
      <c r="G4573" s="14" t="s">
        <v>343</v>
      </c>
      <c r="H4573" s="14" t="s">
        <v>343</v>
      </c>
      <c r="J4573" s="14">
        <v>115</v>
      </c>
      <c r="K4573" s="14">
        <v>123</v>
      </c>
      <c r="L4573" s="14">
        <v>129</v>
      </c>
      <c r="M4573" s="14">
        <v>116</v>
      </c>
      <c r="N4573" s="14">
        <v>104</v>
      </c>
      <c r="O4573" s="14">
        <v>107</v>
      </c>
      <c r="P4573" s="14">
        <v>106</v>
      </c>
      <c r="Q4573" s="14">
        <v>101</v>
      </c>
      <c r="R4573" s="14">
        <v>97</v>
      </c>
      <c r="S4573" s="14">
        <v>97</v>
      </c>
      <c r="T4573" s="14">
        <v>122</v>
      </c>
      <c r="U4573" s="14">
        <v>129</v>
      </c>
      <c r="V4573" s="14">
        <v>132</v>
      </c>
      <c r="W4573" s="14">
        <v>136</v>
      </c>
      <c r="X4573" s="14">
        <v>133</v>
      </c>
    </row>
    <row r="4574" spans="1:24" x14ac:dyDescent="0.3">
      <c r="A4574" s="14" t="s">
        <v>509</v>
      </c>
      <c r="B4574" s="14" t="s">
        <v>194</v>
      </c>
      <c r="C4574" s="14" t="s">
        <v>361</v>
      </c>
      <c r="D4574" s="14" t="s">
        <v>362</v>
      </c>
      <c r="E4574" s="14" t="s">
        <v>342</v>
      </c>
      <c r="F4574" s="14" t="s">
        <v>343</v>
      </c>
      <c r="G4574" s="14" t="s">
        <v>343</v>
      </c>
      <c r="H4574" s="14" t="s">
        <v>343</v>
      </c>
      <c r="J4574" s="14">
        <v>0.95</v>
      </c>
      <c r="K4574" s="14">
        <v>0.95</v>
      </c>
      <c r="L4574" s="14">
        <v>0.95</v>
      </c>
      <c r="M4574" s="14">
        <v>0.95</v>
      </c>
      <c r="N4574" s="14">
        <v>0.95</v>
      </c>
      <c r="O4574" s="14">
        <v>0.95</v>
      </c>
      <c r="P4574" s="14">
        <v>0.95</v>
      </c>
      <c r="Q4574" s="14">
        <v>0.95</v>
      </c>
      <c r="R4574" s="14">
        <v>0.96</v>
      </c>
      <c r="S4574" s="14">
        <v>0.96</v>
      </c>
      <c r="T4574" s="14">
        <v>0.96</v>
      </c>
      <c r="U4574" s="14">
        <v>0.96</v>
      </c>
      <c r="V4574" s="14">
        <v>0.96</v>
      </c>
      <c r="W4574" s="14">
        <v>0.95</v>
      </c>
      <c r="X4574" s="14">
        <v>0.95</v>
      </c>
    </row>
    <row r="4575" spans="1:24" hidden="1" x14ac:dyDescent="0.3">
      <c r="A4575" s="14" t="s">
        <v>509</v>
      </c>
      <c r="B4575" s="14" t="s">
        <v>194</v>
      </c>
      <c r="C4575" s="14" t="s">
        <v>361</v>
      </c>
      <c r="D4575" s="14" t="s">
        <v>362</v>
      </c>
      <c r="E4575" s="14" t="s">
        <v>344</v>
      </c>
      <c r="F4575" s="14" t="s">
        <v>343</v>
      </c>
      <c r="G4575" s="14" t="s">
        <v>343</v>
      </c>
      <c r="H4575" s="14" t="s">
        <v>343</v>
      </c>
      <c r="J4575" s="14">
        <v>123</v>
      </c>
      <c r="K4575" s="14">
        <v>125</v>
      </c>
      <c r="L4575" s="14">
        <v>129</v>
      </c>
      <c r="M4575" s="14">
        <v>126</v>
      </c>
      <c r="N4575" s="14">
        <v>127</v>
      </c>
      <c r="O4575" s="14">
        <v>127</v>
      </c>
      <c r="P4575" s="14">
        <v>129</v>
      </c>
      <c r="Q4575" s="14">
        <v>136</v>
      </c>
      <c r="R4575" s="14">
        <v>137</v>
      </c>
      <c r="S4575" s="14">
        <v>136</v>
      </c>
      <c r="T4575" s="14">
        <v>127</v>
      </c>
      <c r="U4575" s="14">
        <v>139</v>
      </c>
      <c r="V4575" s="14">
        <v>142</v>
      </c>
      <c r="W4575" s="14">
        <v>151</v>
      </c>
      <c r="X4575" s="14">
        <v>142</v>
      </c>
    </row>
    <row r="4576" spans="1:24" hidden="1" x14ac:dyDescent="0.3">
      <c r="A4576" s="14" t="s">
        <v>509</v>
      </c>
      <c r="B4576" s="14" t="s">
        <v>194</v>
      </c>
      <c r="C4576" s="14" t="s">
        <v>363</v>
      </c>
      <c r="D4576" s="14" t="s">
        <v>364</v>
      </c>
      <c r="E4576" s="14" t="s">
        <v>342</v>
      </c>
      <c r="F4576" s="14" t="s">
        <v>343</v>
      </c>
      <c r="G4576" s="14" t="s">
        <v>343</v>
      </c>
      <c r="H4576" s="14" t="s">
        <v>343</v>
      </c>
      <c r="U4576" s="14">
        <v>1</v>
      </c>
      <c r="V4576" s="14">
        <v>1</v>
      </c>
      <c r="W4576" s="14">
        <v>0.96</v>
      </c>
      <c r="X4576" s="14">
        <v>0.96</v>
      </c>
    </row>
    <row r="4577" spans="1:24" hidden="1" x14ac:dyDescent="0.3">
      <c r="A4577" s="14" t="s">
        <v>509</v>
      </c>
      <c r="B4577" s="14" t="s">
        <v>194</v>
      </c>
      <c r="C4577" s="14" t="s">
        <v>363</v>
      </c>
      <c r="D4577" s="14" t="s">
        <v>364</v>
      </c>
      <c r="E4577" s="14" t="s">
        <v>344</v>
      </c>
      <c r="F4577" s="14" t="s">
        <v>343</v>
      </c>
      <c r="G4577" s="14" t="s">
        <v>343</v>
      </c>
      <c r="H4577" s="14" t="s">
        <v>343</v>
      </c>
      <c r="U4577" s="14">
        <v>145</v>
      </c>
      <c r="V4577" s="14">
        <v>149</v>
      </c>
      <c r="W4577" s="14">
        <v>156</v>
      </c>
      <c r="X4577" s="14">
        <v>146</v>
      </c>
    </row>
    <row r="4578" spans="1:24" hidden="1" x14ac:dyDescent="0.3">
      <c r="A4578" s="14" t="s">
        <v>509</v>
      </c>
      <c r="B4578" s="14" t="s">
        <v>194</v>
      </c>
      <c r="C4578" s="14" t="s">
        <v>365</v>
      </c>
      <c r="D4578" s="14" t="s">
        <v>366</v>
      </c>
      <c r="E4578" s="14" t="s">
        <v>342</v>
      </c>
      <c r="F4578" s="14" t="s">
        <v>343</v>
      </c>
      <c r="G4578" s="14" t="s">
        <v>343</v>
      </c>
      <c r="H4578" s="14" t="s">
        <v>343</v>
      </c>
      <c r="U4578" s="14">
        <v>0.94</v>
      </c>
      <c r="V4578" s="14">
        <v>0.94</v>
      </c>
      <c r="W4578" s="14">
        <v>0.94</v>
      </c>
      <c r="X4578" s="14">
        <v>0.94</v>
      </c>
    </row>
    <row r="4579" spans="1:24" hidden="1" x14ac:dyDescent="0.3">
      <c r="A4579" s="14" t="s">
        <v>509</v>
      </c>
      <c r="B4579" s="14" t="s">
        <v>194</v>
      </c>
      <c r="C4579" s="14" t="s">
        <v>365</v>
      </c>
      <c r="D4579" s="14" t="s">
        <v>366</v>
      </c>
      <c r="E4579" s="14" t="s">
        <v>344</v>
      </c>
      <c r="F4579" s="14" t="s">
        <v>343</v>
      </c>
      <c r="G4579" s="14" t="s">
        <v>343</v>
      </c>
      <c r="H4579" s="14" t="s">
        <v>343</v>
      </c>
      <c r="U4579" s="14">
        <v>1</v>
      </c>
      <c r="V4579" s="14">
        <v>1</v>
      </c>
      <c r="W4579" s="14">
        <v>1</v>
      </c>
      <c r="X4579" s="14">
        <v>1</v>
      </c>
    </row>
    <row r="4580" spans="1:24" hidden="1" x14ac:dyDescent="0.3">
      <c r="A4580" s="14" t="s">
        <v>509</v>
      </c>
      <c r="B4580" s="14" t="s">
        <v>194</v>
      </c>
      <c r="C4580" s="14" t="s">
        <v>367</v>
      </c>
      <c r="D4580" s="14" t="s">
        <v>368</v>
      </c>
      <c r="E4580" s="14" t="s">
        <v>342</v>
      </c>
      <c r="F4580" s="14" t="s">
        <v>343</v>
      </c>
      <c r="G4580" s="14" t="s">
        <v>343</v>
      </c>
      <c r="H4580" s="14" t="s">
        <v>343</v>
      </c>
      <c r="J4580" s="14">
        <v>0.6</v>
      </c>
      <c r="K4580" s="14">
        <v>0.59</v>
      </c>
      <c r="L4580" s="14">
        <v>0.59</v>
      </c>
      <c r="M4580" s="14">
        <v>0.61</v>
      </c>
      <c r="N4580" s="14">
        <v>0.62</v>
      </c>
      <c r="O4580" s="14">
        <v>0.63</v>
      </c>
      <c r="P4580" s="14">
        <v>0.63</v>
      </c>
      <c r="Q4580" s="14">
        <v>0.64</v>
      </c>
      <c r="R4580" s="14">
        <v>0.64</v>
      </c>
      <c r="S4580" s="14">
        <v>0.64</v>
      </c>
      <c r="T4580" s="14">
        <v>0.63</v>
      </c>
      <c r="U4580" s="14">
        <v>0.63</v>
      </c>
      <c r="V4580" s="14">
        <v>0.63</v>
      </c>
      <c r="W4580" s="14">
        <v>0.62</v>
      </c>
      <c r="X4580" s="14">
        <v>0.62</v>
      </c>
    </row>
    <row r="4581" spans="1:24" hidden="1" x14ac:dyDescent="0.3">
      <c r="A4581" s="14" t="s">
        <v>509</v>
      </c>
      <c r="B4581" s="14" t="s">
        <v>194</v>
      </c>
      <c r="C4581" s="14" t="s">
        <v>367</v>
      </c>
      <c r="D4581" s="14" t="s">
        <v>368</v>
      </c>
      <c r="E4581" s="14" t="s">
        <v>344</v>
      </c>
      <c r="F4581" s="14" t="s">
        <v>343</v>
      </c>
      <c r="G4581" s="14" t="s">
        <v>343</v>
      </c>
      <c r="H4581" s="14" t="s">
        <v>343</v>
      </c>
      <c r="J4581" s="14">
        <v>109</v>
      </c>
      <c r="K4581" s="14">
        <v>119</v>
      </c>
      <c r="L4581" s="14">
        <v>125</v>
      </c>
      <c r="M4581" s="14">
        <v>117</v>
      </c>
      <c r="N4581" s="14">
        <v>111</v>
      </c>
      <c r="O4581" s="14">
        <v>115</v>
      </c>
      <c r="P4581" s="14">
        <v>115</v>
      </c>
      <c r="Q4581" s="14">
        <v>116</v>
      </c>
      <c r="R4581" s="14">
        <v>122</v>
      </c>
      <c r="S4581" s="14">
        <v>119</v>
      </c>
      <c r="T4581" s="14">
        <v>130</v>
      </c>
      <c r="U4581" s="14">
        <v>127</v>
      </c>
      <c r="V4581" s="14">
        <v>135</v>
      </c>
      <c r="W4581" s="14">
        <v>142</v>
      </c>
      <c r="X4581" s="14">
        <v>137</v>
      </c>
    </row>
    <row r="4582" spans="1:24" hidden="1" x14ac:dyDescent="0.3">
      <c r="A4582" s="14" t="s">
        <v>509</v>
      </c>
      <c r="B4582" s="14" t="s">
        <v>194</v>
      </c>
      <c r="C4582" s="14" t="s">
        <v>369</v>
      </c>
      <c r="D4582" s="14" t="s">
        <v>370</v>
      </c>
      <c r="E4582" s="14" t="s">
        <v>342</v>
      </c>
      <c r="F4582" s="14" t="s">
        <v>343</v>
      </c>
      <c r="G4582" s="14" t="s">
        <v>343</v>
      </c>
      <c r="H4582" s="14" t="s">
        <v>343</v>
      </c>
      <c r="J4582" s="14">
        <v>0.02</v>
      </c>
      <c r="K4582" s="14">
        <v>0.02</v>
      </c>
      <c r="L4582" s="14">
        <v>0.02</v>
      </c>
      <c r="M4582" s="14">
        <v>0</v>
      </c>
      <c r="N4582" s="14">
        <v>0</v>
      </c>
      <c r="O4582" s="14">
        <v>0</v>
      </c>
      <c r="P4582" s="14">
        <v>0</v>
      </c>
      <c r="Q4582" s="14">
        <v>0.01</v>
      </c>
      <c r="R4582" s="14">
        <v>0.01</v>
      </c>
      <c r="S4582" s="14">
        <v>0.01</v>
      </c>
      <c r="T4582" s="14">
        <v>0.02</v>
      </c>
      <c r="U4582" s="14">
        <v>0.05</v>
      </c>
      <c r="V4582" s="14">
        <v>0.05</v>
      </c>
      <c r="W4582" s="14">
        <v>0.05</v>
      </c>
      <c r="X4582" s="14">
        <v>0.03</v>
      </c>
    </row>
    <row r="4583" spans="1:24" hidden="1" x14ac:dyDescent="0.3">
      <c r="A4583" s="14" t="s">
        <v>509</v>
      </c>
      <c r="B4583" s="14" t="s">
        <v>194</v>
      </c>
      <c r="C4583" s="14" t="s">
        <v>369</v>
      </c>
      <c r="D4583" s="14" t="s">
        <v>370</v>
      </c>
      <c r="E4583" s="14" t="s">
        <v>344</v>
      </c>
      <c r="F4583" s="14" t="s">
        <v>343</v>
      </c>
      <c r="G4583" s="14" t="s">
        <v>343</v>
      </c>
      <c r="H4583" s="14" t="s">
        <v>343</v>
      </c>
      <c r="J4583" s="14">
        <v>124</v>
      </c>
      <c r="K4583" s="14">
        <v>126</v>
      </c>
      <c r="L4583" s="14">
        <v>130</v>
      </c>
      <c r="M4583" s="14">
        <v>131</v>
      </c>
      <c r="N4583" s="14">
        <v>132</v>
      </c>
      <c r="O4583" s="14">
        <v>133</v>
      </c>
      <c r="P4583" s="14">
        <v>135</v>
      </c>
      <c r="Q4583" s="14">
        <v>140</v>
      </c>
      <c r="R4583" s="14">
        <v>144</v>
      </c>
      <c r="S4583" s="14">
        <v>144</v>
      </c>
      <c r="T4583" s="14">
        <v>143</v>
      </c>
      <c r="U4583" s="14">
        <v>140</v>
      </c>
      <c r="V4583" s="14">
        <v>143</v>
      </c>
      <c r="W4583" s="14">
        <v>148</v>
      </c>
      <c r="X4583" s="14">
        <v>143</v>
      </c>
    </row>
    <row r="4584" spans="1:24" hidden="1" x14ac:dyDescent="0.3">
      <c r="A4584" s="14" t="s">
        <v>509</v>
      </c>
      <c r="B4584" s="14" t="s">
        <v>194</v>
      </c>
      <c r="C4584" s="14" t="s">
        <v>371</v>
      </c>
      <c r="D4584" s="14" t="s">
        <v>372</v>
      </c>
      <c r="E4584" s="14" t="s">
        <v>342</v>
      </c>
      <c r="F4584" s="14" t="s">
        <v>343</v>
      </c>
      <c r="G4584" s="14" t="s">
        <v>343</v>
      </c>
      <c r="H4584" s="14" t="s">
        <v>343</v>
      </c>
      <c r="U4584" s="14">
        <v>0</v>
      </c>
      <c r="V4584" s="14">
        <v>0</v>
      </c>
      <c r="W4584" s="14">
        <v>0</v>
      </c>
      <c r="X4584" s="14">
        <v>0</v>
      </c>
    </row>
    <row r="4585" spans="1:24" hidden="1" x14ac:dyDescent="0.3">
      <c r="A4585" s="14" t="s">
        <v>509</v>
      </c>
      <c r="B4585" s="14" t="s">
        <v>194</v>
      </c>
      <c r="C4585" s="14" t="s">
        <v>371</v>
      </c>
      <c r="D4585" s="14" t="s">
        <v>372</v>
      </c>
      <c r="E4585" s="14" t="s">
        <v>344</v>
      </c>
      <c r="F4585" s="14" t="s">
        <v>343</v>
      </c>
      <c r="G4585" s="14" t="s">
        <v>343</v>
      </c>
      <c r="H4585" s="14" t="s">
        <v>343</v>
      </c>
      <c r="U4585" s="14">
        <v>71</v>
      </c>
      <c r="V4585" s="14">
        <v>73</v>
      </c>
      <c r="W4585" s="14">
        <v>76</v>
      </c>
      <c r="X4585" s="14">
        <v>78</v>
      </c>
    </row>
    <row r="4586" spans="1:24" hidden="1" x14ac:dyDescent="0.3">
      <c r="A4586" s="14" t="s">
        <v>509</v>
      </c>
      <c r="B4586" s="14" t="s">
        <v>194</v>
      </c>
      <c r="C4586" s="14" t="s">
        <v>373</v>
      </c>
      <c r="D4586" s="14" t="s">
        <v>374</v>
      </c>
      <c r="E4586" s="14" t="s">
        <v>342</v>
      </c>
      <c r="F4586" s="14" t="s">
        <v>343</v>
      </c>
      <c r="G4586" s="14" t="s">
        <v>343</v>
      </c>
      <c r="H4586" s="14" t="s">
        <v>343</v>
      </c>
      <c r="U4586" s="14">
        <v>7.0000000000000007E-2</v>
      </c>
      <c r="V4586" s="14">
        <v>0.08</v>
      </c>
      <c r="W4586" s="14">
        <v>0.08</v>
      </c>
      <c r="X4586" s="14">
        <v>0.08</v>
      </c>
    </row>
    <row r="4587" spans="1:24" hidden="1" x14ac:dyDescent="0.3">
      <c r="A4587" s="14" t="s">
        <v>509</v>
      </c>
      <c r="B4587" s="14" t="s">
        <v>194</v>
      </c>
      <c r="C4587" s="14" t="s">
        <v>373</v>
      </c>
      <c r="D4587" s="14" t="s">
        <v>374</v>
      </c>
      <c r="E4587" s="14" t="s">
        <v>344</v>
      </c>
      <c r="F4587" s="14" t="s">
        <v>343</v>
      </c>
      <c r="G4587" s="14" t="s">
        <v>343</v>
      </c>
      <c r="H4587" s="14" t="s">
        <v>343</v>
      </c>
      <c r="U4587" s="14">
        <v>126</v>
      </c>
      <c r="V4587" s="14">
        <v>127</v>
      </c>
      <c r="W4587" s="14">
        <v>135</v>
      </c>
      <c r="X4587" s="14">
        <v>128</v>
      </c>
    </row>
    <row r="4588" spans="1:24" hidden="1" x14ac:dyDescent="0.3">
      <c r="A4588" s="14" t="s">
        <v>509</v>
      </c>
      <c r="B4588" s="14" t="s">
        <v>194</v>
      </c>
      <c r="C4588" s="14" t="s">
        <v>375</v>
      </c>
      <c r="D4588" s="14" t="s">
        <v>376</v>
      </c>
      <c r="E4588" s="14" t="s">
        <v>342</v>
      </c>
      <c r="F4588" s="14" t="s">
        <v>343</v>
      </c>
      <c r="G4588" s="14" t="s">
        <v>343</v>
      </c>
      <c r="H4588" s="14" t="s">
        <v>343</v>
      </c>
      <c r="U4588" s="14">
        <v>0.11</v>
      </c>
      <c r="V4588" s="14">
        <v>0.11</v>
      </c>
      <c r="W4588" s="14">
        <v>0.11</v>
      </c>
      <c r="X4588" s="14">
        <v>0.05</v>
      </c>
    </row>
    <row r="4589" spans="1:24" hidden="1" x14ac:dyDescent="0.3">
      <c r="A4589" s="14" t="s">
        <v>509</v>
      </c>
      <c r="B4589" s="14" t="s">
        <v>194</v>
      </c>
      <c r="C4589" s="14" t="s">
        <v>375</v>
      </c>
      <c r="D4589" s="14" t="s">
        <v>376</v>
      </c>
      <c r="E4589" s="14" t="s">
        <v>344</v>
      </c>
      <c r="F4589" s="14" t="s">
        <v>343</v>
      </c>
      <c r="G4589" s="14" t="s">
        <v>343</v>
      </c>
      <c r="H4589" s="14" t="s">
        <v>343</v>
      </c>
      <c r="U4589" s="14">
        <v>131</v>
      </c>
      <c r="V4589" s="14">
        <v>137</v>
      </c>
      <c r="W4589" s="14">
        <v>141</v>
      </c>
      <c r="X4589" s="14">
        <v>142</v>
      </c>
    </row>
    <row r="4590" spans="1:24" hidden="1" x14ac:dyDescent="0.3">
      <c r="A4590" s="14" t="s">
        <v>510</v>
      </c>
      <c r="B4590" s="14" t="s">
        <v>198</v>
      </c>
      <c r="C4590" s="14" t="s">
        <v>340</v>
      </c>
      <c r="D4590" s="14" t="s">
        <v>341</v>
      </c>
      <c r="E4590" s="14" t="s">
        <v>342</v>
      </c>
      <c r="F4590" s="14" t="s">
        <v>343</v>
      </c>
      <c r="G4590" s="14" t="s">
        <v>343</v>
      </c>
      <c r="H4590" s="14" t="s">
        <v>343</v>
      </c>
      <c r="I4590" s="14">
        <v>0.99</v>
      </c>
      <c r="J4590" s="14">
        <v>0.99</v>
      </c>
      <c r="K4590" s="14">
        <v>0.99</v>
      </c>
      <c r="L4590" s="14">
        <v>0.99</v>
      </c>
      <c r="M4590" s="14">
        <v>0.99</v>
      </c>
      <c r="N4590" s="14">
        <v>1</v>
      </c>
      <c r="O4590" s="14">
        <v>0.99</v>
      </c>
      <c r="P4590" s="14">
        <v>0.99</v>
      </c>
      <c r="Q4590" s="14">
        <v>0.99</v>
      </c>
      <c r="R4590" s="14">
        <v>0.99</v>
      </c>
      <c r="S4590" s="14">
        <v>0.99</v>
      </c>
      <c r="T4590" s="14">
        <v>1</v>
      </c>
      <c r="U4590" s="14">
        <v>1</v>
      </c>
      <c r="V4590" s="14">
        <v>1</v>
      </c>
      <c r="W4590" s="14">
        <v>1</v>
      </c>
      <c r="X4590" s="14">
        <v>1</v>
      </c>
    </row>
    <row r="4591" spans="1:24" hidden="1" x14ac:dyDescent="0.3">
      <c r="A4591" s="14" t="s">
        <v>510</v>
      </c>
      <c r="B4591" s="14" t="s">
        <v>198</v>
      </c>
      <c r="C4591" s="14" t="s">
        <v>340</v>
      </c>
      <c r="D4591" s="14" t="s">
        <v>341</v>
      </c>
      <c r="E4591" s="14" t="s">
        <v>344</v>
      </c>
      <c r="F4591" s="14" t="s">
        <v>343</v>
      </c>
      <c r="G4591" s="14" t="s">
        <v>343</v>
      </c>
      <c r="H4591" s="14" t="s">
        <v>343</v>
      </c>
      <c r="I4591" s="14">
        <v>42</v>
      </c>
      <c r="J4591" s="14">
        <v>47</v>
      </c>
      <c r="K4591" s="14">
        <v>60</v>
      </c>
      <c r="L4591" s="14">
        <v>70</v>
      </c>
      <c r="M4591" s="14">
        <v>73</v>
      </c>
      <c r="N4591" s="14">
        <v>45</v>
      </c>
      <c r="O4591" s="14">
        <v>52</v>
      </c>
      <c r="P4591" s="14">
        <v>50</v>
      </c>
      <c r="Q4591" s="14">
        <v>63</v>
      </c>
      <c r="R4591" s="14">
        <v>64</v>
      </c>
      <c r="S4591" s="14">
        <v>68</v>
      </c>
      <c r="T4591" s="14">
        <v>56</v>
      </c>
      <c r="U4591" s="14">
        <v>56</v>
      </c>
      <c r="V4591" s="14">
        <v>52</v>
      </c>
      <c r="W4591" s="14">
        <v>54</v>
      </c>
      <c r="X4591" s="14">
        <v>39</v>
      </c>
    </row>
    <row r="4592" spans="1:24" hidden="1" x14ac:dyDescent="0.3">
      <c r="A4592" s="14" t="s">
        <v>510</v>
      </c>
      <c r="B4592" s="14" t="s">
        <v>198</v>
      </c>
      <c r="C4592" s="14" t="s">
        <v>345</v>
      </c>
      <c r="D4592" s="14" t="s">
        <v>346</v>
      </c>
      <c r="E4592" s="14" t="s">
        <v>342</v>
      </c>
      <c r="F4592" s="14" t="s">
        <v>343</v>
      </c>
      <c r="G4592" s="14" t="s">
        <v>343</v>
      </c>
      <c r="H4592" s="14" t="s">
        <v>343</v>
      </c>
      <c r="U4592" s="14">
        <v>0.7</v>
      </c>
      <c r="V4592" s="14">
        <v>0.72</v>
      </c>
      <c r="W4592" s="14">
        <v>0.7</v>
      </c>
      <c r="X4592" s="14">
        <v>0.69</v>
      </c>
    </row>
    <row r="4593" spans="1:24" hidden="1" x14ac:dyDescent="0.3">
      <c r="A4593" s="14" t="s">
        <v>510</v>
      </c>
      <c r="B4593" s="14" t="s">
        <v>198</v>
      </c>
      <c r="C4593" s="14" t="s">
        <v>345</v>
      </c>
      <c r="D4593" s="14" t="s">
        <v>346</v>
      </c>
      <c r="E4593" s="14" t="s">
        <v>344</v>
      </c>
      <c r="F4593" s="14" t="s">
        <v>343</v>
      </c>
      <c r="G4593" s="14" t="s">
        <v>343</v>
      </c>
      <c r="H4593" s="14" t="s">
        <v>343</v>
      </c>
      <c r="U4593" s="14">
        <v>34</v>
      </c>
      <c r="V4593" s="14">
        <v>34</v>
      </c>
      <c r="W4593" s="14">
        <v>43</v>
      </c>
      <c r="X4593" s="14">
        <v>50</v>
      </c>
    </row>
    <row r="4594" spans="1:24" hidden="1" x14ac:dyDescent="0.3">
      <c r="A4594" s="14" t="s">
        <v>510</v>
      </c>
      <c r="B4594" s="14" t="s">
        <v>198</v>
      </c>
      <c r="C4594" s="14" t="s">
        <v>347</v>
      </c>
      <c r="D4594" s="14" t="s">
        <v>348</v>
      </c>
      <c r="E4594" s="14" t="s">
        <v>342</v>
      </c>
      <c r="F4594" s="14" t="s">
        <v>343</v>
      </c>
      <c r="G4594" s="14" t="s">
        <v>343</v>
      </c>
      <c r="H4594" s="14" t="s">
        <v>343</v>
      </c>
      <c r="U4594" s="14">
        <v>0.75</v>
      </c>
      <c r="V4594" s="14">
        <v>0.76</v>
      </c>
      <c r="W4594" s="14">
        <v>0.76</v>
      </c>
      <c r="X4594" s="14">
        <v>0.69</v>
      </c>
    </row>
    <row r="4595" spans="1:24" hidden="1" x14ac:dyDescent="0.3">
      <c r="A4595" s="14" t="s">
        <v>510</v>
      </c>
      <c r="B4595" s="14" t="s">
        <v>198</v>
      </c>
      <c r="C4595" s="14" t="s">
        <v>347</v>
      </c>
      <c r="D4595" s="14" t="s">
        <v>348</v>
      </c>
      <c r="E4595" s="14" t="s">
        <v>344</v>
      </c>
      <c r="F4595" s="14" t="s">
        <v>343</v>
      </c>
      <c r="G4595" s="14" t="s">
        <v>343</v>
      </c>
      <c r="H4595" s="14" t="s">
        <v>343</v>
      </c>
      <c r="U4595" s="14">
        <v>87</v>
      </c>
      <c r="V4595" s="14">
        <v>90</v>
      </c>
      <c r="W4595" s="14">
        <v>97</v>
      </c>
      <c r="X4595" s="14">
        <v>100</v>
      </c>
    </row>
    <row r="4596" spans="1:24" hidden="1" x14ac:dyDescent="0.3">
      <c r="A4596" s="14" t="s">
        <v>510</v>
      </c>
      <c r="B4596" s="14" t="s">
        <v>198</v>
      </c>
      <c r="C4596" s="14" t="s">
        <v>349</v>
      </c>
      <c r="D4596" s="14" t="s">
        <v>350</v>
      </c>
      <c r="E4596" s="14" t="s">
        <v>342</v>
      </c>
      <c r="F4596" s="14" t="s">
        <v>343</v>
      </c>
      <c r="G4596" s="14" t="s">
        <v>343</v>
      </c>
      <c r="H4596" s="14" t="s">
        <v>343</v>
      </c>
      <c r="U4596" s="14">
        <v>0.44</v>
      </c>
      <c r="V4596" s="14">
        <v>0.46</v>
      </c>
      <c r="W4596" s="14">
        <v>0.5</v>
      </c>
      <c r="X4596" s="14">
        <v>0.54</v>
      </c>
    </row>
    <row r="4597" spans="1:24" hidden="1" x14ac:dyDescent="0.3">
      <c r="A4597" s="14" t="s">
        <v>510</v>
      </c>
      <c r="B4597" s="14" t="s">
        <v>198</v>
      </c>
      <c r="C4597" s="14" t="s">
        <v>349</v>
      </c>
      <c r="D4597" s="14" t="s">
        <v>350</v>
      </c>
      <c r="E4597" s="14" t="s">
        <v>344</v>
      </c>
      <c r="F4597" s="14" t="s">
        <v>343</v>
      </c>
      <c r="G4597" s="14" t="s">
        <v>343</v>
      </c>
      <c r="H4597" s="14" t="s">
        <v>343</v>
      </c>
      <c r="U4597" s="14">
        <v>82</v>
      </c>
      <c r="V4597" s="14">
        <v>80</v>
      </c>
      <c r="W4597" s="14">
        <v>73</v>
      </c>
      <c r="X4597" s="14">
        <v>67</v>
      </c>
    </row>
    <row r="4598" spans="1:24" hidden="1" x14ac:dyDescent="0.3">
      <c r="A4598" s="14" t="s">
        <v>510</v>
      </c>
      <c r="B4598" s="14" t="s">
        <v>198</v>
      </c>
      <c r="C4598" s="14" t="s">
        <v>351</v>
      </c>
      <c r="D4598" s="14" t="s">
        <v>352</v>
      </c>
      <c r="E4598" s="14" t="s">
        <v>342</v>
      </c>
      <c r="F4598" s="14" t="s">
        <v>343</v>
      </c>
      <c r="G4598" s="14" t="s">
        <v>343</v>
      </c>
      <c r="H4598" s="14" t="s">
        <v>343</v>
      </c>
      <c r="U4598" s="14">
        <v>1</v>
      </c>
      <c r="V4598" s="14">
        <v>1</v>
      </c>
      <c r="W4598" s="14">
        <v>1</v>
      </c>
      <c r="X4598" s="14">
        <v>1</v>
      </c>
    </row>
    <row r="4599" spans="1:24" hidden="1" x14ac:dyDescent="0.3">
      <c r="A4599" s="14" t="s">
        <v>510</v>
      </c>
      <c r="B4599" s="14" t="s">
        <v>198</v>
      </c>
      <c r="C4599" s="14" t="s">
        <v>351</v>
      </c>
      <c r="D4599" s="14" t="s">
        <v>352</v>
      </c>
      <c r="E4599" s="14" t="s">
        <v>344</v>
      </c>
      <c r="F4599" s="14" t="s">
        <v>343</v>
      </c>
      <c r="G4599" s="14" t="s">
        <v>343</v>
      </c>
      <c r="H4599" s="14" t="s">
        <v>343</v>
      </c>
      <c r="U4599" s="14">
        <v>1</v>
      </c>
      <c r="V4599" s="14">
        <v>1</v>
      </c>
      <c r="W4599" s="14">
        <v>1</v>
      </c>
      <c r="X4599" s="14">
        <v>1</v>
      </c>
    </row>
    <row r="4600" spans="1:24" hidden="1" x14ac:dyDescent="0.3">
      <c r="A4600" s="14" t="s">
        <v>510</v>
      </c>
      <c r="B4600" s="14" t="s">
        <v>198</v>
      </c>
      <c r="C4600" s="14" t="s">
        <v>378</v>
      </c>
      <c r="D4600" s="14" t="s">
        <v>379</v>
      </c>
      <c r="E4600" s="14" t="s">
        <v>342</v>
      </c>
      <c r="F4600" s="14" t="s">
        <v>343</v>
      </c>
      <c r="G4600" s="14" t="s">
        <v>343</v>
      </c>
      <c r="H4600" s="14" t="s">
        <v>343</v>
      </c>
      <c r="S4600" s="14">
        <v>0.66</v>
      </c>
      <c r="U4600" s="14">
        <v>0.69</v>
      </c>
      <c r="V4600" s="14">
        <v>0.73</v>
      </c>
      <c r="W4600" s="14">
        <v>0.71</v>
      </c>
      <c r="X4600" s="14">
        <v>0.71</v>
      </c>
    </row>
    <row r="4601" spans="1:24" hidden="1" x14ac:dyDescent="0.3">
      <c r="A4601" s="14" t="s">
        <v>510</v>
      </c>
      <c r="B4601" s="14" t="s">
        <v>198</v>
      </c>
      <c r="C4601" s="14" t="s">
        <v>378</v>
      </c>
      <c r="D4601" s="14" t="s">
        <v>379</v>
      </c>
      <c r="E4601" s="14" t="s">
        <v>344</v>
      </c>
      <c r="F4601" s="14" t="s">
        <v>343</v>
      </c>
      <c r="G4601" s="14" t="s">
        <v>343</v>
      </c>
      <c r="H4601" s="14" t="s">
        <v>343</v>
      </c>
      <c r="S4601" s="14">
        <v>61</v>
      </c>
      <c r="U4601" s="14">
        <v>49</v>
      </c>
      <c r="V4601" s="14">
        <v>24</v>
      </c>
      <c r="W4601" s="14">
        <v>43</v>
      </c>
      <c r="X4601" s="14">
        <v>43</v>
      </c>
    </row>
    <row r="4602" spans="1:24" hidden="1" x14ac:dyDescent="0.3">
      <c r="A4602" s="14" t="s">
        <v>510</v>
      </c>
      <c r="B4602" s="14" t="s">
        <v>198</v>
      </c>
      <c r="C4602" s="14" t="s">
        <v>353</v>
      </c>
      <c r="D4602" s="14" t="s">
        <v>354</v>
      </c>
      <c r="E4602" s="14" t="s">
        <v>342</v>
      </c>
      <c r="F4602" s="14" t="s">
        <v>343</v>
      </c>
      <c r="G4602" s="14" t="s">
        <v>343</v>
      </c>
      <c r="H4602" s="14" t="s">
        <v>343</v>
      </c>
      <c r="U4602" s="14">
        <v>0.99</v>
      </c>
      <c r="V4602" s="14">
        <v>1</v>
      </c>
      <c r="W4602" s="14">
        <v>1</v>
      </c>
      <c r="X4602" s="14">
        <v>1</v>
      </c>
    </row>
    <row r="4603" spans="1:24" hidden="1" x14ac:dyDescent="0.3">
      <c r="A4603" s="14" t="s">
        <v>510</v>
      </c>
      <c r="B4603" s="14" t="s">
        <v>198</v>
      </c>
      <c r="C4603" s="14" t="s">
        <v>353</v>
      </c>
      <c r="D4603" s="14" t="s">
        <v>354</v>
      </c>
      <c r="E4603" s="14" t="s">
        <v>344</v>
      </c>
      <c r="F4603" s="14" t="s">
        <v>343</v>
      </c>
      <c r="G4603" s="14" t="s">
        <v>343</v>
      </c>
      <c r="H4603" s="14" t="s">
        <v>343</v>
      </c>
      <c r="U4603" s="14">
        <v>63</v>
      </c>
      <c r="V4603" s="14">
        <v>64</v>
      </c>
      <c r="W4603" s="14">
        <v>64</v>
      </c>
      <c r="X4603" s="14">
        <v>62</v>
      </c>
    </row>
    <row r="4604" spans="1:24" hidden="1" x14ac:dyDescent="0.3">
      <c r="A4604" s="14" t="s">
        <v>510</v>
      </c>
      <c r="B4604" s="14" t="s">
        <v>198</v>
      </c>
      <c r="C4604" s="14" t="s">
        <v>380</v>
      </c>
      <c r="D4604" s="14" t="s">
        <v>381</v>
      </c>
      <c r="E4604" s="14" t="s">
        <v>342</v>
      </c>
      <c r="F4604" s="14" t="s">
        <v>343</v>
      </c>
      <c r="G4604" s="14" t="s">
        <v>343</v>
      </c>
      <c r="H4604" s="14" t="s">
        <v>343</v>
      </c>
      <c r="U4604" s="14">
        <v>1</v>
      </c>
      <c r="V4604" s="14">
        <v>1</v>
      </c>
      <c r="W4604" s="14">
        <v>1</v>
      </c>
      <c r="X4604" s="14">
        <v>1</v>
      </c>
    </row>
    <row r="4605" spans="1:24" hidden="1" x14ac:dyDescent="0.3">
      <c r="A4605" s="14" t="s">
        <v>510</v>
      </c>
      <c r="B4605" s="14" t="s">
        <v>198</v>
      </c>
      <c r="C4605" s="14" t="s">
        <v>380</v>
      </c>
      <c r="D4605" s="14" t="s">
        <v>381</v>
      </c>
      <c r="E4605" s="14" t="s">
        <v>344</v>
      </c>
      <c r="F4605" s="14" t="s">
        <v>343</v>
      </c>
      <c r="G4605" s="14" t="s">
        <v>343</v>
      </c>
      <c r="H4605" s="14" t="s">
        <v>343</v>
      </c>
      <c r="U4605" s="14">
        <v>81</v>
      </c>
      <c r="V4605" s="14">
        <v>97</v>
      </c>
      <c r="W4605" s="14">
        <v>102</v>
      </c>
      <c r="X4605" s="14">
        <v>77</v>
      </c>
    </row>
    <row r="4606" spans="1:24" hidden="1" x14ac:dyDescent="0.3">
      <c r="A4606" s="14" t="s">
        <v>510</v>
      </c>
      <c r="B4606" s="14" t="s">
        <v>198</v>
      </c>
      <c r="C4606" s="14" t="s">
        <v>355</v>
      </c>
      <c r="D4606" s="14" t="s">
        <v>356</v>
      </c>
      <c r="E4606" s="14" t="s">
        <v>342</v>
      </c>
      <c r="F4606" s="14" t="s">
        <v>343</v>
      </c>
      <c r="G4606" s="14" t="s">
        <v>343</v>
      </c>
      <c r="H4606" s="14" t="s">
        <v>343</v>
      </c>
      <c r="U4606" s="14">
        <v>1</v>
      </c>
      <c r="V4606" s="14">
        <v>1</v>
      </c>
      <c r="W4606" s="14">
        <v>1</v>
      </c>
      <c r="X4606" s="14">
        <v>1</v>
      </c>
    </row>
    <row r="4607" spans="1:24" hidden="1" x14ac:dyDescent="0.3">
      <c r="A4607" s="14" t="s">
        <v>510</v>
      </c>
      <c r="B4607" s="14" t="s">
        <v>198</v>
      </c>
      <c r="C4607" s="14" t="s">
        <v>355</v>
      </c>
      <c r="D4607" s="14" t="s">
        <v>356</v>
      </c>
      <c r="E4607" s="14" t="s">
        <v>344</v>
      </c>
      <c r="F4607" s="14" t="s">
        <v>343</v>
      </c>
      <c r="G4607" s="14" t="s">
        <v>343</v>
      </c>
      <c r="H4607" s="14" t="s">
        <v>343</v>
      </c>
      <c r="U4607" s="14">
        <v>1</v>
      </c>
      <c r="V4607" s="14">
        <v>1</v>
      </c>
      <c r="W4607" s="14">
        <v>1</v>
      </c>
      <c r="X4607" s="14">
        <v>1</v>
      </c>
    </row>
    <row r="4608" spans="1:24" hidden="1" x14ac:dyDescent="0.3">
      <c r="A4608" s="14" t="s">
        <v>510</v>
      </c>
      <c r="B4608" s="14" t="s">
        <v>198</v>
      </c>
      <c r="C4608" s="14" t="s">
        <v>357</v>
      </c>
      <c r="D4608" s="14" t="s">
        <v>358</v>
      </c>
      <c r="E4608" s="14" t="s">
        <v>342</v>
      </c>
      <c r="F4608" s="14" t="s">
        <v>343</v>
      </c>
      <c r="G4608" s="14" t="s">
        <v>343</v>
      </c>
      <c r="H4608" s="14" t="s">
        <v>343</v>
      </c>
      <c r="U4608" s="14">
        <v>1</v>
      </c>
      <c r="V4608" s="14">
        <v>1</v>
      </c>
      <c r="W4608" s="14">
        <v>1</v>
      </c>
      <c r="X4608" s="14">
        <v>1</v>
      </c>
    </row>
    <row r="4609" spans="1:24" hidden="1" x14ac:dyDescent="0.3">
      <c r="A4609" s="14" t="s">
        <v>510</v>
      </c>
      <c r="B4609" s="14" t="s">
        <v>198</v>
      </c>
      <c r="C4609" s="14" t="s">
        <v>357</v>
      </c>
      <c r="D4609" s="14" t="s">
        <v>358</v>
      </c>
      <c r="E4609" s="14" t="s">
        <v>344</v>
      </c>
      <c r="F4609" s="14" t="s">
        <v>343</v>
      </c>
      <c r="G4609" s="14" t="s">
        <v>343</v>
      </c>
      <c r="H4609" s="14" t="s">
        <v>343</v>
      </c>
      <c r="U4609" s="14">
        <v>1</v>
      </c>
      <c r="V4609" s="14">
        <v>1</v>
      </c>
      <c r="W4609" s="14">
        <v>1</v>
      </c>
      <c r="X4609" s="14">
        <v>1</v>
      </c>
    </row>
    <row r="4610" spans="1:24" hidden="1" x14ac:dyDescent="0.3">
      <c r="A4610" s="14" t="s">
        <v>510</v>
      </c>
      <c r="B4610" s="14" t="s">
        <v>198</v>
      </c>
      <c r="C4610" s="14" t="s">
        <v>359</v>
      </c>
      <c r="D4610" s="14" t="s">
        <v>360</v>
      </c>
      <c r="E4610" s="14" t="s">
        <v>342</v>
      </c>
      <c r="F4610" s="14" t="s">
        <v>343</v>
      </c>
      <c r="G4610" s="14" t="s">
        <v>343</v>
      </c>
      <c r="H4610" s="14" t="s">
        <v>343</v>
      </c>
      <c r="I4610" s="14">
        <v>0.67</v>
      </c>
      <c r="J4610" s="14">
        <v>0.7</v>
      </c>
      <c r="K4610" s="14">
        <v>0.7</v>
      </c>
      <c r="L4610" s="14">
        <v>0.71</v>
      </c>
      <c r="M4610" s="14">
        <v>0.71</v>
      </c>
      <c r="N4610" s="14">
        <v>0.69</v>
      </c>
      <c r="O4610" s="14">
        <v>0.68</v>
      </c>
      <c r="P4610" s="14">
        <v>0.69</v>
      </c>
      <c r="Q4610" s="14">
        <v>0.68</v>
      </c>
      <c r="R4610" s="14">
        <v>0.71</v>
      </c>
      <c r="S4610" s="14">
        <v>0.7</v>
      </c>
      <c r="T4610" s="14">
        <v>0.7</v>
      </c>
      <c r="U4610" s="14">
        <v>0.7</v>
      </c>
      <c r="V4610" s="14">
        <v>0.73</v>
      </c>
      <c r="W4610" s="14">
        <v>0.72</v>
      </c>
      <c r="X4610" s="14">
        <v>0.71</v>
      </c>
    </row>
    <row r="4611" spans="1:24" hidden="1" x14ac:dyDescent="0.3">
      <c r="A4611" s="14" t="s">
        <v>510</v>
      </c>
      <c r="B4611" s="14" t="s">
        <v>198</v>
      </c>
      <c r="C4611" s="14" t="s">
        <v>359</v>
      </c>
      <c r="D4611" s="14" t="s">
        <v>360</v>
      </c>
      <c r="E4611" s="14" t="s">
        <v>344</v>
      </c>
      <c r="F4611" s="14" t="s">
        <v>343</v>
      </c>
      <c r="G4611" s="14" t="s">
        <v>343</v>
      </c>
      <c r="H4611" s="14" t="s">
        <v>343</v>
      </c>
      <c r="I4611" s="14">
        <v>30</v>
      </c>
      <c r="J4611" s="14">
        <v>31</v>
      </c>
      <c r="K4611" s="14">
        <v>34</v>
      </c>
      <c r="L4611" s="14">
        <v>34</v>
      </c>
      <c r="M4611" s="14">
        <v>41</v>
      </c>
      <c r="N4611" s="14">
        <v>46</v>
      </c>
      <c r="O4611" s="14">
        <v>54</v>
      </c>
      <c r="P4611" s="14">
        <v>55</v>
      </c>
      <c r="Q4611" s="14">
        <v>60</v>
      </c>
      <c r="R4611" s="14">
        <v>50</v>
      </c>
      <c r="S4611" s="14">
        <v>54</v>
      </c>
      <c r="T4611" s="14">
        <v>57</v>
      </c>
      <c r="U4611" s="14">
        <v>53</v>
      </c>
      <c r="V4611" s="14">
        <v>44</v>
      </c>
      <c r="W4611" s="14">
        <v>50</v>
      </c>
      <c r="X4611" s="14">
        <v>63</v>
      </c>
    </row>
    <row r="4612" spans="1:24" x14ac:dyDescent="0.3">
      <c r="A4612" s="14" t="s">
        <v>510</v>
      </c>
      <c r="B4612" s="14" t="s">
        <v>198</v>
      </c>
      <c r="C4612" s="14" t="s">
        <v>361</v>
      </c>
      <c r="D4612" s="14" t="s">
        <v>362</v>
      </c>
      <c r="E4612" s="14" t="s">
        <v>342</v>
      </c>
      <c r="F4612" s="14" t="s">
        <v>343</v>
      </c>
      <c r="G4612" s="14" t="s">
        <v>343</v>
      </c>
      <c r="H4612" s="14" t="s">
        <v>343</v>
      </c>
      <c r="I4612" s="14">
        <v>0.98</v>
      </c>
      <c r="J4612" s="14">
        <v>0.98</v>
      </c>
      <c r="K4612" s="14">
        <v>0.98</v>
      </c>
      <c r="L4612" s="14">
        <v>0.98</v>
      </c>
      <c r="M4612" s="14">
        <v>0.98</v>
      </c>
      <c r="N4612" s="14">
        <v>0.98</v>
      </c>
      <c r="O4612" s="14">
        <v>0.98</v>
      </c>
      <c r="P4612" s="14">
        <v>0.98</v>
      </c>
      <c r="Q4612" s="14">
        <v>0.98</v>
      </c>
      <c r="R4612" s="14">
        <v>0.98</v>
      </c>
      <c r="S4612" s="14">
        <v>0.98</v>
      </c>
      <c r="T4612" s="14">
        <v>0.98</v>
      </c>
      <c r="U4612" s="14">
        <v>0.98</v>
      </c>
      <c r="V4612" s="14">
        <v>0.98</v>
      </c>
      <c r="W4612" s="14">
        <v>0.98</v>
      </c>
      <c r="X4612" s="14">
        <v>0.98</v>
      </c>
    </row>
    <row r="4613" spans="1:24" hidden="1" x14ac:dyDescent="0.3">
      <c r="A4613" s="14" t="s">
        <v>510</v>
      </c>
      <c r="B4613" s="14" t="s">
        <v>198</v>
      </c>
      <c r="C4613" s="14" t="s">
        <v>361</v>
      </c>
      <c r="D4613" s="14" t="s">
        <v>362</v>
      </c>
      <c r="E4613" s="14" t="s">
        <v>344</v>
      </c>
      <c r="F4613" s="14" t="s">
        <v>343</v>
      </c>
      <c r="G4613" s="14" t="s">
        <v>343</v>
      </c>
      <c r="H4613" s="14" t="s">
        <v>343</v>
      </c>
      <c r="I4613" s="14">
        <v>36</v>
      </c>
      <c r="J4613" s="14">
        <v>37</v>
      </c>
      <c r="K4613" s="14">
        <v>38</v>
      </c>
      <c r="L4613" s="14">
        <v>41</v>
      </c>
      <c r="M4613" s="14">
        <v>50</v>
      </c>
      <c r="N4613" s="14">
        <v>41</v>
      </c>
      <c r="O4613" s="14">
        <v>34</v>
      </c>
      <c r="P4613" s="14">
        <v>34</v>
      </c>
      <c r="Q4613" s="14">
        <v>37</v>
      </c>
      <c r="R4613" s="14">
        <v>42</v>
      </c>
      <c r="S4613" s="14">
        <v>40</v>
      </c>
      <c r="T4613" s="14">
        <v>1</v>
      </c>
      <c r="U4613" s="14">
        <v>1</v>
      </c>
      <c r="V4613" s="14">
        <v>1</v>
      </c>
      <c r="W4613" s="14">
        <v>1</v>
      </c>
      <c r="X4613" s="14">
        <v>1</v>
      </c>
    </row>
    <row r="4614" spans="1:24" hidden="1" x14ac:dyDescent="0.3">
      <c r="A4614" s="14" t="s">
        <v>510</v>
      </c>
      <c r="B4614" s="14" t="s">
        <v>198</v>
      </c>
      <c r="C4614" s="14" t="s">
        <v>363</v>
      </c>
      <c r="D4614" s="14" t="s">
        <v>364</v>
      </c>
      <c r="E4614" s="14" t="s">
        <v>342</v>
      </c>
      <c r="F4614" s="14" t="s">
        <v>343</v>
      </c>
      <c r="G4614" s="14" t="s">
        <v>343</v>
      </c>
      <c r="H4614" s="14" t="s">
        <v>343</v>
      </c>
      <c r="U4614" s="14">
        <v>1.06</v>
      </c>
      <c r="V4614" s="14">
        <v>1.06</v>
      </c>
      <c r="W4614" s="14">
        <v>1.06</v>
      </c>
      <c r="X4614" s="14">
        <v>1.06</v>
      </c>
    </row>
    <row r="4615" spans="1:24" hidden="1" x14ac:dyDescent="0.3">
      <c r="A4615" s="14" t="s">
        <v>510</v>
      </c>
      <c r="B4615" s="14" t="s">
        <v>198</v>
      </c>
      <c r="C4615" s="14" t="s">
        <v>363</v>
      </c>
      <c r="D4615" s="14" t="s">
        <v>364</v>
      </c>
      <c r="E4615" s="14" t="s">
        <v>344</v>
      </c>
      <c r="F4615" s="14" t="s">
        <v>343</v>
      </c>
      <c r="G4615" s="14" t="s">
        <v>343</v>
      </c>
      <c r="H4615" s="14" t="s">
        <v>343</v>
      </c>
      <c r="U4615" s="14">
        <v>1</v>
      </c>
      <c r="V4615" s="14">
        <v>1</v>
      </c>
      <c r="W4615" s="14">
        <v>1</v>
      </c>
      <c r="X4615" s="14">
        <v>1</v>
      </c>
    </row>
    <row r="4616" spans="1:24" hidden="1" x14ac:dyDescent="0.3">
      <c r="A4616" s="14" t="s">
        <v>510</v>
      </c>
      <c r="B4616" s="14" t="s">
        <v>198</v>
      </c>
      <c r="C4616" s="14" t="s">
        <v>365</v>
      </c>
      <c r="D4616" s="14" t="s">
        <v>366</v>
      </c>
      <c r="E4616" s="14" t="s">
        <v>342</v>
      </c>
      <c r="F4616" s="14" t="s">
        <v>343</v>
      </c>
      <c r="G4616" s="14" t="s">
        <v>343</v>
      </c>
      <c r="H4616" s="14" t="s">
        <v>343</v>
      </c>
      <c r="U4616" s="14">
        <v>0.94</v>
      </c>
      <c r="V4616" s="14">
        <v>0.94</v>
      </c>
      <c r="W4616" s="14">
        <v>0.94</v>
      </c>
      <c r="X4616" s="14">
        <v>0.94</v>
      </c>
    </row>
    <row r="4617" spans="1:24" hidden="1" x14ac:dyDescent="0.3">
      <c r="A4617" s="14" t="s">
        <v>510</v>
      </c>
      <c r="B4617" s="14" t="s">
        <v>198</v>
      </c>
      <c r="C4617" s="14" t="s">
        <v>365</v>
      </c>
      <c r="D4617" s="14" t="s">
        <v>366</v>
      </c>
      <c r="E4617" s="14" t="s">
        <v>344</v>
      </c>
      <c r="F4617" s="14" t="s">
        <v>343</v>
      </c>
      <c r="G4617" s="14" t="s">
        <v>343</v>
      </c>
      <c r="H4617" s="14" t="s">
        <v>343</v>
      </c>
      <c r="U4617" s="14">
        <v>1</v>
      </c>
      <c r="V4617" s="14">
        <v>1</v>
      </c>
      <c r="W4617" s="14">
        <v>1</v>
      </c>
      <c r="X4617" s="14">
        <v>1</v>
      </c>
    </row>
    <row r="4618" spans="1:24" hidden="1" x14ac:dyDescent="0.3">
      <c r="A4618" s="14" t="s">
        <v>510</v>
      </c>
      <c r="B4618" s="14" t="s">
        <v>198</v>
      </c>
      <c r="C4618" s="14" t="s">
        <v>367</v>
      </c>
      <c r="D4618" s="14" t="s">
        <v>368</v>
      </c>
      <c r="E4618" s="14" t="s">
        <v>342</v>
      </c>
      <c r="F4618" s="14" t="s">
        <v>343</v>
      </c>
      <c r="G4618" s="14" t="s">
        <v>343</v>
      </c>
      <c r="H4618" s="14" t="s">
        <v>343</v>
      </c>
      <c r="I4618" s="14">
        <v>0.68</v>
      </c>
      <c r="J4618" s="14">
        <v>0.69</v>
      </c>
      <c r="K4618" s="14">
        <v>0.68</v>
      </c>
      <c r="L4618" s="14">
        <v>0.68</v>
      </c>
      <c r="M4618" s="14">
        <v>0.68</v>
      </c>
      <c r="N4618" s="14">
        <v>0.68</v>
      </c>
      <c r="O4618" s="14">
        <v>0.69</v>
      </c>
      <c r="P4618" s="14">
        <v>0.69</v>
      </c>
      <c r="Q4618" s="14">
        <v>0.69</v>
      </c>
      <c r="R4618" s="14">
        <v>0.69</v>
      </c>
      <c r="S4618" s="14">
        <v>0.69</v>
      </c>
      <c r="T4618" s="14">
        <v>0.71</v>
      </c>
      <c r="U4618" s="14">
        <v>0.71</v>
      </c>
      <c r="V4618" s="14">
        <v>0.72</v>
      </c>
      <c r="W4618" s="14">
        <v>0.7</v>
      </c>
      <c r="X4618" s="14">
        <v>0.7</v>
      </c>
    </row>
    <row r="4619" spans="1:24" hidden="1" x14ac:dyDescent="0.3">
      <c r="A4619" s="14" t="s">
        <v>510</v>
      </c>
      <c r="B4619" s="14" t="s">
        <v>198</v>
      </c>
      <c r="C4619" s="14" t="s">
        <v>367</v>
      </c>
      <c r="D4619" s="14" t="s">
        <v>368</v>
      </c>
      <c r="E4619" s="14" t="s">
        <v>344</v>
      </c>
      <c r="F4619" s="14" t="s">
        <v>343</v>
      </c>
      <c r="G4619" s="14" t="s">
        <v>343</v>
      </c>
      <c r="H4619" s="14" t="s">
        <v>343</v>
      </c>
      <c r="I4619" s="14">
        <v>46</v>
      </c>
      <c r="J4619" s="14">
        <v>47</v>
      </c>
      <c r="K4619" s="14">
        <v>70</v>
      </c>
      <c r="L4619" s="14">
        <v>70</v>
      </c>
      <c r="M4619" s="14">
        <v>67</v>
      </c>
      <c r="N4619" s="14">
        <v>68</v>
      </c>
      <c r="O4619" s="14">
        <v>67</v>
      </c>
      <c r="P4619" s="14">
        <v>70</v>
      </c>
      <c r="Q4619" s="14">
        <v>72</v>
      </c>
      <c r="R4619" s="14">
        <v>77</v>
      </c>
      <c r="S4619" s="14">
        <v>76</v>
      </c>
      <c r="T4619" s="14">
        <v>58</v>
      </c>
      <c r="U4619" s="14">
        <v>63</v>
      </c>
      <c r="V4619" s="14">
        <v>55</v>
      </c>
      <c r="W4619" s="14">
        <v>88</v>
      </c>
      <c r="X4619" s="14">
        <v>90</v>
      </c>
    </row>
    <row r="4620" spans="1:24" hidden="1" x14ac:dyDescent="0.3">
      <c r="A4620" s="14" t="s">
        <v>510</v>
      </c>
      <c r="B4620" s="14" t="s">
        <v>198</v>
      </c>
      <c r="C4620" s="14" t="s">
        <v>369</v>
      </c>
      <c r="D4620" s="14" t="s">
        <v>370</v>
      </c>
      <c r="E4620" s="14" t="s">
        <v>342</v>
      </c>
      <c r="F4620" s="14" t="s">
        <v>343</v>
      </c>
      <c r="G4620" s="14" t="s">
        <v>343</v>
      </c>
      <c r="H4620" s="14" t="s">
        <v>343</v>
      </c>
      <c r="I4620" s="14">
        <v>7.0000000000000007E-2</v>
      </c>
      <c r="J4620" s="14">
        <v>7.0000000000000007E-2</v>
      </c>
      <c r="K4620" s="14">
        <v>0.03</v>
      </c>
      <c r="L4620" s="14">
        <v>0.04</v>
      </c>
      <c r="M4620" s="14">
        <v>0.06</v>
      </c>
      <c r="N4620" s="14">
        <v>0.06</v>
      </c>
      <c r="O4620" s="14">
        <v>0.09</v>
      </c>
      <c r="P4620" s="14">
        <v>0.1</v>
      </c>
      <c r="Q4620" s="14">
        <v>0.12</v>
      </c>
      <c r="R4620" s="14">
        <v>0.09</v>
      </c>
      <c r="S4620" s="14">
        <v>0.09</v>
      </c>
      <c r="T4620" s="14">
        <v>0.16</v>
      </c>
      <c r="U4620" s="14">
        <v>0.16</v>
      </c>
      <c r="V4620" s="14">
        <v>0.19</v>
      </c>
      <c r="W4620" s="14">
        <v>0.1</v>
      </c>
      <c r="X4620" s="14">
        <v>0.1</v>
      </c>
    </row>
    <row r="4621" spans="1:24" hidden="1" x14ac:dyDescent="0.3">
      <c r="A4621" s="14" t="s">
        <v>510</v>
      </c>
      <c r="B4621" s="14" t="s">
        <v>198</v>
      </c>
      <c r="C4621" s="14" t="s">
        <v>369</v>
      </c>
      <c r="D4621" s="14" t="s">
        <v>370</v>
      </c>
      <c r="E4621" s="14" t="s">
        <v>344</v>
      </c>
      <c r="F4621" s="14" t="s">
        <v>343</v>
      </c>
      <c r="G4621" s="14" t="s">
        <v>343</v>
      </c>
      <c r="H4621" s="14" t="s">
        <v>343</v>
      </c>
      <c r="I4621" s="14">
        <v>79</v>
      </c>
      <c r="J4621" s="14">
        <v>89</v>
      </c>
      <c r="K4621" s="14">
        <v>120</v>
      </c>
      <c r="L4621" s="14">
        <v>126</v>
      </c>
      <c r="M4621" s="14">
        <v>109</v>
      </c>
      <c r="N4621" s="14">
        <v>112</v>
      </c>
      <c r="O4621" s="14">
        <v>97</v>
      </c>
      <c r="P4621" s="14">
        <v>91</v>
      </c>
      <c r="Q4621" s="14">
        <v>91</v>
      </c>
      <c r="R4621" s="14">
        <v>113</v>
      </c>
      <c r="S4621" s="14">
        <v>112</v>
      </c>
      <c r="T4621" s="14">
        <v>78</v>
      </c>
      <c r="U4621" s="14">
        <v>79</v>
      </c>
      <c r="V4621" s="14">
        <v>76</v>
      </c>
      <c r="W4621" s="14">
        <v>129</v>
      </c>
      <c r="X4621" s="14">
        <v>122</v>
      </c>
    </row>
    <row r="4622" spans="1:24" hidden="1" x14ac:dyDescent="0.3">
      <c r="A4622" s="14" t="s">
        <v>510</v>
      </c>
      <c r="B4622" s="14" t="s">
        <v>198</v>
      </c>
      <c r="C4622" s="14" t="s">
        <v>371</v>
      </c>
      <c r="D4622" s="14" t="s">
        <v>372</v>
      </c>
      <c r="E4622" s="14" t="s">
        <v>342</v>
      </c>
      <c r="F4622" s="14" t="s">
        <v>343</v>
      </c>
      <c r="G4622" s="14" t="s">
        <v>343</v>
      </c>
      <c r="H4622" s="14" t="s">
        <v>343</v>
      </c>
      <c r="U4622" s="14">
        <v>0.01</v>
      </c>
      <c r="V4622" s="14">
        <v>0.03</v>
      </c>
      <c r="W4622" s="14">
        <v>0.04</v>
      </c>
      <c r="X4622" s="14">
        <v>0.04</v>
      </c>
    </row>
    <row r="4623" spans="1:24" hidden="1" x14ac:dyDescent="0.3">
      <c r="A4623" s="14" t="s">
        <v>510</v>
      </c>
      <c r="B4623" s="14" t="s">
        <v>198</v>
      </c>
      <c r="C4623" s="14" t="s">
        <v>371</v>
      </c>
      <c r="D4623" s="14" t="s">
        <v>372</v>
      </c>
      <c r="E4623" s="14" t="s">
        <v>344</v>
      </c>
      <c r="F4623" s="14" t="s">
        <v>343</v>
      </c>
      <c r="G4623" s="14" t="s">
        <v>343</v>
      </c>
      <c r="H4623" s="14" t="s">
        <v>343</v>
      </c>
      <c r="U4623" s="14">
        <v>60</v>
      </c>
      <c r="V4623" s="14">
        <v>54</v>
      </c>
      <c r="W4623" s="14">
        <v>55</v>
      </c>
      <c r="X4623" s="14">
        <v>54</v>
      </c>
    </row>
    <row r="4624" spans="1:24" hidden="1" x14ac:dyDescent="0.3">
      <c r="A4624" s="14" t="s">
        <v>510</v>
      </c>
      <c r="B4624" s="14" t="s">
        <v>198</v>
      </c>
      <c r="C4624" s="14" t="s">
        <v>373</v>
      </c>
      <c r="D4624" s="14" t="s">
        <v>374</v>
      </c>
      <c r="E4624" s="14" t="s">
        <v>342</v>
      </c>
      <c r="F4624" s="14" t="s">
        <v>343</v>
      </c>
      <c r="G4624" s="14" t="s">
        <v>343</v>
      </c>
      <c r="H4624" s="14" t="s">
        <v>343</v>
      </c>
      <c r="U4624" s="14">
        <v>0.32</v>
      </c>
      <c r="V4624" s="14">
        <v>0.39</v>
      </c>
      <c r="W4624" s="14">
        <v>0.05</v>
      </c>
      <c r="X4624" s="14">
        <v>0.05</v>
      </c>
    </row>
    <row r="4625" spans="1:24" hidden="1" x14ac:dyDescent="0.3">
      <c r="A4625" s="14" t="s">
        <v>510</v>
      </c>
      <c r="B4625" s="14" t="s">
        <v>198</v>
      </c>
      <c r="C4625" s="14" t="s">
        <v>373</v>
      </c>
      <c r="D4625" s="14" t="s">
        <v>374</v>
      </c>
      <c r="E4625" s="14" t="s">
        <v>344</v>
      </c>
      <c r="F4625" s="14" t="s">
        <v>343</v>
      </c>
      <c r="G4625" s="14" t="s">
        <v>343</v>
      </c>
      <c r="H4625" s="14" t="s">
        <v>343</v>
      </c>
      <c r="U4625" s="14">
        <v>44</v>
      </c>
      <c r="V4625" s="14">
        <v>45</v>
      </c>
      <c r="W4625" s="14">
        <v>141</v>
      </c>
      <c r="X4625" s="14">
        <v>133</v>
      </c>
    </row>
    <row r="4626" spans="1:24" hidden="1" x14ac:dyDescent="0.3">
      <c r="A4626" s="14" t="s">
        <v>510</v>
      </c>
      <c r="B4626" s="14" t="s">
        <v>198</v>
      </c>
      <c r="C4626" s="14" t="s">
        <v>375</v>
      </c>
      <c r="D4626" s="14" t="s">
        <v>376</v>
      </c>
      <c r="E4626" s="14" t="s">
        <v>342</v>
      </c>
      <c r="F4626" s="14" t="s">
        <v>343</v>
      </c>
      <c r="G4626" s="14" t="s">
        <v>343</v>
      </c>
      <c r="H4626" s="14" t="s">
        <v>343</v>
      </c>
      <c r="U4626" s="14">
        <v>0.26</v>
      </c>
      <c r="V4626" s="14">
        <v>0.26</v>
      </c>
      <c r="W4626" s="14">
        <v>0.23</v>
      </c>
      <c r="X4626" s="14">
        <v>0.24</v>
      </c>
    </row>
    <row r="4627" spans="1:24" hidden="1" x14ac:dyDescent="0.3">
      <c r="A4627" s="14" t="s">
        <v>510</v>
      </c>
      <c r="B4627" s="14" t="s">
        <v>198</v>
      </c>
      <c r="C4627" s="14" t="s">
        <v>375</v>
      </c>
      <c r="D4627" s="14" t="s">
        <v>376</v>
      </c>
      <c r="E4627" s="14" t="s">
        <v>344</v>
      </c>
      <c r="F4627" s="14" t="s">
        <v>343</v>
      </c>
      <c r="G4627" s="14" t="s">
        <v>343</v>
      </c>
      <c r="H4627" s="14" t="s">
        <v>343</v>
      </c>
      <c r="U4627" s="14">
        <v>77</v>
      </c>
      <c r="V4627" s="14">
        <v>84</v>
      </c>
      <c r="W4627" s="14">
        <v>110</v>
      </c>
      <c r="X4627" s="14">
        <v>101</v>
      </c>
    </row>
    <row r="4628" spans="1:24" hidden="1" x14ac:dyDescent="0.3">
      <c r="A4628" s="14" t="s">
        <v>511</v>
      </c>
      <c r="B4628" s="14" t="s">
        <v>199</v>
      </c>
      <c r="C4628" s="14" t="s">
        <v>340</v>
      </c>
      <c r="D4628" s="14" t="s">
        <v>341</v>
      </c>
      <c r="E4628" s="14" t="s">
        <v>342</v>
      </c>
      <c r="F4628" s="14" t="s">
        <v>343</v>
      </c>
      <c r="G4628" s="14" t="s">
        <v>343</v>
      </c>
      <c r="H4628" s="14" t="s">
        <v>343</v>
      </c>
      <c r="I4628" s="14">
        <v>1</v>
      </c>
      <c r="J4628" s="14">
        <v>1</v>
      </c>
      <c r="K4628" s="14">
        <v>1</v>
      </c>
      <c r="L4628" s="14">
        <v>1</v>
      </c>
      <c r="M4628" s="14">
        <v>1</v>
      </c>
      <c r="N4628" s="14">
        <v>1</v>
      </c>
      <c r="O4628" s="14">
        <v>1</v>
      </c>
      <c r="P4628" s="14">
        <v>1</v>
      </c>
      <c r="Q4628" s="14">
        <v>1</v>
      </c>
      <c r="R4628" s="14">
        <v>1</v>
      </c>
      <c r="S4628" s="14">
        <v>1</v>
      </c>
      <c r="T4628" s="14">
        <v>1</v>
      </c>
      <c r="U4628" s="14">
        <v>1</v>
      </c>
      <c r="V4628" s="14">
        <v>1</v>
      </c>
      <c r="W4628" s="14">
        <v>1</v>
      </c>
    </row>
    <row r="4629" spans="1:24" hidden="1" x14ac:dyDescent="0.3">
      <c r="A4629" s="14" t="s">
        <v>511</v>
      </c>
      <c r="B4629" s="14" t="s">
        <v>199</v>
      </c>
      <c r="C4629" s="14" t="s">
        <v>340</v>
      </c>
      <c r="D4629" s="14" t="s">
        <v>341</v>
      </c>
      <c r="E4629" s="14" t="s">
        <v>344</v>
      </c>
      <c r="F4629" s="14" t="s">
        <v>343</v>
      </c>
      <c r="G4629" s="14" t="s">
        <v>343</v>
      </c>
      <c r="H4629" s="14" t="s">
        <v>343</v>
      </c>
      <c r="I4629" s="14">
        <v>18</v>
      </c>
      <c r="J4629" s="14">
        <v>22</v>
      </c>
      <c r="K4629" s="14">
        <v>28</v>
      </c>
      <c r="L4629" s="14">
        <v>29</v>
      </c>
      <c r="M4629" s="14">
        <v>26</v>
      </c>
      <c r="N4629" s="14">
        <v>33</v>
      </c>
      <c r="O4629" s="14">
        <v>35</v>
      </c>
      <c r="P4629" s="14">
        <v>36</v>
      </c>
      <c r="Q4629" s="14">
        <v>28</v>
      </c>
      <c r="R4629" s="14">
        <v>27</v>
      </c>
      <c r="S4629" s="14">
        <v>45</v>
      </c>
      <c r="T4629" s="14">
        <v>50</v>
      </c>
      <c r="U4629" s="14">
        <v>28</v>
      </c>
      <c r="V4629" s="14">
        <v>1</v>
      </c>
      <c r="W4629" s="14">
        <v>1</v>
      </c>
    </row>
    <row r="4630" spans="1:24" hidden="1" x14ac:dyDescent="0.3">
      <c r="A4630" s="14" t="s">
        <v>511</v>
      </c>
      <c r="B4630" s="14" t="s">
        <v>199</v>
      </c>
      <c r="C4630" s="14" t="s">
        <v>345</v>
      </c>
      <c r="D4630" s="14" t="s">
        <v>346</v>
      </c>
      <c r="E4630" s="14" t="s">
        <v>342</v>
      </c>
      <c r="F4630" s="14" t="s">
        <v>343</v>
      </c>
      <c r="G4630" s="14" t="s">
        <v>343</v>
      </c>
      <c r="H4630" s="14" t="s">
        <v>343</v>
      </c>
      <c r="U4630" s="14">
        <v>0.59</v>
      </c>
      <c r="V4630" s="14">
        <v>0.57999999999999996</v>
      </c>
      <c r="W4630" s="14">
        <v>0.59</v>
      </c>
    </row>
    <row r="4631" spans="1:24" hidden="1" x14ac:dyDescent="0.3">
      <c r="A4631" s="14" t="s">
        <v>511</v>
      </c>
      <c r="B4631" s="14" t="s">
        <v>199</v>
      </c>
      <c r="C4631" s="14" t="s">
        <v>345</v>
      </c>
      <c r="D4631" s="14" t="s">
        <v>346</v>
      </c>
      <c r="E4631" s="14" t="s">
        <v>344</v>
      </c>
      <c r="F4631" s="14" t="s">
        <v>343</v>
      </c>
      <c r="G4631" s="14" t="s">
        <v>343</v>
      </c>
      <c r="H4631" s="14" t="s">
        <v>343</v>
      </c>
      <c r="U4631" s="14">
        <v>84</v>
      </c>
      <c r="V4631" s="14">
        <v>95</v>
      </c>
      <c r="W4631" s="14">
        <v>87</v>
      </c>
    </row>
    <row r="4632" spans="1:24" hidden="1" x14ac:dyDescent="0.3">
      <c r="A4632" s="14" t="s">
        <v>511</v>
      </c>
      <c r="B4632" s="14" t="s">
        <v>199</v>
      </c>
      <c r="C4632" s="14" t="s">
        <v>347</v>
      </c>
      <c r="D4632" s="14" t="s">
        <v>348</v>
      </c>
      <c r="E4632" s="14" t="s">
        <v>342</v>
      </c>
      <c r="F4632" s="14" t="s">
        <v>343</v>
      </c>
      <c r="G4632" s="14" t="s">
        <v>343</v>
      </c>
      <c r="H4632" s="14" t="s">
        <v>343</v>
      </c>
      <c r="U4632" s="14">
        <v>0.86</v>
      </c>
      <c r="V4632" s="14">
        <v>0.86</v>
      </c>
      <c r="W4632" s="14">
        <v>0.87</v>
      </c>
    </row>
    <row r="4633" spans="1:24" hidden="1" x14ac:dyDescent="0.3">
      <c r="A4633" s="14" t="s">
        <v>511</v>
      </c>
      <c r="B4633" s="14" t="s">
        <v>199</v>
      </c>
      <c r="C4633" s="14" t="s">
        <v>347</v>
      </c>
      <c r="D4633" s="14" t="s">
        <v>348</v>
      </c>
      <c r="E4633" s="14" t="s">
        <v>344</v>
      </c>
      <c r="F4633" s="14" t="s">
        <v>343</v>
      </c>
      <c r="G4633" s="14" t="s">
        <v>343</v>
      </c>
      <c r="H4633" s="14" t="s">
        <v>343</v>
      </c>
      <c r="U4633" s="14">
        <v>57</v>
      </c>
      <c r="V4633" s="14">
        <v>59</v>
      </c>
      <c r="W4633" s="14">
        <v>60</v>
      </c>
    </row>
    <row r="4634" spans="1:24" hidden="1" x14ac:dyDescent="0.3">
      <c r="A4634" s="14" t="s">
        <v>511</v>
      </c>
      <c r="B4634" s="14" t="s">
        <v>199</v>
      </c>
      <c r="C4634" s="14" t="s">
        <v>349</v>
      </c>
      <c r="D4634" s="14" t="s">
        <v>350</v>
      </c>
      <c r="E4634" s="14" t="s">
        <v>342</v>
      </c>
      <c r="F4634" s="14" t="s">
        <v>343</v>
      </c>
      <c r="G4634" s="14" t="s">
        <v>343</v>
      </c>
      <c r="H4634" s="14" t="s">
        <v>343</v>
      </c>
      <c r="U4634" s="14">
        <v>0.7</v>
      </c>
      <c r="V4634" s="14">
        <v>0.72</v>
      </c>
      <c r="W4634" s="14">
        <v>0.81</v>
      </c>
    </row>
    <row r="4635" spans="1:24" hidden="1" x14ac:dyDescent="0.3">
      <c r="A4635" s="14" t="s">
        <v>511</v>
      </c>
      <c r="B4635" s="14" t="s">
        <v>199</v>
      </c>
      <c r="C4635" s="14" t="s">
        <v>349</v>
      </c>
      <c r="D4635" s="14" t="s">
        <v>350</v>
      </c>
      <c r="E4635" s="14" t="s">
        <v>344</v>
      </c>
      <c r="F4635" s="14" t="s">
        <v>343</v>
      </c>
      <c r="G4635" s="14" t="s">
        <v>343</v>
      </c>
      <c r="H4635" s="14" t="s">
        <v>343</v>
      </c>
      <c r="U4635" s="14">
        <v>18</v>
      </c>
      <c r="V4635" s="14">
        <v>19</v>
      </c>
      <c r="W4635" s="14">
        <v>21</v>
      </c>
    </row>
    <row r="4636" spans="1:24" hidden="1" x14ac:dyDescent="0.3">
      <c r="A4636" s="14" t="s">
        <v>511</v>
      </c>
      <c r="B4636" s="14" t="s">
        <v>199</v>
      </c>
      <c r="C4636" s="14" t="s">
        <v>351</v>
      </c>
      <c r="D4636" s="14" t="s">
        <v>352</v>
      </c>
      <c r="E4636" s="14" t="s">
        <v>342</v>
      </c>
      <c r="F4636" s="14" t="s">
        <v>343</v>
      </c>
      <c r="G4636" s="14" t="s">
        <v>343</v>
      </c>
      <c r="H4636" s="14" t="s">
        <v>343</v>
      </c>
      <c r="U4636" s="14">
        <v>1</v>
      </c>
      <c r="V4636" s="14">
        <v>1</v>
      </c>
      <c r="W4636" s="14">
        <v>1</v>
      </c>
    </row>
    <row r="4637" spans="1:24" hidden="1" x14ac:dyDescent="0.3">
      <c r="A4637" s="14" t="s">
        <v>511</v>
      </c>
      <c r="B4637" s="14" t="s">
        <v>199</v>
      </c>
      <c r="C4637" s="14" t="s">
        <v>351</v>
      </c>
      <c r="D4637" s="14" t="s">
        <v>352</v>
      </c>
      <c r="E4637" s="14" t="s">
        <v>344</v>
      </c>
      <c r="F4637" s="14" t="s">
        <v>343</v>
      </c>
      <c r="G4637" s="14" t="s">
        <v>343</v>
      </c>
      <c r="H4637" s="14" t="s">
        <v>343</v>
      </c>
      <c r="U4637" s="14">
        <v>1</v>
      </c>
      <c r="V4637" s="14">
        <v>1</v>
      </c>
      <c r="W4637" s="14">
        <v>1</v>
      </c>
    </row>
    <row r="4638" spans="1:24" hidden="1" x14ac:dyDescent="0.3">
      <c r="A4638" s="14" t="s">
        <v>511</v>
      </c>
      <c r="B4638" s="14" t="s">
        <v>199</v>
      </c>
      <c r="C4638" s="14" t="s">
        <v>378</v>
      </c>
      <c r="D4638" s="14" t="s">
        <v>379</v>
      </c>
      <c r="E4638" s="14" t="s">
        <v>342</v>
      </c>
      <c r="F4638" s="14" t="s">
        <v>343</v>
      </c>
      <c r="G4638" s="14" t="s">
        <v>343</v>
      </c>
      <c r="H4638" s="14" t="s">
        <v>343</v>
      </c>
      <c r="S4638" s="14">
        <v>0.65</v>
      </c>
      <c r="U4638" s="14">
        <v>0.69</v>
      </c>
      <c r="V4638" s="14">
        <v>0.71</v>
      </c>
      <c r="W4638" s="14">
        <v>0.72</v>
      </c>
    </row>
    <row r="4639" spans="1:24" hidden="1" x14ac:dyDescent="0.3">
      <c r="A4639" s="14" t="s">
        <v>511</v>
      </c>
      <c r="B4639" s="14" t="s">
        <v>199</v>
      </c>
      <c r="C4639" s="14" t="s">
        <v>378</v>
      </c>
      <c r="D4639" s="14" t="s">
        <v>379</v>
      </c>
      <c r="E4639" s="14" t="s">
        <v>344</v>
      </c>
      <c r="F4639" s="14" t="s">
        <v>343</v>
      </c>
      <c r="G4639" s="14" t="s">
        <v>343</v>
      </c>
      <c r="H4639" s="14" t="s">
        <v>343</v>
      </c>
      <c r="S4639" s="14">
        <v>65</v>
      </c>
      <c r="U4639" s="14">
        <v>52</v>
      </c>
      <c r="V4639" s="14">
        <v>37</v>
      </c>
      <c r="W4639" s="14">
        <v>42</v>
      </c>
    </row>
    <row r="4640" spans="1:24" hidden="1" x14ac:dyDescent="0.3">
      <c r="A4640" s="14" t="s">
        <v>511</v>
      </c>
      <c r="B4640" s="14" t="s">
        <v>199</v>
      </c>
      <c r="C4640" s="14" t="s">
        <v>353</v>
      </c>
      <c r="D4640" s="14" t="s">
        <v>354</v>
      </c>
      <c r="E4640" s="14" t="s">
        <v>342</v>
      </c>
      <c r="F4640" s="14" t="s">
        <v>343</v>
      </c>
      <c r="G4640" s="14" t="s">
        <v>343</v>
      </c>
      <c r="H4640" s="14" t="s">
        <v>343</v>
      </c>
      <c r="U4640" s="14">
        <v>1</v>
      </c>
      <c r="V4640" s="14">
        <v>1</v>
      </c>
      <c r="W4640" s="14">
        <v>1</v>
      </c>
    </row>
    <row r="4641" spans="1:23" hidden="1" x14ac:dyDescent="0.3">
      <c r="A4641" s="14" t="s">
        <v>511</v>
      </c>
      <c r="B4641" s="14" t="s">
        <v>199</v>
      </c>
      <c r="C4641" s="14" t="s">
        <v>353</v>
      </c>
      <c r="D4641" s="14" t="s">
        <v>354</v>
      </c>
      <c r="E4641" s="14" t="s">
        <v>344</v>
      </c>
      <c r="F4641" s="14" t="s">
        <v>343</v>
      </c>
      <c r="G4641" s="14" t="s">
        <v>343</v>
      </c>
      <c r="H4641" s="14" t="s">
        <v>343</v>
      </c>
      <c r="U4641" s="14">
        <v>46</v>
      </c>
      <c r="V4641" s="14">
        <v>1</v>
      </c>
      <c r="W4641" s="14">
        <v>1</v>
      </c>
    </row>
    <row r="4642" spans="1:23" hidden="1" x14ac:dyDescent="0.3">
      <c r="A4642" s="14" t="s">
        <v>511</v>
      </c>
      <c r="B4642" s="14" t="s">
        <v>199</v>
      </c>
      <c r="C4642" s="14" t="s">
        <v>380</v>
      </c>
      <c r="D4642" s="14" t="s">
        <v>381</v>
      </c>
      <c r="E4642" s="14" t="s">
        <v>342</v>
      </c>
      <c r="F4642" s="14" t="s">
        <v>343</v>
      </c>
      <c r="G4642" s="14" t="s">
        <v>343</v>
      </c>
      <c r="H4642" s="14" t="s">
        <v>343</v>
      </c>
      <c r="U4642" s="14">
        <v>1</v>
      </c>
      <c r="V4642" s="14">
        <v>1</v>
      </c>
      <c r="W4642" s="14">
        <v>1</v>
      </c>
    </row>
    <row r="4643" spans="1:23" hidden="1" x14ac:dyDescent="0.3">
      <c r="A4643" s="14" t="s">
        <v>511</v>
      </c>
      <c r="B4643" s="14" t="s">
        <v>199</v>
      </c>
      <c r="C4643" s="14" t="s">
        <v>380</v>
      </c>
      <c r="D4643" s="14" t="s">
        <v>381</v>
      </c>
      <c r="E4643" s="14" t="s">
        <v>344</v>
      </c>
      <c r="F4643" s="14" t="s">
        <v>343</v>
      </c>
      <c r="G4643" s="14" t="s">
        <v>343</v>
      </c>
      <c r="H4643" s="14" t="s">
        <v>343</v>
      </c>
      <c r="U4643" s="14">
        <v>1</v>
      </c>
      <c r="V4643" s="14">
        <v>1</v>
      </c>
      <c r="W4643" s="14">
        <v>1</v>
      </c>
    </row>
    <row r="4644" spans="1:23" hidden="1" x14ac:dyDescent="0.3">
      <c r="A4644" s="14" t="s">
        <v>511</v>
      </c>
      <c r="B4644" s="14" t="s">
        <v>199</v>
      </c>
      <c r="C4644" s="14" t="s">
        <v>355</v>
      </c>
      <c r="D4644" s="14" t="s">
        <v>356</v>
      </c>
      <c r="E4644" s="14" t="s">
        <v>342</v>
      </c>
      <c r="F4644" s="14" t="s">
        <v>343</v>
      </c>
      <c r="G4644" s="14" t="s">
        <v>343</v>
      </c>
      <c r="H4644" s="14" t="s">
        <v>343</v>
      </c>
      <c r="U4644" s="14">
        <v>1</v>
      </c>
      <c r="V4644" s="14">
        <v>1</v>
      </c>
      <c r="W4644" s="14">
        <v>1</v>
      </c>
    </row>
    <row r="4645" spans="1:23" hidden="1" x14ac:dyDescent="0.3">
      <c r="A4645" s="14" t="s">
        <v>511</v>
      </c>
      <c r="B4645" s="14" t="s">
        <v>199</v>
      </c>
      <c r="C4645" s="14" t="s">
        <v>355</v>
      </c>
      <c r="D4645" s="14" t="s">
        <v>356</v>
      </c>
      <c r="E4645" s="14" t="s">
        <v>344</v>
      </c>
      <c r="F4645" s="14" t="s">
        <v>343</v>
      </c>
      <c r="G4645" s="14" t="s">
        <v>343</v>
      </c>
      <c r="H4645" s="14" t="s">
        <v>343</v>
      </c>
      <c r="U4645" s="14">
        <v>1</v>
      </c>
      <c r="V4645" s="14">
        <v>1</v>
      </c>
      <c r="W4645" s="14">
        <v>1</v>
      </c>
    </row>
    <row r="4646" spans="1:23" hidden="1" x14ac:dyDescent="0.3">
      <c r="A4646" s="14" t="s">
        <v>511</v>
      </c>
      <c r="B4646" s="14" t="s">
        <v>199</v>
      </c>
      <c r="C4646" s="14" t="s">
        <v>357</v>
      </c>
      <c r="D4646" s="14" t="s">
        <v>358</v>
      </c>
      <c r="E4646" s="14" t="s">
        <v>342</v>
      </c>
      <c r="F4646" s="14" t="s">
        <v>343</v>
      </c>
      <c r="G4646" s="14" t="s">
        <v>343</v>
      </c>
      <c r="H4646" s="14" t="s">
        <v>343</v>
      </c>
      <c r="U4646" s="14">
        <v>1</v>
      </c>
      <c r="V4646" s="14">
        <v>1</v>
      </c>
      <c r="W4646" s="14">
        <v>1</v>
      </c>
    </row>
    <row r="4647" spans="1:23" hidden="1" x14ac:dyDescent="0.3">
      <c r="A4647" s="14" t="s">
        <v>511</v>
      </c>
      <c r="B4647" s="14" t="s">
        <v>199</v>
      </c>
      <c r="C4647" s="14" t="s">
        <v>357</v>
      </c>
      <c r="D4647" s="14" t="s">
        <v>358</v>
      </c>
      <c r="E4647" s="14" t="s">
        <v>344</v>
      </c>
      <c r="F4647" s="14" t="s">
        <v>343</v>
      </c>
      <c r="G4647" s="14" t="s">
        <v>343</v>
      </c>
      <c r="H4647" s="14" t="s">
        <v>343</v>
      </c>
      <c r="U4647" s="14">
        <v>1</v>
      </c>
      <c r="V4647" s="14">
        <v>1</v>
      </c>
      <c r="W4647" s="14">
        <v>1</v>
      </c>
    </row>
    <row r="4648" spans="1:23" hidden="1" x14ac:dyDescent="0.3">
      <c r="A4648" s="14" t="s">
        <v>511</v>
      </c>
      <c r="B4648" s="14" t="s">
        <v>199</v>
      </c>
      <c r="C4648" s="14" t="s">
        <v>359</v>
      </c>
      <c r="D4648" s="14" t="s">
        <v>360</v>
      </c>
      <c r="E4648" s="14" t="s">
        <v>342</v>
      </c>
      <c r="F4648" s="14" t="s">
        <v>343</v>
      </c>
      <c r="G4648" s="14" t="s">
        <v>343</v>
      </c>
      <c r="H4648" s="14" t="s">
        <v>343</v>
      </c>
      <c r="I4648" s="14">
        <v>0.7</v>
      </c>
      <c r="J4648" s="14">
        <v>0.73</v>
      </c>
      <c r="K4648" s="14">
        <v>0.74</v>
      </c>
      <c r="L4648" s="14">
        <v>0.74</v>
      </c>
      <c r="M4648" s="14">
        <v>0.74</v>
      </c>
      <c r="N4648" s="14">
        <v>0.74</v>
      </c>
      <c r="O4648" s="14">
        <v>0.72</v>
      </c>
      <c r="P4648" s="14">
        <v>0.72</v>
      </c>
      <c r="Q4648" s="14">
        <v>0.73</v>
      </c>
      <c r="R4648" s="14">
        <v>0.73</v>
      </c>
      <c r="S4648" s="14">
        <v>0.72</v>
      </c>
      <c r="T4648" s="14">
        <v>0.72</v>
      </c>
      <c r="U4648" s="14">
        <v>0.74</v>
      </c>
      <c r="V4648" s="14">
        <v>0.75</v>
      </c>
      <c r="W4648" s="14">
        <v>0.77</v>
      </c>
    </row>
    <row r="4649" spans="1:23" hidden="1" x14ac:dyDescent="0.3">
      <c r="A4649" s="14" t="s">
        <v>511</v>
      </c>
      <c r="B4649" s="14" t="s">
        <v>199</v>
      </c>
      <c r="C4649" s="14" t="s">
        <v>359</v>
      </c>
      <c r="D4649" s="14" t="s">
        <v>360</v>
      </c>
      <c r="E4649" s="14" t="s">
        <v>344</v>
      </c>
      <c r="F4649" s="14" t="s">
        <v>343</v>
      </c>
      <c r="G4649" s="14" t="s">
        <v>343</v>
      </c>
      <c r="H4649" s="14" t="s">
        <v>343</v>
      </c>
      <c r="I4649" s="14">
        <v>22</v>
      </c>
      <c r="J4649" s="14">
        <v>16</v>
      </c>
      <c r="K4649" s="14">
        <v>16</v>
      </c>
      <c r="L4649" s="14">
        <v>24</v>
      </c>
      <c r="M4649" s="14">
        <v>28</v>
      </c>
      <c r="N4649" s="14">
        <v>29</v>
      </c>
      <c r="O4649" s="14">
        <v>39</v>
      </c>
      <c r="P4649" s="14">
        <v>42</v>
      </c>
      <c r="Q4649" s="14">
        <v>42</v>
      </c>
      <c r="R4649" s="14">
        <v>42</v>
      </c>
      <c r="S4649" s="14">
        <v>41</v>
      </c>
      <c r="T4649" s="14">
        <v>41</v>
      </c>
      <c r="U4649" s="14">
        <v>31</v>
      </c>
      <c r="V4649" s="14">
        <v>32</v>
      </c>
      <c r="W4649" s="14">
        <v>25</v>
      </c>
    </row>
    <row r="4650" spans="1:23" x14ac:dyDescent="0.3">
      <c r="A4650" s="14" t="s">
        <v>511</v>
      </c>
      <c r="B4650" s="14" t="s">
        <v>199</v>
      </c>
      <c r="C4650" s="14" t="s">
        <v>361</v>
      </c>
      <c r="D4650" s="14" t="s">
        <v>362</v>
      </c>
      <c r="E4650" s="14" t="s">
        <v>342</v>
      </c>
      <c r="F4650" s="14" t="s">
        <v>343</v>
      </c>
      <c r="G4650" s="14" t="s">
        <v>343</v>
      </c>
      <c r="H4650" s="14" t="s">
        <v>343</v>
      </c>
      <c r="I4650" s="14">
        <v>0.98</v>
      </c>
      <c r="J4650" s="14">
        <v>0.98</v>
      </c>
      <c r="K4650" s="14">
        <v>0.98</v>
      </c>
      <c r="L4650" s="14">
        <v>0.98</v>
      </c>
      <c r="M4650" s="14">
        <v>0.98</v>
      </c>
      <c r="N4650" s="14">
        <v>0.98</v>
      </c>
      <c r="O4650" s="14">
        <v>0.98</v>
      </c>
      <c r="P4650" s="14">
        <v>0.98</v>
      </c>
      <c r="Q4650" s="14">
        <v>0.98</v>
      </c>
      <c r="R4650" s="14">
        <v>0.98</v>
      </c>
      <c r="S4650" s="14">
        <v>0.98</v>
      </c>
      <c r="T4650" s="14">
        <v>0.98</v>
      </c>
      <c r="U4650" s="14">
        <v>0.98</v>
      </c>
      <c r="V4650" s="14">
        <v>0.98</v>
      </c>
      <c r="W4650" s="14">
        <v>0.98</v>
      </c>
    </row>
    <row r="4651" spans="1:23" hidden="1" x14ac:dyDescent="0.3">
      <c r="A4651" s="14" t="s">
        <v>511</v>
      </c>
      <c r="B4651" s="14" t="s">
        <v>199</v>
      </c>
      <c r="C4651" s="14" t="s">
        <v>361</v>
      </c>
      <c r="D4651" s="14" t="s">
        <v>362</v>
      </c>
      <c r="E4651" s="14" t="s">
        <v>344</v>
      </c>
      <c r="F4651" s="14" t="s">
        <v>343</v>
      </c>
      <c r="G4651" s="14" t="s">
        <v>343</v>
      </c>
      <c r="H4651" s="14" t="s">
        <v>343</v>
      </c>
      <c r="I4651" s="14">
        <v>36</v>
      </c>
      <c r="J4651" s="14">
        <v>37</v>
      </c>
      <c r="K4651" s="14">
        <v>38</v>
      </c>
      <c r="L4651" s="14">
        <v>41</v>
      </c>
      <c r="M4651" s="14">
        <v>40</v>
      </c>
      <c r="N4651" s="14">
        <v>41</v>
      </c>
      <c r="O4651" s="14">
        <v>34</v>
      </c>
      <c r="P4651" s="14">
        <v>34</v>
      </c>
      <c r="Q4651" s="14">
        <v>37</v>
      </c>
      <c r="R4651" s="14">
        <v>42</v>
      </c>
      <c r="S4651" s="14">
        <v>40</v>
      </c>
      <c r="T4651" s="14">
        <v>1</v>
      </c>
      <c r="U4651" s="14">
        <v>1</v>
      </c>
      <c r="V4651" s="14">
        <v>1</v>
      </c>
      <c r="W4651" s="14">
        <v>1</v>
      </c>
    </row>
    <row r="4652" spans="1:23" hidden="1" x14ac:dyDescent="0.3">
      <c r="A4652" s="14" t="s">
        <v>511</v>
      </c>
      <c r="B4652" s="14" t="s">
        <v>199</v>
      </c>
      <c r="C4652" s="14" t="s">
        <v>363</v>
      </c>
      <c r="D4652" s="14" t="s">
        <v>364</v>
      </c>
      <c r="E4652" s="14" t="s">
        <v>342</v>
      </c>
      <c r="F4652" s="14" t="s">
        <v>343</v>
      </c>
      <c r="G4652" s="14" t="s">
        <v>343</v>
      </c>
      <c r="H4652" s="14" t="s">
        <v>343</v>
      </c>
      <c r="U4652" s="14">
        <v>1.06</v>
      </c>
      <c r="V4652" s="14">
        <v>1.06</v>
      </c>
      <c r="W4652" s="14">
        <v>1.06</v>
      </c>
    </row>
    <row r="4653" spans="1:23" hidden="1" x14ac:dyDescent="0.3">
      <c r="A4653" s="14" t="s">
        <v>511</v>
      </c>
      <c r="B4653" s="14" t="s">
        <v>199</v>
      </c>
      <c r="C4653" s="14" t="s">
        <v>363</v>
      </c>
      <c r="D4653" s="14" t="s">
        <v>364</v>
      </c>
      <c r="E4653" s="14" t="s">
        <v>344</v>
      </c>
      <c r="F4653" s="14" t="s">
        <v>343</v>
      </c>
      <c r="G4653" s="14" t="s">
        <v>343</v>
      </c>
      <c r="H4653" s="14" t="s">
        <v>343</v>
      </c>
      <c r="U4653" s="14">
        <v>1</v>
      </c>
      <c r="V4653" s="14">
        <v>1</v>
      </c>
      <c r="W4653" s="14">
        <v>1</v>
      </c>
    </row>
    <row r="4654" spans="1:23" hidden="1" x14ac:dyDescent="0.3">
      <c r="A4654" s="14" t="s">
        <v>511</v>
      </c>
      <c r="B4654" s="14" t="s">
        <v>199</v>
      </c>
      <c r="C4654" s="14" t="s">
        <v>365</v>
      </c>
      <c r="D4654" s="14" t="s">
        <v>366</v>
      </c>
      <c r="E4654" s="14" t="s">
        <v>342</v>
      </c>
      <c r="F4654" s="14" t="s">
        <v>343</v>
      </c>
      <c r="G4654" s="14" t="s">
        <v>343</v>
      </c>
      <c r="H4654" s="14" t="s">
        <v>343</v>
      </c>
      <c r="U4654" s="14">
        <v>0.94</v>
      </c>
      <c r="V4654" s="14">
        <v>0.94</v>
      </c>
      <c r="W4654" s="14">
        <v>0.94</v>
      </c>
    </row>
    <row r="4655" spans="1:23" hidden="1" x14ac:dyDescent="0.3">
      <c r="A4655" s="14" t="s">
        <v>511</v>
      </c>
      <c r="B4655" s="14" t="s">
        <v>199</v>
      </c>
      <c r="C4655" s="14" t="s">
        <v>365</v>
      </c>
      <c r="D4655" s="14" t="s">
        <v>366</v>
      </c>
      <c r="E4655" s="14" t="s">
        <v>344</v>
      </c>
      <c r="F4655" s="14" t="s">
        <v>343</v>
      </c>
      <c r="G4655" s="14" t="s">
        <v>343</v>
      </c>
      <c r="H4655" s="14" t="s">
        <v>343</v>
      </c>
      <c r="U4655" s="14">
        <v>1</v>
      </c>
      <c r="V4655" s="14">
        <v>1</v>
      </c>
      <c r="W4655" s="14">
        <v>1</v>
      </c>
    </row>
    <row r="4656" spans="1:23" hidden="1" x14ac:dyDescent="0.3">
      <c r="A4656" s="14" t="s">
        <v>511</v>
      </c>
      <c r="B4656" s="14" t="s">
        <v>199</v>
      </c>
      <c r="C4656" s="14" t="s">
        <v>367</v>
      </c>
      <c r="D4656" s="14" t="s">
        <v>368</v>
      </c>
      <c r="E4656" s="14" t="s">
        <v>342</v>
      </c>
      <c r="F4656" s="14" t="s">
        <v>343</v>
      </c>
      <c r="G4656" s="14" t="s">
        <v>343</v>
      </c>
      <c r="H4656" s="14" t="s">
        <v>343</v>
      </c>
      <c r="I4656" s="14">
        <v>0.68</v>
      </c>
      <c r="J4656" s="14">
        <v>0.69</v>
      </c>
      <c r="K4656" s="14">
        <v>0.7</v>
      </c>
      <c r="L4656" s="14">
        <v>0.7</v>
      </c>
      <c r="M4656" s="14">
        <v>0.7</v>
      </c>
      <c r="N4656" s="14">
        <v>0.7</v>
      </c>
      <c r="O4656" s="14">
        <v>0.7</v>
      </c>
      <c r="P4656" s="14">
        <v>0.7</v>
      </c>
      <c r="Q4656" s="14">
        <v>0.69</v>
      </c>
      <c r="R4656" s="14">
        <v>0.69</v>
      </c>
      <c r="S4656" s="14">
        <v>0.69</v>
      </c>
      <c r="T4656" s="14">
        <v>0.7</v>
      </c>
      <c r="U4656" s="14">
        <v>0.7</v>
      </c>
      <c r="V4656" s="14">
        <v>0.71</v>
      </c>
      <c r="W4656" s="14">
        <v>0.71</v>
      </c>
    </row>
    <row r="4657" spans="1:24" hidden="1" x14ac:dyDescent="0.3">
      <c r="A4657" s="14" t="s">
        <v>511</v>
      </c>
      <c r="B4657" s="14" t="s">
        <v>199</v>
      </c>
      <c r="C4657" s="14" t="s">
        <v>367</v>
      </c>
      <c r="D4657" s="14" t="s">
        <v>368</v>
      </c>
      <c r="E4657" s="14" t="s">
        <v>344</v>
      </c>
      <c r="F4657" s="14" t="s">
        <v>343</v>
      </c>
      <c r="G4657" s="14" t="s">
        <v>343</v>
      </c>
      <c r="H4657" s="14" t="s">
        <v>343</v>
      </c>
      <c r="I4657" s="14">
        <v>49</v>
      </c>
      <c r="J4657" s="14">
        <v>45</v>
      </c>
      <c r="K4657" s="14">
        <v>42</v>
      </c>
      <c r="L4657" s="14">
        <v>51</v>
      </c>
      <c r="M4657" s="14">
        <v>45</v>
      </c>
      <c r="N4657" s="14">
        <v>43</v>
      </c>
      <c r="O4657" s="14">
        <v>59</v>
      </c>
      <c r="P4657" s="14">
        <v>61</v>
      </c>
      <c r="Q4657" s="14">
        <v>75</v>
      </c>
      <c r="R4657" s="14">
        <v>75</v>
      </c>
      <c r="S4657" s="14">
        <v>75</v>
      </c>
      <c r="T4657" s="14">
        <v>71</v>
      </c>
      <c r="U4657" s="14">
        <v>75</v>
      </c>
      <c r="V4657" s="14">
        <v>81</v>
      </c>
      <c r="W4657" s="14">
        <v>81</v>
      </c>
    </row>
    <row r="4658" spans="1:24" hidden="1" x14ac:dyDescent="0.3">
      <c r="A4658" s="14" t="s">
        <v>511</v>
      </c>
      <c r="B4658" s="14" t="s">
        <v>199</v>
      </c>
      <c r="C4658" s="14" t="s">
        <v>369</v>
      </c>
      <c r="D4658" s="14" t="s">
        <v>370</v>
      </c>
      <c r="E4658" s="14" t="s">
        <v>342</v>
      </c>
      <c r="F4658" s="14" t="s">
        <v>343</v>
      </c>
      <c r="G4658" s="14" t="s">
        <v>343</v>
      </c>
      <c r="H4658" s="14" t="s">
        <v>343</v>
      </c>
      <c r="I4658" s="14">
        <v>0.03</v>
      </c>
      <c r="J4658" s="14">
        <v>0.03</v>
      </c>
      <c r="K4658" s="14">
        <v>0.08</v>
      </c>
      <c r="L4658" s="14">
        <v>0.08</v>
      </c>
      <c r="M4658" s="14">
        <v>0.1</v>
      </c>
      <c r="N4658" s="14">
        <v>0.1</v>
      </c>
      <c r="O4658" s="14">
        <v>0.1</v>
      </c>
      <c r="P4658" s="14">
        <v>0.1</v>
      </c>
      <c r="Q4658" s="14">
        <v>7.0000000000000007E-2</v>
      </c>
      <c r="R4658" s="14">
        <v>7.0000000000000007E-2</v>
      </c>
      <c r="S4658" s="14">
        <v>7.0000000000000007E-2</v>
      </c>
      <c r="T4658" s="14">
        <v>0.08</v>
      </c>
      <c r="U4658" s="14">
        <v>0.08</v>
      </c>
      <c r="V4658" s="14">
        <v>0.1</v>
      </c>
      <c r="W4658" s="14">
        <v>0.08</v>
      </c>
    </row>
    <row r="4659" spans="1:24" hidden="1" x14ac:dyDescent="0.3">
      <c r="A4659" s="14" t="s">
        <v>511</v>
      </c>
      <c r="B4659" s="14" t="s">
        <v>199</v>
      </c>
      <c r="C4659" s="14" t="s">
        <v>369</v>
      </c>
      <c r="D4659" s="14" t="s">
        <v>370</v>
      </c>
      <c r="E4659" s="14" t="s">
        <v>344</v>
      </c>
      <c r="F4659" s="14" t="s">
        <v>343</v>
      </c>
      <c r="G4659" s="14" t="s">
        <v>343</v>
      </c>
      <c r="H4659" s="14" t="s">
        <v>343</v>
      </c>
      <c r="I4659" s="14">
        <v>108</v>
      </c>
      <c r="J4659" s="14">
        <v>120</v>
      </c>
      <c r="K4659" s="14">
        <v>100</v>
      </c>
      <c r="L4659" s="14">
        <v>99</v>
      </c>
      <c r="M4659" s="14">
        <v>85</v>
      </c>
      <c r="N4659" s="14">
        <v>84</v>
      </c>
      <c r="O4659" s="14">
        <v>90</v>
      </c>
      <c r="P4659" s="14">
        <v>94</v>
      </c>
      <c r="Q4659" s="14">
        <v>125</v>
      </c>
      <c r="R4659" s="14">
        <v>128</v>
      </c>
      <c r="S4659" s="14">
        <v>129</v>
      </c>
      <c r="T4659" s="14">
        <v>121</v>
      </c>
      <c r="U4659" s="14">
        <v>123</v>
      </c>
      <c r="V4659" s="14">
        <v>122</v>
      </c>
      <c r="W4659" s="14">
        <v>133</v>
      </c>
    </row>
    <row r="4660" spans="1:24" hidden="1" x14ac:dyDescent="0.3">
      <c r="A4660" s="14" t="s">
        <v>511</v>
      </c>
      <c r="B4660" s="14" t="s">
        <v>199</v>
      </c>
      <c r="C4660" s="14" t="s">
        <v>371</v>
      </c>
      <c r="D4660" s="14" t="s">
        <v>372</v>
      </c>
      <c r="E4660" s="14" t="s">
        <v>342</v>
      </c>
      <c r="F4660" s="14" t="s">
        <v>343</v>
      </c>
      <c r="G4660" s="14" t="s">
        <v>343</v>
      </c>
      <c r="H4660" s="14" t="s">
        <v>343</v>
      </c>
      <c r="U4660" s="14">
        <v>0</v>
      </c>
      <c r="V4660" s="14">
        <v>0</v>
      </c>
      <c r="W4660" s="14">
        <v>0</v>
      </c>
    </row>
    <row r="4661" spans="1:24" hidden="1" x14ac:dyDescent="0.3">
      <c r="A4661" s="14" t="s">
        <v>511</v>
      </c>
      <c r="B4661" s="14" t="s">
        <v>199</v>
      </c>
      <c r="C4661" s="14" t="s">
        <v>371</v>
      </c>
      <c r="D4661" s="14" t="s">
        <v>372</v>
      </c>
      <c r="E4661" s="14" t="s">
        <v>344</v>
      </c>
      <c r="F4661" s="14" t="s">
        <v>343</v>
      </c>
      <c r="G4661" s="14" t="s">
        <v>343</v>
      </c>
      <c r="H4661" s="14" t="s">
        <v>343</v>
      </c>
      <c r="U4661" s="14">
        <v>71</v>
      </c>
      <c r="V4661" s="14">
        <v>73</v>
      </c>
      <c r="W4661" s="14">
        <v>76</v>
      </c>
    </row>
    <row r="4662" spans="1:24" hidden="1" x14ac:dyDescent="0.3">
      <c r="A4662" s="14" t="s">
        <v>511</v>
      </c>
      <c r="B4662" s="14" t="s">
        <v>199</v>
      </c>
      <c r="C4662" s="14" t="s">
        <v>373</v>
      </c>
      <c r="D4662" s="14" t="s">
        <v>374</v>
      </c>
      <c r="E4662" s="14" t="s">
        <v>342</v>
      </c>
      <c r="F4662" s="14" t="s">
        <v>343</v>
      </c>
      <c r="G4662" s="14" t="s">
        <v>343</v>
      </c>
      <c r="H4662" s="14" t="s">
        <v>343</v>
      </c>
      <c r="U4662" s="14">
        <v>0.11</v>
      </c>
      <c r="V4662" s="14">
        <v>0.15</v>
      </c>
      <c r="W4662" s="14">
        <v>0.11</v>
      </c>
    </row>
    <row r="4663" spans="1:24" hidden="1" x14ac:dyDescent="0.3">
      <c r="A4663" s="14" t="s">
        <v>511</v>
      </c>
      <c r="B4663" s="14" t="s">
        <v>199</v>
      </c>
      <c r="C4663" s="14" t="s">
        <v>373</v>
      </c>
      <c r="D4663" s="14" t="s">
        <v>374</v>
      </c>
      <c r="E4663" s="14" t="s">
        <v>344</v>
      </c>
      <c r="F4663" s="14" t="s">
        <v>343</v>
      </c>
      <c r="G4663" s="14" t="s">
        <v>343</v>
      </c>
      <c r="H4663" s="14" t="s">
        <v>343</v>
      </c>
      <c r="U4663" s="14">
        <v>117</v>
      </c>
      <c r="V4663" s="14">
        <v>111</v>
      </c>
      <c r="W4663" s="14">
        <v>128</v>
      </c>
    </row>
    <row r="4664" spans="1:24" hidden="1" x14ac:dyDescent="0.3">
      <c r="A4664" s="14" t="s">
        <v>511</v>
      </c>
      <c r="B4664" s="14" t="s">
        <v>199</v>
      </c>
      <c r="C4664" s="14" t="s">
        <v>375</v>
      </c>
      <c r="D4664" s="14" t="s">
        <v>376</v>
      </c>
      <c r="E4664" s="14" t="s">
        <v>342</v>
      </c>
      <c r="F4664" s="14" t="s">
        <v>343</v>
      </c>
      <c r="G4664" s="14" t="s">
        <v>343</v>
      </c>
      <c r="H4664" s="14" t="s">
        <v>343</v>
      </c>
      <c r="U4664" s="14">
        <v>0.19</v>
      </c>
      <c r="V4664" s="14">
        <v>0.19</v>
      </c>
      <c r="W4664" s="14">
        <v>0.19</v>
      </c>
    </row>
    <row r="4665" spans="1:24" hidden="1" x14ac:dyDescent="0.3">
      <c r="A4665" s="14" t="s">
        <v>511</v>
      </c>
      <c r="B4665" s="14" t="s">
        <v>199</v>
      </c>
      <c r="C4665" s="14" t="s">
        <v>375</v>
      </c>
      <c r="D4665" s="14" t="s">
        <v>376</v>
      </c>
      <c r="E4665" s="14" t="s">
        <v>344</v>
      </c>
      <c r="F4665" s="14" t="s">
        <v>343</v>
      </c>
      <c r="G4665" s="14" t="s">
        <v>343</v>
      </c>
      <c r="H4665" s="14" t="s">
        <v>343</v>
      </c>
      <c r="U4665" s="14">
        <v>108</v>
      </c>
      <c r="V4665" s="14">
        <v>112</v>
      </c>
      <c r="W4665" s="14">
        <v>118</v>
      </c>
    </row>
    <row r="4666" spans="1:24" hidden="1" x14ac:dyDescent="0.3">
      <c r="A4666" s="14" t="s">
        <v>512</v>
      </c>
      <c r="B4666" s="14" t="s">
        <v>200</v>
      </c>
      <c r="C4666" s="14" t="s">
        <v>340</v>
      </c>
      <c r="D4666" s="14" t="s">
        <v>341</v>
      </c>
      <c r="E4666" s="14" t="s">
        <v>342</v>
      </c>
      <c r="F4666" s="14" t="s">
        <v>343</v>
      </c>
      <c r="G4666" s="14" t="s">
        <v>343</v>
      </c>
      <c r="H4666" s="14" t="s">
        <v>343</v>
      </c>
      <c r="Q4666" s="14">
        <v>0.93</v>
      </c>
      <c r="R4666" s="14">
        <v>0.94</v>
      </c>
      <c r="S4666" s="14">
        <v>0.96</v>
      </c>
      <c r="T4666" s="14">
        <v>0.95</v>
      </c>
      <c r="U4666" s="14">
        <v>0.96</v>
      </c>
      <c r="V4666" s="14">
        <v>0.96</v>
      </c>
      <c r="W4666" s="14">
        <v>0.96</v>
      </c>
      <c r="X4666" s="14">
        <v>0.96</v>
      </c>
    </row>
    <row r="4667" spans="1:24" hidden="1" x14ac:dyDescent="0.3">
      <c r="A4667" s="14" t="s">
        <v>512</v>
      </c>
      <c r="B4667" s="14" t="s">
        <v>200</v>
      </c>
      <c r="C4667" s="14" t="s">
        <v>340</v>
      </c>
      <c r="D4667" s="14" t="s">
        <v>341</v>
      </c>
      <c r="E4667" s="14" t="s">
        <v>344</v>
      </c>
      <c r="F4667" s="14" t="s">
        <v>343</v>
      </c>
      <c r="G4667" s="14" t="s">
        <v>343</v>
      </c>
      <c r="H4667" s="14" t="s">
        <v>343</v>
      </c>
      <c r="Q4667" s="14">
        <v>114</v>
      </c>
      <c r="R4667" s="14">
        <v>112</v>
      </c>
      <c r="S4667" s="14">
        <v>110</v>
      </c>
      <c r="T4667" s="14">
        <v>113</v>
      </c>
      <c r="U4667" s="14">
        <v>109</v>
      </c>
      <c r="V4667" s="14">
        <v>114</v>
      </c>
      <c r="W4667" s="14">
        <v>115</v>
      </c>
      <c r="X4667" s="14">
        <v>108</v>
      </c>
    </row>
    <row r="4668" spans="1:24" hidden="1" x14ac:dyDescent="0.3">
      <c r="A4668" s="14" t="s">
        <v>512</v>
      </c>
      <c r="B4668" s="14" t="s">
        <v>200</v>
      </c>
      <c r="C4668" s="14" t="s">
        <v>345</v>
      </c>
      <c r="D4668" s="14" t="s">
        <v>346</v>
      </c>
      <c r="E4668" s="14" t="s">
        <v>342</v>
      </c>
      <c r="F4668" s="14" t="s">
        <v>343</v>
      </c>
      <c r="G4668" s="14" t="s">
        <v>343</v>
      </c>
      <c r="H4668" s="14" t="s">
        <v>343</v>
      </c>
      <c r="U4668" s="14">
        <v>0.68</v>
      </c>
      <c r="V4668" s="14">
        <v>0.61</v>
      </c>
      <c r="W4668" s="14">
        <v>0.61</v>
      </c>
      <c r="X4668" s="14">
        <v>0.64</v>
      </c>
    </row>
    <row r="4669" spans="1:24" hidden="1" x14ac:dyDescent="0.3">
      <c r="A4669" s="14" t="s">
        <v>512</v>
      </c>
      <c r="B4669" s="14" t="s">
        <v>200</v>
      </c>
      <c r="C4669" s="14" t="s">
        <v>345</v>
      </c>
      <c r="D4669" s="14" t="s">
        <v>346</v>
      </c>
      <c r="E4669" s="14" t="s">
        <v>344</v>
      </c>
      <c r="F4669" s="14" t="s">
        <v>343</v>
      </c>
      <c r="G4669" s="14" t="s">
        <v>343</v>
      </c>
      <c r="H4669" s="14" t="s">
        <v>343</v>
      </c>
      <c r="U4669" s="14">
        <v>41</v>
      </c>
      <c r="V4669" s="14">
        <v>80</v>
      </c>
      <c r="W4669" s="14">
        <v>80</v>
      </c>
      <c r="X4669" s="14">
        <v>74</v>
      </c>
    </row>
    <row r="4670" spans="1:24" hidden="1" x14ac:dyDescent="0.3">
      <c r="A4670" s="14" t="s">
        <v>512</v>
      </c>
      <c r="B4670" s="14" t="s">
        <v>200</v>
      </c>
      <c r="C4670" s="14" t="s">
        <v>347</v>
      </c>
      <c r="D4670" s="14" t="s">
        <v>348</v>
      </c>
      <c r="E4670" s="14" t="s">
        <v>342</v>
      </c>
      <c r="F4670" s="14" t="s">
        <v>343</v>
      </c>
      <c r="G4670" s="14" t="s">
        <v>343</v>
      </c>
      <c r="H4670" s="14" t="s">
        <v>343</v>
      </c>
      <c r="U4670" s="14">
        <v>1</v>
      </c>
      <c r="V4670" s="14">
        <v>1</v>
      </c>
      <c r="W4670" s="14">
        <v>1</v>
      </c>
      <c r="X4670" s="14">
        <v>1</v>
      </c>
    </row>
    <row r="4671" spans="1:24" hidden="1" x14ac:dyDescent="0.3">
      <c r="A4671" s="14" t="s">
        <v>512</v>
      </c>
      <c r="B4671" s="14" t="s">
        <v>200</v>
      </c>
      <c r="C4671" s="14" t="s">
        <v>347</v>
      </c>
      <c r="D4671" s="14" t="s">
        <v>348</v>
      </c>
      <c r="E4671" s="14" t="s">
        <v>344</v>
      </c>
      <c r="F4671" s="14" t="s">
        <v>343</v>
      </c>
      <c r="G4671" s="14" t="s">
        <v>343</v>
      </c>
      <c r="H4671" s="14" t="s">
        <v>343</v>
      </c>
      <c r="U4671" s="14">
        <v>1</v>
      </c>
      <c r="V4671" s="14">
        <v>1</v>
      </c>
      <c r="W4671" s="14">
        <v>1</v>
      </c>
      <c r="X4671" s="14">
        <v>1</v>
      </c>
    </row>
    <row r="4672" spans="1:24" hidden="1" x14ac:dyDescent="0.3">
      <c r="A4672" s="14" t="s">
        <v>512</v>
      </c>
      <c r="B4672" s="14" t="s">
        <v>200</v>
      </c>
      <c r="C4672" s="14" t="s">
        <v>349</v>
      </c>
      <c r="D4672" s="14" t="s">
        <v>350</v>
      </c>
      <c r="E4672" s="14" t="s">
        <v>342</v>
      </c>
      <c r="F4672" s="14" t="s">
        <v>343</v>
      </c>
      <c r="G4672" s="14" t="s">
        <v>343</v>
      </c>
      <c r="H4672" s="14" t="s">
        <v>343</v>
      </c>
      <c r="U4672" s="14">
        <v>0.56999999999999995</v>
      </c>
      <c r="V4672" s="14">
        <v>0.16</v>
      </c>
      <c r="W4672" s="14">
        <v>0.4</v>
      </c>
      <c r="X4672" s="14">
        <v>0.5</v>
      </c>
    </row>
    <row r="4673" spans="1:24" hidden="1" x14ac:dyDescent="0.3">
      <c r="A4673" s="14" t="s">
        <v>512</v>
      </c>
      <c r="B4673" s="14" t="s">
        <v>200</v>
      </c>
      <c r="C4673" s="14" t="s">
        <v>349</v>
      </c>
      <c r="D4673" s="14" t="s">
        <v>350</v>
      </c>
      <c r="E4673" s="14" t="s">
        <v>344</v>
      </c>
      <c r="F4673" s="14" t="s">
        <v>343</v>
      </c>
      <c r="G4673" s="14" t="s">
        <v>343</v>
      </c>
      <c r="H4673" s="14" t="s">
        <v>343</v>
      </c>
      <c r="U4673" s="14">
        <v>44</v>
      </c>
      <c r="V4673" s="14">
        <v>135</v>
      </c>
      <c r="W4673" s="14">
        <v>96</v>
      </c>
      <c r="X4673" s="14">
        <v>76</v>
      </c>
    </row>
    <row r="4674" spans="1:24" hidden="1" x14ac:dyDescent="0.3">
      <c r="A4674" s="14" t="s">
        <v>512</v>
      </c>
      <c r="B4674" s="14" t="s">
        <v>200</v>
      </c>
      <c r="C4674" s="14" t="s">
        <v>351</v>
      </c>
      <c r="D4674" s="14" t="s">
        <v>352</v>
      </c>
      <c r="E4674" s="14" t="s">
        <v>342</v>
      </c>
      <c r="F4674" s="14" t="s">
        <v>343</v>
      </c>
      <c r="G4674" s="14" t="s">
        <v>343</v>
      </c>
      <c r="H4674" s="14" t="s">
        <v>343</v>
      </c>
      <c r="U4674" s="14">
        <v>0.63</v>
      </c>
      <c r="V4674" s="14">
        <v>0.63</v>
      </c>
      <c r="W4674" s="14">
        <v>0.68</v>
      </c>
      <c r="X4674" s="14">
        <v>0.7</v>
      </c>
    </row>
    <row r="4675" spans="1:24" hidden="1" x14ac:dyDescent="0.3">
      <c r="A4675" s="14" t="s">
        <v>512</v>
      </c>
      <c r="B4675" s="14" t="s">
        <v>200</v>
      </c>
      <c r="C4675" s="14" t="s">
        <v>351</v>
      </c>
      <c r="D4675" s="14" t="s">
        <v>352</v>
      </c>
      <c r="E4675" s="14" t="s">
        <v>344</v>
      </c>
      <c r="F4675" s="14" t="s">
        <v>343</v>
      </c>
      <c r="G4675" s="14" t="s">
        <v>343</v>
      </c>
      <c r="H4675" s="14" t="s">
        <v>343</v>
      </c>
      <c r="U4675" s="14">
        <v>112</v>
      </c>
      <c r="V4675" s="14">
        <v>115</v>
      </c>
      <c r="W4675" s="14">
        <v>110</v>
      </c>
      <c r="X4675" s="14">
        <v>99</v>
      </c>
    </row>
    <row r="4676" spans="1:24" hidden="1" x14ac:dyDescent="0.3">
      <c r="A4676" s="14" t="s">
        <v>512</v>
      </c>
      <c r="B4676" s="14" t="s">
        <v>200</v>
      </c>
      <c r="C4676" s="14" t="s">
        <v>378</v>
      </c>
      <c r="D4676" s="14" t="s">
        <v>379</v>
      </c>
      <c r="E4676" s="14" t="s">
        <v>342</v>
      </c>
      <c r="F4676" s="14" t="s">
        <v>343</v>
      </c>
      <c r="G4676" s="14" t="s">
        <v>343</v>
      </c>
      <c r="H4676" s="14" t="s">
        <v>343</v>
      </c>
      <c r="S4676" s="14">
        <v>0.88</v>
      </c>
      <c r="U4676" s="14">
        <v>0.75</v>
      </c>
      <c r="V4676" s="14">
        <v>0.76</v>
      </c>
      <c r="W4676" s="14">
        <v>0.81</v>
      </c>
      <c r="X4676" s="14">
        <v>0.8</v>
      </c>
    </row>
    <row r="4677" spans="1:24" hidden="1" x14ac:dyDescent="0.3">
      <c r="A4677" s="14" t="s">
        <v>512</v>
      </c>
      <c r="B4677" s="14" t="s">
        <v>200</v>
      </c>
      <c r="C4677" s="14" t="s">
        <v>378</v>
      </c>
      <c r="D4677" s="14" t="s">
        <v>379</v>
      </c>
      <c r="E4677" s="14" t="s">
        <v>344</v>
      </c>
      <c r="F4677" s="14" t="s">
        <v>343</v>
      </c>
      <c r="G4677" s="14" t="s">
        <v>343</v>
      </c>
      <c r="H4677" s="14" t="s">
        <v>343</v>
      </c>
      <c r="S4677" s="14">
        <v>1</v>
      </c>
      <c r="U4677" s="14">
        <v>19</v>
      </c>
      <c r="V4677" s="14">
        <v>13</v>
      </c>
      <c r="W4677" s="14">
        <v>5</v>
      </c>
      <c r="X4677" s="14">
        <v>6</v>
      </c>
    </row>
    <row r="4678" spans="1:24" hidden="1" x14ac:dyDescent="0.3">
      <c r="A4678" s="14" t="s">
        <v>512</v>
      </c>
      <c r="B4678" s="14" t="s">
        <v>200</v>
      </c>
      <c r="C4678" s="14" t="s">
        <v>353</v>
      </c>
      <c r="D4678" s="14" t="s">
        <v>354</v>
      </c>
      <c r="E4678" s="14" t="s">
        <v>342</v>
      </c>
      <c r="F4678" s="14" t="s">
        <v>343</v>
      </c>
      <c r="G4678" s="14" t="s">
        <v>343</v>
      </c>
      <c r="H4678" s="14" t="s">
        <v>343</v>
      </c>
      <c r="U4678" s="14">
        <v>0.87</v>
      </c>
      <c r="V4678" s="14">
        <v>0.9</v>
      </c>
      <c r="W4678" s="14">
        <v>0.9</v>
      </c>
      <c r="X4678" s="14">
        <v>0.9</v>
      </c>
    </row>
    <row r="4679" spans="1:24" hidden="1" x14ac:dyDescent="0.3">
      <c r="A4679" s="14" t="s">
        <v>512</v>
      </c>
      <c r="B4679" s="14" t="s">
        <v>200</v>
      </c>
      <c r="C4679" s="14" t="s">
        <v>353</v>
      </c>
      <c r="D4679" s="14" t="s">
        <v>354</v>
      </c>
      <c r="E4679" s="14" t="s">
        <v>344</v>
      </c>
      <c r="F4679" s="14" t="s">
        <v>343</v>
      </c>
      <c r="G4679" s="14" t="s">
        <v>343</v>
      </c>
      <c r="H4679" s="14" t="s">
        <v>343</v>
      </c>
      <c r="U4679" s="14">
        <v>109</v>
      </c>
      <c r="V4679" s="14">
        <v>111</v>
      </c>
      <c r="W4679" s="14">
        <v>112</v>
      </c>
      <c r="X4679" s="14">
        <v>107</v>
      </c>
    </row>
    <row r="4680" spans="1:24" hidden="1" x14ac:dyDescent="0.3">
      <c r="A4680" s="14" t="s">
        <v>512</v>
      </c>
      <c r="B4680" s="14" t="s">
        <v>200</v>
      </c>
      <c r="C4680" s="14" t="s">
        <v>380</v>
      </c>
      <c r="D4680" s="14" t="s">
        <v>381</v>
      </c>
      <c r="E4680" s="14" t="s">
        <v>342</v>
      </c>
      <c r="F4680" s="14" t="s">
        <v>343</v>
      </c>
      <c r="G4680" s="14" t="s">
        <v>343</v>
      </c>
      <c r="H4680" s="14" t="s">
        <v>343</v>
      </c>
      <c r="U4680" s="14">
        <v>1</v>
      </c>
      <c r="V4680" s="14">
        <v>1</v>
      </c>
      <c r="W4680" s="14">
        <v>1</v>
      </c>
      <c r="X4680" s="14">
        <v>1</v>
      </c>
    </row>
    <row r="4681" spans="1:24" hidden="1" x14ac:dyDescent="0.3">
      <c r="A4681" s="14" t="s">
        <v>512</v>
      </c>
      <c r="B4681" s="14" t="s">
        <v>200</v>
      </c>
      <c r="C4681" s="14" t="s">
        <v>380</v>
      </c>
      <c r="D4681" s="14" t="s">
        <v>381</v>
      </c>
      <c r="E4681" s="14" t="s">
        <v>344</v>
      </c>
      <c r="F4681" s="14" t="s">
        <v>343</v>
      </c>
      <c r="G4681" s="14" t="s">
        <v>343</v>
      </c>
      <c r="H4681" s="14" t="s">
        <v>343</v>
      </c>
      <c r="U4681" s="14">
        <v>1</v>
      </c>
      <c r="V4681" s="14">
        <v>1</v>
      </c>
      <c r="W4681" s="14">
        <v>1</v>
      </c>
      <c r="X4681" s="14">
        <v>1</v>
      </c>
    </row>
    <row r="4682" spans="1:24" hidden="1" x14ac:dyDescent="0.3">
      <c r="A4682" s="14" t="s">
        <v>512</v>
      </c>
      <c r="B4682" s="14" t="s">
        <v>200</v>
      </c>
      <c r="C4682" s="14" t="s">
        <v>355</v>
      </c>
      <c r="D4682" s="14" t="s">
        <v>356</v>
      </c>
      <c r="E4682" s="14" t="s">
        <v>342</v>
      </c>
      <c r="F4682" s="14" t="s">
        <v>343</v>
      </c>
      <c r="G4682" s="14" t="s">
        <v>343</v>
      </c>
      <c r="H4682" s="14" t="s">
        <v>343</v>
      </c>
      <c r="U4682" s="14">
        <v>1</v>
      </c>
      <c r="V4682" s="14">
        <v>1</v>
      </c>
      <c r="W4682" s="14">
        <v>1</v>
      </c>
      <c r="X4682" s="14">
        <v>1</v>
      </c>
    </row>
    <row r="4683" spans="1:24" hidden="1" x14ac:dyDescent="0.3">
      <c r="A4683" s="14" t="s">
        <v>512</v>
      </c>
      <c r="B4683" s="14" t="s">
        <v>200</v>
      </c>
      <c r="C4683" s="14" t="s">
        <v>355</v>
      </c>
      <c r="D4683" s="14" t="s">
        <v>356</v>
      </c>
      <c r="E4683" s="14" t="s">
        <v>344</v>
      </c>
      <c r="F4683" s="14" t="s">
        <v>343</v>
      </c>
      <c r="G4683" s="14" t="s">
        <v>343</v>
      </c>
      <c r="H4683" s="14" t="s">
        <v>343</v>
      </c>
      <c r="U4683" s="14">
        <v>1</v>
      </c>
      <c r="V4683" s="14">
        <v>1</v>
      </c>
      <c r="W4683" s="14">
        <v>1</v>
      </c>
      <c r="X4683" s="14">
        <v>1</v>
      </c>
    </row>
    <row r="4684" spans="1:24" hidden="1" x14ac:dyDescent="0.3">
      <c r="A4684" s="14" t="s">
        <v>512</v>
      </c>
      <c r="B4684" s="14" t="s">
        <v>200</v>
      </c>
      <c r="C4684" s="14" t="s">
        <v>357</v>
      </c>
      <c r="D4684" s="14" t="s">
        <v>358</v>
      </c>
      <c r="E4684" s="14" t="s">
        <v>342</v>
      </c>
      <c r="F4684" s="14" t="s">
        <v>343</v>
      </c>
      <c r="G4684" s="14" t="s">
        <v>343</v>
      </c>
      <c r="H4684" s="14" t="s">
        <v>343</v>
      </c>
      <c r="U4684" s="14">
        <v>0.88</v>
      </c>
      <c r="V4684" s="14">
        <v>0.81</v>
      </c>
      <c r="W4684" s="14">
        <v>0.81</v>
      </c>
      <c r="X4684" s="14">
        <v>0.84</v>
      </c>
    </row>
    <row r="4685" spans="1:24" hidden="1" x14ac:dyDescent="0.3">
      <c r="A4685" s="14" t="s">
        <v>512</v>
      </c>
      <c r="B4685" s="14" t="s">
        <v>200</v>
      </c>
      <c r="C4685" s="14" t="s">
        <v>357</v>
      </c>
      <c r="D4685" s="14" t="s">
        <v>358</v>
      </c>
      <c r="E4685" s="14" t="s">
        <v>344</v>
      </c>
      <c r="F4685" s="14" t="s">
        <v>343</v>
      </c>
      <c r="G4685" s="14" t="s">
        <v>343</v>
      </c>
      <c r="H4685" s="14" t="s">
        <v>343</v>
      </c>
      <c r="U4685" s="14">
        <v>107</v>
      </c>
      <c r="V4685" s="14">
        <v>118</v>
      </c>
      <c r="W4685" s="14">
        <v>119</v>
      </c>
      <c r="X4685" s="14">
        <v>111</v>
      </c>
    </row>
    <row r="4686" spans="1:24" hidden="1" x14ac:dyDescent="0.3">
      <c r="A4686" s="14" t="s">
        <v>512</v>
      </c>
      <c r="B4686" s="14" t="s">
        <v>200</v>
      </c>
      <c r="C4686" s="14" t="s">
        <v>359</v>
      </c>
      <c r="D4686" s="14" t="s">
        <v>360</v>
      </c>
      <c r="E4686" s="14" t="s">
        <v>342</v>
      </c>
      <c r="F4686" s="14" t="s">
        <v>343</v>
      </c>
      <c r="G4686" s="14" t="s">
        <v>343</v>
      </c>
      <c r="H4686" s="14" t="s">
        <v>343</v>
      </c>
      <c r="Q4686" s="14">
        <v>0.77</v>
      </c>
      <c r="R4686" s="14">
        <v>0.81</v>
      </c>
      <c r="S4686" s="14">
        <v>0.82</v>
      </c>
      <c r="T4686" s="14">
        <v>0.82</v>
      </c>
      <c r="U4686" s="14">
        <v>0.74</v>
      </c>
      <c r="V4686" s="14">
        <v>0.67</v>
      </c>
      <c r="W4686" s="14">
        <v>0.73</v>
      </c>
      <c r="X4686" s="14">
        <v>0.75</v>
      </c>
    </row>
    <row r="4687" spans="1:24" hidden="1" x14ac:dyDescent="0.3">
      <c r="A4687" s="14" t="s">
        <v>512</v>
      </c>
      <c r="B4687" s="14" t="s">
        <v>200</v>
      </c>
      <c r="C4687" s="14" t="s">
        <v>359</v>
      </c>
      <c r="D4687" s="14" t="s">
        <v>360</v>
      </c>
      <c r="E4687" s="14" t="s">
        <v>344</v>
      </c>
      <c r="F4687" s="14" t="s">
        <v>343</v>
      </c>
      <c r="G4687" s="14" t="s">
        <v>343</v>
      </c>
      <c r="H4687" s="14" t="s">
        <v>343</v>
      </c>
      <c r="Q4687" s="14">
        <v>25</v>
      </c>
      <c r="R4687" s="14">
        <v>14</v>
      </c>
      <c r="S4687" s="14">
        <v>8</v>
      </c>
      <c r="T4687" s="14">
        <v>7</v>
      </c>
      <c r="U4687" s="14">
        <v>30</v>
      </c>
      <c r="V4687" s="14">
        <v>79</v>
      </c>
      <c r="W4687" s="14">
        <v>48</v>
      </c>
      <c r="X4687" s="14">
        <v>33</v>
      </c>
    </row>
    <row r="4688" spans="1:24" x14ac:dyDescent="0.3">
      <c r="A4688" s="14" t="s">
        <v>512</v>
      </c>
      <c r="B4688" s="14" t="s">
        <v>200</v>
      </c>
      <c r="C4688" s="14" t="s">
        <v>361</v>
      </c>
      <c r="D4688" s="14" t="s">
        <v>362</v>
      </c>
      <c r="E4688" s="14" t="s">
        <v>342</v>
      </c>
      <c r="F4688" s="14" t="s">
        <v>343</v>
      </c>
      <c r="G4688" s="14" t="s">
        <v>343</v>
      </c>
      <c r="H4688" s="14" t="s">
        <v>343</v>
      </c>
      <c r="Q4688" s="14">
        <v>0.97</v>
      </c>
      <c r="R4688" s="14">
        <v>0.97</v>
      </c>
      <c r="S4688" s="14">
        <v>0.97</v>
      </c>
      <c r="T4688" s="14">
        <v>0.98</v>
      </c>
      <c r="U4688" s="14">
        <v>0.97</v>
      </c>
      <c r="V4688" s="14">
        <v>0.97</v>
      </c>
      <c r="W4688" s="14">
        <v>0.97</v>
      </c>
      <c r="X4688" s="14">
        <v>0.97</v>
      </c>
    </row>
    <row r="4689" spans="1:24" hidden="1" x14ac:dyDescent="0.3">
      <c r="A4689" s="14" t="s">
        <v>512</v>
      </c>
      <c r="B4689" s="14" t="s">
        <v>200</v>
      </c>
      <c r="C4689" s="14" t="s">
        <v>361</v>
      </c>
      <c r="D4689" s="14" t="s">
        <v>362</v>
      </c>
      <c r="E4689" s="14" t="s">
        <v>344</v>
      </c>
      <c r="F4689" s="14" t="s">
        <v>343</v>
      </c>
      <c r="G4689" s="14" t="s">
        <v>343</v>
      </c>
      <c r="H4689" s="14" t="s">
        <v>343</v>
      </c>
      <c r="Q4689" s="14">
        <v>118</v>
      </c>
      <c r="R4689" s="14">
        <v>91</v>
      </c>
      <c r="S4689" s="14">
        <v>89</v>
      </c>
      <c r="T4689" s="14">
        <v>1</v>
      </c>
      <c r="U4689" s="14">
        <v>90</v>
      </c>
      <c r="V4689" s="14">
        <v>90</v>
      </c>
      <c r="W4689" s="14">
        <v>63</v>
      </c>
      <c r="X4689" s="14">
        <v>59</v>
      </c>
    </row>
    <row r="4690" spans="1:24" hidden="1" x14ac:dyDescent="0.3">
      <c r="A4690" s="14" t="s">
        <v>512</v>
      </c>
      <c r="B4690" s="14" t="s">
        <v>200</v>
      </c>
      <c r="C4690" s="14" t="s">
        <v>363</v>
      </c>
      <c r="D4690" s="14" t="s">
        <v>364</v>
      </c>
      <c r="E4690" s="14" t="s">
        <v>342</v>
      </c>
      <c r="F4690" s="14" t="s">
        <v>343</v>
      </c>
      <c r="G4690" s="14" t="s">
        <v>343</v>
      </c>
      <c r="H4690" s="14" t="s">
        <v>343</v>
      </c>
      <c r="U4690" s="14">
        <v>1.04</v>
      </c>
      <c r="V4690" s="14">
        <v>1.04</v>
      </c>
      <c r="W4690" s="14">
        <v>1.04</v>
      </c>
      <c r="X4690" s="14">
        <v>1.04</v>
      </c>
    </row>
    <row r="4691" spans="1:24" hidden="1" x14ac:dyDescent="0.3">
      <c r="A4691" s="14" t="s">
        <v>512</v>
      </c>
      <c r="B4691" s="14" t="s">
        <v>200</v>
      </c>
      <c r="C4691" s="14" t="s">
        <v>363</v>
      </c>
      <c r="D4691" s="14" t="s">
        <v>364</v>
      </c>
      <c r="E4691" s="14" t="s">
        <v>344</v>
      </c>
      <c r="F4691" s="14" t="s">
        <v>343</v>
      </c>
      <c r="G4691" s="14" t="s">
        <v>343</v>
      </c>
      <c r="H4691" s="14" t="s">
        <v>343</v>
      </c>
      <c r="U4691" s="14">
        <v>99</v>
      </c>
      <c r="V4691" s="14">
        <v>102</v>
      </c>
      <c r="W4691" s="14">
        <v>71</v>
      </c>
      <c r="X4691" s="14">
        <v>66</v>
      </c>
    </row>
    <row r="4692" spans="1:24" hidden="1" x14ac:dyDescent="0.3">
      <c r="A4692" s="14" t="s">
        <v>512</v>
      </c>
      <c r="B4692" s="14" t="s">
        <v>200</v>
      </c>
      <c r="C4692" s="14" t="s">
        <v>365</v>
      </c>
      <c r="D4692" s="14" t="s">
        <v>366</v>
      </c>
      <c r="E4692" s="14" t="s">
        <v>342</v>
      </c>
      <c r="F4692" s="14" t="s">
        <v>343</v>
      </c>
      <c r="G4692" s="14" t="s">
        <v>343</v>
      </c>
      <c r="H4692" s="14" t="s">
        <v>343</v>
      </c>
      <c r="U4692" s="14">
        <v>0.94</v>
      </c>
      <c r="V4692" s="14">
        <v>0.94</v>
      </c>
      <c r="W4692" s="14">
        <v>0.94</v>
      </c>
      <c r="X4692" s="14">
        <v>0.94</v>
      </c>
    </row>
    <row r="4693" spans="1:24" hidden="1" x14ac:dyDescent="0.3">
      <c r="A4693" s="14" t="s">
        <v>512</v>
      </c>
      <c r="B4693" s="14" t="s">
        <v>200</v>
      </c>
      <c r="C4693" s="14" t="s">
        <v>365</v>
      </c>
      <c r="D4693" s="14" t="s">
        <v>366</v>
      </c>
      <c r="E4693" s="14" t="s">
        <v>344</v>
      </c>
      <c r="F4693" s="14" t="s">
        <v>343</v>
      </c>
      <c r="G4693" s="14" t="s">
        <v>343</v>
      </c>
      <c r="H4693" s="14" t="s">
        <v>343</v>
      </c>
      <c r="U4693" s="14">
        <v>1</v>
      </c>
      <c r="V4693" s="14">
        <v>1</v>
      </c>
      <c r="W4693" s="14">
        <v>1</v>
      </c>
      <c r="X4693" s="14">
        <v>1</v>
      </c>
    </row>
    <row r="4694" spans="1:24" hidden="1" x14ac:dyDescent="0.3">
      <c r="A4694" s="14" t="s">
        <v>512</v>
      </c>
      <c r="B4694" s="14" t="s">
        <v>200</v>
      </c>
      <c r="C4694" s="14" t="s">
        <v>367</v>
      </c>
      <c r="D4694" s="14" t="s">
        <v>368</v>
      </c>
      <c r="E4694" s="14" t="s">
        <v>342</v>
      </c>
      <c r="F4694" s="14" t="s">
        <v>343</v>
      </c>
      <c r="G4694" s="14" t="s">
        <v>343</v>
      </c>
      <c r="H4694" s="14" t="s">
        <v>343</v>
      </c>
      <c r="Q4694" s="14">
        <v>0.79</v>
      </c>
      <c r="R4694" s="14">
        <v>0.79</v>
      </c>
      <c r="S4694" s="14">
        <v>0.8</v>
      </c>
      <c r="T4694" s="14">
        <v>0.82</v>
      </c>
      <c r="U4694" s="14">
        <v>0.8</v>
      </c>
      <c r="V4694" s="14">
        <v>0.79</v>
      </c>
      <c r="W4694" s="14">
        <v>0.8</v>
      </c>
      <c r="X4694" s="14">
        <v>0.81</v>
      </c>
    </row>
    <row r="4695" spans="1:24" hidden="1" x14ac:dyDescent="0.3">
      <c r="A4695" s="14" t="s">
        <v>512</v>
      </c>
      <c r="B4695" s="14" t="s">
        <v>200</v>
      </c>
      <c r="C4695" s="14" t="s">
        <v>367</v>
      </c>
      <c r="D4695" s="14" t="s">
        <v>368</v>
      </c>
      <c r="E4695" s="14" t="s">
        <v>344</v>
      </c>
      <c r="F4695" s="14" t="s">
        <v>343</v>
      </c>
      <c r="G4695" s="14" t="s">
        <v>343</v>
      </c>
      <c r="H4695" s="14" t="s">
        <v>343</v>
      </c>
      <c r="Q4695" s="14">
        <v>7</v>
      </c>
      <c r="R4695" s="14">
        <v>6</v>
      </c>
      <c r="S4695" s="14">
        <v>5</v>
      </c>
      <c r="T4695" s="14">
        <v>4</v>
      </c>
      <c r="U4695" s="14">
        <v>6</v>
      </c>
      <c r="V4695" s="14">
        <v>9</v>
      </c>
      <c r="W4695" s="14">
        <v>7</v>
      </c>
      <c r="X4695" s="14">
        <v>6</v>
      </c>
    </row>
    <row r="4696" spans="1:24" hidden="1" x14ac:dyDescent="0.3">
      <c r="A4696" s="14" t="s">
        <v>512</v>
      </c>
      <c r="B4696" s="14" t="s">
        <v>200</v>
      </c>
      <c r="C4696" s="14" t="s">
        <v>369</v>
      </c>
      <c r="D4696" s="14" t="s">
        <v>370</v>
      </c>
      <c r="E4696" s="14" t="s">
        <v>342</v>
      </c>
      <c r="F4696" s="14" t="s">
        <v>343</v>
      </c>
      <c r="G4696" s="14" t="s">
        <v>343</v>
      </c>
      <c r="H4696" s="14" t="s">
        <v>343</v>
      </c>
      <c r="Q4696" s="14">
        <v>0.48</v>
      </c>
      <c r="R4696" s="14">
        <v>0.45</v>
      </c>
      <c r="S4696" s="14">
        <v>0.45</v>
      </c>
      <c r="T4696" s="14">
        <v>0.54</v>
      </c>
      <c r="U4696" s="14">
        <v>0.54</v>
      </c>
      <c r="V4696" s="14">
        <v>0.56000000000000005</v>
      </c>
      <c r="W4696" s="14">
        <v>0.56000000000000005</v>
      </c>
      <c r="X4696" s="14">
        <v>0.56000000000000005</v>
      </c>
    </row>
    <row r="4697" spans="1:24" hidden="1" x14ac:dyDescent="0.3">
      <c r="A4697" s="14" t="s">
        <v>512</v>
      </c>
      <c r="B4697" s="14" t="s">
        <v>200</v>
      </c>
      <c r="C4697" s="14" t="s">
        <v>369</v>
      </c>
      <c r="D4697" s="14" t="s">
        <v>370</v>
      </c>
      <c r="E4697" s="14" t="s">
        <v>344</v>
      </c>
      <c r="F4697" s="14" t="s">
        <v>343</v>
      </c>
      <c r="G4697" s="14" t="s">
        <v>343</v>
      </c>
      <c r="H4697" s="14" t="s">
        <v>343</v>
      </c>
      <c r="Q4697" s="14">
        <v>6</v>
      </c>
      <c r="R4697" s="14">
        <v>7</v>
      </c>
      <c r="S4697" s="14">
        <v>8</v>
      </c>
      <c r="T4697" s="14">
        <v>3</v>
      </c>
      <c r="U4697" s="14">
        <v>4</v>
      </c>
      <c r="V4697" s="14">
        <v>4</v>
      </c>
      <c r="W4697" s="14">
        <v>6</v>
      </c>
      <c r="X4697" s="14">
        <v>7</v>
      </c>
    </row>
    <row r="4698" spans="1:24" hidden="1" x14ac:dyDescent="0.3">
      <c r="A4698" s="14" t="s">
        <v>512</v>
      </c>
      <c r="B4698" s="14" t="s">
        <v>200</v>
      </c>
      <c r="C4698" s="14" t="s">
        <v>371</v>
      </c>
      <c r="D4698" s="14" t="s">
        <v>372</v>
      </c>
      <c r="E4698" s="14" t="s">
        <v>342</v>
      </c>
      <c r="F4698" s="14" t="s">
        <v>343</v>
      </c>
      <c r="G4698" s="14" t="s">
        <v>343</v>
      </c>
      <c r="H4698" s="14" t="s">
        <v>343</v>
      </c>
      <c r="U4698" s="14">
        <v>0.01</v>
      </c>
      <c r="V4698" s="14">
        <v>0.02</v>
      </c>
      <c r="W4698" s="14">
        <v>0.02</v>
      </c>
      <c r="X4698" s="14">
        <v>0.02</v>
      </c>
    </row>
    <row r="4699" spans="1:24" hidden="1" x14ac:dyDescent="0.3">
      <c r="A4699" s="14" t="s">
        <v>512</v>
      </c>
      <c r="B4699" s="14" t="s">
        <v>200</v>
      </c>
      <c r="C4699" s="14" t="s">
        <v>371</v>
      </c>
      <c r="D4699" s="14" t="s">
        <v>372</v>
      </c>
      <c r="E4699" s="14" t="s">
        <v>344</v>
      </c>
      <c r="F4699" s="14" t="s">
        <v>343</v>
      </c>
      <c r="G4699" s="14" t="s">
        <v>343</v>
      </c>
      <c r="H4699" s="14" t="s">
        <v>343</v>
      </c>
      <c r="U4699" s="14">
        <v>55</v>
      </c>
      <c r="V4699" s="14">
        <v>58</v>
      </c>
      <c r="W4699" s="14">
        <v>64</v>
      </c>
      <c r="X4699" s="14">
        <v>63</v>
      </c>
    </row>
    <row r="4700" spans="1:24" hidden="1" x14ac:dyDescent="0.3">
      <c r="A4700" s="14" t="s">
        <v>512</v>
      </c>
      <c r="B4700" s="14" t="s">
        <v>200</v>
      </c>
      <c r="C4700" s="14" t="s">
        <v>373</v>
      </c>
      <c r="D4700" s="14" t="s">
        <v>374</v>
      </c>
      <c r="E4700" s="14" t="s">
        <v>342</v>
      </c>
      <c r="F4700" s="14" t="s">
        <v>343</v>
      </c>
      <c r="G4700" s="14" t="s">
        <v>343</v>
      </c>
      <c r="H4700" s="14" t="s">
        <v>343</v>
      </c>
      <c r="U4700" s="14">
        <v>0.9</v>
      </c>
      <c r="V4700" s="14">
        <v>1</v>
      </c>
      <c r="W4700" s="14">
        <v>1</v>
      </c>
      <c r="X4700" s="14">
        <v>1</v>
      </c>
    </row>
    <row r="4701" spans="1:24" hidden="1" x14ac:dyDescent="0.3">
      <c r="A4701" s="14" t="s">
        <v>512</v>
      </c>
      <c r="B4701" s="14" t="s">
        <v>200</v>
      </c>
      <c r="C4701" s="14" t="s">
        <v>373</v>
      </c>
      <c r="D4701" s="14" t="s">
        <v>374</v>
      </c>
      <c r="E4701" s="14" t="s">
        <v>344</v>
      </c>
      <c r="F4701" s="14" t="s">
        <v>343</v>
      </c>
      <c r="G4701" s="14" t="s">
        <v>343</v>
      </c>
      <c r="H4701" s="14" t="s">
        <v>343</v>
      </c>
      <c r="U4701" s="14">
        <v>7</v>
      </c>
      <c r="V4701" s="14">
        <v>1</v>
      </c>
      <c r="W4701" s="14">
        <v>1</v>
      </c>
      <c r="X4701" s="14">
        <v>1</v>
      </c>
    </row>
    <row r="4702" spans="1:24" hidden="1" x14ac:dyDescent="0.3">
      <c r="A4702" s="14" t="s">
        <v>512</v>
      </c>
      <c r="B4702" s="14" t="s">
        <v>200</v>
      </c>
      <c r="C4702" s="14" t="s">
        <v>375</v>
      </c>
      <c r="D4702" s="14" t="s">
        <v>376</v>
      </c>
      <c r="E4702" s="14" t="s">
        <v>342</v>
      </c>
      <c r="F4702" s="14" t="s">
        <v>343</v>
      </c>
      <c r="G4702" s="14" t="s">
        <v>343</v>
      </c>
      <c r="H4702" s="14" t="s">
        <v>343</v>
      </c>
      <c r="U4702" s="14">
        <v>1</v>
      </c>
      <c r="V4702" s="14">
        <v>1</v>
      </c>
      <c r="W4702" s="14">
        <v>1</v>
      </c>
      <c r="X4702" s="14">
        <v>1</v>
      </c>
    </row>
    <row r="4703" spans="1:24" hidden="1" x14ac:dyDescent="0.3">
      <c r="A4703" s="14" t="s">
        <v>512</v>
      </c>
      <c r="B4703" s="14" t="s">
        <v>200</v>
      </c>
      <c r="C4703" s="14" t="s">
        <v>375</v>
      </c>
      <c r="D4703" s="14" t="s">
        <v>376</v>
      </c>
      <c r="E4703" s="14" t="s">
        <v>344</v>
      </c>
      <c r="F4703" s="14" t="s">
        <v>343</v>
      </c>
      <c r="G4703" s="14" t="s">
        <v>343</v>
      </c>
      <c r="H4703" s="14" t="s">
        <v>343</v>
      </c>
      <c r="U4703" s="14">
        <v>1</v>
      </c>
      <c r="V4703" s="14">
        <v>1</v>
      </c>
      <c r="W4703" s="14">
        <v>1</v>
      </c>
      <c r="X4703" s="14">
        <v>1</v>
      </c>
    </row>
    <row r="4704" spans="1:24" hidden="1" x14ac:dyDescent="0.3">
      <c r="A4704" s="14" t="s">
        <v>513</v>
      </c>
      <c r="B4704" s="14" t="s">
        <v>211</v>
      </c>
      <c r="C4704" s="14" t="s">
        <v>340</v>
      </c>
      <c r="D4704" s="14" t="s">
        <v>341</v>
      </c>
      <c r="E4704" s="14" t="s">
        <v>342</v>
      </c>
      <c r="F4704" s="14" t="s">
        <v>343</v>
      </c>
      <c r="G4704" s="14" t="s">
        <v>343</v>
      </c>
      <c r="H4704" s="14" t="s">
        <v>343</v>
      </c>
      <c r="I4704" s="14">
        <v>0.88</v>
      </c>
      <c r="J4704" s="14">
        <v>0.96</v>
      </c>
      <c r="K4704" s="14">
        <v>0.98</v>
      </c>
      <c r="L4704" s="14">
        <v>0.97</v>
      </c>
      <c r="M4704" s="14">
        <v>0.97</v>
      </c>
      <c r="N4704" s="14">
        <v>0.97</v>
      </c>
      <c r="O4704" s="14">
        <v>0.98</v>
      </c>
      <c r="P4704" s="14">
        <v>0.98</v>
      </c>
      <c r="Q4704" s="14">
        <v>0.99</v>
      </c>
      <c r="R4704" s="14">
        <v>0.99</v>
      </c>
      <c r="S4704" s="14">
        <v>0.96</v>
      </c>
      <c r="T4704" s="14">
        <v>0.98</v>
      </c>
      <c r="U4704" s="14">
        <v>0.98</v>
      </c>
      <c r="V4704" s="14">
        <v>0.98</v>
      </c>
      <c r="W4704" s="14">
        <v>0.98</v>
      </c>
      <c r="X4704" s="14">
        <v>0.98</v>
      </c>
    </row>
    <row r="4705" spans="1:24" hidden="1" x14ac:dyDescent="0.3">
      <c r="A4705" s="14" t="s">
        <v>513</v>
      </c>
      <c r="B4705" s="14" t="s">
        <v>211</v>
      </c>
      <c r="C4705" s="14" t="s">
        <v>340</v>
      </c>
      <c r="D4705" s="14" t="s">
        <v>341</v>
      </c>
      <c r="E4705" s="14" t="s">
        <v>344</v>
      </c>
      <c r="F4705" s="14" t="s">
        <v>343</v>
      </c>
      <c r="G4705" s="14" t="s">
        <v>343</v>
      </c>
      <c r="H4705" s="14" t="s">
        <v>343</v>
      </c>
      <c r="I4705" s="14">
        <v>93</v>
      </c>
      <c r="J4705" s="14">
        <v>87</v>
      </c>
      <c r="K4705" s="14">
        <v>85</v>
      </c>
      <c r="L4705" s="14">
        <v>92</v>
      </c>
      <c r="M4705" s="14">
        <v>92</v>
      </c>
      <c r="N4705" s="14">
        <v>92</v>
      </c>
      <c r="O4705" s="14">
        <v>91</v>
      </c>
      <c r="P4705" s="14">
        <v>90</v>
      </c>
      <c r="Q4705" s="14">
        <v>86</v>
      </c>
      <c r="R4705" s="14">
        <v>82</v>
      </c>
      <c r="S4705" s="14">
        <v>105</v>
      </c>
      <c r="T4705" s="14">
        <v>96</v>
      </c>
      <c r="U4705" s="14">
        <v>93</v>
      </c>
      <c r="V4705" s="14">
        <v>92</v>
      </c>
      <c r="W4705" s="14">
        <v>97</v>
      </c>
      <c r="X4705" s="14">
        <v>93</v>
      </c>
    </row>
    <row r="4706" spans="1:24" hidden="1" x14ac:dyDescent="0.3">
      <c r="A4706" s="14" t="s">
        <v>513</v>
      </c>
      <c r="B4706" s="14" t="s">
        <v>211</v>
      </c>
      <c r="C4706" s="14" t="s">
        <v>345</v>
      </c>
      <c r="D4706" s="14" t="s">
        <v>346</v>
      </c>
      <c r="E4706" s="14" t="s">
        <v>342</v>
      </c>
      <c r="F4706" s="14" t="s">
        <v>343</v>
      </c>
      <c r="G4706" s="14" t="s">
        <v>343</v>
      </c>
      <c r="H4706" s="14" t="s">
        <v>343</v>
      </c>
      <c r="U4706" s="14">
        <v>0.22</v>
      </c>
      <c r="V4706" s="14">
        <v>0.24</v>
      </c>
      <c r="W4706" s="14">
        <v>0.24</v>
      </c>
      <c r="X4706" s="14">
        <v>0.32</v>
      </c>
    </row>
    <row r="4707" spans="1:24" hidden="1" x14ac:dyDescent="0.3">
      <c r="A4707" s="14" t="s">
        <v>513</v>
      </c>
      <c r="B4707" s="14" t="s">
        <v>211</v>
      </c>
      <c r="C4707" s="14" t="s">
        <v>345</v>
      </c>
      <c r="D4707" s="14" t="s">
        <v>346</v>
      </c>
      <c r="E4707" s="14" t="s">
        <v>344</v>
      </c>
      <c r="F4707" s="14" t="s">
        <v>343</v>
      </c>
      <c r="G4707" s="14" t="s">
        <v>343</v>
      </c>
      <c r="H4707" s="14" t="s">
        <v>343</v>
      </c>
      <c r="U4707" s="14">
        <v>139</v>
      </c>
      <c r="V4707" s="14">
        <v>141</v>
      </c>
      <c r="W4707" s="14">
        <v>146</v>
      </c>
      <c r="X4707" s="14">
        <v>135</v>
      </c>
    </row>
    <row r="4708" spans="1:24" hidden="1" x14ac:dyDescent="0.3">
      <c r="A4708" s="14" t="s">
        <v>513</v>
      </c>
      <c r="B4708" s="14" t="s">
        <v>211</v>
      </c>
      <c r="C4708" s="14" t="s">
        <v>347</v>
      </c>
      <c r="D4708" s="14" t="s">
        <v>348</v>
      </c>
      <c r="E4708" s="14" t="s">
        <v>342</v>
      </c>
      <c r="F4708" s="14" t="s">
        <v>343</v>
      </c>
      <c r="G4708" s="14" t="s">
        <v>343</v>
      </c>
      <c r="H4708" s="14" t="s">
        <v>343</v>
      </c>
      <c r="U4708" s="14">
        <v>0.28999999999999998</v>
      </c>
      <c r="V4708" s="14">
        <v>0.3</v>
      </c>
      <c r="W4708" s="14">
        <v>0.28999999999999998</v>
      </c>
      <c r="X4708" s="14">
        <v>0.39</v>
      </c>
    </row>
    <row r="4709" spans="1:24" hidden="1" x14ac:dyDescent="0.3">
      <c r="A4709" s="14" t="s">
        <v>513</v>
      </c>
      <c r="B4709" s="14" t="s">
        <v>211</v>
      </c>
      <c r="C4709" s="14" t="s">
        <v>347</v>
      </c>
      <c r="D4709" s="14" t="s">
        <v>348</v>
      </c>
      <c r="E4709" s="14" t="s">
        <v>344</v>
      </c>
      <c r="F4709" s="14" t="s">
        <v>343</v>
      </c>
      <c r="G4709" s="14" t="s">
        <v>343</v>
      </c>
      <c r="H4709" s="14" t="s">
        <v>343</v>
      </c>
      <c r="U4709" s="14">
        <v>143</v>
      </c>
      <c r="V4709" s="14">
        <v>146</v>
      </c>
      <c r="W4709" s="14">
        <v>147</v>
      </c>
      <c r="X4709" s="14">
        <v>135</v>
      </c>
    </row>
    <row r="4710" spans="1:24" hidden="1" x14ac:dyDescent="0.3">
      <c r="A4710" s="14" t="s">
        <v>513</v>
      </c>
      <c r="B4710" s="14" t="s">
        <v>211</v>
      </c>
      <c r="C4710" s="14" t="s">
        <v>349</v>
      </c>
      <c r="D4710" s="14" t="s">
        <v>350</v>
      </c>
      <c r="E4710" s="14" t="s">
        <v>342</v>
      </c>
      <c r="F4710" s="14" t="s">
        <v>343</v>
      </c>
      <c r="G4710" s="14" t="s">
        <v>343</v>
      </c>
      <c r="H4710" s="14" t="s">
        <v>343</v>
      </c>
      <c r="U4710" s="14">
        <v>0.06</v>
      </c>
      <c r="V4710" s="14">
        <v>0.2</v>
      </c>
      <c r="W4710" s="14">
        <v>7.0000000000000007E-2</v>
      </c>
    </row>
    <row r="4711" spans="1:24" hidden="1" x14ac:dyDescent="0.3">
      <c r="A4711" s="14" t="s">
        <v>513</v>
      </c>
      <c r="B4711" s="14" t="s">
        <v>211</v>
      </c>
      <c r="C4711" s="14" t="s">
        <v>349</v>
      </c>
      <c r="D4711" s="14" t="s">
        <v>350</v>
      </c>
      <c r="E4711" s="14" t="s">
        <v>344</v>
      </c>
      <c r="F4711" s="14" t="s">
        <v>343</v>
      </c>
      <c r="G4711" s="14" t="s">
        <v>343</v>
      </c>
      <c r="H4711" s="14" t="s">
        <v>343</v>
      </c>
      <c r="U4711" s="14">
        <v>140</v>
      </c>
      <c r="V4711" s="14">
        <v>127</v>
      </c>
      <c r="W4711" s="14">
        <v>149</v>
      </c>
    </row>
    <row r="4712" spans="1:24" hidden="1" x14ac:dyDescent="0.3">
      <c r="A4712" s="14" t="s">
        <v>513</v>
      </c>
      <c r="B4712" s="14" t="s">
        <v>211</v>
      </c>
      <c r="C4712" s="14" t="s">
        <v>351</v>
      </c>
      <c r="D4712" s="14" t="s">
        <v>352</v>
      </c>
      <c r="E4712" s="14" t="s">
        <v>342</v>
      </c>
      <c r="F4712" s="14" t="s">
        <v>343</v>
      </c>
      <c r="G4712" s="14" t="s">
        <v>343</v>
      </c>
      <c r="H4712" s="14" t="s">
        <v>343</v>
      </c>
      <c r="U4712" s="14">
        <v>0.31</v>
      </c>
      <c r="V4712" s="14">
        <v>0.19</v>
      </c>
      <c r="W4712" s="14">
        <v>0.31</v>
      </c>
    </row>
    <row r="4713" spans="1:24" hidden="1" x14ac:dyDescent="0.3">
      <c r="A4713" s="14" t="s">
        <v>513</v>
      </c>
      <c r="B4713" s="14" t="s">
        <v>211</v>
      </c>
      <c r="C4713" s="14" t="s">
        <v>351</v>
      </c>
      <c r="D4713" s="14" t="s">
        <v>352</v>
      </c>
      <c r="E4713" s="14" t="s">
        <v>344</v>
      </c>
      <c r="F4713" s="14" t="s">
        <v>343</v>
      </c>
      <c r="G4713" s="14" t="s">
        <v>343</v>
      </c>
      <c r="H4713" s="14" t="s">
        <v>343</v>
      </c>
      <c r="U4713" s="14">
        <v>137</v>
      </c>
      <c r="V4713" s="14">
        <v>146</v>
      </c>
      <c r="W4713" s="14">
        <v>143</v>
      </c>
    </row>
    <row r="4714" spans="1:24" hidden="1" x14ac:dyDescent="0.3">
      <c r="A4714" s="14" t="s">
        <v>513</v>
      </c>
      <c r="B4714" s="14" t="s">
        <v>211</v>
      </c>
      <c r="C4714" s="14" t="s">
        <v>378</v>
      </c>
      <c r="D4714" s="14" t="s">
        <v>379</v>
      </c>
      <c r="E4714" s="14" t="s">
        <v>342</v>
      </c>
      <c r="F4714" s="14" t="s">
        <v>343</v>
      </c>
      <c r="G4714" s="14" t="s">
        <v>343</v>
      </c>
      <c r="H4714" s="14" t="s">
        <v>343</v>
      </c>
      <c r="S4714" s="14">
        <v>0.56999999999999995</v>
      </c>
      <c r="U4714" s="14">
        <v>0.6</v>
      </c>
      <c r="V4714" s="14">
        <v>0.68</v>
      </c>
      <c r="W4714" s="14">
        <v>0.75</v>
      </c>
      <c r="X4714" s="14">
        <v>0.76</v>
      </c>
    </row>
    <row r="4715" spans="1:24" hidden="1" x14ac:dyDescent="0.3">
      <c r="A4715" s="14" t="s">
        <v>513</v>
      </c>
      <c r="B4715" s="14" t="s">
        <v>211</v>
      </c>
      <c r="C4715" s="14" t="s">
        <v>378</v>
      </c>
      <c r="D4715" s="14" t="s">
        <v>379</v>
      </c>
      <c r="E4715" s="14" t="s">
        <v>344</v>
      </c>
      <c r="F4715" s="14" t="s">
        <v>343</v>
      </c>
      <c r="G4715" s="14" t="s">
        <v>343</v>
      </c>
      <c r="H4715" s="14" t="s">
        <v>343</v>
      </c>
      <c r="S4715" s="14">
        <v>109</v>
      </c>
      <c r="U4715" s="14">
        <v>93</v>
      </c>
      <c r="V4715" s="14">
        <v>60</v>
      </c>
      <c r="W4715" s="14">
        <v>26</v>
      </c>
      <c r="X4715" s="14">
        <v>16</v>
      </c>
    </row>
    <row r="4716" spans="1:24" hidden="1" x14ac:dyDescent="0.3">
      <c r="A4716" s="14" t="s">
        <v>513</v>
      </c>
      <c r="B4716" s="14" t="s">
        <v>211</v>
      </c>
      <c r="C4716" s="14" t="s">
        <v>353</v>
      </c>
      <c r="D4716" s="14" t="s">
        <v>354</v>
      </c>
      <c r="E4716" s="14" t="s">
        <v>342</v>
      </c>
      <c r="F4716" s="14" t="s">
        <v>343</v>
      </c>
      <c r="G4716" s="14" t="s">
        <v>343</v>
      </c>
      <c r="H4716" s="14" t="s">
        <v>343</v>
      </c>
      <c r="U4716" s="14">
        <v>0.95</v>
      </c>
      <c r="V4716" s="14">
        <v>0.96</v>
      </c>
      <c r="W4716" s="14">
        <v>0.96</v>
      </c>
      <c r="X4716" s="14">
        <v>0.97</v>
      </c>
    </row>
    <row r="4717" spans="1:24" hidden="1" x14ac:dyDescent="0.3">
      <c r="A4717" s="14" t="s">
        <v>513</v>
      </c>
      <c r="B4717" s="14" t="s">
        <v>211</v>
      </c>
      <c r="C4717" s="14" t="s">
        <v>353</v>
      </c>
      <c r="D4717" s="14" t="s">
        <v>354</v>
      </c>
      <c r="E4717" s="14" t="s">
        <v>344</v>
      </c>
      <c r="F4717" s="14" t="s">
        <v>343</v>
      </c>
      <c r="G4717" s="14" t="s">
        <v>343</v>
      </c>
      <c r="H4717" s="14" t="s">
        <v>343</v>
      </c>
      <c r="U4717" s="14">
        <v>96</v>
      </c>
      <c r="V4717" s="14">
        <v>100</v>
      </c>
      <c r="W4717" s="14">
        <v>102</v>
      </c>
      <c r="X4717" s="14">
        <v>84</v>
      </c>
    </row>
    <row r="4718" spans="1:24" hidden="1" x14ac:dyDescent="0.3">
      <c r="A4718" s="14" t="s">
        <v>513</v>
      </c>
      <c r="B4718" s="14" t="s">
        <v>211</v>
      </c>
      <c r="C4718" s="14" t="s">
        <v>380</v>
      </c>
      <c r="D4718" s="14" t="s">
        <v>381</v>
      </c>
      <c r="E4718" s="14" t="s">
        <v>342</v>
      </c>
      <c r="F4718" s="14" t="s">
        <v>343</v>
      </c>
      <c r="G4718" s="14" t="s">
        <v>343</v>
      </c>
      <c r="H4718" s="14" t="s">
        <v>343</v>
      </c>
      <c r="U4718" s="14">
        <v>1</v>
      </c>
      <c r="V4718" s="14">
        <v>1</v>
      </c>
      <c r="W4718" s="14">
        <v>1</v>
      </c>
      <c r="X4718" s="14">
        <v>1</v>
      </c>
    </row>
    <row r="4719" spans="1:24" hidden="1" x14ac:dyDescent="0.3">
      <c r="A4719" s="14" t="s">
        <v>513</v>
      </c>
      <c r="B4719" s="14" t="s">
        <v>211</v>
      </c>
      <c r="C4719" s="14" t="s">
        <v>380</v>
      </c>
      <c r="D4719" s="14" t="s">
        <v>381</v>
      </c>
      <c r="E4719" s="14" t="s">
        <v>344</v>
      </c>
      <c r="F4719" s="14" t="s">
        <v>343</v>
      </c>
      <c r="G4719" s="14" t="s">
        <v>343</v>
      </c>
      <c r="H4719" s="14" t="s">
        <v>343</v>
      </c>
      <c r="U4719" s="14">
        <v>1</v>
      </c>
      <c r="V4719" s="14">
        <v>76</v>
      </c>
      <c r="W4719" s="14">
        <v>86</v>
      </c>
      <c r="X4719" s="14">
        <v>1</v>
      </c>
    </row>
    <row r="4720" spans="1:24" hidden="1" x14ac:dyDescent="0.3">
      <c r="A4720" s="14" t="s">
        <v>513</v>
      </c>
      <c r="B4720" s="14" t="s">
        <v>211</v>
      </c>
      <c r="C4720" s="14" t="s">
        <v>355</v>
      </c>
      <c r="D4720" s="14" t="s">
        <v>356</v>
      </c>
      <c r="E4720" s="14" t="s">
        <v>342</v>
      </c>
      <c r="F4720" s="14" t="s">
        <v>343</v>
      </c>
      <c r="G4720" s="14" t="s">
        <v>343</v>
      </c>
      <c r="H4720" s="14" t="s">
        <v>343</v>
      </c>
      <c r="U4720" s="14">
        <v>0.97</v>
      </c>
      <c r="V4720" s="14">
        <v>0.97</v>
      </c>
      <c r="W4720" s="14">
        <v>0.96</v>
      </c>
      <c r="X4720" s="14">
        <v>0.93</v>
      </c>
    </row>
    <row r="4721" spans="1:24" hidden="1" x14ac:dyDescent="0.3">
      <c r="A4721" s="14" t="s">
        <v>513</v>
      </c>
      <c r="B4721" s="14" t="s">
        <v>211</v>
      </c>
      <c r="C4721" s="14" t="s">
        <v>355</v>
      </c>
      <c r="D4721" s="14" t="s">
        <v>356</v>
      </c>
      <c r="E4721" s="14" t="s">
        <v>344</v>
      </c>
      <c r="F4721" s="14" t="s">
        <v>343</v>
      </c>
      <c r="G4721" s="14" t="s">
        <v>343</v>
      </c>
      <c r="H4721" s="14" t="s">
        <v>343</v>
      </c>
      <c r="U4721" s="14">
        <v>123</v>
      </c>
      <c r="V4721" s="14">
        <v>122</v>
      </c>
      <c r="W4721" s="14">
        <v>128</v>
      </c>
      <c r="X4721" s="14">
        <v>119</v>
      </c>
    </row>
    <row r="4722" spans="1:24" hidden="1" x14ac:dyDescent="0.3">
      <c r="A4722" s="14" t="s">
        <v>513</v>
      </c>
      <c r="B4722" s="14" t="s">
        <v>211</v>
      </c>
      <c r="C4722" s="14" t="s">
        <v>357</v>
      </c>
      <c r="D4722" s="14" t="s">
        <v>358</v>
      </c>
      <c r="E4722" s="14" t="s">
        <v>342</v>
      </c>
      <c r="F4722" s="14" t="s">
        <v>343</v>
      </c>
      <c r="G4722" s="14" t="s">
        <v>343</v>
      </c>
      <c r="H4722" s="14" t="s">
        <v>343</v>
      </c>
      <c r="U4722" s="14">
        <v>1</v>
      </c>
      <c r="V4722" s="14">
        <v>1</v>
      </c>
      <c r="W4722" s="14">
        <v>1</v>
      </c>
      <c r="X4722" s="14">
        <v>1</v>
      </c>
    </row>
    <row r="4723" spans="1:24" hidden="1" x14ac:dyDescent="0.3">
      <c r="A4723" s="14" t="s">
        <v>513</v>
      </c>
      <c r="B4723" s="14" t="s">
        <v>211</v>
      </c>
      <c r="C4723" s="14" t="s">
        <v>357</v>
      </c>
      <c r="D4723" s="14" t="s">
        <v>358</v>
      </c>
      <c r="E4723" s="14" t="s">
        <v>344</v>
      </c>
      <c r="F4723" s="14" t="s">
        <v>343</v>
      </c>
      <c r="G4723" s="14" t="s">
        <v>343</v>
      </c>
      <c r="H4723" s="14" t="s">
        <v>343</v>
      </c>
      <c r="U4723" s="14">
        <v>1</v>
      </c>
      <c r="V4723" s="14">
        <v>1</v>
      </c>
      <c r="W4723" s="14">
        <v>1</v>
      </c>
      <c r="X4723" s="14">
        <v>1</v>
      </c>
    </row>
    <row r="4724" spans="1:24" hidden="1" x14ac:dyDescent="0.3">
      <c r="A4724" s="14" t="s">
        <v>513</v>
      </c>
      <c r="B4724" s="14" t="s">
        <v>211</v>
      </c>
      <c r="C4724" s="14" t="s">
        <v>359</v>
      </c>
      <c r="D4724" s="14" t="s">
        <v>360</v>
      </c>
      <c r="E4724" s="14" t="s">
        <v>342</v>
      </c>
      <c r="F4724" s="14" t="s">
        <v>343</v>
      </c>
      <c r="G4724" s="14" t="s">
        <v>343</v>
      </c>
      <c r="H4724" s="14" t="s">
        <v>343</v>
      </c>
      <c r="I4724" s="14">
        <v>0.24</v>
      </c>
      <c r="J4724" s="14">
        <v>0.32</v>
      </c>
      <c r="K4724" s="14">
        <v>0.26</v>
      </c>
      <c r="L4724" s="14">
        <v>0.31</v>
      </c>
      <c r="M4724" s="14">
        <v>0.34</v>
      </c>
      <c r="N4724" s="14">
        <v>0.36</v>
      </c>
      <c r="O4724" s="14">
        <v>0.34</v>
      </c>
      <c r="P4724" s="14">
        <v>0.32</v>
      </c>
      <c r="Q4724" s="14">
        <v>0.39</v>
      </c>
      <c r="R4724" s="14">
        <v>0.39</v>
      </c>
      <c r="S4724" s="14">
        <v>0.33</v>
      </c>
      <c r="T4724" s="14">
        <v>0.32</v>
      </c>
      <c r="U4724" s="14">
        <v>0.34</v>
      </c>
      <c r="V4724" s="14">
        <v>0.38</v>
      </c>
      <c r="W4724" s="14">
        <v>0.39</v>
      </c>
      <c r="X4724" s="14">
        <v>0.52</v>
      </c>
    </row>
    <row r="4725" spans="1:24" hidden="1" x14ac:dyDescent="0.3">
      <c r="A4725" s="14" t="s">
        <v>513</v>
      </c>
      <c r="B4725" s="14" t="s">
        <v>211</v>
      </c>
      <c r="C4725" s="14" t="s">
        <v>359</v>
      </c>
      <c r="D4725" s="14" t="s">
        <v>360</v>
      </c>
      <c r="E4725" s="14" t="s">
        <v>344</v>
      </c>
      <c r="F4725" s="14" t="s">
        <v>343</v>
      </c>
      <c r="G4725" s="14" t="s">
        <v>343</v>
      </c>
      <c r="H4725" s="14" t="s">
        <v>343</v>
      </c>
      <c r="I4725" s="14">
        <v>115</v>
      </c>
      <c r="J4725" s="14">
        <v>127</v>
      </c>
      <c r="K4725" s="14">
        <v>129</v>
      </c>
      <c r="L4725" s="14">
        <v>133</v>
      </c>
      <c r="M4725" s="14">
        <v>132</v>
      </c>
      <c r="N4725" s="14">
        <v>133</v>
      </c>
      <c r="O4725" s="14">
        <v>133</v>
      </c>
      <c r="P4725" s="14">
        <v>134</v>
      </c>
      <c r="Q4725" s="14">
        <v>137</v>
      </c>
      <c r="R4725" s="14">
        <v>138</v>
      </c>
      <c r="S4725" s="14">
        <v>142</v>
      </c>
      <c r="T4725" s="14">
        <v>142</v>
      </c>
      <c r="U4725" s="14">
        <v>145</v>
      </c>
      <c r="V4725" s="14">
        <v>148</v>
      </c>
      <c r="W4725" s="14">
        <v>149</v>
      </c>
      <c r="X4725" s="14">
        <v>128</v>
      </c>
    </row>
    <row r="4726" spans="1:24" x14ac:dyDescent="0.3">
      <c r="A4726" s="14" t="s">
        <v>513</v>
      </c>
      <c r="B4726" s="14" t="s">
        <v>211</v>
      </c>
      <c r="C4726" s="14" t="s">
        <v>361</v>
      </c>
      <c r="D4726" s="14" t="s">
        <v>362</v>
      </c>
      <c r="E4726" s="14" t="s">
        <v>342</v>
      </c>
      <c r="F4726" s="14" t="s">
        <v>343</v>
      </c>
      <c r="G4726" s="14" t="s">
        <v>343</v>
      </c>
      <c r="H4726" s="14" t="s">
        <v>343</v>
      </c>
      <c r="I4726" s="14">
        <v>0.98</v>
      </c>
      <c r="J4726" s="14">
        <v>0.98</v>
      </c>
      <c r="K4726" s="14">
        <v>0.98</v>
      </c>
      <c r="L4726" s="14">
        <v>0.98</v>
      </c>
      <c r="M4726" s="14">
        <v>0.98</v>
      </c>
      <c r="N4726" s="14">
        <v>0.98</v>
      </c>
      <c r="O4726" s="14">
        <v>0.98</v>
      </c>
      <c r="P4726" s="14">
        <v>0.98</v>
      </c>
      <c r="Q4726" s="14">
        <v>0.97</v>
      </c>
      <c r="R4726" s="14">
        <v>0.97</v>
      </c>
      <c r="S4726" s="14">
        <v>0.97</v>
      </c>
      <c r="T4726" s="14">
        <v>0.96</v>
      </c>
      <c r="U4726" s="14">
        <v>0.96</v>
      </c>
      <c r="V4726" s="14">
        <v>0.96</v>
      </c>
      <c r="W4726" s="14">
        <v>0.96</v>
      </c>
      <c r="X4726" s="14">
        <v>0.96</v>
      </c>
    </row>
    <row r="4727" spans="1:24" hidden="1" x14ac:dyDescent="0.3">
      <c r="A4727" s="14" t="s">
        <v>513</v>
      </c>
      <c r="B4727" s="14" t="s">
        <v>211</v>
      </c>
      <c r="C4727" s="14" t="s">
        <v>361</v>
      </c>
      <c r="D4727" s="14" t="s">
        <v>362</v>
      </c>
      <c r="E4727" s="14" t="s">
        <v>344</v>
      </c>
      <c r="F4727" s="14" t="s">
        <v>343</v>
      </c>
      <c r="G4727" s="14" t="s">
        <v>343</v>
      </c>
      <c r="H4727" s="14" t="s">
        <v>343</v>
      </c>
      <c r="I4727" s="14">
        <v>54</v>
      </c>
      <c r="J4727" s="14">
        <v>60</v>
      </c>
      <c r="K4727" s="14">
        <v>62</v>
      </c>
      <c r="L4727" s="14">
        <v>65</v>
      </c>
      <c r="M4727" s="14">
        <v>53</v>
      </c>
      <c r="N4727" s="14">
        <v>53</v>
      </c>
      <c r="O4727" s="14">
        <v>55</v>
      </c>
      <c r="P4727" s="14">
        <v>52</v>
      </c>
      <c r="Q4727" s="14">
        <v>90</v>
      </c>
      <c r="R4727" s="14">
        <v>129</v>
      </c>
      <c r="S4727" s="14">
        <v>128</v>
      </c>
      <c r="T4727" s="14">
        <v>130</v>
      </c>
      <c r="U4727" s="14">
        <v>136</v>
      </c>
      <c r="V4727" s="14">
        <v>139</v>
      </c>
      <c r="W4727" s="14">
        <v>123</v>
      </c>
      <c r="X4727" s="14">
        <v>116</v>
      </c>
    </row>
    <row r="4728" spans="1:24" hidden="1" x14ac:dyDescent="0.3">
      <c r="A4728" s="14" t="s">
        <v>513</v>
      </c>
      <c r="B4728" s="14" t="s">
        <v>211</v>
      </c>
      <c r="C4728" s="14" t="s">
        <v>363</v>
      </c>
      <c r="D4728" s="14" t="s">
        <v>364</v>
      </c>
      <c r="E4728" s="14" t="s">
        <v>342</v>
      </c>
      <c r="F4728" s="14" t="s">
        <v>343</v>
      </c>
      <c r="G4728" s="14" t="s">
        <v>343</v>
      </c>
      <c r="H4728" s="14" t="s">
        <v>343</v>
      </c>
      <c r="U4728" s="14">
        <v>1</v>
      </c>
      <c r="V4728" s="14">
        <v>1</v>
      </c>
      <c r="W4728" s="14">
        <v>1.01</v>
      </c>
      <c r="X4728" s="14">
        <v>1.01</v>
      </c>
    </row>
    <row r="4729" spans="1:24" hidden="1" x14ac:dyDescent="0.3">
      <c r="A4729" s="14" t="s">
        <v>513</v>
      </c>
      <c r="B4729" s="14" t="s">
        <v>211</v>
      </c>
      <c r="C4729" s="14" t="s">
        <v>363</v>
      </c>
      <c r="D4729" s="14" t="s">
        <v>364</v>
      </c>
      <c r="E4729" s="14" t="s">
        <v>344</v>
      </c>
      <c r="F4729" s="14" t="s">
        <v>343</v>
      </c>
      <c r="G4729" s="14" t="s">
        <v>343</v>
      </c>
      <c r="H4729" s="14" t="s">
        <v>343</v>
      </c>
      <c r="U4729" s="14">
        <v>142</v>
      </c>
      <c r="V4729" s="14">
        <v>146</v>
      </c>
      <c r="W4729" s="14">
        <v>131</v>
      </c>
      <c r="X4729" s="14">
        <v>123</v>
      </c>
    </row>
    <row r="4730" spans="1:24" hidden="1" x14ac:dyDescent="0.3">
      <c r="A4730" s="14" t="s">
        <v>513</v>
      </c>
      <c r="B4730" s="14" t="s">
        <v>211</v>
      </c>
      <c r="C4730" s="14" t="s">
        <v>365</v>
      </c>
      <c r="D4730" s="14" t="s">
        <v>366</v>
      </c>
      <c r="E4730" s="14" t="s">
        <v>342</v>
      </c>
      <c r="F4730" s="14" t="s">
        <v>343</v>
      </c>
      <c r="G4730" s="14" t="s">
        <v>343</v>
      </c>
      <c r="H4730" s="14" t="s">
        <v>343</v>
      </c>
      <c r="U4730" s="14">
        <v>0.94</v>
      </c>
      <c r="V4730" s="14">
        <v>0.94</v>
      </c>
      <c r="W4730" s="14">
        <v>0.94</v>
      </c>
      <c r="X4730" s="14">
        <v>0.94</v>
      </c>
    </row>
    <row r="4731" spans="1:24" hidden="1" x14ac:dyDescent="0.3">
      <c r="A4731" s="14" t="s">
        <v>513</v>
      </c>
      <c r="B4731" s="14" t="s">
        <v>211</v>
      </c>
      <c r="C4731" s="14" t="s">
        <v>365</v>
      </c>
      <c r="D4731" s="14" t="s">
        <v>366</v>
      </c>
      <c r="E4731" s="14" t="s">
        <v>344</v>
      </c>
      <c r="F4731" s="14" t="s">
        <v>343</v>
      </c>
      <c r="G4731" s="14" t="s">
        <v>343</v>
      </c>
      <c r="H4731" s="14" t="s">
        <v>343</v>
      </c>
      <c r="U4731" s="14">
        <v>1</v>
      </c>
      <c r="V4731" s="14">
        <v>1</v>
      </c>
      <c r="W4731" s="14">
        <v>1</v>
      </c>
      <c r="X4731" s="14">
        <v>1</v>
      </c>
    </row>
    <row r="4732" spans="1:24" hidden="1" x14ac:dyDescent="0.3">
      <c r="A4732" s="14" t="s">
        <v>513</v>
      </c>
      <c r="B4732" s="14" t="s">
        <v>211</v>
      </c>
      <c r="C4732" s="14" t="s">
        <v>367</v>
      </c>
      <c r="D4732" s="14" t="s">
        <v>368</v>
      </c>
      <c r="E4732" s="14" t="s">
        <v>342</v>
      </c>
      <c r="F4732" s="14" t="s">
        <v>343</v>
      </c>
      <c r="G4732" s="14" t="s">
        <v>343</v>
      </c>
      <c r="H4732" s="14" t="s">
        <v>343</v>
      </c>
      <c r="I4732" s="14">
        <v>0.52</v>
      </c>
      <c r="J4732" s="14">
        <v>0.56000000000000005</v>
      </c>
      <c r="K4732" s="14">
        <v>0.55000000000000004</v>
      </c>
      <c r="L4732" s="14">
        <v>0.56999999999999995</v>
      </c>
      <c r="M4732" s="14">
        <v>0.56999999999999995</v>
      </c>
      <c r="N4732" s="14">
        <v>0.57999999999999996</v>
      </c>
      <c r="O4732" s="14">
        <v>0.56999999999999995</v>
      </c>
      <c r="P4732" s="14">
        <v>0.59</v>
      </c>
      <c r="Q4732" s="14">
        <v>0.61</v>
      </c>
      <c r="R4732" s="14">
        <v>0.6</v>
      </c>
      <c r="S4732" s="14">
        <v>0.57999999999999996</v>
      </c>
      <c r="T4732" s="14">
        <v>0.57999999999999996</v>
      </c>
      <c r="U4732" s="14">
        <v>0.59</v>
      </c>
      <c r="V4732" s="14">
        <v>0.6</v>
      </c>
      <c r="W4732" s="14">
        <v>0.6</v>
      </c>
      <c r="X4732" s="14">
        <v>0.64</v>
      </c>
    </row>
    <row r="4733" spans="1:24" hidden="1" x14ac:dyDescent="0.3">
      <c r="A4733" s="14" t="s">
        <v>513</v>
      </c>
      <c r="B4733" s="14" t="s">
        <v>211</v>
      </c>
      <c r="C4733" s="14" t="s">
        <v>367</v>
      </c>
      <c r="D4733" s="14" t="s">
        <v>368</v>
      </c>
      <c r="E4733" s="14" t="s">
        <v>344</v>
      </c>
      <c r="F4733" s="14" t="s">
        <v>343</v>
      </c>
      <c r="G4733" s="14" t="s">
        <v>343</v>
      </c>
      <c r="H4733" s="14" t="s">
        <v>343</v>
      </c>
      <c r="I4733" s="14">
        <v>114</v>
      </c>
      <c r="J4733" s="14">
        <v>124</v>
      </c>
      <c r="K4733" s="14">
        <v>128</v>
      </c>
      <c r="L4733" s="14">
        <v>130</v>
      </c>
      <c r="M4733" s="14">
        <v>129</v>
      </c>
      <c r="N4733" s="14">
        <v>131</v>
      </c>
      <c r="O4733" s="14">
        <v>131</v>
      </c>
      <c r="P4733" s="14">
        <v>127</v>
      </c>
      <c r="Q4733" s="14">
        <v>130</v>
      </c>
      <c r="R4733" s="14">
        <v>134</v>
      </c>
      <c r="S4733" s="14">
        <v>141</v>
      </c>
      <c r="T4733" s="14">
        <v>138</v>
      </c>
      <c r="U4733" s="14">
        <v>141</v>
      </c>
      <c r="V4733" s="14">
        <v>146</v>
      </c>
      <c r="W4733" s="14">
        <v>147</v>
      </c>
      <c r="X4733" s="14">
        <v>127</v>
      </c>
    </row>
    <row r="4734" spans="1:24" hidden="1" x14ac:dyDescent="0.3">
      <c r="A4734" s="14" t="s">
        <v>513</v>
      </c>
      <c r="B4734" s="14" t="s">
        <v>211</v>
      </c>
      <c r="C4734" s="14" t="s">
        <v>369</v>
      </c>
      <c r="D4734" s="14" t="s">
        <v>370</v>
      </c>
      <c r="E4734" s="14" t="s">
        <v>342</v>
      </c>
      <c r="F4734" s="14" t="s">
        <v>343</v>
      </c>
      <c r="G4734" s="14" t="s">
        <v>343</v>
      </c>
      <c r="H4734" s="14" t="s">
        <v>343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0.08</v>
      </c>
      <c r="Q4734" s="14">
        <v>0.08</v>
      </c>
      <c r="R4734" s="14">
        <v>0.08</v>
      </c>
      <c r="S4734" s="14">
        <v>0.08</v>
      </c>
      <c r="T4734" s="14">
        <v>0.08</v>
      </c>
      <c r="U4734" s="14">
        <v>0.08</v>
      </c>
      <c r="V4734" s="14">
        <v>0.08</v>
      </c>
      <c r="W4734" s="14">
        <v>0.08</v>
      </c>
      <c r="X4734" s="14">
        <v>0.08</v>
      </c>
    </row>
    <row r="4735" spans="1:24" hidden="1" x14ac:dyDescent="0.3">
      <c r="A4735" s="14" t="s">
        <v>513</v>
      </c>
      <c r="B4735" s="14" t="s">
        <v>211</v>
      </c>
      <c r="C4735" s="14" t="s">
        <v>369</v>
      </c>
      <c r="D4735" s="14" t="s">
        <v>370</v>
      </c>
      <c r="E4735" s="14" t="s">
        <v>344</v>
      </c>
      <c r="F4735" s="14" t="s">
        <v>343</v>
      </c>
      <c r="G4735" s="14" t="s">
        <v>343</v>
      </c>
      <c r="H4735" s="14" t="s">
        <v>343</v>
      </c>
      <c r="I4735" s="14">
        <v>115</v>
      </c>
      <c r="J4735" s="14">
        <v>128</v>
      </c>
      <c r="K4735" s="14">
        <v>130</v>
      </c>
      <c r="L4735" s="14">
        <v>134</v>
      </c>
      <c r="M4735" s="14">
        <v>131</v>
      </c>
      <c r="N4735" s="14">
        <v>132</v>
      </c>
      <c r="O4735" s="14">
        <v>133</v>
      </c>
      <c r="P4735" s="14">
        <v>105</v>
      </c>
      <c r="Q4735" s="14">
        <v>117</v>
      </c>
      <c r="R4735" s="14">
        <v>121</v>
      </c>
      <c r="S4735" s="14">
        <v>121</v>
      </c>
      <c r="T4735" s="14">
        <v>124</v>
      </c>
      <c r="U4735" s="14">
        <v>127</v>
      </c>
      <c r="V4735" s="14">
        <v>136</v>
      </c>
      <c r="W4735" s="14">
        <v>138</v>
      </c>
      <c r="X4735" s="14">
        <v>132</v>
      </c>
    </row>
    <row r="4736" spans="1:24" hidden="1" x14ac:dyDescent="0.3">
      <c r="A4736" s="14" t="s">
        <v>513</v>
      </c>
      <c r="B4736" s="14" t="s">
        <v>211</v>
      </c>
      <c r="C4736" s="14" t="s">
        <v>371</v>
      </c>
      <c r="D4736" s="14" t="s">
        <v>372</v>
      </c>
      <c r="E4736" s="14" t="s">
        <v>342</v>
      </c>
      <c r="F4736" s="14" t="s">
        <v>343</v>
      </c>
      <c r="G4736" s="14" t="s">
        <v>343</v>
      </c>
      <c r="H4736" s="14" t="s">
        <v>343</v>
      </c>
      <c r="U4736" s="14">
        <v>0</v>
      </c>
      <c r="V4736" s="14">
        <v>0</v>
      </c>
      <c r="W4736" s="14">
        <v>0</v>
      </c>
      <c r="X4736" s="14">
        <v>0</v>
      </c>
    </row>
    <row r="4737" spans="1:24" hidden="1" x14ac:dyDescent="0.3">
      <c r="A4737" s="14" t="s">
        <v>513</v>
      </c>
      <c r="B4737" s="14" t="s">
        <v>211</v>
      </c>
      <c r="C4737" s="14" t="s">
        <v>371</v>
      </c>
      <c r="D4737" s="14" t="s">
        <v>372</v>
      </c>
      <c r="E4737" s="14" t="s">
        <v>344</v>
      </c>
      <c r="F4737" s="14" t="s">
        <v>343</v>
      </c>
      <c r="G4737" s="14" t="s">
        <v>343</v>
      </c>
      <c r="H4737" s="14" t="s">
        <v>343</v>
      </c>
      <c r="U4737" s="14">
        <v>71</v>
      </c>
      <c r="V4737" s="14">
        <v>73</v>
      </c>
      <c r="W4737" s="14">
        <v>76</v>
      </c>
      <c r="X4737" s="14">
        <v>78</v>
      </c>
    </row>
    <row r="4738" spans="1:24" hidden="1" x14ac:dyDescent="0.3">
      <c r="A4738" s="14" t="s">
        <v>513</v>
      </c>
      <c r="B4738" s="14" t="s">
        <v>211</v>
      </c>
      <c r="C4738" s="14" t="s">
        <v>373</v>
      </c>
      <c r="D4738" s="14" t="s">
        <v>374</v>
      </c>
      <c r="E4738" s="14" t="s">
        <v>342</v>
      </c>
      <c r="F4738" s="14" t="s">
        <v>343</v>
      </c>
      <c r="G4738" s="14" t="s">
        <v>343</v>
      </c>
      <c r="H4738" s="14" t="s">
        <v>343</v>
      </c>
      <c r="U4738" s="14">
        <v>0</v>
      </c>
      <c r="V4738" s="14">
        <v>0</v>
      </c>
      <c r="W4738" s="14">
        <v>0</v>
      </c>
      <c r="X4738" s="14">
        <v>0</v>
      </c>
    </row>
    <row r="4739" spans="1:24" hidden="1" x14ac:dyDescent="0.3">
      <c r="A4739" s="14" t="s">
        <v>513</v>
      </c>
      <c r="B4739" s="14" t="s">
        <v>211</v>
      </c>
      <c r="C4739" s="14" t="s">
        <v>373</v>
      </c>
      <c r="D4739" s="14" t="s">
        <v>374</v>
      </c>
      <c r="E4739" s="14" t="s">
        <v>344</v>
      </c>
      <c r="F4739" s="14" t="s">
        <v>343</v>
      </c>
      <c r="G4739" s="14" t="s">
        <v>343</v>
      </c>
      <c r="H4739" s="14" t="s">
        <v>343</v>
      </c>
      <c r="U4739" s="14">
        <v>144</v>
      </c>
      <c r="V4739" s="14">
        <v>145</v>
      </c>
      <c r="W4739" s="14">
        <v>148</v>
      </c>
      <c r="X4739" s="14">
        <v>140</v>
      </c>
    </row>
    <row r="4740" spans="1:24" hidden="1" x14ac:dyDescent="0.3">
      <c r="A4740" s="14" t="s">
        <v>513</v>
      </c>
      <c r="B4740" s="14" t="s">
        <v>211</v>
      </c>
      <c r="C4740" s="14" t="s">
        <v>375</v>
      </c>
      <c r="D4740" s="14" t="s">
        <v>376</v>
      </c>
      <c r="E4740" s="14" t="s">
        <v>342</v>
      </c>
      <c r="F4740" s="14" t="s">
        <v>343</v>
      </c>
      <c r="G4740" s="14" t="s">
        <v>343</v>
      </c>
      <c r="H4740" s="14" t="s">
        <v>343</v>
      </c>
      <c r="U4740" s="14">
        <v>0.25</v>
      </c>
      <c r="V4740" s="14">
        <v>0.25</v>
      </c>
      <c r="W4740" s="14">
        <v>0.25</v>
      </c>
      <c r="X4740" s="14">
        <v>0.25</v>
      </c>
    </row>
    <row r="4741" spans="1:24" hidden="1" x14ac:dyDescent="0.3">
      <c r="A4741" s="14" t="s">
        <v>513</v>
      </c>
      <c r="B4741" s="14" t="s">
        <v>211</v>
      </c>
      <c r="C4741" s="14" t="s">
        <v>375</v>
      </c>
      <c r="D4741" s="14" t="s">
        <v>376</v>
      </c>
      <c r="E4741" s="14" t="s">
        <v>344</v>
      </c>
      <c r="F4741" s="14" t="s">
        <v>343</v>
      </c>
      <c r="G4741" s="14" t="s">
        <v>343</v>
      </c>
      <c r="H4741" s="14" t="s">
        <v>343</v>
      </c>
      <c r="U4741" s="14">
        <v>86</v>
      </c>
      <c r="V4741" s="14">
        <v>95</v>
      </c>
      <c r="W4741" s="14">
        <v>105</v>
      </c>
      <c r="X4741" s="14">
        <v>98</v>
      </c>
    </row>
    <row r="4742" spans="1:24" hidden="1" x14ac:dyDescent="0.3">
      <c r="A4742" s="14" t="s">
        <v>514</v>
      </c>
      <c r="B4742" s="14" t="s">
        <v>212</v>
      </c>
      <c r="C4742" s="14" t="s">
        <v>340</v>
      </c>
      <c r="D4742" s="14" t="s">
        <v>341</v>
      </c>
      <c r="E4742" s="14" t="s">
        <v>342</v>
      </c>
      <c r="F4742" s="14" t="s">
        <v>343</v>
      </c>
      <c r="G4742" s="14" t="s">
        <v>343</v>
      </c>
      <c r="H4742" s="14" t="s">
        <v>343</v>
      </c>
      <c r="L4742" s="14">
        <v>0.82</v>
      </c>
      <c r="M4742" s="14">
        <v>0.82</v>
      </c>
      <c r="N4742" s="14">
        <v>0.82</v>
      </c>
      <c r="O4742" s="14">
        <v>0.83</v>
      </c>
      <c r="P4742" s="14">
        <v>0.83</v>
      </c>
      <c r="Q4742" s="14">
        <v>0.82</v>
      </c>
      <c r="R4742" s="14">
        <v>0.83</v>
      </c>
      <c r="S4742" s="14">
        <v>0.83</v>
      </c>
      <c r="T4742" s="14">
        <v>0.83</v>
      </c>
      <c r="U4742" s="14">
        <v>0.88</v>
      </c>
      <c r="V4742" s="14">
        <v>0.89</v>
      </c>
      <c r="W4742" s="14">
        <v>0.89</v>
      </c>
      <c r="X4742" s="14">
        <v>0.9</v>
      </c>
    </row>
    <row r="4743" spans="1:24" hidden="1" x14ac:dyDescent="0.3">
      <c r="A4743" s="14" t="s">
        <v>514</v>
      </c>
      <c r="B4743" s="14" t="s">
        <v>212</v>
      </c>
      <c r="C4743" s="14" t="s">
        <v>340</v>
      </c>
      <c r="D4743" s="14" t="s">
        <v>341</v>
      </c>
      <c r="E4743" s="14" t="s">
        <v>344</v>
      </c>
      <c r="F4743" s="14" t="s">
        <v>343</v>
      </c>
      <c r="G4743" s="14" t="s">
        <v>343</v>
      </c>
      <c r="H4743" s="14" t="s">
        <v>343</v>
      </c>
      <c r="L4743" s="14">
        <v>124</v>
      </c>
      <c r="M4743" s="14">
        <v>122</v>
      </c>
      <c r="N4743" s="14">
        <v>123</v>
      </c>
      <c r="O4743" s="14">
        <v>122</v>
      </c>
      <c r="P4743" s="14">
        <v>125</v>
      </c>
      <c r="Q4743" s="14">
        <v>131</v>
      </c>
      <c r="R4743" s="14">
        <v>133</v>
      </c>
      <c r="S4743" s="14">
        <v>133</v>
      </c>
      <c r="T4743" s="14">
        <v>132</v>
      </c>
      <c r="U4743" s="14">
        <v>132</v>
      </c>
      <c r="V4743" s="14">
        <v>135</v>
      </c>
      <c r="W4743" s="14">
        <v>136</v>
      </c>
      <c r="X4743" s="14">
        <v>127</v>
      </c>
    </row>
    <row r="4744" spans="1:24" hidden="1" x14ac:dyDescent="0.3">
      <c r="A4744" s="14" t="s">
        <v>514</v>
      </c>
      <c r="B4744" s="14" t="s">
        <v>212</v>
      </c>
      <c r="C4744" s="14" t="s">
        <v>345</v>
      </c>
      <c r="D4744" s="14" t="s">
        <v>346</v>
      </c>
      <c r="E4744" s="14" t="s">
        <v>342</v>
      </c>
      <c r="F4744" s="14" t="s">
        <v>343</v>
      </c>
      <c r="G4744" s="14" t="s">
        <v>343</v>
      </c>
      <c r="H4744" s="14" t="s">
        <v>343</v>
      </c>
      <c r="U4744" s="14">
        <v>0.5</v>
      </c>
      <c r="V4744" s="14">
        <v>0.46</v>
      </c>
      <c r="W4744" s="14">
        <v>0.49</v>
      </c>
      <c r="X4744" s="14">
        <v>0.37</v>
      </c>
    </row>
    <row r="4745" spans="1:24" hidden="1" x14ac:dyDescent="0.3">
      <c r="A4745" s="14" t="s">
        <v>514</v>
      </c>
      <c r="B4745" s="14" t="s">
        <v>212</v>
      </c>
      <c r="C4745" s="14" t="s">
        <v>345</v>
      </c>
      <c r="D4745" s="14" t="s">
        <v>346</v>
      </c>
      <c r="E4745" s="14" t="s">
        <v>344</v>
      </c>
      <c r="F4745" s="14" t="s">
        <v>343</v>
      </c>
      <c r="G4745" s="14" t="s">
        <v>343</v>
      </c>
      <c r="H4745" s="14" t="s">
        <v>343</v>
      </c>
      <c r="U4745" s="14">
        <v>108</v>
      </c>
      <c r="V4745" s="14">
        <v>126</v>
      </c>
      <c r="W4745" s="14">
        <v>120</v>
      </c>
      <c r="X4745" s="14">
        <v>131</v>
      </c>
    </row>
    <row r="4746" spans="1:24" hidden="1" x14ac:dyDescent="0.3">
      <c r="A4746" s="14" t="s">
        <v>514</v>
      </c>
      <c r="B4746" s="14" t="s">
        <v>212</v>
      </c>
      <c r="C4746" s="14" t="s">
        <v>347</v>
      </c>
      <c r="D4746" s="14" t="s">
        <v>348</v>
      </c>
      <c r="E4746" s="14" t="s">
        <v>342</v>
      </c>
      <c r="F4746" s="14" t="s">
        <v>343</v>
      </c>
      <c r="G4746" s="14" t="s">
        <v>343</v>
      </c>
      <c r="H4746" s="14" t="s">
        <v>343</v>
      </c>
      <c r="U4746" s="14">
        <v>0.66</v>
      </c>
      <c r="V4746" s="14">
        <v>0.61</v>
      </c>
      <c r="W4746" s="14">
        <v>0.62</v>
      </c>
      <c r="X4746" s="14">
        <v>0.59</v>
      </c>
    </row>
    <row r="4747" spans="1:24" hidden="1" x14ac:dyDescent="0.3">
      <c r="A4747" s="14" t="s">
        <v>514</v>
      </c>
      <c r="B4747" s="14" t="s">
        <v>212</v>
      </c>
      <c r="C4747" s="14" t="s">
        <v>347</v>
      </c>
      <c r="D4747" s="14" t="s">
        <v>348</v>
      </c>
      <c r="E4747" s="14" t="s">
        <v>344</v>
      </c>
      <c r="F4747" s="14" t="s">
        <v>343</v>
      </c>
      <c r="G4747" s="14" t="s">
        <v>343</v>
      </c>
      <c r="H4747" s="14" t="s">
        <v>343</v>
      </c>
      <c r="U4747" s="14">
        <v>108</v>
      </c>
      <c r="V4747" s="14">
        <v>125</v>
      </c>
      <c r="W4747" s="14">
        <v>124</v>
      </c>
      <c r="X4747" s="14">
        <v>119</v>
      </c>
    </row>
    <row r="4748" spans="1:24" hidden="1" x14ac:dyDescent="0.3">
      <c r="A4748" s="14" t="s">
        <v>514</v>
      </c>
      <c r="B4748" s="14" t="s">
        <v>212</v>
      </c>
      <c r="C4748" s="14" t="s">
        <v>349</v>
      </c>
      <c r="D4748" s="14" t="s">
        <v>350</v>
      </c>
      <c r="E4748" s="14" t="s">
        <v>342</v>
      </c>
      <c r="F4748" s="14" t="s">
        <v>343</v>
      </c>
      <c r="G4748" s="14" t="s">
        <v>343</v>
      </c>
      <c r="H4748" s="14" t="s">
        <v>343</v>
      </c>
      <c r="U4748" s="14">
        <v>0.3</v>
      </c>
      <c r="V4748" s="14">
        <v>0.3</v>
      </c>
      <c r="W4748" s="14">
        <v>0.3</v>
      </c>
      <c r="X4748" s="14">
        <v>0.18</v>
      </c>
    </row>
    <row r="4749" spans="1:24" hidden="1" x14ac:dyDescent="0.3">
      <c r="A4749" s="14" t="s">
        <v>514</v>
      </c>
      <c r="B4749" s="14" t="s">
        <v>212</v>
      </c>
      <c r="C4749" s="14" t="s">
        <v>349</v>
      </c>
      <c r="D4749" s="14" t="s">
        <v>350</v>
      </c>
      <c r="E4749" s="14" t="s">
        <v>344</v>
      </c>
      <c r="F4749" s="14" t="s">
        <v>343</v>
      </c>
      <c r="G4749" s="14" t="s">
        <v>343</v>
      </c>
      <c r="H4749" s="14" t="s">
        <v>343</v>
      </c>
      <c r="U4749" s="14">
        <v>104</v>
      </c>
      <c r="V4749" s="14">
        <v>112</v>
      </c>
      <c r="W4749" s="14">
        <v>116</v>
      </c>
      <c r="X4749" s="14">
        <v>127</v>
      </c>
    </row>
    <row r="4750" spans="1:24" hidden="1" x14ac:dyDescent="0.3">
      <c r="A4750" s="14" t="s">
        <v>514</v>
      </c>
      <c r="B4750" s="14" t="s">
        <v>212</v>
      </c>
      <c r="C4750" s="14" t="s">
        <v>351</v>
      </c>
      <c r="D4750" s="14" t="s">
        <v>352</v>
      </c>
      <c r="E4750" s="14" t="s">
        <v>342</v>
      </c>
      <c r="F4750" s="14" t="s">
        <v>343</v>
      </c>
      <c r="G4750" s="14" t="s">
        <v>343</v>
      </c>
      <c r="H4750" s="14" t="s">
        <v>343</v>
      </c>
      <c r="U4750" s="14">
        <v>0.5</v>
      </c>
      <c r="V4750" s="14">
        <v>0.5</v>
      </c>
      <c r="W4750" s="14">
        <v>0.5</v>
      </c>
      <c r="X4750" s="14">
        <v>0.4</v>
      </c>
    </row>
    <row r="4751" spans="1:24" hidden="1" x14ac:dyDescent="0.3">
      <c r="A4751" s="14" t="s">
        <v>514</v>
      </c>
      <c r="B4751" s="14" t="s">
        <v>212</v>
      </c>
      <c r="C4751" s="14" t="s">
        <v>351</v>
      </c>
      <c r="D4751" s="14" t="s">
        <v>352</v>
      </c>
      <c r="E4751" s="14" t="s">
        <v>344</v>
      </c>
      <c r="F4751" s="14" t="s">
        <v>343</v>
      </c>
      <c r="G4751" s="14" t="s">
        <v>343</v>
      </c>
      <c r="H4751" s="14" t="s">
        <v>343</v>
      </c>
      <c r="U4751" s="14">
        <v>122</v>
      </c>
      <c r="V4751" s="14">
        <v>127</v>
      </c>
      <c r="W4751" s="14">
        <v>129</v>
      </c>
      <c r="X4751" s="14">
        <v>127</v>
      </c>
    </row>
    <row r="4752" spans="1:24" hidden="1" x14ac:dyDescent="0.3">
      <c r="A4752" s="14" t="s">
        <v>514</v>
      </c>
      <c r="B4752" s="14" t="s">
        <v>212</v>
      </c>
      <c r="C4752" s="14" t="s">
        <v>378</v>
      </c>
      <c r="D4752" s="14" t="s">
        <v>379</v>
      </c>
      <c r="E4752" s="14" t="s">
        <v>342</v>
      </c>
      <c r="F4752" s="14" t="s">
        <v>343</v>
      </c>
      <c r="G4752" s="14" t="s">
        <v>343</v>
      </c>
      <c r="H4752" s="14" t="s">
        <v>343</v>
      </c>
      <c r="S4752" s="14">
        <v>0.7</v>
      </c>
      <c r="U4752" s="14">
        <v>0.7</v>
      </c>
      <c r="V4752" s="14">
        <v>0.72</v>
      </c>
      <c r="W4752" s="14">
        <v>0.71</v>
      </c>
      <c r="X4752" s="14">
        <v>0.67</v>
      </c>
    </row>
    <row r="4753" spans="1:24" hidden="1" x14ac:dyDescent="0.3">
      <c r="A4753" s="14" t="s">
        <v>514</v>
      </c>
      <c r="B4753" s="14" t="s">
        <v>212</v>
      </c>
      <c r="C4753" s="14" t="s">
        <v>378</v>
      </c>
      <c r="D4753" s="14" t="s">
        <v>379</v>
      </c>
      <c r="E4753" s="14" t="s">
        <v>344</v>
      </c>
      <c r="F4753" s="14" t="s">
        <v>343</v>
      </c>
      <c r="G4753" s="14" t="s">
        <v>343</v>
      </c>
      <c r="H4753" s="14" t="s">
        <v>343</v>
      </c>
      <c r="S4753" s="14">
        <v>42</v>
      </c>
      <c r="U4753" s="14">
        <v>42</v>
      </c>
      <c r="V4753" s="14">
        <v>29</v>
      </c>
      <c r="W4753" s="14">
        <v>47</v>
      </c>
      <c r="X4753" s="14">
        <v>65</v>
      </c>
    </row>
    <row r="4754" spans="1:24" hidden="1" x14ac:dyDescent="0.3">
      <c r="A4754" s="14" t="s">
        <v>514</v>
      </c>
      <c r="B4754" s="14" t="s">
        <v>212</v>
      </c>
      <c r="C4754" s="14" t="s">
        <v>353</v>
      </c>
      <c r="D4754" s="14" t="s">
        <v>354</v>
      </c>
      <c r="E4754" s="14" t="s">
        <v>342</v>
      </c>
      <c r="F4754" s="14" t="s">
        <v>343</v>
      </c>
      <c r="G4754" s="14" t="s">
        <v>343</v>
      </c>
      <c r="H4754" s="14" t="s">
        <v>343</v>
      </c>
      <c r="U4754" s="14">
        <v>0.61</v>
      </c>
      <c r="V4754" s="14">
        <v>0.61</v>
      </c>
      <c r="W4754" s="14">
        <v>0.61</v>
      </c>
      <c r="X4754" s="14">
        <v>0.61</v>
      </c>
    </row>
    <row r="4755" spans="1:24" hidden="1" x14ac:dyDescent="0.3">
      <c r="A4755" s="14" t="s">
        <v>514</v>
      </c>
      <c r="B4755" s="14" t="s">
        <v>212</v>
      </c>
      <c r="C4755" s="14" t="s">
        <v>353</v>
      </c>
      <c r="D4755" s="14" t="s">
        <v>354</v>
      </c>
      <c r="E4755" s="14" t="s">
        <v>344</v>
      </c>
      <c r="F4755" s="14" t="s">
        <v>343</v>
      </c>
      <c r="G4755" s="14" t="s">
        <v>343</v>
      </c>
      <c r="H4755" s="14" t="s">
        <v>343</v>
      </c>
      <c r="U4755" s="14">
        <v>134</v>
      </c>
      <c r="V4755" s="14">
        <v>145</v>
      </c>
      <c r="W4755" s="14">
        <v>146</v>
      </c>
      <c r="X4755" s="14">
        <v>136</v>
      </c>
    </row>
    <row r="4756" spans="1:24" hidden="1" x14ac:dyDescent="0.3">
      <c r="A4756" s="14" t="s">
        <v>514</v>
      </c>
      <c r="B4756" s="14" t="s">
        <v>212</v>
      </c>
      <c r="C4756" s="14" t="s">
        <v>380</v>
      </c>
      <c r="D4756" s="14" t="s">
        <v>381</v>
      </c>
      <c r="E4756" s="14" t="s">
        <v>342</v>
      </c>
      <c r="F4756" s="14" t="s">
        <v>343</v>
      </c>
      <c r="G4756" s="14" t="s">
        <v>343</v>
      </c>
      <c r="H4756" s="14" t="s">
        <v>343</v>
      </c>
      <c r="U4756" s="14">
        <v>1</v>
      </c>
      <c r="V4756" s="14">
        <v>1</v>
      </c>
      <c r="W4756" s="14">
        <v>1</v>
      </c>
      <c r="X4756" s="14">
        <v>1</v>
      </c>
    </row>
    <row r="4757" spans="1:24" hidden="1" x14ac:dyDescent="0.3">
      <c r="A4757" s="14" t="s">
        <v>514</v>
      </c>
      <c r="B4757" s="14" t="s">
        <v>212</v>
      </c>
      <c r="C4757" s="14" t="s">
        <v>380</v>
      </c>
      <c r="D4757" s="14" t="s">
        <v>381</v>
      </c>
      <c r="E4757" s="14" t="s">
        <v>344</v>
      </c>
      <c r="F4757" s="14" t="s">
        <v>343</v>
      </c>
      <c r="G4757" s="14" t="s">
        <v>343</v>
      </c>
      <c r="H4757" s="14" t="s">
        <v>343</v>
      </c>
      <c r="U4757" s="14">
        <v>1</v>
      </c>
      <c r="V4757" s="14">
        <v>1</v>
      </c>
      <c r="W4757" s="14">
        <v>1</v>
      </c>
      <c r="X4757" s="14">
        <v>1</v>
      </c>
    </row>
    <row r="4758" spans="1:24" hidden="1" x14ac:dyDescent="0.3">
      <c r="A4758" s="14" t="s">
        <v>514</v>
      </c>
      <c r="B4758" s="14" t="s">
        <v>212</v>
      </c>
      <c r="C4758" s="14" t="s">
        <v>355</v>
      </c>
      <c r="D4758" s="14" t="s">
        <v>356</v>
      </c>
      <c r="E4758" s="14" t="s">
        <v>342</v>
      </c>
      <c r="F4758" s="14" t="s">
        <v>343</v>
      </c>
      <c r="G4758" s="14" t="s">
        <v>343</v>
      </c>
      <c r="H4758" s="14" t="s">
        <v>343</v>
      </c>
      <c r="U4758" s="14">
        <v>1</v>
      </c>
      <c r="V4758" s="14">
        <v>1</v>
      </c>
      <c r="W4758" s="14">
        <v>1</v>
      </c>
      <c r="X4758" s="14">
        <v>1</v>
      </c>
    </row>
    <row r="4759" spans="1:24" hidden="1" x14ac:dyDescent="0.3">
      <c r="A4759" s="14" t="s">
        <v>514</v>
      </c>
      <c r="B4759" s="14" t="s">
        <v>212</v>
      </c>
      <c r="C4759" s="14" t="s">
        <v>355</v>
      </c>
      <c r="D4759" s="14" t="s">
        <v>356</v>
      </c>
      <c r="E4759" s="14" t="s">
        <v>344</v>
      </c>
      <c r="F4759" s="14" t="s">
        <v>343</v>
      </c>
      <c r="G4759" s="14" t="s">
        <v>343</v>
      </c>
      <c r="H4759" s="14" t="s">
        <v>343</v>
      </c>
      <c r="U4759" s="14">
        <v>1</v>
      </c>
      <c r="V4759" s="14">
        <v>1</v>
      </c>
      <c r="W4759" s="14">
        <v>1</v>
      </c>
      <c r="X4759" s="14">
        <v>1</v>
      </c>
    </row>
    <row r="4760" spans="1:24" hidden="1" x14ac:dyDescent="0.3">
      <c r="A4760" s="14" t="s">
        <v>514</v>
      </c>
      <c r="B4760" s="14" t="s">
        <v>212</v>
      </c>
      <c r="C4760" s="14" t="s">
        <v>357</v>
      </c>
      <c r="D4760" s="14" t="s">
        <v>358</v>
      </c>
      <c r="E4760" s="14" t="s">
        <v>342</v>
      </c>
      <c r="F4760" s="14" t="s">
        <v>343</v>
      </c>
      <c r="G4760" s="14" t="s">
        <v>343</v>
      </c>
      <c r="H4760" s="14" t="s">
        <v>343</v>
      </c>
      <c r="U4760" s="14">
        <v>0.61</v>
      </c>
      <c r="V4760" s="14">
        <v>0.68</v>
      </c>
      <c r="W4760" s="14">
        <v>0.68</v>
      </c>
      <c r="X4760" s="14">
        <v>0.78</v>
      </c>
    </row>
    <row r="4761" spans="1:24" hidden="1" x14ac:dyDescent="0.3">
      <c r="A4761" s="14" t="s">
        <v>514</v>
      </c>
      <c r="B4761" s="14" t="s">
        <v>212</v>
      </c>
      <c r="C4761" s="14" t="s">
        <v>357</v>
      </c>
      <c r="D4761" s="14" t="s">
        <v>358</v>
      </c>
      <c r="E4761" s="14" t="s">
        <v>344</v>
      </c>
      <c r="F4761" s="14" t="s">
        <v>343</v>
      </c>
      <c r="G4761" s="14" t="s">
        <v>343</v>
      </c>
      <c r="H4761" s="14" t="s">
        <v>343</v>
      </c>
      <c r="U4761" s="14">
        <v>127</v>
      </c>
      <c r="V4761" s="14">
        <v>131</v>
      </c>
      <c r="W4761" s="14">
        <v>132</v>
      </c>
      <c r="X4761" s="14">
        <v>117</v>
      </c>
    </row>
    <row r="4762" spans="1:24" hidden="1" x14ac:dyDescent="0.3">
      <c r="A4762" s="14" t="s">
        <v>514</v>
      </c>
      <c r="B4762" s="14" t="s">
        <v>212</v>
      </c>
      <c r="C4762" s="14" t="s">
        <v>359</v>
      </c>
      <c r="D4762" s="14" t="s">
        <v>360</v>
      </c>
      <c r="E4762" s="14" t="s">
        <v>342</v>
      </c>
      <c r="F4762" s="14" t="s">
        <v>343</v>
      </c>
      <c r="G4762" s="14" t="s">
        <v>343</v>
      </c>
      <c r="H4762" s="14" t="s">
        <v>343</v>
      </c>
      <c r="L4762" s="14">
        <v>0.64</v>
      </c>
      <c r="M4762" s="14">
        <v>0.64</v>
      </c>
      <c r="N4762" s="14">
        <v>0.69</v>
      </c>
      <c r="O4762" s="14">
        <v>0.67</v>
      </c>
      <c r="P4762" s="14">
        <v>0.64</v>
      </c>
      <c r="Q4762" s="14">
        <v>0.66</v>
      </c>
      <c r="R4762" s="14">
        <v>0.68</v>
      </c>
      <c r="S4762" s="14">
        <v>0.63</v>
      </c>
      <c r="T4762" s="14">
        <v>0.62</v>
      </c>
      <c r="U4762" s="14">
        <v>0.56000000000000005</v>
      </c>
      <c r="V4762" s="14">
        <v>0.55000000000000004</v>
      </c>
      <c r="W4762" s="14">
        <v>0.55000000000000004</v>
      </c>
      <c r="X4762" s="14">
        <v>0.48</v>
      </c>
    </row>
    <row r="4763" spans="1:24" hidden="1" x14ac:dyDescent="0.3">
      <c r="A4763" s="14" t="s">
        <v>514</v>
      </c>
      <c r="B4763" s="14" t="s">
        <v>212</v>
      </c>
      <c r="C4763" s="14" t="s">
        <v>359</v>
      </c>
      <c r="D4763" s="14" t="s">
        <v>360</v>
      </c>
      <c r="E4763" s="14" t="s">
        <v>344</v>
      </c>
      <c r="F4763" s="14" t="s">
        <v>343</v>
      </c>
      <c r="G4763" s="14" t="s">
        <v>343</v>
      </c>
      <c r="H4763" s="14" t="s">
        <v>343</v>
      </c>
      <c r="L4763" s="14">
        <v>74</v>
      </c>
      <c r="M4763" s="14">
        <v>65</v>
      </c>
      <c r="N4763" s="14">
        <v>47</v>
      </c>
      <c r="O4763" s="14">
        <v>59</v>
      </c>
      <c r="P4763" s="14">
        <v>81</v>
      </c>
      <c r="Q4763" s="14">
        <v>71</v>
      </c>
      <c r="R4763" s="14">
        <v>65</v>
      </c>
      <c r="S4763" s="14">
        <v>94</v>
      </c>
      <c r="T4763" s="14">
        <v>102</v>
      </c>
      <c r="U4763" s="14">
        <v>123</v>
      </c>
      <c r="V4763" s="14">
        <v>128</v>
      </c>
      <c r="W4763" s="14">
        <v>131</v>
      </c>
      <c r="X4763" s="14">
        <v>136</v>
      </c>
    </row>
    <row r="4764" spans="1:24" x14ac:dyDescent="0.3">
      <c r="A4764" s="14" t="s">
        <v>514</v>
      </c>
      <c r="B4764" s="14" t="s">
        <v>212</v>
      </c>
      <c r="C4764" s="14" t="s">
        <v>361</v>
      </c>
      <c r="D4764" s="14" t="s">
        <v>362</v>
      </c>
      <c r="E4764" s="14" t="s">
        <v>342</v>
      </c>
      <c r="F4764" s="14" t="s">
        <v>343</v>
      </c>
      <c r="G4764" s="14" t="s">
        <v>343</v>
      </c>
      <c r="H4764" s="14" t="s">
        <v>343</v>
      </c>
      <c r="L4764" s="14">
        <v>0.97</v>
      </c>
      <c r="M4764" s="14">
        <v>0.97</v>
      </c>
      <c r="N4764" s="14">
        <v>0.97</v>
      </c>
      <c r="O4764" s="14">
        <v>0.97</v>
      </c>
      <c r="P4764" s="14">
        <v>0.97</v>
      </c>
      <c r="Q4764" s="14">
        <v>0.97</v>
      </c>
      <c r="R4764" s="14">
        <v>0.97</v>
      </c>
      <c r="S4764" s="14">
        <v>0.97</v>
      </c>
      <c r="T4764" s="14">
        <v>0.97</v>
      </c>
      <c r="U4764" s="14">
        <v>0.98</v>
      </c>
      <c r="V4764" s="14">
        <v>0.98</v>
      </c>
      <c r="W4764" s="14">
        <v>0.97</v>
      </c>
      <c r="X4764" s="14">
        <v>0.97</v>
      </c>
    </row>
    <row r="4765" spans="1:24" hidden="1" x14ac:dyDescent="0.3">
      <c r="A4765" s="14" t="s">
        <v>514</v>
      </c>
      <c r="B4765" s="14" t="s">
        <v>212</v>
      </c>
      <c r="C4765" s="14" t="s">
        <v>361</v>
      </c>
      <c r="D4765" s="14" t="s">
        <v>362</v>
      </c>
      <c r="E4765" s="14" t="s">
        <v>344</v>
      </c>
      <c r="F4765" s="14" t="s">
        <v>343</v>
      </c>
      <c r="G4765" s="14" t="s">
        <v>343</v>
      </c>
      <c r="H4765" s="14" t="s">
        <v>343</v>
      </c>
      <c r="L4765" s="14">
        <v>76</v>
      </c>
      <c r="M4765" s="14">
        <v>77</v>
      </c>
      <c r="N4765" s="14">
        <v>80</v>
      </c>
      <c r="O4765" s="14">
        <v>75</v>
      </c>
      <c r="P4765" s="14">
        <v>71</v>
      </c>
      <c r="Q4765" s="14">
        <v>82</v>
      </c>
      <c r="R4765" s="14">
        <v>124</v>
      </c>
      <c r="S4765" s="14">
        <v>123</v>
      </c>
      <c r="T4765" s="14">
        <v>87</v>
      </c>
      <c r="U4765" s="14">
        <v>69</v>
      </c>
      <c r="V4765" s="14">
        <v>66</v>
      </c>
      <c r="W4765" s="14">
        <v>103</v>
      </c>
      <c r="X4765" s="14">
        <v>96</v>
      </c>
    </row>
    <row r="4766" spans="1:24" hidden="1" x14ac:dyDescent="0.3">
      <c r="A4766" s="14" t="s">
        <v>514</v>
      </c>
      <c r="B4766" s="14" t="s">
        <v>212</v>
      </c>
      <c r="C4766" s="14" t="s">
        <v>363</v>
      </c>
      <c r="D4766" s="14" t="s">
        <v>364</v>
      </c>
      <c r="E4766" s="14" t="s">
        <v>342</v>
      </c>
      <c r="F4766" s="14" t="s">
        <v>343</v>
      </c>
      <c r="G4766" s="14" t="s">
        <v>343</v>
      </c>
      <c r="H4766" s="14" t="s">
        <v>343</v>
      </c>
      <c r="U4766" s="14">
        <v>1.05</v>
      </c>
      <c r="V4766" s="14">
        <v>1.05</v>
      </c>
      <c r="W4766" s="14">
        <v>1.02</v>
      </c>
      <c r="X4766" s="14">
        <v>1.02</v>
      </c>
    </row>
    <row r="4767" spans="1:24" hidden="1" x14ac:dyDescent="0.3">
      <c r="A4767" s="14" t="s">
        <v>514</v>
      </c>
      <c r="B4767" s="14" t="s">
        <v>212</v>
      </c>
      <c r="C4767" s="14" t="s">
        <v>363</v>
      </c>
      <c r="D4767" s="14" t="s">
        <v>364</v>
      </c>
      <c r="E4767" s="14" t="s">
        <v>344</v>
      </c>
      <c r="F4767" s="14" t="s">
        <v>343</v>
      </c>
      <c r="G4767" s="14" t="s">
        <v>343</v>
      </c>
      <c r="H4767" s="14" t="s">
        <v>343</v>
      </c>
      <c r="U4767" s="14">
        <v>77</v>
      </c>
      <c r="V4767" s="14">
        <v>80</v>
      </c>
      <c r="W4767" s="14">
        <v>114</v>
      </c>
      <c r="X4767" s="14">
        <v>106</v>
      </c>
    </row>
    <row r="4768" spans="1:24" hidden="1" x14ac:dyDescent="0.3">
      <c r="A4768" s="14" t="s">
        <v>514</v>
      </c>
      <c r="B4768" s="14" t="s">
        <v>212</v>
      </c>
      <c r="C4768" s="14" t="s">
        <v>365</v>
      </c>
      <c r="D4768" s="14" t="s">
        <v>366</v>
      </c>
      <c r="E4768" s="14" t="s">
        <v>342</v>
      </c>
      <c r="F4768" s="14" t="s">
        <v>343</v>
      </c>
      <c r="G4768" s="14" t="s">
        <v>343</v>
      </c>
      <c r="H4768" s="14" t="s">
        <v>343</v>
      </c>
      <c r="U4768" s="14">
        <v>0.94</v>
      </c>
      <c r="V4768" s="14">
        <v>0.94</v>
      </c>
      <c r="W4768" s="14">
        <v>0.94</v>
      </c>
      <c r="X4768" s="14">
        <v>0.94</v>
      </c>
    </row>
    <row r="4769" spans="1:24" hidden="1" x14ac:dyDescent="0.3">
      <c r="A4769" s="14" t="s">
        <v>514</v>
      </c>
      <c r="B4769" s="14" t="s">
        <v>212</v>
      </c>
      <c r="C4769" s="14" t="s">
        <v>365</v>
      </c>
      <c r="D4769" s="14" t="s">
        <v>366</v>
      </c>
      <c r="E4769" s="14" t="s">
        <v>344</v>
      </c>
      <c r="F4769" s="14" t="s">
        <v>343</v>
      </c>
      <c r="G4769" s="14" t="s">
        <v>343</v>
      </c>
      <c r="H4769" s="14" t="s">
        <v>343</v>
      </c>
      <c r="U4769" s="14">
        <v>1</v>
      </c>
      <c r="V4769" s="14">
        <v>1</v>
      </c>
      <c r="W4769" s="14">
        <v>1</v>
      </c>
      <c r="X4769" s="14">
        <v>1</v>
      </c>
    </row>
    <row r="4770" spans="1:24" hidden="1" x14ac:dyDescent="0.3">
      <c r="A4770" s="14" t="s">
        <v>514</v>
      </c>
      <c r="B4770" s="14" t="s">
        <v>212</v>
      </c>
      <c r="C4770" s="14" t="s">
        <v>367</v>
      </c>
      <c r="D4770" s="14" t="s">
        <v>368</v>
      </c>
      <c r="E4770" s="14" t="s">
        <v>342</v>
      </c>
      <c r="F4770" s="14" t="s">
        <v>343</v>
      </c>
      <c r="G4770" s="14" t="s">
        <v>343</v>
      </c>
      <c r="H4770" s="14" t="s">
        <v>343</v>
      </c>
      <c r="L4770" s="14">
        <v>0.64</v>
      </c>
      <c r="M4770" s="14">
        <v>0.64</v>
      </c>
      <c r="N4770" s="14">
        <v>0.66</v>
      </c>
      <c r="O4770" s="14">
        <v>0.67</v>
      </c>
      <c r="P4770" s="14">
        <v>0.69</v>
      </c>
      <c r="Q4770" s="14">
        <v>0.69</v>
      </c>
      <c r="R4770" s="14">
        <v>0.7</v>
      </c>
      <c r="S4770" s="14">
        <v>0.68</v>
      </c>
      <c r="T4770" s="14">
        <v>0.68</v>
      </c>
      <c r="U4770" s="14">
        <v>0.68</v>
      </c>
      <c r="V4770" s="14">
        <v>0.68</v>
      </c>
      <c r="W4770" s="14">
        <v>0.68</v>
      </c>
      <c r="X4770" s="14">
        <v>0.67</v>
      </c>
    </row>
    <row r="4771" spans="1:24" hidden="1" x14ac:dyDescent="0.3">
      <c r="A4771" s="14" t="s">
        <v>514</v>
      </c>
      <c r="B4771" s="14" t="s">
        <v>212</v>
      </c>
      <c r="C4771" s="14" t="s">
        <v>367</v>
      </c>
      <c r="D4771" s="14" t="s">
        <v>368</v>
      </c>
      <c r="E4771" s="14" t="s">
        <v>344</v>
      </c>
      <c r="F4771" s="14" t="s">
        <v>343</v>
      </c>
      <c r="G4771" s="14" t="s">
        <v>343</v>
      </c>
      <c r="H4771" s="14" t="s">
        <v>343</v>
      </c>
      <c r="L4771" s="14">
        <v>102</v>
      </c>
      <c r="M4771" s="14">
        <v>101</v>
      </c>
      <c r="N4771" s="14">
        <v>92</v>
      </c>
      <c r="O4771" s="14">
        <v>90</v>
      </c>
      <c r="P4771" s="14">
        <v>67</v>
      </c>
      <c r="Q4771" s="14">
        <v>77</v>
      </c>
      <c r="R4771" s="14">
        <v>72</v>
      </c>
      <c r="S4771" s="14">
        <v>82</v>
      </c>
      <c r="T4771" s="14">
        <v>91</v>
      </c>
      <c r="U4771" s="14">
        <v>94</v>
      </c>
      <c r="V4771" s="14">
        <v>99</v>
      </c>
      <c r="W4771" s="14">
        <v>104</v>
      </c>
      <c r="X4771" s="14">
        <v>112</v>
      </c>
    </row>
    <row r="4772" spans="1:24" hidden="1" x14ac:dyDescent="0.3">
      <c r="A4772" s="14" t="s">
        <v>514</v>
      </c>
      <c r="B4772" s="14" t="s">
        <v>212</v>
      </c>
      <c r="C4772" s="14" t="s">
        <v>369</v>
      </c>
      <c r="D4772" s="14" t="s">
        <v>370</v>
      </c>
      <c r="E4772" s="14" t="s">
        <v>342</v>
      </c>
      <c r="F4772" s="14" t="s">
        <v>343</v>
      </c>
      <c r="G4772" s="14" t="s">
        <v>343</v>
      </c>
      <c r="H4772" s="14" t="s">
        <v>343</v>
      </c>
      <c r="L4772" s="14">
        <v>0.14000000000000001</v>
      </c>
      <c r="M4772" s="14">
        <v>0.13</v>
      </c>
      <c r="N4772" s="14">
        <v>0.14000000000000001</v>
      </c>
      <c r="O4772" s="14">
        <v>0.19</v>
      </c>
      <c r="P4772" s="14">
        <v>0.33</v>
      </c>
      <c r="Q4772" s="14">
        <v>0.31</v>
      </c>
      <c r="R4772" s="14">
        <v>0.32</v>
      </c>
      <c r="S4772" s="14">
        <v>0.32</v>
      </c>
      <c r="T4772" s="14">
        <v>0.31</v>
      </c>
      <c r="U4772" s="14">
        <v>0.31</v>
      </c>
      <c r="V4772" s="14">
        <v>0.32</v>
      </c>
      <c r="W4772" s="14">
        <v>0.33</v>
      </c>
      <c r="X4772" s="14">
        <v>0.32</v>
      </c>
    </row>
    <row r="4773" spans="1:24" hidden="1" x14ac:dyDescent="0.3">
      <c r="A4773" s="14" t="s">
        <v>514</v>
      </c>
      <c r="B4773" s="14" t="s">
        <v>212</v>
      </c>
      <c r="C4773" s="14" t="s">
        <v>369</v>
      </c>
      <c r="D4773" s="14" t="s">
        <v>370</v>
      </c>
      <c r="E4773" s="14" t="s">
        <v>344</v>
      </c>
      <c r="F4773" s="14" t="s">
        <v>343</v>
      </c>
      <c r="G4773" s="14" t="s">
        <v>343</v>
      </c>
      <c r="H4773" s="14" t="s">
        <v>343</v>
      </c>
      <c r="L4773" s="14">
        <v>59</v>
      </c>
      <c r="M4773" s="14">
        <v>68</v>
      </c>
      <c r="N4773" s="14">
        <v>58</v>
      </c>
      <c r="O4773" s="14">
        <v>41</v>
      </c>
      <c r="P4773" s="14">
        <v>20</v>
      </c>
      <c r="Q4773" s="14">
        <v>24</v>
      </c>
      <c r="R4773" s="14">
        <v>27</v>
      </c>
      <c r="S4773" s="14">
        <v>27</v>
      </c>
      <c r="T4773" s="14">
        <v>29</v>
      </c>
      <c r="U4773" s="14">
        <v>30</v>
      </c>
      <c r="V4773" s="14">
        <v>32</v>
      </c>
      <c r="W4773" s="14">
        <v>38</v>
      </c>
      <c r="X4773" s="14">
        <v>39</v>
      </c>
    </row>
    <row r="4774" spans="1:24" hidden="1" x14ac:dyDescent="0.3">
      <c r="A4774" s="14" t="s">
        <v>514</v>
      </c>
      <c r="B4774" s="14" t="s">
        <v>212</v>
      </c>
      <c r="C4774" s="14" t="s">
        <v>371</v>
      </c>
      <c r="D4774" s="14" t="s">
        <v>372</v>
      </c>
      <c r="E4774" s="14" t="s">
        <v>342</v>
      </c>
      <c r="F4774" s="14" t="s">
        <v>343</v>
      </c>
      <c r="G4774" s="14" t="s">
        <v>343</v>
      </c>
      <c r="H4774" s="14" t="s">
        <v>343</v>
      </c>
      <c r="U4774" s="14">
        <v>0.05</v>
      </c>
      <c r="V4774" s="14">
        <v>0.05</v>
      </c>
      <c r="W4774" s="14">
        <v>0.05</v>
      </c>
      <c r="X4774" s="14">
        <v>0.05</v>
      </c>
    </row>
    <row r="4775" spans="1:24" hidden="1" x14ac:dyDescent="0.3">
      <c r="A4775" s="14" t="s">
        <v>514</v>
      </c>
      <c r="B4775" s="14" t="s">
        <v>212</v>
      </c>
      <c r="C4775" s="14" t="s">
        <v>371</v>
      </c>
      <c r="D4775" s="14" t="s">
        <v>372</v>
      </c>
      <c r="E4775" s="14" t="s">
        <v>344</v>
      </c>
      <c r="F4775" s="14" t="s">
        <v>343</v>
      </c>
      <c r="G4775" s="14" t="s">
        <v>343</v>
      </c>
      <c r="H4775" s="14" t="s">
        <v>343</v>
      </c>
      <c r="U4775" s="14">
        <v>42</v>
      </c>
      <c r="V4775" s="14">
        <v>46</v>
      </c>
      <c r="W4775" s="14">
        <v>47</v>
      </c>
      <c r="X4775" s="14">
        <v>49</v>
      </c>
    </row>
    <row r="4776" spans="1:24" hidden="1" x14ac:dyDescent="0.3">
      <c r="A4776" s="14" t="s">
        <v>514</v>
      </c>
      <c r="B4776" s="14" t="s">
        <v>212</v>
      </c>
      <c r="C4776" s="14" t="s">
        <v>373</v>
      </c>
      <c r="D4776" s="14" t="s">
        <v>374</v>
      </c>
      <c r="E4776" s="14" t="s">
        <v>342</v>
      </c>
      <c r="F4776" s="14" t="s">
        <v>343</v>
      </c>
      <c r="G4776" s="14" t="s">
        <v>343</v>
      </c>
      <c r="H4776" s="14" t="s">
        <v>343</v>
      </c>
      <c r="U4776" s="14">
        <v>0.25</v>
      </c>
      <c r="V4776" s="14">
        <v>0.3</v>
      </c>
      <c r="W4776" s="14">
        <v>0.28000000000000003</v>
      </c>
      <c r="X4776" s="14">
        <v>0.28000000000000003</v>
      </c>
    </row>
    <row r="4777" spans="1:24" hidden="1" x14ac:dyDescent="0.3">
      <c r="A4777" s="14" t="s">
        <v>514</v>
      </c>
      <c r="B4777" s="14" t="s">
        <v>212</v>
      </c>
      <c r="C4777" s="14" t="s">
        <v>373</v>
      </c>
      <c r="D4777" s="14" t="s">
        <v>374</v>
      </c>
      <c r="E4777" s="14" t="s">
        <v>344</v>
      </c>
      <c r="F4777" s="14" t="s">
        <v>343</v>
      </c>
      <c r="G4777" s="14" t="s">
        <v>343</v>
      </c>
      <c r="H4777" s="14" t="s">
        <v>343</v>
      </c>
      <c r="U4777" s="14">
        <v>68</v>
      </c>
      <c r="V4777" s="14">
        <v>71</v>
      </c>
      <c r="W4777" s="14">
        <v>77</v>
      </c>
      <c r="X4777" s="14">
        <v>73</v>
      </c>
    </row>
    <row r="4778" spans="1:24" hidden="1" x14ac:dyDescent="0.3">
      <c r="A4778" s="14" t="s">
        <v>514</v>
      </c>
      <c r="B4778" s="14" t="s">
        <v>212</v>
      </c>
      <c r="C4778" s="14" t="s">
        <v>375</v>
      </c>
      <c r="D4778" s="14" t="s">
        <v>376</v>
      </c>
      <c r="E4778" s="14" t="s">
        <v>342</v>
      </c>
      <c r="F4778" s="14" t="s">
        <v>343</v>
      </c>
      <c r="G4778" s="14" t="s">
        <v>343</v>
      </c>
      <c r="H4778" s="14" t="s">
        <v>343</v>
      </c>
      <c r="U4778" s="14">
        <v>0.72</v>
      </c>
      <c r="V4778" s="14">
        <v>0.72</v>
      </c>
      <c r="W4778" s="14">
        <v>0.75</v>
      </c>
      <c r="X4778" s="14">
        <v>0.74</v>
      </c>
    </row>
    <row r="4779" spans="1:24" hidden="1" x14ac:dyDescent="0.3">
      <c r="A4779" s="14" t="s">
        <v>514</v>
      </c>
      <c r="B4779" s="14" t="s">
        <v>212</v>
      </c>
      <c r="C4779" s="14" t="s">
        <v>375</v>
      </c>
      <c r="D4779" s="14" t="s">
        <v>376</v>
      </c>
      <c r="E4779" s="14" t="s">
        <v>344</v>
      </c>
      <c r="F4779" s="14" t="s">
        <v>343</v>
      </c>
      <c r="G4779" s="14" t="s">
        <v>343</v>
      </c>
      <c r="H4779" s="14" t="s">
        <v>343</v>
      </c>
      <c r="V4779" s="14">
        <v>13</v>
      </c>
      <c r="W4779" s="14">
        <v>15</v>
      </c>
      <c r="X4779" s="14">
        <v>16</v>
      </c>
    </row>
    <row r="4780" spans="1:24" hidden="1" x14ac:dyDescent="0.3">
      <c r="A4780" s="14" t="s">
        <v>515</v>
      </c>
      <c r="B4780" s="14" t="s">
        <v>216</v>
      </c>
      <c r="C4780" s="14" t="s">
        <v>340</v>
      </c>
      <c r="D4780" s="14" t="s">
        <v>341</v>
      </c>
      <c r="E4780" s="14" t="s">
        <v>342</v>
      </c>
      <c r="F4780" s="14" t="s">
        <v>343</v>
      </c>
      <c r="G4780" s="14" t="s">
        <v>343</v>
      </c>
      <c r="H4780" s="14" t="s">
        <v>343</v>
      </c>
      <c r="I4780" s="14">
        <v>0.93</v>
      </c>
      <c r="J4780" s="14">
        <v>0.93</v>
      </c>
      <c r="K4780" s="14">
        <v>0.94</v>
      </c>
      <c r="L4780" s="14">
        <v>0.94</v>
      </c>
      <c r="M4780" s="14">
        <v>0.94</v>
      </c>
      <c r="N4780" s="14">
        <v>0.94</v>
      </c>
      <c r="O4780" s="14">
        <v>0.94</v>
      </c>
      <c r="P4780" s="14">
        <v>0.94</v>
      </c>
      <c r="Q4780" s="14">
        <v>0.94</v>
      </c>
      <c r="R4780" s="14">
        <v>0.94</v>
      </c>
      <c r="S4780" s="14">
        <v>0.98</v>
      </c>
      <c r="T4780" s="14">
        <v>0.98</v>
      </c>
      <c r="U4780" s="14">
        <v>0.99</v>
      </c>
      <c r="V4780" s="14">
        <v>0.99</v>
      </c>
      <c r="W4780" s="14">
        <v>0.99</v>
      </c>
      <c r="X4780" s="14">
        <v>0.99</v>
      </c>
    </row>
    <row r="4781" spans="1:24" hidden="1" x14ac:dyDescent="0.3">
      <c r="A4781" s="14" t="s">
        <v>515</v>
      </c>
      <c r="B4781" s="14" t="s">
        <v>216</v>
      </c>
      <c r="C4781" s="14" t="s">
        <v>340</v>
      </c>
      <c r="D4781" s="14" t="s">
        <v>341</v>
      </c>
      <c r="E4781" s="14" t="s">
        <v>344</v>
      </c>
      <c r="F4781" s="14" t="s">
        <v>343</v>
      </c>
      <c r="G4781" s="14" t="s">
        <v>343</v>
      </c>
      <c r="H4781" s="14" t="s">
        <v>343</v>
      </c>
      <c r="I4781" s="14">
        <v>85</v>
      </c>
      <c r="J4781" s="14">
        <v>98</v>
      </c>
      <c r="K4781" s="14">
        <v>98</v>
      </c>
      <c r="L4781" s="14">
        <v>102</v>
      </c>
      <c r="M4781" s="14">
        <v>103</v>
      </c>
      <c r="N4781" s="14">
        <v>100</v>
      </c>
      <c r="O4781" s="14">
        <v>104</v>
      </c>
      <c r="P4781" s="14">
        <v>105</v>
      </c>
      <c r="Q4781" s="14">
        <v>110</v>
      </c>
      <c r="R4781" s="14">
        <v>111</v>
      </c>
      <c r="S4781" s="14">
        <v>95</v>
      </c>
      <c r="T4781" s="14">
        <v>94</v>
      </c>
      <c r="U4781" s="14">
        <v>88</v>
      </c>
      <c r="V4781" s="14">
        <v>84</v>
      </c>
      <c r="W4781" s="14">
        <v>87</v>
      </c>
      <c r="X4781" s="14">
        <v>65</v>
      </c>
    </row>
    <row r="4782" spans="1:24" hidden="1" x14ac:dyDescent="0.3">
      <c r="A4782" s="14" t="s">
        <v>515</v>
      </c>
      <c r="B4782" s="14" t="s">
        <v>216</v>
      </c>
      <c r="C4782" s="14" t="s">
        <v>345</v>
      </c>
      <c r="D4782" s="14" t="s">
        <v>346</v>
      </c>
      <c r="E4782" s="14" t="s">
        <v>342</v>
      </c>
      <c r="F4782" s="14" t="s">
        <v>343</v>
      </c>
      <c r="G4782" s="14" t="s">
        <v>343</v>
      </c>
      <c r="H4782" s="14" t="s">
        <v>343</v>
      </c>
      <c r="U4782" s="14">
        <v>0.7</v>
      </c>
      <c r="V4782" s="14">
        <v>0.82</v>
      </c>
      <c r="W4782" s="14">
        <v>0.71</v>
      </c>
      <c r="X4782" s="14">
        <v>0.71</v>
      </c>
    </row>
    <row r="4783" spans="1:24" hidden="1" x14ac:dyDescent="0.3">
      <c r="A4783" s="14" t="s">
        <v>515</v>
      </c>
      <c r="B4783" s="14" t="s">
        <v>216</v>
      </c>
      <c r="C4783" s="14" t="s">
        <v>345</v>
      </c>
      <c r="D4783" s="14" t="s">
        <v>346</v>
      </c>
      <c r="E4783" s="14" t="s">
        <v>344</v>
      </c>
      <c r="F4783" s="14" t="s">
        <v>343</v>
      </c>
      <c r="G4783" s="14" t="s">
        <v>343</v>
      </c>
      <c r="H4783" s="14" t="s">
        <v>343</v>
      </c>
      <c r="U4783" s="14">
        <v>33</v>
      </c>
      <c r="V4783" s="14">
        <v>9</v>
      </c>
      <c r="W4783" s="14">
        <v>41</v>
      </c>
      <c r="X4783" s="14">
        <v>42</v>
      </c>
    </row>
    <row r="4784" spans="1:24" hidden="1" x14ac:dyDescent="0.3">
      <c r="A4784" s="14" t="s">
        <v>515</v>
      </c>
      <c r="B4784" s="14" t="s">
        <v>216</v>
      </c>
      <c r="C4784" s="14" t="s">
        <v>347</v>
      </c>
      <c r="D4784" s="14" t="s">
        <v>348</v>
      </c>
      <c r="E4784" s="14" t="s">
        <v>342</v>
      </c>
      <c r="F4784" s="14" t="s">
        <v>343</v>
      </c>
      <c r="G4784" s="14" t="s">
        <v>343</v>
      </c>
      <c r="H4784" s="14" t="s">
        <v>343</v>
      </c>
      <c r="U4784" s="14">
        <v>0.82</v>
      </c>
      <c r="V4784" s="14">
        <v>0.83</v>
      </c>
      <c r="W4784" s="14">
        <v>0.83</v>
      </c>
      <c r="X4784" s="14">
        <v>0.77</v>
      </c>
    </row>
    <row r="4785" spans="1:24" hidden="1" x14ac:dyDescent="0.3">
      <c r="A4785" s="14" t="s">
        <v>515</v>
      </c>
      <c r="B4785" s="14" t="s">
        <v>216</v>
      </c>
      <c r="C4785" s="14" t="s">
        <v>347</v>
      </c>
      <c r="D4785" s="14" t="s">
        <v>348</v>
      </c>
      <c r="E4785" s="14" t="s">
        <v>344</v>
      </c>
      <c r="F4785" s="14" t="s">
        <v>343</v>
      </c>
      <c r="G4785" s="14" t="s">
        <v>343</v>
      </c>
      <c r="H4785" s="14" t="s">
        <v>343</v>
      </c>
      <c r="U4785" s="14">
        <v>69</v>
      </c>
      <c r="V4785" s="14">
        <v>71</v>
      </c>
      <c r="W4785" s="14">
        <v>73</v>
      </c>
      <c r="X4785" s="14">
        <v>72</v>
      </c>
    </row>
    <row r="4786" spans="1:24" hidden="1" x14ac:dyDescent="0.3">
      <c r="A4786" s="14" t="s">
        <v>515</v>
      </c>
      <c r="B4786" s="14" t="s">
        <v>216</v>
      </c>
      <c r="C4786" s="14" t="s">
        <v>349</v>
      </c>
      <c r="D4786" s="14" t="s">
        <v>350</v>
      </c>
      <c r="E4786" s="14" t="s">
        <v>342</v>
      </c>
      <c r="F4786" s="14" t="s">
        <v>343</v>
      </c>
      <c r="G4786" s="14" t="s">
        <v>343</v>
      </c>
      <c r="H4786" s="14" t="s">
        <v>343</v>
      </c>
      <c r="U4786" s="14">
        <v>0.53</v>
      </c>
      <c r="V4786" s="14">
        <v>0.52</v>
      </c>
      <c r="W4786" s="14">
        <v>0.56999999999999995</v>
      </c>
      <c r="X4786" s="14">
        <v>0.59</v>
      </c>
    </row>
    <row r="4787" spans="1:24" hidden="1" x14ac:dyDescent="0.3">
      <c r="A4787" s="14" t="s">
        <v>515</v>
      </c>
      <c r="B4787" s="14" t="s">
        <v>216</v>
      </c>
      <c r="C4787" s="14" t="s">
        <v>349</v>
      </c>
      <c r="D4787" s="14" t="s">
        <v>350</v>
      </c>
      <c r="E4787" s="14" t="s">
        <v>344</v>
      </c>
      <c r="F4787" s="14" t="s">
        <v>343</v>
      </c>
      <c r="G4787" s="14" t="s">
        <v>343</v>
      </c>
      <c r="H4787" s="14" t="s">
        <v>343</v>
      </c>
      <c r="U4787" s="14">
        <v>56</v>
      </c>
      <c r="V4787" s="14">
        <v>62</v>
      </c>
      <c r="W4787" s="14">
        <v>55</v>
      </c>
      <c r="X4787" s="14">
        <v>50</v>
      </c>
    </row>
    <row r="4788" spans="1:24" hidden="1" x14ac:dyDescent="0.3">
      <c r="A4788" s="14" t="s">
        <v>515</v>
      </c>
      <c r="B4788" s="14" t="s">
        <v>216</v>
      </c>
      <c r="C4788" s="14" t="s">
        <v>351</v>
      </c>
      <c r="D4788" s="14" t="s">
        <v>352</v>
      </c>
      <c r="E4788" s="14" t="s">
        <v>342</v>
      </c>
      <c r="F4788" s="14" t="s">
        <v>343</v>
      </c>
      <c r="G4788" s="14" t="s">
        <v>343</v>
      </c>
      <c r="H4788" s="14" t="s">
        <v>343</v>
      </c>
      <c r="U4788" s="14">
        <v>0.91</v>
      </c>
      <c r="V4788" s="14">
        <v>0.91</v>
      </c>
      <c r="W4788" s="14">
        <v>0.77</v>
      </c>
      <c r="X4788" s="14">
        <v>0.96</v>
      </c>
    </row>
    <row r="4789" spans="1:24" hidden="1" x14ac:dyDescent="0.3">
      <c r="A4789" s="14" t="s">
        <v>515</v>
      </c>
      <c r="B4789" s="14" t="s">
        <v>216</v>
      </c>
      <c r="C4789" s="14" t="s">
        <v>351</v>
      </c>
      <c r="D4789" s="14" t="s">
        <v>352</v>
      </c>
      <c r="E4789" s="14" t="s">
        <v>344</v>
      </c>
      <c r="F4789" s="14" t="s">
        <v>343</v>
      </c>
      <c r="G4789" s="14" t="s">
        <v>343</v>
      </c>
      <c r="H4789" s="14" t="s">
        <v>343</v>
      </c>
      <c r="U4789" s="14">
        <v>89</v>
      </c>
      <c r="V4789" s="14">
        <v>90</v>
      </c>
      <c r="W4789" s="14">
        <v>99</v>
      </c>
      <c r="X4789" s="14">
        <v>75</v>
      </c>
    </row>
    <row r="4790" spans="1:24" hidden="1" x14ac:dyDescent="0.3">
      <c r="A4790" s="14" t="s">
        <v>515</v>
      </c>
      <c r="B4790" s="14" t="s">
        <v>216</v>
      </c>
      <c r="C4790" s="14" t="s">
        <v>378</v>
      </c>
      <c r="D4790" s="14" t="s">
        <v>379</v>
      </c>
      <c r="E4790" s="14" t="s">
        <v>342</v>
      </c>
      <c r="F4790" s="14" t="s">
        <v>343</v>
      </c>
      <c r="G4790" s="14" t="s">
        <v>343</v>
      </c>
      <c r="H4790" s="14" t="s">
        <v>343</v>
      </c>
      <c r="S4790" s="14">
        <v>0.81</v>
      </c>
      <c r="U4790" s="14">
        <v>0.82</v>
      </c>
      <c r="V4790" s="14">
        <v>0.8</v>
      </c>
      <c r="W4790" s="14">
        <v>0.8</v>
      </c>
      <c r="X4790" s="14">
        <v>0.8</v>
      </c>
    </row>
    <row r="4791" spans="1:24" hidden="1" x14ac:dyDescent="0.3">
      <c r="A4791" s="14" t="s">
        <v>515</v>
      </c>
      <c r="B4791" s="14" t="s">
        <v>216</v>
      </c>
      <c r="C4791" s="14" t="s">
        <v>378</v>
      </c>
      <c r="D4791" s="14" t="s">
        <v>379</v>
      </c>
      <c r="E4791" s="14" t="s">
        <v>344</v>
      </c>
      <c r="F4791" s="14" t="s">
        <v>343</v>
      </c>
      <c r="G4791" s="14" t="s">
        <v>343</v>
      </c>
      <c r="H4791" s="14" t="s">
        <v>343</v>
      </c>
      <c r="S4791" s="14">
        <v>4</v>
      </c>
      <c r="U4791" s="14">
        <v>2</v>
      </c>
      <c r="V4791" s="14">
        <v>7</v>
      </c>
      <c r="W4791" s="14">
        <v>7</v>
      </c>
      <c r="X4791" s="14">
        <v>5</v>
      </c>
    </row>
    <row r="4792" spans="1:24" hidden="1" x14ac:dyDescent="0.3">
      <c r="A4792" s="14" t="s">
        <v>515</v>
      </c>
      <c r="B4792" s="14" t="s">
        <v>216</v>
      </c>
      <c r="C4792" s="14" t="s">
        <v>353</v>
      </c>
      <c r="D4792" s="14" t="s">
        <v>354</v>
      </c>
      <c r="E4792" s="14" t="s">
        <v>342</v>
      </c>
      <c r="F4792" s="14" t="s">
        <v>343</v>
      </c>
      <c r="G4792" s="14" t="s">
        <v>343</v>
      </c>
      <c r="H4792" s="14" t="s">
        <v>343</v>
      </c>
      <c r="U4792" s="14">
        <v>0.97</v>
      </c>
      <c r="V4792" s="14">
        <v>0.97</v>
      </c>
      <c r="W4792" s="14">
        <v>0.97</v>
      </c>
      <c r="X4792" s="14">
        <v>0.97</v>
      </c>
    </row>
    <row r="4793" spans="1:24" hidden="1" x14ac:dyDescent="0.3">
      <c r="A4793" s="14" t="s">
        <v>515</v>
      </c>
      <c r="B4793" s="14" t="s">
        <v>216</v>
      </c>
      <c r="C4793" s="14" t="s">
        <v>353</v>
      </c>
      <c r="D4793" s="14" t="s">
        <v>354</v>
      </c>
      <c r="E4793" s="14" t="s">
        <v>344</v>
      </c>
      <c r="F4793" s="14" t="s">
        <v>343</v>
      </c>
      <c r="G4793" s="14" t="s">
        <v>343</v>
      </c>
      <c r="H4793" s="14" t="s">
        <v>343</v>
      </c>
      <c r="U4793" s="14">
        <v>83</v>
      </c>
      <c r="V4793" s="14">
        <v>89</v>
      </c>
      <c r="W4793" s="14">
        <v>92</v>
      </c>
      <c r="X4793" s="14">
        <v>86</v>
      </c>
    </row>
    <row r="4794" spans="1:24" hidden="1" x14ac:dyDescent="0.3">
      <c r="A4794" s="14" t="s">
        <v>515</v>
      </c>
      <c r="B4794" s="14" t="s">
        <v>216</v>
      </c>
      <c r="C4794" s="14" t="s">
        <v>380</v>
      </c>
      <c r="D4794" s="14" t="s">
        <v>381</v>
      </c>
      <c r="E4794" s="14" t="s">
        <v>342</v>
      </c>
      <c r="F4794" s="14" t="s">
        <v>343</v>
      </c>
      <c r="G4794" s="14" t="s">
        <v>343</v>
      </c>
      <c r="H4794" s="14" t="s">
        <v>343</v>
      </c>
      <c r="X4794" s="14">
        <v>1</v>
      </c>
    </row>
    <row r="4795" spans="1:24" hidden="1" x14ac:dyDescent="0.3">
      <c r="A4795" s="14" t="s">
        <v>515</v>
      </c>
      <c r="B4795" s="14" t="s">
        <v>216</v>
      </c>
      <c r="C4795" s="14" t="s">
        <v>380</v>
      </c>
      <c r="D4795" s="14" t="s">
        <v>381</v>
      </c>
      <c r="E4795" s="14" t="s">
        <v>344</v>
      </c>
      <c r="F4795" s="14" t="s">
        <v>343</v>
      </c>
      <c r="G4795" s="14" t="s">
        <v>343</v>
      </c>
      <c r="H4795" s="14" t="s">
        <v>343</v>
      </c>
      <c r="X4795" s="14">
        <v>1</v>
      </c>
    </row>
    <row r="4796" spans="1:24" hidden="1" x14ac:dyDescent="0.3">
      <c r="A4796" s="14" t="s">
        <v>515</v>
      </c>
      <c r="B4796" s="14" t="s">
        <v>216</v>
      </c>
      <c r="C4796" s="14" t="s">
        <v>355</v>
      </c>
      <c r="D4796" s="14" t="s">
        <v>356</v>
      </c>
      <c r="E4796" s="14" t="s">
        <v>342</v>
      </c>
      <c r="F4796" s="14" t="s">
        <v>343</v>
      </c>
      <c r="G4796" s="14" t="s">
        <v>343</v>
      </c>
      <c r="H4796" s="14" t="s">
        <v>343</v>
      </c>
      <c r="U4796" s="14">
        <v>1</v>
      </c>
      <c r="V4796" s="14">
        <v>1</v>
      </c>
      <c r="W4796" s="14">
        <v>1</v>
      </c>
      <c r="X4796" s="14">
        <v>0.99</v>
      </c>
    </row>
    <row r="4797" spans="1:24" hidden="1" x14ac:dyDescent="0.3">
      <c r="A4797" s="14" t="s">
        <v>515</v>
      </c>
      <c r="B4797" s="14" t="s">
        <v>216</v>
      </c>
      <c r="C4797" s="14" t="s">
        <v>355</v>
      </c>
      <c r="D4797" s="14" t="s">
        <v>356</v>
      </c>
      <c r="E4797" s="14" t="s">
        <v>344</v>
      </c>
      <c r="F4797" s="14" t="s">
        <v>343</v>
      </c>
      <c r="G4797" s="14" t="s">
        <v>343</v>
      </c>
      <c r="H4797" s="14" t="s">
        <v>343</v>
      </c>
      <c r="U4797" s="14">
        <v>1</v>
      </c>
      <c r="V4797" s="14">
        <v>1</v>
      </c>
      <c r="W4797" s="14">
        <v>1</v>
      </c>
      <c r="X4797" s="14">
        <v>84</v>
      </c>
    </row>
    <row r="4798" spans="1:24" hidden="1" x14ac:dyDescent="0.3">
      <c r="A4798" s="14" t="s">
        <v>515</v>
      </c>
      <c r="B4798" s="14" t="s">
        <v>216</v>
      </c>
      <c r="C4798" s="14" t="s">
        <v>357</v>
      </c>
      <c r="D4798" s="14" t="s">
        <v>358</v>
      </c>
      <c r="E4798" s="14" t="s">
        <v>342</v>
      </c>
      <c r="F4798" s="14" t="s">
        <v>343</v>
      </c>
      <c r="G4798" s="14" t="s">
        <v>343</v>
      </c>
      <c r="H4798" s="14" t="s">
        <v>343</v>
      </c>
      <c r="U4798" s="14">
        <v>1</v>
      </c>
      <c r="V4798" s="14">
        <v>1</v>
      </c>
      <c r="W4798" s="14">
        <v>1</v>
      </c>
      <c r="X4798" s="14">
        <v>1</v>
      </c>
    </row>
    <row r="4799" spans="1:24" hidden="1" x14ac:dyDescent="0.3">
      <c r="A4799" s="14" t="s">
        <v>515</v>
      </c>
      <c r="B4799" s="14" t="s">
        <v>216</v>
      </c>
      <c r="C4799" s="14" t="s">
        <v>357</v>
      </c>
      <c r="D4799" s="14" t="s">
        <v>358</v>
      </c>
      <c r="E4799" s="14" t="s">
        <v>344</v>
      </c>
      <c r="F4799" s="14" t="s">
        <v>343</v>
      </c>
      <c r="G4799" s="14" t="s">
        <v>343</v>
      </c>
      <c r="H4799" s="14" t="s">
        <v>343</v>
      </c>
      <c r="U4799" s="14">
        <v>1</v>
      </c>
      <c r="V4799" s="14">
        <v>1</v>
      </c>
      <c r="W4799" s="14">
        <v>1</v>
      </c>
      <c r="X4799" s="14">
        <v>1</v>
      </c>
    </row>
    <row r="4800" spans="1:24" hidden="1" x14ac:dyDescent="0.3">
      <c r="A4800" s="14" t="s">
        <v>515</v>
      </c>
      <c r="B4800" s="14" t="s">
        <v>216</v>
      </c>
      <c r="C4800" s="14" t="s">
        <v>359</v>
      </c>
      <c r="D4800" s="14" t="s">
        <v>360</v>
      </c>
      <c r="E4800" s="14" t="s">
        <v>342</v>
      </c>
      <c r="F4800" s="14" t="s">
        <v>343</v>
      </c>
      <c r="G4800" s="14" t="s">
        <v>343</v>
      </c>
      <c r="H4800" s="14" t="s">
        <v>343</v>
      </c>
      <c r="I4800" s="14">
        <v>0.65</v>
      </c>
      <c r="J4800" s="14">
        <v>0.65</v>
      </c>
      <c r="K4800" s="14">
        <v>0.65</v>
      </c>
      <c r="L4800" s="14">
        <v>0.67</v>
      </c>
      <c r="M4800" s="14">
        <v>0.75</v>
      </c>
      <c r="N4800" s="14">
        <v>0.76</v>
      </c>
      <c r="O4800" s="14">
        <v>0.79</v>
      </c>
      <c r="P4800" s="14">
        <v>0.79</v>
      </c>
      <c r="Q4800" s="14">
        <v>0.79</v>
      </c>
      <c r="R4800" s="14">
        <v>0.81</v>
      </c>
      <c r="S4800" s="14">
        <v>0.79</v>
      </c>
      <c r="T4800" s="14">
        <v>0.75</v>
      </c>
      <c r="U4800" s="14">
        <v>0.76</v>
      </c>
      <c r="V4800" s="14">
        <v>0.78</v>
      </c>
      <c r="W4800" s="14">
        <v>0.75</v>
      </c>
      <c r="X4800" s="14">
        <v>0.76</v>
      </c>
    </row>
    <row r="4801" spans="1:24" hidden="1" x14ac:dyDescent="0.3">
      <c r="A4801" s="14" t="s">
        <v>515</v>
      </c>
      <c r="B4801" s="14" t="s">
        <v>216</v>
      </c>
      <c r="C4801" s="14" t="s">
        <v>359</v>
      </c>
      <c r="D4801" s="14" t="s">
        <v>360</v>
      </c>
      <c r="E4801" s="14" t="s">
        <v>344</v>
      </c>
      <c r="F4801" s="14" t="s">
        <v>343</v>
      </c>
      <c r="G4801" s="14" t="s">
        <v>343</v>
      </c>
      <c r="H4801" s="14" t="s">
        <v>343</v>
      </c>
      <c r="I4801" s="14">
        <v>45</v>
      </c>
      <c r="J4801" s="14">
        <v>55</v>
      </c>
      <c r="K4801" s="14">
        <v>58</v>
      </c>
      <c r="L4801" s="14">
        <v>57</v>
      </c>
      <c r="M4801" s="14">
        <v>20</v>
      </c>
      <c r="N4801" s="14">
        <v>16</v>
      </c>
      <c r="O4801" s="14">
        <v>13</v>
      </c>
      <c r="P4801" s="14">
        <v>12</v>
      </c>
      <c r="Q4801" s="14">
        <v>18</v>
      </c>
      <c r="R4801" s="14">
        <v>9</v>
      </c>
      <c r="S4801" s="14">
        <v>17</v>
      </c>
      <c r="T4801" s="14">
        <v>27</v>
      </c>
      <c r="U4801" s="14">
        <v>24</v>
      </c>
      <c r="V4801" s="14">
        <v>20</v>
      </c>
      <c r="W4801" s="14">
        <v>33</v>
      </c>
      <c r="X4801" s="14">
        <v>28</v>
      </c>
    </row>
    <row r="4802" spans="1:24" x14ac:dyDescent="0.3">
      <c r="A4802" s="14" t="s">
        <v>515</v>
      </c>
      <c r="B4802" s="14" t="s">
        <v>216</v>
      </c>
      <c r="C4802" s="14" t="s">
        <v>361</v>
      </c>
      <c r="D4802" s="14" t="s">
        <v>362</v>
      </c>
      <c r="E4802" s="14" t="s">
        <v>342</v>
      </c>
      <c r="F4802" s="14" t="s">
        <v>343</v>
      </c>
      <c r="G4802" s="14" t="s">
        <v>343</v>
      </c>
      <c r="H4802" s="14" t="s">
        <v>343</v>
      </c>
      <c r="I4802" s="14">
        <v>0.96</v>
      </c>
      <c r="J4802" s="14">
        <v>0.96</v>
      </c>
      <c r="K4802" s="14">
        <v>0.96</v>
      </c>
      <c r="L4802" s="14">
        <v>0.96</v>
      </c>
      <c r="M4802" s="14">
        <v>0.97</v>
      </c>
      <c r="N4802" s="14">
        <v>0.97</v>
      </c>
      <c r="O4802" s="14">
        <v>0.97</v>
      </c>
      <c r="P4802" s="14">
        <v>0.97</v>
      </c>
      <c r="Q4802" s="14">
        <v>0.97</v>
      </c>
      <c r="R4802" s="14">
        <v>0.97</v>
      </c>
      <c r="S4802" s="14">
        <v>0.97</v>
      </c>
      <c r="T4802" s="14">
        <v>0.97</v>
      </c>
      <c r="U4802" s="14">
        <v>0.96</v>
      </c>
      <c r="V4802" s="14">
        <v>0.96</v>
      </c>
      <c r="W4802" s="14">
        <v>0.96</v>
      </c>
      <c r="X4802" s="14">
        <v>0.96</v>
      </c>
    </row>
    <row r="4803" spans="1:24" hidden="1" x14ac:dyDescent="0.3">
      <c r="A4803" s="14" t="s">
        <v>515</v>
      </c>
      <c r="B4803" s="14" t="s">
        <v>216</v>
      </c>
      <c r="C4803" s="14" t="s">
        <v>361</v>
      </c>
      <c r="D4803" s="14" t="s">
        <v>362</v>
      </c>
      <c r="E4803" s="14" t="s">
        <v>344</v>
      </c>
      <c r="F4803" s="14" t="s">
        <v>343</v>
      </c>
      <c r="G4803" s="14" t="s">
        <v>343</v>
      </c>
      <c r="H4803" s="14" t="s">
        <v>343</v>
      </c>
      <c r="I4803" s="14">
        <v>107</v>
      </c>
      <c r="J4803" s="14">
        <v>115</v>
      </c>
      <c r="K4803" s="14">
        <v>117</v>
      </c>
      <c r="L4803" s="14">
        <v>121</v>
      </c>
      <c r="M4803" s="14">
        <v>100</v>
      </c>
      <c r="N4803" s="14">
        <v>101</v>
      </c>
      <c r="O4803" s="14">
        <v>85</v>
      </c>
      <c r="P4803" s="14">
        <v>85</v>
      </c>
      <c r="Q4803" s="14">
        <v>114</v>
      </c>
      <c r="R4803" s="14">
        <v>122</v>
      </c>
      <c r="S4803" s="14">
        <v>121</v>
      </c>
      <c r="T4803" s="14">
        <v>101</v>
      </c>
      <c r="U4803" s="14">
        <v>130</v>
      </c>
      <c r="V4803" s="14">
        <v>133</v>
      </c>
      <c r="W4803" s="14">
        <v>132</v>
      </c>
      <c r="X4803" s="14">
        <v>123</v>
      </c>
    </row>
    <row r="4804" spans="1:24" hidden="1" x14ac:dyDescent="0.3">
      <c r="A4804" s="14" t="s">
        <v>515</v>
      </c>
      <c r="B4804" s="14" t="s">
        <v>216</v>
      </c>
      <c r="C4804" s="14" t="s">
        <v>363</v>
      </c>
      <c r="D4804" s="14" t="s">
        <v>364</v>
      </c>
      <c r="E4804" s="14" t="s">
        <v>342</v>
      </c>
      <c r="F4804" s="14" t="s">
        <v>343</v>
      </c>
      <c r="G4804" s="14" t="s">
        <v>343</v>
      </c>
      <c r="H4804" s="14" t="s">
        <v>343</v>
      </c>
      <c r="U4804" s="14">
        <v>1.04</v>
      </c>
      <c r="V4804" s="14">
        <v>1.04</v>
      </c>
      <c r="W4804" s="14">
        <v>1.03</v>
      </c>
      <c r="X4804" s="14">
        <v>1.03</v>
      </c>
    </row>
    <row r="4805" spans="1:24" hidden="1" x14ac:dyDescent="0.3">
      <c r="A4805" s="14" t="s">
        <v>515</v>
      </c>
      <c r="B4805" s="14" t="s">
        <v>216</v>
      </c>
      <c r="C4805" s="14" t="s">
        <v>363</v>
      </c>
      <c r="D4805" s="14" t="s">
        <v>364</v>
      </c>
      <c r="E4805" s="14" t="s">
        <v>344</v>
      </c>
      <c r="F4805" s="14" t="s">
        <v>343</v>
      </c>
      <c r="G4805" s="14" t="s">
        <v>343</v>
      </c>
      <c r="H4805" s="14" t="s">
        <v>343</v>
      </c>
      <c r="U4805" s="14">
        <v>97</v>
      </c>
      <c r="V4805" s="14">
        <v>100</v>
      </c>
      <c r="W4805" s="14">
        <v>88</v>
      </c>
      <c r="X4805" s="14">
        <v>80</v>
      </c>
    </row>
    <row r="4806" spans="1:24" hidden="1" x14ac:dyDescent="0.3">
      <c r="A4806" s="14" t="s">
        <v>515</v>
      </c>
      <c r="B4806" s="14" t="s">
        <v>216</v>
      </c>
      <c r="C4806" s="14" t="s">
        <v>365</v>
      </c>
      <c r="D4806" s="14" t="s">
        <v>366</v>
      </c>
      <c r="E4806" s="14" t="s">
        <v>342</v>
      </c>
      <c r="F4806" s="14" t="s">
        <v>343</v>
      </c>
      <c r="G4806" s="14" t="s">
        <v>343</v>
      </c>
      <c r="H4806" s="14" t="s">
        <v>343</v>
      </c>
      <c r="U4806" s="14">
        <v>0.93</v>
      </c>
      <c r="V4806" s="14">
        <v>0.93</v>
      </c>
      <c r="W4806" s="14">
        <v>0.93</v>
      </c>
      <c r="X4806" s="14">
        <v>0.93</v>
      </c>
    </row>
    <row r="4807" spans="1:24" hidden="1" x14ac:dyDescent="0.3">
      <c r="A4807" s="14" t="s">
        <v>515</v>
      </c>
      <c r="B4807" s="14" t="s">
        <v>216</v>
      </c>
      <c r="C4807" s="14" t="s">
        <v>365</v>
      </c>
      <c r="D4807" s="14" t="s">
        <v>366</v>
      </c>
      <c r="E4807" s="14" t="s">
        <v>344</v>
      </c>
      <c r="F4807" s="14" t="s">
        <v>343</v>
      </c>
      <c r="G4807" s="14" t="s">
        <v>343</v>
      </c>
      <c r="H4807" s="14" t="s">
        <v>343</v>
      </c>
      <c r="U4807" s="14">
        <v>141</v>
      </c>
      <c r="V4807" s="14">
        <v>142</v>
      </c>
      <c r="W4807" s="14">
        <v>147</v>
      </c>
      <c r="X4807" s="14">
        <v>139</v>
      </c>
    </row>
    <row r="4808" spans="1:24" hidden="1" x14ac:dyDescent="0.3">
      <c r="A4808" s="14" t="s">
        <v>515</v>
      </c>
      <c r="B4808" s="14" t="s">
        <v>216</v>
      </c>
      <c r="C4808" s="14" t="s">
        <v>367</v>
      </c>
      <c r="D4808" s="14" t="s">
        <v>368</v>
      </c>
      <c r="E4808" s="14" t="s">
        <v>342</v>
      </c>
      <c r="F4808" s="14" t="s">
        <v>343</v>
      </c>
      <c r="G4808" s="14" t="s">
        <v>343</v>
      </c>
      <c r="H4808" s="14" t="s">
        <v>343</v>
      </c>
      <c r="I4808" s="14">
        <v>0.66</v>
      </c>
      <c r="J4808" s="14">
        <v>0.66</v>
      </c>
      <c r="K4808" s="14">
        <v>0.66</v>
      </c>
      <c r="L4808" s="14">
        <v>0.67</v>
      </c>
      <c r="M4808" s="14">
        <v>0.69</v>
      </c>
      <c r="N4808" s="14">
        <v>0.69</v>
      </c>
      <c r="O4808" s="14">
        <v>0.7</v>
      </c>
      <c r="P4808" s="14">
        <v>0.7</v>
      </c>
      <c r="Q4808" s="14">
        <v>0.7</v>
      </c>
      <c r="R4808" s="14">
        <v>0.71</v>
      </c>
      <c r="S4808" s="14">
        <v>0.71</v>
      </c>
      <c r="T4808" s="14">
        <v>0.7</v>
      </c>
      <c r="U4808" s="14">
        <v>0.71</v>
      </c>
      <c r="V4808" s="14">
        <v>0.72</v>
      </c>
      <c r="W4808" s="14">
        <v>0.73</v>
      </c>
      <c r="X4808" s="14">
        <v>0.73</v>
      </c>
    </row>
    <row r="4809" spans="1:24" hidden="1" x14ac:dyDescent="0.3">
      <c r="A4809" s="14" t="s">
        <v>515</v>
      </c>
      <c r="B4809" s="14" t="s">
        <v>216</v>
      </c>
      <c r="C4809" s="14" t="s">
        <v>367</v>
      </c>
      <c r="D4809" s="14" t="s">
        <v>368</v>
      </c>
      <c r="E4809" s="14" t="s">
        <v>344</v>
      </c>
      <c r="F4809" s="14" t="s">
        <v>343</v>
      </c>
      <c r="G4809" s="14" t="s">
        <v>343</v>
      </c>
      <c r="H4809" s="14" t="s">
        <v>343</v>
      </c>
      <c r="I4809" s="14">
        <v>65</v>
      </c>
      <c r="J4809" s="14">
        <v>77</v>
      </c>
      <c r="K4809" s="14">
        <v>84</v>
      </c>
      <c r="L4809" s="14">
        <v>84</v>
      </c>
      <c r="M4809" s="14">
        <v>56</v>
      </c>
      <c r="N4809" s="14">
        <v>57</v>
      </c>
      <c r="O4809" s="14">
        <v>55</v>
      </c>
      <c r="P4809" s="14">
        <v>58</v>
      </c>
      <c r="Q4809" s="14">
        <v>59</v>
      </c>
      <c r="R4809" s="14">
        <v>54</v>
      </c>
      <c r="S4809" s="14">
        <v>55</v>
      </c>
      <c r="T4809" s="14">
        <v>65</v>
      </c>
      <c r="U4809" s="14">
        <v>67</v>
      </c>
      <c r="V4809" s="14">
        <v>54</v>
      </c>
      <c r="W4809" s="14">
        <v>54</v>
      </c>
      <c r="X4809" s="14">
        <v>49</v>
      </c>
    </row>
    <row r="4810" spans="1:24" hidden="1" x14ac:dyDescent="0.3">
      <c r="A4810" s="14" t="s">
        <v>515</v>
      </c>
      <c r="B4810" s="14" t="s">
        <v>216</v>
      </c>
      <c r="C4810" s="14" t="s">
        <v>369</v>
      </c>
      <c r="D4810" s="14" t="s">
        <v>370</v>
      </c>
      <c r="E4810" s="14" t="s">
        <v>342</v>
      </c>
      <c r="F4810" s="14" t="s">
        <v>343</v>
      </c>
      <c r="G4810" s="14" t="s">
        <v>343</v>
      </c>
      <c r="H4810" s="14" t="s">
        <v>343</v>
      </c>
      <c r="I4810" s="14">
        <v>0.08</v>
      </c>
      <c r="J4810" s="14">
        <v>0.1</v>
      </c>
      <c r="K4810" s="14">
        <v>0.1</v>
      </c>
      <c r="L4810" s="14">
        <v>0.1</v>
      </c>
      <c r="M4810" s="14">
        <v>0.11</v>
      </c>
      <c r="N4810" s="14">
        <v>0.1</v>
      </c>
      <c r="O4810" s="14">
        <v>0.1</v>
      </c>
      <c r="P4810" s="14">
        <v>0.1</v>
      </c>
      <c r="Q4810" s="14">
        <v>0.12</v>
      </c>
      <c r="R4810" s="14">
        <v>0.12</v>
      </c>
      <c r="S4810" s="14">
        <v>0.11</v>
      </c>
      <c r="T4810" s="14">
        <v>0.11</v>
      </c>
      <c r="U4810" s="14">
        <v>0.11</v>
      </c>
      <c r="V4810" s="14">
        <v>0.16</v>
      </c>
      <c r="W4810" s="14">
        <v>0.21</v>
      </c>
      <c r="X4810" s="14">
        <v>0.22</v>
      </c>
    </row>
    <row r="4811" spans="1:24" hidden="1" x14ac:dyDescent="0.3">
      <c r="A4811" s="14" t="s">
        <v>515</v>
      </c>
      <c r="B4811" s="14" t="s">
        <v>216</v>
      </c>
      <c r="C4811" s="14" t="s">
        <v>369</v>
      </c>
      <c r="D4811" s="14" t="s">
        <v>370</v>
      </c>
      <c r="E4811" s="14" t="s">
        <v>344</v>
      </c>
      <c r="F4811" s="14" t="s">
        <v>343</v>
      </c>
      <c r="G4811" s="14" t="s">
        <v>343</v>
      </c>
      <c r="H4811" s="14" t="s">
        <v>343</v>
      </c>
      <c r="I4811" s="14">
        <v>75</v>
      </c>
      <c r="J4811" s="14">
        <v>71</v>
      </c>
      <c r="K4811" s="14">
        <v>81</v>
      </c>
      <c r="L4811" s="14">
        <v>86</v>
      </c>
      <c r="M4811" s="14">
        <v>79</v>
      </c>
      <c r="N4811" s="14">
        <v>83</v>
      </c>
      <c r="O4811" s="14">
        <v>89</v>
      </c>
      <c r="P4811" s="14">
        <v>90</v>
      </c>
      <c r="Q4811" s="14">
        <v>90</v>
      </c>
      <c r="R4811" s="14">
        <v>92</v>
      </c>
      <c r="S4811" s="14">
        <v>97</v>
      </c>
      <c r="T4811" s="14">
        <v>101</v>
      </c>
      <c r="U4811" s="14">
        <v>103</v>
      </c>
      <c r="V4811" s="14">
        <v>92</v>
      </c>
      <c r="W4811" s="14">
        <v>72</v>
      </c>
      <c r="X4811" s="14">
        <v>66</v>
      </c>
    </row>
    <row r="4812" spans="1:24" hidden="1" x14ac:dyDescent="0.3">
      <c r="A4812" s="14" t="s">
        <v>515</v>
      </c>
      <c r="B4812" s="14" t="s">
        <v>216</v>
      </c>
      <c r="C4812" s="14" t="s">
        <v>371</v>
      </c>
      <c r="D4812" s="14" t="s">
        <v>372</v>
      </c>
      <c r="E4812" s="14" t="s">
        <v>342</v>
      </c>
      <c r="F4812" s="14" t="s">
        <v>343</v>
      </c>
      <c r="G4812" s="14" t="s">
        <v>343</v>
      </c>
      <c r="H4812" s="14" t="s">
        <v>343</v>
      </c>
      <c r="U4812" s="14">
        <v>0.02</v>
      </c>
      <c r="V4812" s="14">
        <v>0.04</v>
      </c>
      <c r="W4812" s="14">
        <v>7.0000000000000007E-2</v>
      </c>
      <c r="X4812" s="14">
        <v>0.1</v>
      </c>
    </row>
    <row r="4813" spans="1:24" hidden="1" x14ac:dyDescent="0.3">
      <c r="A4813" s="14" t="s">
        <v>515</v>
      </c>
      <c r="B4813" s="14" t="s">
        <v>216</v>
      </c>
      <c r="C4813" s="14" t="s">
        <v>371</v>
      </c>
      <c r="D4813" s="14" t="s">
        <v>372</v>
      </c>
      <c r="E4813" s="14" t="s">
        <v>344</v>
      </c>
      <c r="F4813" s="14" t="s">
        <v>343</v>
      </c>
      <c r="G4813" s="14" t="s">
        <v>343</v>
      </c>
      <c r="H4813" s="14" t="s">
        <v>343</v>
      </c>
      <c r="U4813" s="14">
        <v>54</v>
      </c>
      <c r="V4813" s="14">
        <v>49</v>
      </c>
      <c r="W4813" s="14">
        <v>39</v>
      </c>
      <c r="X4813" s="14">
        <v>33</v>
      </c>
    </row>
    <row r="4814" spans="1:24" hidden="1" x14ac:dyDescent="0.3">
      <c r="A4814" s="14" t="s">
        <v>515</v>
      </c>
      <c r="B4814" s="14" t="s">
        <v>216</v>
      </c>
      <c r="C4814" s="14" t="s">
        <v>373</v>
      </c>
      <c r="D4814" s="14" t="s">
        <v>374</v>
      </c>
      <c r="E4814" s="14" t="s">
        <v>342</v>
      </c>
      <c r="F4814" s="14" t="s">
        <v>343</v>
      </c>
      <c r="G4814" s="14" t="s">
        <v>343</v>
      </c>
      <c r="H4814" s="14" t="s">
        <v>343</v>
      </c>
      <c r="U4814" s="14">
        <v>0.06</v>
      </c>
      <c r="V4814" s="14">
        <v>0.2</v>
      </c>
      <c r="W4814" s="14">
        <v>0.19</v>
      </c>
      <c r="X4814" s="14">
        <v>0.19</v>
      </c>
    </row>
    <row r="4815" spans="1:24" hidden="1" x14ac:dyDescent="0.3">
      <c r="A4815" s="14" t="s">
        <v>515</v>
      </c>
      <c r="B4815" s="14" t="s">
        <v>216</v>
      </c>
      <c r="C4815" s="14" t="s">
        <v>373</v>
      </c>
      <c r="D4815" s="14" t="s">
        <v>374</v>
      </c>
      <c r="E4815" s="14" t="s">
        <v>344</v>
      </c>
      <c r="F4815" s="14" t="s">
        <v>343</v>
      </c>
      <c r="G4815" s="14" t="s">
        <v>343</v>
      </c>
      <c r="H4815" s="14" t="s">
        <v>343</v>
      </c>
      <c r="U4815" s="14">
        <v>134</v>
      </c>
      <c r="V4815" s="14">
        <v>94</v>
      </c>
      <c r="W4815" s="14">
        <v>97</v>
      </c>
      <c r="X4815" s="14">
        <v>92</v>
      </c>
    </row>
    <row r="4816" spans="1:24" hidden="1" x14ac:dyDescent="0.3">
      <c r="A4816" s="14" t="s">
        <v>515</v>
      </c>
      <c r="B4816" s="14" t="s">
        <v>216</v>
      </c>
      <c r="C4816" s="14" t="s">
        <v>375</v>
      </c>
      <c r="D4816" s="14" t="s">
        <v>376</v>
      </c>
      <c r="E4816" s="14" t="s">
        <v>342</v>
      </c>
      <c r="F4816" s="14" t="s">
        <v>343</v>
      </c>
      <c r="G4816" s="14" t="s">
        <v>343</v>
      </c>
      <c r="H4816" s="14" t="s">
        <v>343</v>
      </c>
      <c r="U4816" s="14">
        <v>0.3</v>
      </c>
      <c r="V4816" s="14">
        <v>0.3</v>
      </c>
      <c r="W4816" s="14">
        <v>0.42</v>
      </c>
      <c r="X4816" s="14">
        <v>0.41</v>
      </c>
    </row>
    <row r="4817" spans="1:24" hidden="1" x14ac:dyDescent="0.3">
      <c r="A4817" s="14" t="s">
        <v>515</v>
      </c>
      <c r="B4817" s="14" t="s">
        <v>216</v>
      </c>
      <c r="C4817" s="14" t="s">
        <v>375</v>
      </c>
      <c r="D4817" s="14" t="s">
        <v>376</v>
      </c>
      <c r="E4817" s="14" t="s">
        <v>344</v>
      </c>
      <c r="F4817" s="14" t="s">
        <v>343</v>
      </c>
      <c r="G4817" s="14" t="s">
        <v>343</v>
      </c>
      <c r="H4817" s="14" t="s">
        <v>343</v>
      </c>
      <c r="U4817" s="14">
        <v>64</v>
      </c>
      <c r="V4817" s="14">
        <v>70</v>
      </c>
      <c r="W4817" s="14">
        <v>48</v>
      </c>
      <c r="X4817" s="14">
        <v>56</v>
      </c>
    </row>
    <row r="4818" spans="1:24" hidden="1" x14ac:dyDescent="0.3">
      <c r="A4818" s="14" t="s">
        <v>516</v>
      </c>
      <c r="B4818" s="14" t="s">
        <v>215</v>
      </c>
      <c r="C4818" s="14" t="s">
        <v>340</v>
      </c>
      <c r="D4818" s="14" t="s">
        <v>341</v>
      </c>
      <c r="E4818" s="14" t="s">
        <v>342</v>
      </c>
      <c r="F4818" s="14" t="s">
        <v>343</v>
      </c>
      <c r="G4818" s="14" t="s">
        <v>343</v>
      </c>
      <c r="H4818" s="14" t="s">
        <v>343</v>
      </c>
      <c r="U4818" s="14">
        <v>0.91</v>
      </c>
      <c r="V4818" s="14">
        <v>0.86</v>
      </c>
      <c r="W4818" s="14">
        <v>0.86</v>
      </c>
      <c r="X4818" s="14">
        <v>0.92</v>
      </c>
    </row>
    <row r="4819" spans="1:24" hidden="1" x14ac:dyDescent="0.3">
      <c r="A4819" s="14" t="s">
        <v>516</v>
      </c>
      <c r="B4819" s="14" t="s">
        <v>215</v>
      </c>
      <c r="C4819" s="14" t="s">
        <v>340</v>
      </c>
      <c r="D4819" s="14" t="s">
        <v>341</v>
      </c>
      <c r="E4819" s="14" t="s">
        <v>344</v>
      </c>
      <c r="F4819" s="14" t="s">
        <v>343</v>
      </c>
      <c r="G4819" s="14" t="s">
        <v>343</v>
      </c>
      <c r="H4819" s="14" t="s">
        <v>343</v>
      </c>
      <c r="U4819" s="14">
        <v>128</v>
      </c>
      <c r="V4819" s="14">
        <v>139</v>
      </c>
      <c r="W4819" s="14">
        <v>140</v>
      </c>
      <c r="X4819" s="14">
        <v>124</v>
      </c>
    </row>
    <row r="4820" spans="1:24" hidden="1" x14ac:dyDescent="0.3">
      <c r="A4820" s="14" t="s">
        <v>516</v>
      </c>
      <c r="B4820" s="14" t="s">
        <v>215</v>
      </c>
      <c r="C4820" s="14" t="s">
        <v>345</v>
      </c>
      <c r="D4820" s="14" t="s">
        <v>346</v>
      </c>
      <c r="E4820" s="14" t="s">
        <v>342</v>
      </c>
      <c r="F4820" s="14" t="s">
        <v>343</v>
      </c>
      <c r="G4820" s="14" t="s">
        <v>343</v>
      </c>
      <c r="H4820" s="14" t="s">
        <v>343</v>
      </c>
      <c r="U4820" s="14">
        <v>0.72</v>
      </c>
      <c r="V4820" s="14">
        <v>0.76</v>
      </c>
      <c r="W4820" s="14">
        <v>0.74</v>
      </c>
      <c r="X4820" s="14">
        <v>0.8</v>
      </c>
    </row>
    <row r="4821" spans="1:24" hidden="1" x14ac:dyDescent="0.3">
      <c r="A4821" s="14" t="s">
        <v>516</v>
      </c>
      <c r="B4821" s="14" t="s">
        <v>215</v>
      </c>
      <c r="C4821" s="14" t="s">
        <v>345</v>
      </c>
      <c r="D4821" s="14" t="s">
        <v>346</v>
      </c>
      <c r="E4821" s="14" t="s">
        <v>344</v>
      </c>
      <c r="F4821" s="14" t="s">
        <v>343</v>
      </c>
      <c r="G4821" s="14" t="s">
        <v>343</v>
      </c>
      <c r="H4821" s="14" t="s">
        <v>343</v>
      </c>
      <c r="U4821" s="14">
        <v>27</v>
      </c>
      <c r="V4821" s="14">
        <v>20</v>
      </c>
      <c r="W4821" s="14">
        <v>22</v>
      </c>
      <c r="X4821" s="14">
        <v>16</v>
      </c>
    </row>
    <row r="4822" spans="1:24" hidden="1" x14ac:dyDescent="0.3">
      <c r="A4822" s="14" t="s">
        <v>516</v>
      </c>
      <c r="B4822" s="14" t="s">
        <v>215</v>
      </c>
      <c r="C4822" s="14" t="s">
        <v>347</v>
      </c>
      <c r="D4822" s="14" t="s">
        <v>348</v>
      </c>
      <c r="E4822" s="14" t="s">
        <v>342</v>
      </c>
      <c r="F4822" s="14" t="s">
        <v>343</v>
      </c>
      <c r="G4822" s="14" t="s">
        <v>343</v>
      </c>
      <c r="H4822" s="14" t="s">
        <v>343</v>
      </c>
      <c r="U4822" s="14">
        <v>0.99</v>
      </c>
      <c r="V4822" s="14">
        <v>1</v>
      </c>
      <c r="W4822" s="14">
        <v>1</v>
      </c>
      <c r="X4822" s="14">
        <v>1</v>
      </c>
    </row>
    <row r="4823" spans="1:24" hidden="1" x14ac:dyDescent="0.3">
      <c r="A4823" s="14" t="s">
        <v>516</v>
      </c>
      <c r="B4823" s="14" t="s">
        <v>215</v>
      </c>
      <c r="C4823" s="14" t="s">
        <v>347</v>
      </c>
      <c r="D4823" s="14" t="s">
        <v>348</v>
      </c>
      <c r="E4823" s="14" t="s">
        <v>344</v>
      </c>
      <c r="F4823" s="14" t="s">
        <v>343</v>
      </c>
      <c r="G4823" s="14" t="s">
        <v>343</v>
      </c>
      <c r="H4823" s="14" t="s">
        <v>343</v>
      </c>
      <c r="U4823" s="14">
        <v>4</v>
      </c>
      <c r="V4823" s="14">
        <v>1</v>
      </c>
      <c r="W4823" s="14">
        <v>1</v>
      </c>
      <c r="X4823" s="14">
        <v>1</v>
      </c>
    </row>
    <row r="4824" spans="1:24" hidden="1" x14ac:dyDescent="0.3">
      <c r="A4824" s="14" t="s">
        <v>516</v>
      </c>
      <c r="B4824" s="14" t="s">
        <v>215</v>
      </c>
      <c r="C4824" s="14" t="s">
        <v>349</v>
      </c>
      <c r="D4824" s="14" t="s">
        <v>350</v>
      </c>
      <c r="E4824" s="14" t="s">
        <v>342</v>
      </c>
      <c r="F4824" s="14" t="s">
        <v>343</v>
      </c>
      <c r="G4824" s="14" t="s">
        <v>343</v>
      </c>
      <c r="H4824" s="14" t="s">
        <v>343</v>
      </c>
      <c r="U4824" s="14">
        <v>0.61</v>
      </c>
      <c r="V4824" s="14">
        <v>0.61</v>
      </c>
      <c r="W4824" s="14">
        <v>0.61</v>
      </c>
      <c r="X4824" s="14">
        <v>0.56000000000000005</v>
      </c>
    </row>
    <row r="4825" spans="1:24" hidden="1" x14ac:dyDescent="0.3">
      <c r="A4825" s="14" t="s">
        <v>516</v>
      </c>
      <c r="B4825" s="14" t="s">
        <v>215</v>
      </c>
      <c r="C4825" s="14" t="s">
        <v>349</v>
      </c>
      <c r="D4825" s="14" t="s">
        <v>350</v>
      </c>
      <c r="E4825" s="14" t="s">
        <v>344</v>
      </c>
      <c r="F4825" s="14" t="s">
        <v>343</v>
      </c>
      <c r="G4825" s="14" t="s">
        <v>343</v>
      </c>
      <c r="H4825" s="14" t="s">
        <v>343</v>
      </c>
      <c r="U4825" s="14">
        <v>38</v>
      </c>
      <c r="V4825" s="14">
        <v>40</v>
      </c>
      <c r="W4825" s="14">
        <v>45</v>
      </c>
      <c r="X4825" s="14">
        <v>57</v>
      </c>
    </row>
    <row r="4826" spans="1:24" hidden="1" x14ac:dyDescent="0.3">
      <c r="A4826" s="14" t="s">
        <v>516</v>
      </c>
      <c r="B4826" s="14" t="s">
        <v>215</v>
      </c>
      <c r="C4826" s="14" t="s">
        <v>351</v>
      </c>
      <c r="D4826" s="14" t="s">
        <v>352</v>
      </c>
      <c r="E4826" s="14" t="s">
        <v>342</v>
      </c>
      <c r="F4826" s="14" t="s">
        <v>343</v>
      </c>
      <c r="G4826" s="14" t="s">
        <v>343</v>
      </c>
      <c r="H4826" s="14" t="s">
        <v>343</v>
      </c>
      <c r="U4826" s="14">
        <v>0.46</v>
      </c>
      <c r="V4826" s="14">
        <v>0.46</v>
      </c>
      <c r="W4826" s="14">
        <v>0.46</v>
      </c>
      <c r="X4826" s="14">
        <v>0.44</v>
      </c>
    </row>
    <row r="4827" spans="1:24" hidden="1" x14ac:dyDescent="0.3">
      <c r="A4827" s="14" t="s">
        <v>516</v>
      </c>
      <c r="B4827" s="14" t="s">
        <v>215</v>
      </c>
      <c r="C4827" s="14" t="s">
        <v>351</v>
      </c>
      <c r="D4827" s="14" t="s">
        <v>352</v>
      </c>
      <c r="E4827" s="14" t="s">
        <v>344</v>
      </c>
      <c r="F4827" s="14" t="s">
        <v>343</v>
      </c>
      <c r="G4827" s="14" t="s">
        <v>343</v>
      </c>
      <c r="H4827" s="14" t="s">
        <v>343</v>
      </c>
      <c r="U4827" s="14">
        <v>126</v>
      </c>
      <c r="V4827" s="14">
        <v>131</v>
      </c>
      <c r="W4827" s="14">
        <v>133</v>
      </c>
      <c r="X4827" s="14">
        <v>123</v>
      </c>
    </row>
    <row r="4828" spans="1:24" hidden="1" x14ac:dyDescent="0.3">
      <c r="A4828" s="14" t="s">
        <v>516</v>
      </c>
      <c r="B4828" s="14" t="s">
        <v>215</v>
      </c>
      <c r="C4828" s="14" t="s">
        <v>378</v>
      </c>
      <c r="D4828" s="14" t="s">
        <v>379</v>
      </c>
      <c r="E4828" s="14" t="s">
        <v>342</v>
      </c>
      <c r="F4828" s="14" t="s">
        <v>343</v>
      </c>
      <c r="G4828" s="14" t="s">
        <v>343</v>
      </c>
      <c r="H4828" s="14" t="s">
        <v>343</v>
      </c>
      <c r="U4828" s="14">
        <v>0.59</v>
      </c>
      <c r="W4828" s="14">
        <v>0.65</v>
      </c>
      <c r="X4828" s="14">
        <v>0.66</v>
      </c>
    </row>
    <row r="4829" spans="1:24" hidden="1" x14ac:dyDescent="0.3">
      <c r="A4829" s="14" t="s">
        <v>516</v>
      </c>
      <c r="B4829" s="14" t="s">
        <v>215</v>
      </c>
      <c r="C4829" s="14" t="s">
        <v>378</v>
      </c>
      <c r="D4829" s="14" t="s">
        <v>379</v>
      </c>
      <c r="E4829" s="14" t="s">
        <v>344</v>
      </c>
      <c r="F4829" s="14" t="s">
        <v>343</v>
      </c>
      <c r="G4829" s="14" t="s">
        <v>343</v>
      </c>
      <c r="H4829" s="14" t="s">
        <v>343</v>
      </c>
      <c r="U4829" s="14">
        <v>98</v>
      </c>
      <c r="W4829" s="14">
        <v>79</v>
      </c>
      <c r="X4829" s="14">
        <v>68</v>
      </c>
    </row>
    <row r="4830" spans="1:24" hidden="1" x14ac:dyDescent="0.3">
      <c r="A4830" s="14" t="s">
        <v>516</v>
      </c>
      <c r="B4830" s="14" t="s">
        <v>215</v>
      </c>
      <c r="C4830" s="14" t="s">
        <v>353</v>
      </c>
      <c r="D4830" s="14" t="s">
        <v>354</v>
      </c>
      <c r="E4830" s="14" t="s">
        <v>342</v>
      </c>
      <c r="F4830" s="14" t="s">
        <v>343</v>
      </c>
      <c r="G4830" s="14" t="s">
        <v>343</v>
      </c>
      <c r="H4830" s="14" t="s">
        <v>343</v>
      </c>
      <c r="U4830" s="14">
        <v>0.6</v>
      </c>
      <c r="V4830" s="14">
        <v>0.68</v>
      </c>
      <c r="W4830" s="14">
        <v>0.68</v>
      </c>
      <c r="X4830" s="14">
        <v>0.68</v>
      </c>
    </row>
    <row r="4831" spans="1:24" hidden="1" x14ac:dyDescent="0.3">
      <c r="A4831" s="14" t="s">
        <v>516</v>
      </c>
      <c r="B4831" s="14" t="s">
        <v>215</v>
      </c>
      <c r="C4831" s="14" t="s">
        <v>353</v>
      </c>
      <c r="D4831" s="14" t="s">
        <v>354</v>
      </c>
      <c r="E4831" s="14" t="s">
        <v>344</v>
      </c>
      <c r="F4831" s="14" t="s">
        <v>343</v>
      </c>
      <c r="G4831" s="14" t="s">
        <v>343</v>
      </c>
      <c r="H4831" s="14" t="s">
        <v>343</v>
      </c>
      <c r="U4831" s="14">
        <v>136</v>
      </c>
      <c r="V4831" s="14">
        <v>139</v>
      </c>
      <c r="W4831" s="14">
        <v>140</v>
      </c>
      <c r="X4831" s="14">
        <v>131</v>
      </c>
    </row>
    <row r="4832" spans="1:24" hidden="1" x14ac:dyDescent="0.3">
      <c r="A4832" s="14" t="s">
        <v>516</v>
      </c>
      <c r="B4832" s="14" t="s">
        <v>215</v>
      </c>
      <c r="C4832" s="14" t="s">
        <v>380</v>
      </c>
      <c r="D4832" s="14" t="s">
        <v>381</v>
      </c>
      <c r="E4832" s="14" t="s">
        <v>342</v>
      </c>
      <c r="F4832" s="14" t="s">
        <v>343</v>
      </c>
      <c r="G4832" s="14" t="s">
        <v>343</v>
      </c>
      <c r="H4832" s="14" t="s">
        <v>343</v>
      </c>
      <c r="U4832" s="14">
        <v>1</v>
      </c>
      <c r="V4832" s="14">
        <v>1</v>
      </c>
      <c r="W4832" s="14">
        <v>1</v>
      </c>
      <c r="X4832" s="14">
        <v>1</v>
      </c>
    </row>
    <row r="4833" spans="1:24" hidden="1" x14ac:dyDescent="0.3">
      <c r="A4833" s="14" t="s">
        <v>516</v>
      </c>
      <c r="B4833" s="14" t="s">
        <v>215</v>
      </c>
      <c r="C4833" s="14" t="s">
        <v>380</v>
      </c>
      <c r="D4833" s="14" t="s">
        <v>381</v>
      </c>
      <c r="E4833" s="14" t="s">
        <v>344</v>
      </c>
      <c r="F4833" s="14" t="s">
        <v>343</v>
      </c>
      <c r="G4833" s="14" t="s">
        <v>343</v>
      </c>
      <c r="H4833" s="14" t="s">
        <v>343</v>
      </c>
      <c r="U4833" s="14">
        <v>1</v>
      </c>
      <c r="V4833" s="14">
        <v>1</v>
      </c>
      <c r="W4833" s="14">
        <v>1</v>
      </c>
      <c r="X4833" s="14">
        <v>1</v>
      </c>
    </row>
    <row r="4834" spans="1:24" hidden="1" x14ac:dyDescent="0.3">
      <c r="A4834" s="14" t="s">
        <v>516</v>
      </c>
      <c r="B4834" s="14" t="s">
        <v>215</v>
      </c>
      <c r="C4834" s="14" t="s">
        <v>355</v>
      </c>
      <c r="D4834" s="14" t="s">
        <v>356</v>
      </c>
      <c r="E4834" s="14" t="s">
        <v>342</v>
      </c>
      <c r="F4834" s="14" t="s">
        <v>343</v>
      </c>
      <c r="G4834" s="14" t="s">
        <v>343</v>
      </c>
      <c r="H4834" s="14" t="s">
        <v>343</v>
      </c>
      <c r="U4834" s="14">
        <v>0.97</v>
      </c>
      <c r="V4834" s="14">
        <v>0.96</v>
      </c>
      <c r="W4834" s="14">
        <v>0.96</v>
      </c>
      <c r="X4834" s="14">
        <v>0.97</v>
      </c>
    </row>
    <row r="4835" spans="1:24" hidden="1" x14ac:dyDescent="0.3">
      <c r="A4835" s="14" t="s">
        <v>516</v>
      </c>
      <c r="B4835" s="14" t="s">
        <v>215</v>
      </c>
      <c r="C4835" s="14" t="s">
        <v>355</v>
      </c>
      <c r="D4835" s="14" t="s">
        <v>356</v>
      </c>
      <c r="E4835" s="14" t="s">
        <v>344</v>
      </c>
      <c r="F4835" s="14" t="s">
        <v>343</v>
      </c>
      <c r="G4835" s="14" t="s">
        <v>343</v>
      </c>
      <c r="H4835" s="14" t="s">
        <v>343</v>
      </c>
      <c r="U4835" s="14">
        <v>122</v>
      </c>
      <c r="V4835" s="14">
        <v>126</v>
      </c>
      <c r="W4835" s="14">
        <v>126</v>
      </c>
      <c r="X4835" s="14">
        <v>103</v>
      </c>
    </row>
    <row r="4836" spans="1:24" hidden="1" x14ac:dyDescent="0.3">
      <c r="A4836" s="14" t="s">
        <v>516</v>
      </c>
      <c r="B4836" s="14" t="s">
        <v>215</v>
      </c>
      <c r="C4836" s="14" t="s">
        <v>357</v>
      </c>
      <c r="D4836" s="14" t="s">
        <v>358</v>
      </c>
      <c r="E4836" s="14" t="s">
        <v>342</v>
      </c>
      <c r="F4836" s="14" t="s">
        <v>343</v>
      </c>
      <c r="G4836" s="14" t="s">
        <v>343</v>
      </c>
      <c r="H4836" s="14" t="s">
        <v>343</v>
      </c>
      <c r="V4836" s="14">
        <v>0.42</v>
      </c>
      <c r="W4836" s="14">
        <v>0.42</v>
      </c>
    </row>
    <row r="4837" spans="1:24" hidden="1" x14ac:dyDescent="0.3">
      <c r="A4837" s="14" t="s">
        <v>516</v>
      </c>
      <c r="B4837" s="14" t="s">
        <v>215</v>
      </c>
      <c r="C4837" s="14" t="s">
        <v>357</v>
      </c>
      <c r="D4837" s="14" t="s">
        <v>358</v>
      </c>
      <c r="E4837" s="14" t="s">
        <v>344</v>
      </c>
      <c r="F4837" s="14" t="s">
        <v>343</v>
      </c>
      <c r="G4837" s="14" t="s">
        <v>343</v>
      </c>
      <c r="H4837" s="14" t="s">
        <v>343</v>
      </c>
      <c r="V4837" s="14">
        <v>147</v>
      </c>
      <c r="W4837" s="14">
        <v>148</v>
      </c>
    </row>
    <row r="4838" spans="1:24" hidden="1" x14ac:dyDescent="0.3">
      <c r="A4838" s="14" t="s">
        <v>516</v>
      </c>
      <c r="B4838" s="14" t="s">
        <v>215</v>
      </c>
      <c r="C4838" s="14" t="s">
        <v>359</v>
      </c>
      <c r="D4838" s="14" t="s">
        <v>360</v>
      </c>
      <c r="E4838" s="14" t="s">
        <v>342</v>
      </c>
      <c r="F4838" s="14" t="s">
        <v>343</v>
      </c>
      <c r="G4838" s="14" t="s">
        <v>343</v>
      </c>
      <c r="H4838" s="14" t="s">
        <v>343</v>
      </c>
      <c r="U4838" s="14">
        <v>0.69</v>
      </c>
      <c r="V4838" s="14">
        <v>0.74</v>
      </c>
      <c r="W4838" s="14">
        <v>0.71</v>
      </c>
      <c r="X4838" s="14">
        <v>0.72</v>
      </c>
    </row>
    <row r="4839" spans="1:24" hidden="1" x14ac:dyDescent="0.3">
      <c r="A4839" s="14" t="s">
        <v>516</v>
      </c>
      <c r="B4839" s="14" t="s">
        <v>215</v>
      </c>
      <c r="C4839" s="14" t="s">
        <v>359</v>
      </c>
      <c r="D4839" s="14" t="s">
        <v>360</v>
      </c>
      <c r="E4839" s="14" t="s">
        <v>344</v>
      </c>
      <c r="F4839" s="14" t="s">
        <v>343</v>
      </c>
      <c r="G4839" s="14" t="s">
        <v>343</v>
      </c>
      <c r="H4839" s="14" t="s">
        <v>343</v>
      </c>
      <c r="U4839" s="14">
        <v>62</v>
      </c>
      <c r="V4839" s="14">
        <v>35</v>
      </c>
      <c r="W4839" s="14">
        <v>56</v>
      </c>
      <c r="X4839" s="14">
        <v>56</v>
      </c>
    </row>
    <row r="4840" spans="1:24" hidden="1" x14ac:dyDescent="0.3">
      <c r="A4840" s="14" t="s">
        <v>516</v>
      </c>
      <c r="B4840" s="14" t="s">
        <v>215</v>
      </c>
      <c r="C4840" s="14" t="s">
        <v>361</v>
      </c>
      <c r="D4840" s="14" t="s">
        <v>362</v>
      </c>
      <c r="E4840" s="14" t="s">
        <v>342</v>
      </c>
      <c r="F4840" s="14" t="s">
        <v>343</v>
      </c>
      <c r="G4840" s="14" t="s">
        <v>343</v>
      </c>
      <c r="H4840" s="14" t="s">
        <v>343</v>
      </c>
      <c r="U4840" s="14">
        <v>0.97</v>
      </c>
      <c r="V4840" s="14">
        <v>0.97</v>
      </c>
      <c r="W4840" s="14">
        <v>0.97</v>
      </c>
      <c r="X4840" s="14">
        <v>0.97</v>
      </c>
    </row>
    <row r="4841" spans="1:24" hidden="1" x14ac:dyDescent="0.3">
      <c r="A4841" s="14" t="s">
        <v>516</v>
      </c>
      <c r="B4841" s="14" t="s">
        <v>215</v>
      </c>
      <c r="C4841" s="14" t="s">
        <v>361</v>
      </c>
      <c r="D4841" s="14" t="s">
        <v>362</v>
      </c>
      <c r="E4841" s="14" t="s">
        <v>344</v>
      </c>
      <c r="F4841" s="14" t="s">
        <v>343</v>
      </c>
      <c r="G4841" s="14" t="s">
        <v>343</v>
      </c>
      <c r="H4841" s="14" t="s">
        <v>343</v>
      </c>
      <c r="U4841" s="14">
        <v>124</v>
      </c>
      <c r="V4841" s="14">
        <v>126</v>
      </c>
      <c r="W4841" s="14">
        <v>108</v>
      </c>
      <c r="X4841" s="14">
        <v>103</v>
      </c>
    </row>
    <row r="4842" spans="1:24" hidden="1" x14ac:dyDescent="0.3">
      <c r="A4842" s="14" t="s">
        <v>516</v>
      </c>
      <c r="B4842" s="14" t="s">
        <v>215</v>
      </c>
      <c r="C4842" s="14" t="s">
        <v>363</v>
      </c>
      <c r="D4842" s="14" t="s">
        <v>364</v>
      </c>
      <c r="E4842" s="14" t="s">
        <v>342</v>
      </c>
      <c r="F4842" s="14" t="s">
        <v>343</v>
      </c>
      <c r="G4842" s="14" t="s">
        <v>343</v>
      </c>
      <c r="H4842" s="14" t="s">
        <v>343</v>
      </c>
      <c r="U4842" s="14">
        <v>1.02</v>
      </c>
      <c r="V4842" s="14">
        <v>1.02</v>
      </c>
      <c r="W4842" s="14">
        <v>1.01</v>
      </c>
      <c r="X4842" s="14">
        <v>1.01</v>
      </c>
    </row>
    <row r="4843" spans="1:24" hidden="1" x14ac:dyDescent="0.3">
      <c r="A4843" s="14" t="s">
        <v>516</v>
      </c>
      <c r="B4843" s="14" t="s">
        <v>215</v>
      </c>
      <c r="C4843" s="14" t="s">
        <v>363</v>
      </c>
      <c r="D4843" s="14" t="s">
        <v>364</v>
      </c>
      <c r="E4843" s="14" t="s">
        <v>344</v>
      </c>
      <c r="F4843" s="14" t="s">
        <v>343</v>
      </c>
      <c r="G4843" s="14" t="s">
        <v>343</v>
      </c>
      <c r="H4843" s="14" t="s">
        <v>343</v>
      </c>
      <c r="U4843" s="14">
        <v>133</v>
      </c>
      <c r="V4843" s="14">
        <v>137</v>
      </c>
      <c r="W4843" s="14">
        <v>119</v>
      </c>
      <c r="X4843" s="14">
        <v>113</v>
      </c>
    </row>
    <row r="4844" spans="1:24" hidden="1" x14ac:dyDescent="0.3">
      <c r="A4844" s="14" t="s">
        <v>516</v>
      </c>
      <c r="B4844" s="14" t="s">
        <v>215</v>
      </c>
      <c r="C4844" s="14" t="s">
        <v>365</v>
      </c>
      <c r="D4844" s="14" t="s">
        <v>366</v>
      </c>
      <c r="E4844" s="14" t="s">
        <v>342</v>
      </c>
      <c r="F4844" s="14" t="s">
        <v>343</v>
      </c>
      <c r="G4844" s="14" t="s">
        <v>343</v>
      </c>
      <c r="H4844" s="14" t="s">
        <v>343</v>
      </c>
      <c r="U4844" s="14">
        <v>0.94</v>
      </c>
      <c r="V4844" s="14">
        <v>0.94</v>
      </c>
      <c r="W4844" s="14">
        <v>0.94</v>
      </c>
      <c r="X4844" s="14">
        <v>0.94</v>
      </c>
    </row>
    <row r="4845" spans="1:24" hidden="1" x14ac:dyDescent="0.3">
      <c r="A4845" s="14" t="s">
        <v>516</v>
      </c>
      <c r="B4845" s="14" t="s">
        <v>215</v>
      </c>
      <c r="C4845" s="14" t="s">
        <v>365</v>
      </c>
      <c r="D4845" s="14" t="s">
        <v>366</v>
      </c>
      <c r="E4845" s="14" t="s">
        <v>344</v>
      </c>
      <c r="F4845" s="14" t="s">
        <v>343</v>
      </c>
      <c r="G4845" s="14" t="s">
        <v>343</v>
      </c>
      <c r="H4845" s="14" t="s">
        <v>343</v>
      </c>
      <c r="U4845" s="14">
        <v>1</v>
      </c>
      <c r="V4845" s="14">
        <v>1</v>
      </c>
      <c r="W4845" s="14">
        <v>1</v>
      </c>
      <c r="X4845" s="14">
        <v>1</v>
      </c>
    </row>
    <row r="4846" spans="1:24" hidden="1" x14ac:dyDescent="0.3">
      <c r="A4846" s="14" t="s">
        <v>516</v>
      </c>
      <c r="B4846" s="14" t="s">
        <v>215</v>
      </c>
      <c r="C4846" s="14" t="s">
        <v>367</v>
      </c>
      <c r="D4846" s="14" t="s">
        <v>368</v>
      </c>
      <c r="E4846" s="14" t="s">
        <v>342</v>
      </c>
      <c r="F4846" s="14" t="s">
        <v>343</v>
      </c>
      <c r="G4846" s="14" t="s">
        <v>343</v>
      </c>
      <c r="H4846" s="14" t="s">
        <v>343</v>
      </c>
      <c r="U4846" s="14">
        <v>0.66</v>
      </c>
      <c r="V4846" s="14">
        <v>0.67</v>
      </c>
      <c r="W4846" s="14">
        <v>0.66</v>
      </c>
      <c r="X4846" s="14">
        <v>0.67</v>
      </c>
    </row>
    <row r="4847" spans="1:24" hidden="1" x14ac:dyDescent="0.3">
      <c r="A4847" s="14" t="s">
        <v>516</v>
      </c>
      <c r="B4847" s="14" t="s">
        <v>215</v>
      </c>
      <c r="C4847" s="14" t="s">
        <v>367</v>
      </c>
      <c r="D4847" s="14" t="s">
        <v>368</v>
      </c>
      <c r="E4847" s="14" t="s">
        <v>344</v>
      </c>
      <c r="F4847" s="14" t="s">
        <v>343</v>
      </c>
      <c r="G4847" s="14" t="s">
        <v>343</v>
      </c>
      <c r="H4847" s="14" t="s">
        <v>343</v>
      </c>
      <c r="U4847" s="14">
        <v>114</v>
      </c>
      <c r="V4847" s="14">
        <v>111</v>
      </c>
      <c r="W4847" s="14">
        <v>121</v>
      </c>
      <c r="X4847" s="14">
        <v>109</v>
      </c>
    </row>
    <row r="4848" spans="1:24" hidden="1" x14ac:dyDescent="0.3">
      <c r="A4848" s="14" t="s">
        <v>516</v>
      </c>
      <c r="B4848" s="14" t="s">
        <v>215</v>
      </c>
      <c r="C4848" s="14" t="s">
        <v>369</v>
      </c>
      <c r="D4848" s="14" t="s">
        <v>370</v>
      </c>
      <c r="E4848" s="14" t="s">
        <v>342</v>
      </c>
      <c r="F4848" s="14" t="s">
        <v>343</v>
      </c>
      <c r="G4848" s="14" t="s">
        <v>343</v>
      </c>
      <c r="H4848" s="14" t="s">
        <v>343</v>
      </c>
      <c r="U4848" s="14">
        <v>0.08</v>
      </c>
      <c r="V4848" s="14">
        <v>0.1</v>
      </c>
      <c r="W4848" s="14">
        <v>0.08</v>
      </c>
      <c r="X4848" s="14">
        <v>0.08</v>
      </c>
    </row>
    <row r="4849" spans="1:24" hidden="1" x14ac:dyDescent="0.3">
      <c r="A4849" s="14" t="s">
        <v>516</v>
      </c>
      <c r="B4849" s="14" t="s">
        <v>215</v>
      </c>
      <c r="C4849" s="14" t="s">
        <v>369</v>
      </c>
      <c r="D4849" s="14" t="s">
        <v>370</v>
      </c>
      <c r="E4849" s="14" t="s">
        <v>344</v>
      </c>
      <c r="F4849" s="14" t="s">
        <v>343</v>
      </c>
      <c r="G4849" s="14" t="s">
        <v>343</v>
      </c>
      <c r="H4849" s="14" t="s">
        <v>343</v>
      </c>
      <c r="U4849" s="14">
        <v>124</v>
      </c>
      <c r="V4849" s="14">
        <v>121</v>
      </c>
      <c r="W4849" s="14">
        <v>136</v>
      </c>
      <c r="X4849" s="14">
        <v>131</v>
      </c>
    </row>
    <row r="4850" spans="1:24" hidden="1" x14ac:dyDescent="0.3">
      <c r="A4850" s="14" t="s">
        <v>516</v>
      </c>
      <c r="B4850" s="14" t="s">
        <v>215</v>
      </c>
      <c r="C4850" s="14" t="s">
        <v>371</v>
      </c>
      <c r="D4850" s="14" t="s">
        <v>372</v>
      </c>
      <c r="E4850" s="14" t="s">
        <v>342</v>
      </c>
      <c r="F4850" s="14" t="s">
        <v>343</v>
      </c>
      <c r="G4850" s="14" t="s">
        <v>343</v>
      </c>
      <c r="H4850" s="14" t="s">
        <v>343</v>
      </c>
      <c r="U4850" s="14">
        <v>0</v>
      </c>
      <c r="V4850" s="14">
        <v>0</v>
      </c>
      <c r="W4850" s="14">
        <v>0</v>
      </c>
      <c r="X4850" s="14">
        <v>0</v>
      </c>
    </row>
    <row r="4851" spans="1:24" hidden="1" x14ac:dyDescent="0.3">
      <c r="A4851" s="14" t="s">
        <v>516</v>
      </c>
      <c r="B4851" s="14" t="s">
        <v>215</v>
      </c>
      <c r="C4851" s="14" t="s">
        <v>371</v>
      </c>
      <c r="D4851" s="14" t="s">
        <v>372</v>
      </c>
      <c r="E4851" s="14" t="s">
        <v>344</v>
      </c>
      <c r="F4851" s="14" t="s">
        <v>343</v>
      </c>
      <c r="G4851" s="14" t="s">
        <v>343</v>
      </c>
      <c r="H4851" s="14" t="s">
        <v>343</v>
      </c>
      <c r="U4851" s="14">
        <v>71</v>
      </c>
      <c r="V4851" s="14">
        <v>73</v>
      </c>
      <c r="W4851" s="14">
        <v>76</v>
      </c>
      <c r="X4851" s="14">
        <v>78</v>
      </c>
    </row>
    <row r="4852" spans="1:24" hidden="1" x14ac:dyDescent="0.3">
      <c r="A4852" s="14" t="s">
        <v>516</v>
      </c>
      <c r="B4852" s="14" t="s">
        <v>215</v>
      </c>
      <c r="C4852" s="14" t="s">
        <v>373</v>
      </c>
      <c r="D4852" s="14" t="s">
        <v>374</v>
      </c>
      <c r="E4852" s="14" t="s">
        <v>342</v>
      </c>
      <c r="F4852" s="14" t="s">
        <v>343</v>
      </c>
      <c r="G4852" s="14" t="s">
        <v>343</v>
      </c>
      <c r="H4852" s="14" t="s">
        <v>343</v>
      </c>
      <c r="U4852" s="14">
        <v>0.16</v>
      </c>
      <c r="V4852" s="14">
        <v>0.23</v>
      </c>
      <c r="W4852" s="14">
        <v>0.16</v>
      </c>
      <c r="X4852" s="14">
        <v>0.16</v>
      </c>
    </row>
    <row r="4853" spans="1:24" hidden="1" x14ac:dyDescent="0.3">
      <c r="A4853" s="14" t="s">
        <v>516</v>
      </c>
      <c r="B4853" s="14" t="s">
        <v>215</v>
      </c>
      <c r="C4853" s="14" t="s">
        <v>373</v>
      </c>
      <c r="D4853" s="14" t="s">
        <v>374</v>
      </c>
      <c r="E4853" s="14" t="s">
        <v>344</v>
      </c>
      <c r="F4853" s="14" t="s">
        <v>343</v>
      </c>
      <c r="G4853" s="14" t="s">
        <v>343</v>
      </c>
      <c r="H4853" s="14" t="s">
        <v>343</v>
      </c>
      <c r="U4853" s="14">
        <v>99</v>
      </c>
      <c r="V4853" s="14">
        <v>88</v>
      </c>
      <c r="W4853" s="14">
        <v>109</v>
      </c>
      <c r="X4853" s="14">
        <v>104</v>
      </c>
    </row>
    <row r="4854" spans="1:24" hidden="1" x14ac:dyDescent="0.3">
      <c r="A4854" s="14" t="s">
        <v>516</v>
      </c>
      <c r="B4854" s="14" t="s">
        <v>215</v>
      </c>
      <c r="C4854" s="14" t="s">
        <v>375</v>
      </c>
      <c r="D4854" s="14" t="s">
        <v>376</v>
      </c>
      <c r="E4854" s="14" t="s">
        <v>342</v>
      </c>
      <c r="F4854" s="14" t="s">
        <v>343</v>
      </c>
      <c r="G4854" s="14" t="s">
        <v>343</v>
      </c>
      <c r="H4854" s="14" t="s">
        <v>343</v>
      </c>
      <c r="U4854" s="14">
        <v>0.14000000000000001</v>
      </c>
      <c r="V4854" s="14">
        <v>0.14000000000000001</v>
      </c>
      <c r="W4854" s="14">
        <v>0.14000000000000001</v>
      </c>
      <c r="X4854" s="14">
        <v>0.14000000000000001</v>
      </c>
    </row>
    <row r="4855" spans="1:24" hidden="1" x14ac:dyDescent="0.3">
      <c r="A4855" s="14" t="s">
        <v>516</v>
      </c>
      <c r="B4855" s="14" t="s">
        <v>215</v>
      </c>
      <c r="C4855" s="14" t="s">
        <v>375</v>
      </c>
      <c r="D4855" s="14" t="s">
        <v>376</v>
      </c>
      <c r="E4855" s="14" t="s">
        <v>344</v>
      </c>
      <c r="F4855" s="14" t="s">
        <v>343</v>
      </c>
      <c r="G4855" s="14" t="s">
        <v>343</v>
      </c>
      <c r="H4855" s="14" t="s">
        <v>343</v>
      </c>
      <c r="U4855" s="14">
        <v>119</v>
      </c>
      <c r="V4855" s="14">
        <v>128</v>
      </c>
      <c r="W4855" s="14">
        <v>134</v>
      </c>
      <c r="X4855" s="14">
        <v>127</v>
      </c>
    </row>
    <row r="4856" spans="1:24" hidden="1" x14ac:dyDescent="0.3">
      <c r="A4856" s="14" t="s">
        <v>517</v>
      </c>
      <c r="B4856" s="14" t="s">
        <v>90</v>
      </c>
      <c r="C4856" s="14" t="s">
        <v>340</v>
      </c>
      <c r="D4856" s="14" t="s">
        <v>341</v>
      </c>
      <c r="E4856" s="14" t="s">
        <v>342</v>
      </c>
      <c r="F4856" s="14" t="s">
        <v>343</v>
      </c>
      <c r="G4856" s="14" t="s">
        <v>343</v>
      </c>
      <c r="H4856" s="14" t="s">
        <v>343</v>
      </c>
      <c r="I4856" s="14">
        <v>0.99</v>
      </c>
      <c r="J4856" s="14">
        <v>0.99</v>
      </c>
      <c r="K4856" s="14">
        <v>0.99</v>
      </c>
      <c r="L4856" s="14">
        <v>0.99</v>
      </c>
      <c r="M4856" s="14">
        <v>0.99</v>
      </c>
      <c r="N4856" s="14">
        <v>0.99</v>
      </c>
      <c r="O4856" s="14">
        <v>0.99</v>
      </c>
      <c r="P4856" s="14">
        <v>0.99</v>
      </c>
      <c r="Q4856" s="14">
        <v>0.99</v>
      </c>
      <c r="R4856" s="14">
        <v>0.99</v>
      </c>
      <c r="S4856" s="14">
        <v>0.99</v>
      </c>
      <c r="T4856" s="14">
        <v>0.99</v>
      </c>
      <c r="U4856" s="14">
        <v>0.99</v>
      </c>
      <c r="V4856" s="14">
        <v>0.99</v>
      </c>
      <c r="W4856" s="14">
        <v>0.99</v>
      </c>
      <c r="X4856" s="14">
        <v>0.99</v>
      </c>
    </row>
    <row r="4857" spans="1:24" hidden="1" x14ac:dyDescent="0.3">
      <c r="A4857" s="14" t="s">
        <v>517</v>
      </c>
      <c r="B4857" s="14" t="s">
        <v>90</v>
      </c>
      <c r="C4857" s="14" t="s">
        <v>340</v>
      </c>
      <c r="D4857" s="14" t="s">
        <v>341</v>
      </c>
      <c r="E4857" s="14" t="s">
        <v>344</v>
      </c>
      <c r="F4857" s="14" t="s">
        <v>343</v>
      </c>
      <c r="G4857" s="14" t="s">
        <v>343</v>
      </c>
      <c r="H4857" s="14" t="s">
        <v>343</v>
      </c>
      <c r="I4857" s="14">
        <v>58</v>
      </c>
      <c r="J4857" s="14">
        <v>66</v>
      </c>
      <c r="K4857" s="14">
        <v>78</v>
      </c>
      <c r="L4857" s="14">
        <v>81</v>
      </c>
      <c r="M4857" s="14">
        <v>79</v>
      </c>
      <c r="N4857" s="14">
        <v>72</v>
      </c>
      <c r="O4857" s="14">
        <v>77</v>
      </c>
      <c r="P4857" s="14">
        <v>79</v>
      </c>
      <c r="Q4857" s="14">
        <v>82</v>
      </c>
      <c r="R4857" s="14">
        <v>78</v>
      </c>
      <c r="S4857" s="14">
        <v>73</v>
      </c>
      <c r="T4857" s="14">
        <v>67</v>
      </c>
      <c r="U4857" s="14">
        <v>75</v>
      </c>
      <c r="V4857" s="14">
        <v>75</v>
      </c>
      <c r="W4857" s="14">
        <v>77</v>
      </c>
      <c r="X4857" s="14">
        <v>64</v>
      </c>
    </row>
    <row r="4858" spans="1:24" hidden="1" x14ac:dyDescent="0.3">
      <c r="A4858" s="14" t="s">
        <v>517</v>
      </c>
      <c r="B4858" s="14" t="s">
        <v>90</v>
      </c>
      <c r="C4858" s="14" t="s">
        <v>345</v>
      </c>
      <c r="D4858" s="14" t="s">
        <v>346</v>
      </c>
      <c r="E4858" s="14" t="s">
        <v>342</v>
      </c>
      <c r="F4858" s="14" t="s">
        <v>343</v>
      </c>
      <c r="G4858" s="14" t="s">
        <v>343</v>
      </c>
      <c r="H4858" s="14" t="s">
        <v>343</v>
      </c>
      <c r="U4858" s="14">
        <v>0.63</v>
      </c>
      <c r="V4858" s="14">
        <v>0.6</v>
      </c>
      <c r="W4858" s="14">
        <v>0.61</v>
      </c>
      <c r="X4858" s="14">
        <v>0.61</v>
      </c>
    </row>
    <row r="4859" spans="1:24" hidden="1" x14ac:dyDescent="0.3">
      <c r="A4859" s="14" t="s">
        <v>517</v>
      </c>
      <c r="B4859" s="14" t="s">
        <v>90</v>
      </c>
      <c r="C4859" s="14" t="s">
        <v>345</v>
      </c>
      <c r="D4859" s="14" t="s">
        <v>346</v>
      </c>
      <c r="E4859" s="14" t="s">
        <v>344</v>
      </c>
      <c r="F4859" s="14" t="s">
        <v>343</v>
      </c>
      <c r="G4859" s="14" t="s">
        <v>343</v>
      </c>
      <c r="H4859" s="14" t="s">
        <v>343</v>
      </c>
      <c r="U4859" s="14">
        <v>65</v>
      </c>
      <c r="V4859" s="14">
        <v>87</v>
      </c>
      <c r="W4859" s="14">
        <v>79</v>
      </c>
      <c r="X4859" s="14">
        <v>90</v>
      </c>
    </row>
    <row r="4860" spans="1:24" hidden="1" x14ac:dyDescent="0.3">
      <c r="A4860" s="14" t="s">
        <v>517</v>
      </c>
      <c r="B4860" s="14" t="s">
        <v>90</v>
      </c>
      <c r="C4860" s="14" t="s">
        <v>347</v>
      </c>
      <c r="D4860" s="14" t="s">
        <v>348</v>
      </c>
      <c r="E4860" s="14" t="s">
        <v>342</v>
      </c>
      <c r="F4860" s="14" t="s">
        <v>343</v>
      </c>
      <c r="G4860" s="14" t="s">
        <v>343</v>
      </c>
      <c r="H4860" s="14" t="s">
        <v>343</v>
      </c>
      <c r="U4860" s="14">
        <v>0.62</v>
      </c>
      <c r="V4860" s="14">
        <v>0.6</v>
      </c>
      <c r="W4860" s="14">
        <v>0.62</v>
      </c>
      <c r="X4860" s="14">
        <v>0.6</v>
      </c>
    </row>
    <row r="4861" spans="1:24" hidden="1" x14ac:dyDescent="0.3">
      <c r="A4861" s="14" t="s">
        <v>517</v>
      </c>
      <c r="B4861" s="14" t="s">
        <v>90</v>
      </c>
      <c r="C4861" s="14" t="s">
        <v>347</v>
      </c>
      <c r="D4861" s="14" t="s">
        <v>348</v>
      </c>
      <c r="E4861" s="14" t="s">
        <v>344</v>
      </c>
      <c r="F4861" s="14" t="s">
        <v>343</v>
      </c>
      <c r="G4861" s="14" t="s">
        <v>343</v>
      </c>
      <c r="H4861" s="14" t="s">
        <v>343</v>
      </c>
      <c r="U4861" s="14">
        <v>122</v>
      </c>
      <c r="V4861" s="14">
        <v>126</v>
      </c>
      <c r="W4861" s="14">
        <v>123</v>
      </c>
      <c r="X4861" s="14">
        <v>116</v>
      </c>
    </row>
    <row r="4862" spans="1:24" hidden="1" x14ac:dyDescent="0.3">
      <c r="A4862" s="14" t="s">
        <v>517</v>
      </c>
      <c r="B4862" s="14" t="s">
        <v>90</v>
      </c>
      <c r="C4862" s="14" t="s">
        <v>349</v>
      </c>
      <c r="D4862" s="14" t="s">
        <v>350</v>
      </c>
      <c r="E4862" s="14" t="s">
        <v>342</v>
      </c>
      <c r="F4862" s="14" t="s">
        <v>343</v>
      </c>
      <c r="G4862" s="14" t="s">
        <v>343</v>
      </c>
      <c r="H4862" s="14" t="s">
        <v>343</v>
      </c>
      <c r="U4862" s="14">
        <v>0.48</v>
      </c>
      <c r="V4862" s="14">
        <v>0.55000000000000004</v>
      </c>
      <c r="W4862" s="14">
        <v>0.79</v>
      </c>
      <c r="X4862" s="14">
        <v>0.88</v>
      </c>
    </row>
    <row r="4863" spans="1:24" hidden="1" x14ac:dyDescent="0.3">
      <c r="A4863" s="14" t="s">
        <v>517</v>
      </c>
      <c r="B4863" s="14" t="s">
        <v>90</v>
      </c>
      <c r="C4863" s="14" t="s">
        <v>349</v>
      </c>
      <c r="D4863" s="14" t="s">
        <v>350</v>
      </c>
      <c r="E4863" s="14" t="s">
        <v>344</v>
      </c>
      <c r="F4863" s="14" t="s">
        <v>343</v>
      </c>
      <c r="G4863" s="14" t="s">
        <v>343</v>
      </c>
      <c r="H4863" s="14" t="s">
        <v>343</v>
      </c>
      <c r="U4863" s="14">
        <v>67</v>
      </c>
      <c r="V4863" s="14">
        <v>56</v>
      </c>
      <c r="W4863" s="14">
        <v>23</v>
      </c>
      <c r="X4863" s="14">
        <v>18</v>
      </c>
    </row>
    <row r="4864" spans="1:24" hidden="1" x14ac:dyDescent="0.3">
      <c r="A4864" s="14" t="s">
        <v>517</v>
      </c>
      <c r="B4864" s="14" t="s">
        <v>90</v>
      </c>
      <c r="C4864" s="14" t="s">
        <v>351</v>
      </c>
      <c r="D4864" s="14" t="s">
        <v>352</v>
      </c>
      <c r="E4864" s="14" t="s">
        <v>342</v>
      </c>
      <c r="F4864" s="14" t="s">
        <v>343</v>
      </c>
      <c r="G4864" s="14" t="s">
        <v>343</v>
      </c>
      <c r="H4864" s="14" t="s">
        <v>343</v>
      </c>
      <c r="U4864" s="14">
        <v>0.86</v>
      </c>
      <c r="V4864" s="14">
        <v>0.91</v>
      </c>
      <c r="W4864" s="14">
        <v>0.93</v>
      </c>
      <c r="X4864" s="14">
        <v>0.79</v>
      </c>
    </row>
    <row r="4865" spans="1:24" hidden="1" x14ac:dyDescent="0.3">
      <c r="A4865" s="14" t="s">
        <v>517</v>
      </c>
      <c r="B4865" s="14" t="s">
        <v>90</v>
      </c>
      <c r="C4865" s="14" t="s">
        <v>351</v>
      </c>
      <c r="D4865" s="14" t="s">
        <v>352</v>
      </c>
      <c r="E4865" s="14" t="s">
        <v>344</v>
      </c>
      <c r="F4865" s="14" t="s">
        <v>343</v>
      </c>
      <c r="G4865" s="14" t="s">
        <v>343</v>
      </c>
      <c r="H4865" s="14" t="s">
        <v>343</v>
      </c>
      <c r="U4865" s="14">
        <v>91</v>
      </c>
      <c r="V4865" s="14">
        <v>91</v>
      </c>
      <c r="W4865" s="14">
        <v>85</v>
      </c>
      <c r="X4865" s="14">
        <v>94</v>
      </c>
    </row>
    <row r="4866" spans="1:24" hidden="1" x14ac:dyDescent="0.3">
      <c r="A4866" s="14" t="s">
        <v>517</v>
      </c>
      <c r="B4866" s="14" t="s">
        <v>90</v>
      </c>
      <c r="C4866" s="14" t="s">
        <v>378</v>
      </c>
      <c r="D4866" s="14" t="s">
        <v>379</v>
      </c>
      <c r="E4866" s="14" t="s">
        <v>342</v>
      </c>
      <c r="F4866" s="14" t="s">
        <v>343</v>
      </c>
      <c r="G4866" s="14" t="s">
        <v>343</v>
      </c>
      <c r="H4866" s="14" t="s">
        <v>343</v>
      </c>
      <c r="S4866" s="14">
        <v>0.54</v>
      </c>
      <c r="U4866" s="14">
        <v>0.47</v>
      </c>
      <c r="V4866" s="14">
        <v>0.47</v>
      </c>
      <c r="W4866" s="14">
        <v>0.47</v>
      </c>
      <c r="X4866" s="14">
        <v>0.48</v>
      </c>
    </row>
    <row r="4867" spans="1:24" hidden="1" x14ac:dyDescent="0.3">
      <c r="A4867" s="14" t="s">
        <v>517</v>
      </c>
      <c r="B4867" s="14" t="s">
        <v>90</v>
      </c>
      <c r="C4867" s="14" t="s">
        <v>378</v>
      </c>
      <c r="D4867" s="14" t="s">
        <v>379</v>
      </c>
      <c r="E4867" s="14" t="s">
        <v>344</v>
      </c>
      <c r="F4867" s="14" t="s">
        <v>343</v>
      </c>
      <c r="G4867" s="14" t="s">
        <v>343</v>
      </c>
      <c r="H4867" s="14" t="s">
        <v>343</v>
      </c>
      <c r="S4867" s="14">
        <v>120</v>
      </c>
      <c r="U4867" s="14">
        <v>135</v>
      </c>
      <c r="V4867" s="14">
        <v>135</v>
      </c>
      <c r="W4867" s="14">
        <v>136</v>
      </c>
      <c r="X4867" s="14">
        <v>126</v>
      </c>
    </row>
    <row r="4868" spans="1:24" hidden="1" x14ac:dyDescent="0.3">
      <c r="A4868" s="14" t="s">
        <v>517</v>
      </c>
      <c r="B4868" s="14" t="s">
        <v>90</v>
      </c>
      <c r="C4868" s="14" t="s">
        <v>353</v>
      </c>
      <c r="D4868" s="14" t="s">
        <v>354</v>
      </c>
      <c r="E4868" s="14" t="s">
        <v>342</v>
      </c>
      <c r="F4868" s="14" t="s">
        <v>343</v>
      </c>
      <c r="G4868" s="14" t="s">
        <v>343</v>
      </c>
      <c r="H4868" s="14" t="s">
        <v>343</v>
      </c>
      <c r="U4868" s="14">
        <v>0.96</v>
      </c>
      <c r="V4868" s="14">
        <v>0.96</v>
      </c>
      <c r="W4868" s="14">
        <v>0.96</v>
      </c>
      <c r="X4868" s="14">
        <v>0.96</v>
      </c>
    </row>
    <row r="4869" spans="1:24" hidden="1" x14ac:dyDescent="0.3">
      <c r="A4869" s="14" t="s">
        <v>517</v>
      </c>
      <c r="B4869" s="14" t="s">
        <v>90</v>
      </c>
      <c r="C4869" s="14" t="s">
        <v>353</v>
      </c>
      <c r="D4869" s="14" t="s">
        <v>354</v>
      </c>
      <c r="E4869" s="14" t="s">
        <v>344</v>
      </c>
      <c r="F4869" s="14" t="s">
        <v>343</v>
      </c>
      <c r="G4869" s="14" t="s">
        <v>343</v>
      </c>
      <c r="H4869" s="14" t="s">
        <v>343</v>
      </c>
      <c r="U4869" s="14">
        <v>91</v>
      </c>
      <c r="V4869" s="14">
        <v>98</v>
      </c>
      <c r="W4869" s="14">
        <v>98</v>
      </c>
      <c r="X4869" s="14">
        <v>90</v>
      </c>
    </row>
    <row r="4870" spans="1:24" hidden="1" x14ac:dyDescent="0.3">
      <c r="A4870" s="14" t="s">
        <v>517</v>
      </c>
      <c r="B4870" s="14" t="s">
        <v>90</v>
      </c>
      <c r="C4870" s="14" t="s">
        <v>380</v>
      </c>
      <c r="D4870" s="14" t="s">
        <v>381</v>
      </c>
      <c r="E4870" s="14" t="s">
        <v>342</v>
      </c>
      <c r="F4870" s="14" t="s">
        <v>343</v>
      </c>
      <c r="G4870" s="14" t="s">
        <v>343</v>
      </c>
      <c r="H4870" s="14" t="s">
        <v>343</v>
      </c>
      <c r="U4870" s="14">
        <v>1</v>
      </c>
      <c r="V4870" s="14">
        <v>1</v>
      </c>
      <c r="W4870" s="14">
        <v>1</v>
      </c>
      <c r="X4870" s="14">
        <v>1</v>
      </c>
    </row>
    <row r="4871" spans="1:24" hidden="1" x14ac:dyDescent="0.3">
      <c r="A4871" s="14" t="s">
        <v>517</v>
      </c>
      <c r="B4871" s="14" t="s">
        <v>90</v>
      </c>
      <c r="C4871" s="14" t="s">
        <v>380</v>
      </c>
      <c r="D4871" s="14" t="s">
        <v>381</v>
      </c>
      <c r="E4871" s="14" t="s">
        <v>344</v>
      </c>
      <c r="F4871" s="14" t="s">
        <v>343</v>
      </c>
      <c r="G4871" s="14" t="s">
        <v>343</v>
      </c>
      <c r="H4871" s="14" t="s">
        <v>343</v>
      </c>
      <c r="U4871" s="14">
        <v>1</v>
      </c>
      <c r="V4871" s="14">
        <v>1</v>
      </c>
      <c r="W4871" s="14">
        <v>1</v>
      </c>
      <c r="X4871" s="14">
        <v>1</v>
      </c>
    </row>
    <row r="4872" spans="1:24" hidden="1" x14ac:dyDescent="0.3">
      <c r="A4872" s="14" t="s">
        <v>517</v>
      </c>
      <c r="B4872" s="14" t="s">
        <v>90</v>
      </c>
      <c r="C4872" s="14" t="s">
        <v>355</v>
      </c>
      <c r="D4872" s="14" t="s">
        <v>356</v>
      </c>
      <c r="E4872" s="14" t="s">
        <v>342</v>
      </c>
      <c r="F4872" s="14" t="s">
        <v>343</v>
      </c>
      <c r="G4872" s="14" t="s">
        <v>343</v>
      </c>
      <c r="H4872" s="14" t="s">
        <v>343</v>
      </c>
      <c r="U4872" s="14">
        <v>1</v>
      </c>
      <c r="V4872" s="14">
        <v>1</v>
      </c>
      <c r="W4872" s="14">
        <v>1</v>
      </c>
      <c r="X4872" s="14">
        <v>1</v>
      </c>
    </row>
    <row r="4873" spans="1:24" hidden="1" x14ac:dyDescent="0.3">
      <c r="A4873" s="14" t="s">
        <v>517</v>
      </c>
      <c r="B4873" s="14" t="s">
        <v>90</v>
      </c>
      <c r="C4873" s="14" t="s">
        <v>355</v>
      </c>
      <c r="D4873" s="14" t="s">
        <v>356</v>
      </c>
      <c r="E4873" s="14" t="s">
        <v>344</v>
      </c>
      <c r="F4873" s="14" t="s">
        <v>343</v>
      </c>
      <c r="G4873" s="14" t="s">
        <v>343</v>
      </c>
      <c r="H4873" s="14" t="s">
        <v>343</v>
      </c>
      <c r="U4873" s="14">
        <v>1</v>
      </c>
      <c r="V4873" s="14">
        <v>1</v>
      </c>
      <c r="W4873" s="14">
        <v>1</v>
      </c>
      <c r="X4873" s="14">
        <v>1</v>
      </c>
    </row>
    <row r="4874" spans="1:24" hidden="1" x14ac:dyDescent="0.3">
      <c r="A4874" s="14" t="s">
        <v>517</v>
      </c>
      <c r="B4874" s="14" t="s">
        <v>90</v>
      </c>
      <c r="C4874" s="14" t="s">
        <v>357</v>
      </c>
      <c r="D4874" s="14" t="s">
        <v>358</v>
      </c>
      <c r="E4874" s="14" t="s">
        <v>342</v>
      </c>
      <c r="F4874" s="14" t="s">
        <v>343</v>
      </c>
      <c r="G4874" s="14" t="s">
        <v>343</v>
      </c>
      <c r="H4874" s="14" t="s">
        <v>343</v>
      </c>
      <c r="U4874" s="14">
        <v>1</v>
      </c>
      <c r="V4874" s="14">
        <v>1</v>
      </c>
      <c r="W4874" s="14">
        <v>1</v>
      </c>
      <c r="X4874" s="14">
        <v>1</v>
      </c>
    </row>
    <row r="4875" spans="1:24" hidden="1" x14ac:dyDescent="0.3">
      <c r="A4875" s="14" t="s">
        <v>517</v>
      </c>
      <c r="B4875" s="14" t="s">
        <v>90</v>
      </c>
      <c r="C4875" s="14" t="s">
        <v>357</v>
      </c>
      <c r="D4875" s="14" t="s">
        <v>358</v>
      </c>
      <c r="E4875" s="14" t="s">
        <v>344</v>
      </c>
      <c r="F4875" s="14" t="s">
        <v>343</v>
      </c>
      <c r="G4875" s="14" t="s">
        <v>343</v>
      </c>
      <c r="H4875" s="14" t="s">
        <v>343</v>
      </c>
      <c r="U4875" s="14">
        <v>1</v>
      </c>
      <c r="V4875" s="14">
        <v>1</v>
      </c>
      <c r="W4875" s="14">
        <v>1</v>
      </c>
      <c r="X4875" s="14">
        <v>1</v>
      </c>
    </row>
    <row r="4876" spans="1:24" hidden="1" x14ac:dyDescent="0.3">
      <c r="A4876" s="14" t="s">
        <v>517</v>
      </c>
      <c r="B4876" s="14" t="s">
        <v>90</v>
      </c>
      <c r="C4876" s="14" t="s">
        <v>359</v>
      </c>
      <c r="D4876" s="14" t="s">
        <v>360</v>
      </c>
      <c r="E4876" s="14" t="s">
        <v>342</v>
      </c>
      <c r="F4876" s="14" t="s">
        <v>343</v>
      </c>
      <c r="G4876" s="14" t="s">
        <v>343</v>
      </c>
      <c r="H4876" s="14" t="s">
        <v>343</v>
      </c>
      <c r="I4876" s="14">
        <v>0.56999999999999995</v>
      </c>
      <c r="J4876" s="14">
        <v>0.57999999999999996</v>
      </c>
      <c r="K4876" s="14">
        <v>0.56000000000000005</v>
      </c>
      <c r="L4876" s="14">
        <v>0.57999999999999996</v>
      </c>
      <c r="M4876" s="14">
        <v>0.55000000000000004</v>
      </c>
      <c r="N4876" s="14">
        <v>0.54</v>
      </c>
      <c r="O4876" s="14">
        <v>0.54</v>
      </c>
      <c r="P4876" s="14">
        <v>0.53</v>
      </c>
      <c r="Q4876" s="14">
        <v>0.64</v>
      </c>
      <c r="R4876" s="14">
        <v>0.64</v>
      </c>
      <c r="S4876" s="14">
        <v>0.62</v>
      </c>
      <c r="T4876" s="14">
        <v>0.63</v>
      </c>
      <c r="U4876" s="14">
        <v>0.57999999999999996</v>
      </c>
      <c r="V4876" s="14">
        <v>0.59</v>
      </c>
      <c r="W4876" s="14">
        <v>0.63</v>
      </c>
      <c r="X4876" s="14">
        <v>0.63</v>
      </c>
    </row>
    <row r="4877" spans="1:24" hidden="1" x14ac:dyDescent="0.3">
      <c r="A4877" s="14" t="s">
        <v>517</v>
      </c>
      <c r="B4877" s="14" t="s">
        <v>90</v>
      </c>
      <c r="C4877" s="14" t="s">
        <v>359</v>
      </c>
      <c r="D4877" s="14" t="s">
        <v>360</v>
      </c>
      <c r="E4877" s="14" t="s">
        <v>344</v>
      </c>
      <c r="F4877" s="14" t="s">
        <v>343</v>
      </c>
      <c r="G4877" s="14" t="s">
        <v>343</v>
      </c>
      <c r="H4877" s="14" t="s">
        <v>343</v>
      </c>
      <c r="I4877" s="14">
        <v>73</v>
      </c>
      <c r="J4877" s="14">
        <v>91</v>
      </c>
      <c r="K4877" s="14">
        <v>97</v>
      </c>
      <c r="L4877" s="14">
        <v>98</v>
      </c>
      <c r="M4877" s="14">
        <v>102</v>
      </c>
      <c r="N4877" s="14">
        <v>108</v>
      </c>
      <c r="O4877" s="14">
        <v>112</v>
      </c>
      <c r="P4877" s="14">
        <v>114</v>
      </c>
      <c r="Q4877" s="14">
        <v>89</v>
      </c>
      <c r="R4877" s="14">
        <v>92</v>
      </c>
      <c r="S4877" s="14">
        <v>95</v>
      </c>
      <c r="T4877" s="14">
        <v>97</v>
      </c>
      <c r="U4877" s="14">
        <v>121</v>
      </c>
      <c r="V4877" s="14">
        <v>119</v>
      </c>
      <c r="W4877" s="14">
        <v>106</v>
      </c>
      <c r="X4877" s="14">
        <v>103</v>
      </c>
    </row>
    <row r="4878" spans="1:24" x14ac:dyDescent="0.3">
      <c r="A4878" s="14" t="s">
        <v>517</v>
      </c>
      <c r="B4878" s="14" t="s">
        <v>90</v>
      </c>
      <c r="C4878" s="14" t="s">
        <v>361</v>
      </c>
      <c r="D4878" s="14" t="s">
        <v>362</v>
      </c>
      <c r="E4878" s="14" t="s">
        <v>342</v>
      </c>
      <c r="F4878" s="14" t="s">
        <v>343</v>
      </c>
      <c r="G4878" s="14" t="s">
        <v>343</v>
      </c>
      <c r="H4878" s="14" t="s">
        <v>343</v>
      </c>
      <c r="I4878" s="14">
        <v>0.98</v>
      </c>
      <c r="J4878" s="14">
        <v>0.98</v>
      </c>
      <c r="K4878" s="14">
        <v>0.98</v>
      </c>
      <c r="L4878" s="14">
        <v>0.98</v>
      </c>
      <c r="M4878" s="14">
        <v>0.98</v>
      </c>
      <c r="N4878" s="14">
        <v>0.98</v>
      </c>
      <c r="O4878" s="14">
        <v>0.98</v>
      </c>
      <c r="P4878" s="14">
        <v>0.98</v>
      </c>
      <c r="Q4878" s="14">
        <v>0.98</v>
      </c>
      <c r="R4878" s="14">
        <v>0.98</v>
      </c>
      <c r="S4878" s="14">
        <v>0.98</v>
      </c>
      <c r="T4878" s="14">
        <v>0.98</v>
      </c>
      <c r="U4878" s="14">
        <v>0.98</v>
      </c>
      <c r="V4878" s="14">
        <v>0.98</v>
      </c>
      <c r="W4878" s="14">
        <v>0.98</v>
      </c>
      <c r="X4878" s="14">
        <v>0.98</v>
      </c>
    </row>
    <row r="4879" spans="1:24" hidden="1" x14ac:dyDescent="0.3">
      <c r="A4879" s="14" t="s">
        <v>517</v>
      </c>
      <c r="B4879" s="14" t="s">
        <v>90</v>
      </c>
      <c r="C4879" s="14" t="s">
        <v>361</v>
      </c>
      <c r="D4879" s="14" t="s">
        <v>362</v>
      </c>
      <c r="E4879" s="14" t="s">
        <v>344</v>
      </c>
      <c r="F4879" s="14" t="s">
        <v>343</v>
      </c>
      <c r="G4879" s="14" t="s">
        <v>343</v>
      </c>
      <c r="H4879" s="14" t="s">
        <v>343</v>
      </c>
      <c r="I4879" s="14">
        <v>1</v>
      </c>
      <c r="J4879" s="14">
        <v>1</v>
      </c>
      <c r="K4879" s="14">
        <v>1</v>
      </c>
      <c r="L4879" s="14">
        <v>1</v>
      </c>
      <c r="M4879" s="14">
        <v>1</v>
      </c>
      <c r="N4879" s="14">
        <v>1</v>
      </c>
      <c r="O4879" s="14">
        <v>1</v>
      </c>
      <c r="P4879" s="14">
        <v>1</v>
      </c>
      <c r="Q4879" s="14">
        <v>1</v>
      </c>
      <c r="R4879" s="14">
        <v>1</v>
      </c>
      <c r="S4879" s="14">
        <v>1</v>
      </c>
      <c r="T4879" s="14">
        <v>1</v>
      </c>
      <c r="U4879" s="14">
        <v>1</v>
      </c>
      <c r="V4879" s="14">
        <v>1</v>
      </c>
      <c r="W4879" s="14">
        <v>1</v>
      </c>
      <c r="X4879" s="14">
        <v>1</v>
      </c>
    </row>
    <row r="4880" spans="1:24" hidden="1" x14ac:dyDescent="0.3">
      <c r="A4880" s="14" t="s">
        <v>517</v>
      </c>
      <c r="B4880" s="14" t="s">
        <v>90</v>
      </c>
      <c r="C4880" s="14" t="s">
        <v>363</v>
      </c>
      <c r="D4880" s="14" t="s">
        <v>364</v>
      </c>
      <c r="E4880" s="14" t="s">
        <v>342</v>
      </c>
      <c r="F4880" s="14" t="s">
        <v>343</v>
      </c>
      <c r="G4880" s="14" t="s">
        <v>343</v>
      </c>
      <c r="H4880" s="14" t="s">
        <v>343</v>
      </c>
      <c r="U4880" s="14">
        <v>1.06</v>
      </c>
      <c r="V4880" s="14">
        <v>1.06</v>
      </c>
      <c r="W4880" s="14">
        <v>1.06</v>
      </c>
      <c r="X4880" s="14">
        <v>1.06</v>
      </c>
    </row>
    <row r="4881" spans="1:24" hidden="1" x14ac:dyDescent="0.3">
      <c r="A4881" s="14" t="s">
        <v>517</v>
      </c>
      <c r="B4881" s="14" t="s">
        <v>90</v>
      </c>
      <c r="C4881" s="14" t="s">
        <v>363</v>
      </c>
      <c r="D4881" s="14" t="s">
        <v>364</v>
      </c>
      <c r="E4881" s="14" t="s">
        <v>344</v>
      </c>
      <c r="F4881" s="14" t="s">
        <v>343</v>
      </c>
      <c r="G4881" s="14" t="s">
        <v>343</v>
      </c>
      <c r="H4881" s="14" t="s">
        <v>343</v>
      </c>
      <c r="U4881" s="14">
        <v>1</v>
      </c>
      <c r="V4881" s="14">
        <v>1</v>
      </c>
      <c r="W4881" s="14">
        <v>1</v>
      </c>
      <c r="X4881" s="14">
        <v>1</v>
      </c>
    </row>
    <row r="4882" spans="1:24" hidden="1" x14ac:dyDescent="0.3">
      <c r="A4882" s="14" t="s">
        <v>517</v>
      </c>
      <c r="B4882" s="14" t="s">
        <v>90</v>
      </c>
      <c r="C4882" s="14" t="s">
        <v>365</v>
      </c>
      <c r="D4882" s="14" t="s">
        <v>366</v>
      </c>
      <c r="E4882" s="14" t="s">
        <v>342</v>
      </c>
      <c r="F4882" s="14" t="s">
        <v>343</v>
      </c>
      <c r="G4882" s="14" t="s">
        <v>343</v>
      </c>
      <c r="H4882" s="14" t="s">
        <v>343</v>
      </c>
      <c r="U4882" s="14">
        <v>0.94</v>
      </c>
      <c r="V4882" s="14">
        <v>0.94</v>
      </c>
      <c r="W4882" s="14">
        <v>0.94</v>
      </c>
      <c r="X4882" s="14">
        <v>0.94</v>
      </c>
    </row>
    <row r="4883" spans="1:24" hidden="1" x14ac:dyDescent="0.3">
      <c r="A4883" s="14" t="s">
        <v>517</v>
      </c>
      <c r="B4883" s="14" t="s">
        <v>90</v>
      </c>
      <c r="C4883" s="14" t="s">
        <v>365</v>
      </c>
      <c r="D4883" s="14" t="s">
        <v>366</v>
      </c>
      <c r="E4883" s="14" t="s">
        <v>344</v>
      </c>
      <c r="F4883" s="14" t="s">
        <v>343</v>
      </c>
      <c r="G4883" s="14" t="s">
        <v>343</v>
      </c>
      <c r="H4883" s="14" t="s">
        <v>343</v>
      </c>
      <c r="U4883" s="14">
        <v>1</v>
      </c>
      <c r="V4883" s="14">
        <v>1</v>
      </c>
      <c r="W4883" s="14">
        <v>1</v>
      </c>
      <c r="X4883" s="14">
        <v>1</v>
      </c>
    </row>
    <row r="4884" spans="1:24" hidden="1" x14ac:dyDescent="0.3">
      <c r="A4884" s="14" t="s">
        <v>517</v>
      </c>
      <c r="B4884" s="14" t="s">
        <v>90</v>
      </c>
      <c r="C4884" s="14" t="s">
        <v>367</v>
      </c>
      <c r="D4884" s="14" t="s">
        <v>368</v>
      </c>
      <c r="E4884" s="14" t="s">
        <v>342</v>
      </c>
      <c r="F4884" s="14" t="s">
        <v>343</v>
      </c>
      <c r="G4884" s="14" t="s">
        <v>343</v>
      </c>
      <c r="H4884" s="14" t="s">
        <v>343</v>
      </c>
      <c r="I4884" s="14">
        <v>0.68</v>
      </c>
      <c r="J4884" s="14">
        <v>0.69</v>
      </c>
      <c r="K4884" s="14">
        <v>0.69</v>
      </c>
      <c r="L4884" s="14">
        <v>0.69</v>
      </c>
      <c r="M4884" s="14">
        <v>0.66</v>
      </c>
      <c r="N4884" s="14">
        <v>0.66</v>
      </c>
      <c r="O4884" s="14">
        <v>0.66</v>
      </c>
      <c r="P4884" s="14">
        <v>0.66</v>
      </c>
      <c r="Q4884" s="14">
        <v>0.69</v>
      </c>
      <c r="R4884" s="14">
        <v>0.71</v>
      </c>
      <c r="S4884" s="14">
        <v>0.7</v>
      </c>
      <c r="T4884" s="14">
        <v>0.7</v>
      </c>
      <c r="U4884" s="14">
        <v>0.69</v>
      </c>
      <c r="V4884" s="14">
        <v>0.71</v>
      </c>
      <c r="W4884" s="14">
        <v>0.74</v>
      </c>
      <c r="X4884" s="14">
        <v>0.73</v>
      </c>
    </row>
    <row r="4885" spans="1:24" hidden="1" x14ac:dyDescent="0.3">
      <c r="A4885" s="14" t="s">
        <v>517</v>
      </c>
      <c r="B4885" s="14" t="s">
        <v>90</v>
      </c>
      <c r="C4885" s="14" t="s">
        <v>367</v>
      </c>
      <c r="D4885" s="14" t="s">
        <v>368</v>
      </c>
      <c r="E4885" s="14" t="s">
        <v>344</v>
      </c>
      <c r="F4885" s="14" t="s">
        <v>343</v>
      </c>
      <c r="G4885" s="14" t="s">
        <v>343</v>
      </c>
      <c r="H4885" s="14" t="s">
        <v>343</v>
      </c>
      <c r="I4885" s="14">
        <v>39</v>
      </c>
      <c r="J4885" s="14">
        <v>48</v>
      </c>
      <c r="K4885" s="14">
        <v>58</v>
      </c>
      <c r="L4885" s="14">
        <v>55</v>
      </c>
      <c r="M4885" s="14">
        <v>90</v>
      </c>
      <c r="N4885" s="14">
        <v>94</v>
      </c>
      <c r="O4885" s="14">
        <v>94</v>
      </c>
      <c r="P4885" s="14">
        <v>96</v>
      </c>
      <c r="Q4885" s="14">
        <v>84</v>
      </c>
      <c r="R4885" s="14">
        <v>62</v>
      </c>
      <c r="S4885" s="14">
        <v>64</v>
      </c>
      <c r="T4885" s="14">
        <v>62</v>
      </c>
      <c r="U4885" s="14">
        <v>87</v>
      </c>
      <c r="V4885" s="14">
        <v>80</v>
      </c>
      <c r="W4885" s="14">
        <v>43</v>
      </c>
      <c r="X4885" s="14">
        <v>59</v>
      </c>
    </row>
    <row r="4886" spans="1:24" hidden="1" x14ac:dyDescent="0.3">
      <c r="A4886" s="14" t="s">
        <v>517</v>
      </c>
      <c r="B4886" s="14" t="s">
        <v>90</v>
      </c>
      <c r="C4886" s="14" t="s">
        <v>369</v>
      </c>
      <c r="D4886" s="14" t="s">
        <v>370</v>
      </c>
      <c r="E4886" s="14" t="s">
        <v>342</v>
      </c>
      <c r="F4886" s="14" t="s">
        <v>343</v>
      </c>
      <c r="G4886" s="14" t="s">
        <v>343</v>
      </c>
      <c r="H4886" s="14" t="s">
        <v>343</v>
      </c>
      <c r="I4886" s="14">
        <v>0.2</v>
      </c>
      <c r="J4886" s="14">
        <v>0.2</v>
      </c>
      <c r="K4886" s="14">
        <v>0.22</v>
      </c>
      <c r="L4886" s="14">
        <v>0.23</v>
      </c>
      <c r="M4886" s="14">
        <v>0.12</v>
      </c>
      <c r="N4886" s="14">
        <v>0.12</v>
      </c>
      <c r="O4886" s="14">
        <v>0.14000000000000001</v>
      </c>
      <c r="P4886" s="14">
        <v>0.14000000000000001</v>
      </c>
      <c r="Q4886" s="14">
        <v>0.14000000000000001</v>
      </c>
      <c r="R4886" s="14">
        <v>0.21</v>
      </c>
      <c r="S4886" s="14">
        <v>0.21</v>
      </c>
      <c r="T4886" s="14">
        <v>0.21</v>
      </c>
      <c r="U4886" s="14">
        <v>0.21</v>
      </c>
      <c r="V4886" s="14">
        <v>0.26</v>
      </c>
      <c r="W4886" s="14">
        <v>0.35</v>
      </c>
      <c r="X4886" s="14">
        <v>0.31</v>
      </c>
    </row>
    <row r="4887" spans="1:24" hidden="1" x14ac:dyDescent="0.3">
      <c r="A4887" s="14" t="s">
        <v>517</v>
      </c>
      <c r="B4887" s="14" t="s">
        <v>90</v>
      </c>
      <c r="C4887" s="14" t="s">
        <v>369</v>
      </c>
      <c r="D4887" s="14" t="s">
        <v>370</v>
      </c>
      <c r="E4887" s="14" t="s">
        <v>344</v>
      </c>
      <c r="F4887" s="14" t="s">
        <v>343</v>
      </c>
      <c r="G4887" s="14" t="s">
        <v>343</v>
      </c>
      <c r="H4887" s="14" t="s">
        <v>343</v>
      </c>
      <c r="I4887" s="14">
        <v>24</v>
      </c>
      <c r="J4887" s="14">
        <v>26</v>
      </c>
      <c r="K4887" s="14">
        <v>32</v>
      </c>
      <c r="L4887" s="14">
        <v>32</v>
      </c>
      <c r="M4887" s="14">
        <v>73</v>
      </c>
      <c r="N4887" s="14">
        <v>72</v>
      </c>
      <c r="O4887" s="14">
        <v>66</v>
      </c>
      <c r="P4887" s="14">
        <v>70</v>
      </c>
      <c r="Q4887" s="14">
        <v>80</v>
      </c>
      <c r="R4887" s="14">
        <v>49</v>
      </c>
      <c r="S4887" s="14">
        <v>52</v>
      </c>
      <c r="T4887" s="14">
        <v>56</v>
      </c>
      <c r="U4887" s="14">
        <v>57</v>
      </c>
      <c r="V4887" s="14">
        <v>47</v>
      </c>
      <c r="W4887" s="14">
        <v>35</v>
      </c>
      <c r="X4887" s="14">
        <v>43</v>
      </c>
    </row>
    <row r="4888" spans="1:24" hidden="1" x14ac:dyDescent="0.3">
      <c r="A4888" s="14" t="s">
        <v>517</v>
      </c>
      <c r="B4888" s="14" t="s">
        <v>90</v>
      </c>
      <c r="C4888" s="14" t="s">
        <v>371</v>
      </c>
      <c r="D4888" s="14" t="s">
        <v>372</v>
      </c>
      <c r="E4888" s="14" t="s">
        <v>342</v>
      </c>
      <c r="F4888" s="14" t="s">
        <v>343</v>
      </c>
      <c r="G4888" s="14" t="s">
        <v>343</v>
      </c>
      <c r="H4888" s="14" t="s">
        <v>343</v>
      </c>
      <c r="U4888" s="14">
        <v>0</v>
      </c>
      <c r="V4888" s="14">
        <v>0</v>
      </c>
      <c r="W4888" s="14">
        <v>0</v>
      </c>
      <c r="X4888" s="14">
        <v>0</v>
      </c>
    </row>
    <row r="4889" spans="1:24" hidden="1" x14ac:dyDescent="0.3">
      <c r="A4889" s="14" t="s">
        <v>517</v>
      </c>
      <c r="B4889" s="14" t="s">
        <v>90</v>
      </c>
      <c r="C4889" s="14" t="s">
        <v>371</v>
      </c>
      <c r="D4889" s="14" t="s">
        <v>372</v>
      </c>
      <c r="E4889" s="14" t="s">
        <v>344</v>
      </c>
      <c r="F4889" s="14" t="s">
        <v>343</v>
      </c>
      <c r="G4889" s="14" t="s">
        <v>343</v>
      </c>
      <c r="H4889" s="14" t="s">
        <v>343</v>
      </c>
      <c r="U4889" s="14">
        <v>71</v>
      </c>
      <c r="V4889" s="14">
        <v>73</v>
      </c>
      <c r="W4889" s="14">
        <v>76</v>
      </c>
      <c r="X4889" s="14">
        <v>78</v>
      </c>
    </row>
    <row r="4890" spans="1:24" hidden="1" x14ac:dyDescent="0.3">
      <c r="A4890" s="14" t="s">
        <v>517</v>
      </c>
      <c r="B4890" s="14" t="s">
        <v>90</v>
      </c>
      <c r="C4890" s="14" t="s">
        <v>373</v>
      </c>
      <c r="D4890" s="14" t="s">
        <v>374</v>
      </c>
      <c r="E4890" s="14" t="s">
        <v>342</v>
      </c>
      <c r="F4890" s="14" t="s">
        <v>343</v>
      </c>
      <c r="G4890" s="14" t="s">
        <v>343</v>
      </c>
      <c r="H4890" s="14" t="s">
        <v>343</v>
      </c>
      <c r="U4890" s="14">
        <v>0.27</v>
      </c>
      <c r="V4890" s="14">
        <v>0.5</v>
      </c>
      <c r="W4890" s="14">
        <v>0.78</v>
      </c>
      <c r="X4890" s="14">
        <v>0.78</v>
      </c>
    </row>
    <row r="4891" spans="1:24" hidden="1" x14ac:dyDescent="0.3">
      <c r="A4891" s="14" t="s">
        <v>517</v>
      </c>
      <c r="B4891" s="14" t="s">
        <v>90</v>
      </c>
      <c r="C4891" s="14" t="s">
        <v>373</v>
      </c>
      <c r="D4891" s="14" t="s">
        <v>374</v>
      </c>
      <c r="E4891" s="14" t="s">
        <v>344</v>
      </c>
      <c r="F4891" s="14" t="s">
        <v>343</v>
      </c>
      <c r="G4891" s="14" t="s">
        <v>343</v>
      </c>
      <c r="H4891" s="14" t="s">
        <v>343</v>
      </c>
      <c r="U4891" s="14">
        <v>63</v>
      </c>
      <c r="V4891" s="14">
        <v>29</v>
      </c>
      <c r="W4891" s="14">
        <v>16</v>
      </c>
      <c r="X4891" s="14">
        <v>16</v>
      </c>
    </row>
    <row r="4892" spans="1:24" hidden="1" x14ac:dyDescent="0.3">
      <c r="A4892" s="14" t="s">
        <v>517</v>
      </c>
      <c r="B4892" s="14" t="s">
        <v>90</v>
      </c>
      <c r="C4892" s="14" t="s">
        <v>375</v>
      </c>
      <c r="D4892" s="14" t="s">
        <v>376</v>
      </c>
      <c r="E4892" s="14" t="s">
        <v>342</v>
      </c>
      <c r="F4892" s="14" t="s">
        <v>343</v>
      </c>
      <c r="G4892" s="14" t="s">
        <v>343</v>
      </c>
      <c r="H4892" s="14" t="s">
        <v>343</v>
      </c>
      <c r="U4892" s="14">
        <v>0.45</v>
      </c>
      <c r="V4892" s="14">
        <v>0.45</v>
      </c>
      <c r="W4892" s="14">
        <v>0.5</v>
      </c>
      <c r="X4892" s="14">
        <v>0.38</v>
      </c>
    </row>
    <row r="4893" spans="1:24" hidden="1" x14ac:dyDescent="0.3">
      <c r="A4893" s="14" t="s">
        <v>517</v>
      </c>
      <c r="B4893" s="14" t="s">
        <v>90</v>
      </c>
      <c r="C4893" s="14" t="s">
        <v>375</v>
      </c>
      <c r="D4893" s="14" t="s">
        <v>376</v>
      </c>
      <c r="E4893" s="14" t="s">
        <v>344</v>
      </c>
      <c r="F4893" s="14" t="s">
        <v>343</v>
      </c>
      <c r="G4893" s="14" t="s">
        <v>343</v>
      </c>
      <c r="H4893" s="14" t="s">
        <v>343</v>
      </c>
      <c r="U4893" s="14">
        <v>40</v>
      </c>
      <c r="V4893" s="14">
        <v>40</v>
      </c>
      <c r="W4893" s="14">
        <v>38</v>
      </c>
      <c r="X4893" s="14">
        <v>65</v>
      </c>
    </row>
    <row r="4894" spans="1:24" hidden="1" x14ac:dyDescent="0.3">
      <c r="A4894" s="14" t="s">
        <v>518</v>
      </c>
      <c r="B4894" s="14" t="s">
        <v>213</v>
      </c>
      <c r="C4894" s="14" t="s">
        <v>340</v>
      </c>
      <c r="D4894" s="14" t="s">
        <v>341</v>
      </c>
      <c r="E4894" s="14" t="s">
        <v>342</v>
      </c>
      <c r="F4894" s="14" t="s">
        <v>343</v>
      </c>
      <c r="G4894" s="14" t="s">
        <v>343</v>
      </c>
      <c r="H4894" s="14" t="s">
        <v>343</v>
      </c>
      <c r="O4894" s="14">
        <v>0.99</v>
      </c>
      <c r="P4894" s="14">
        <v>0.99</v>
      </c>
      <c r="Q4894" s="14">
        <v>1</v>
      </c>
      <c r="R4894" s="14">
        <v>1</v>
      </c>
      <c r="S4894" s="14">
        <v>1</v>
      </c>
      <c r="T4894" s="14">
        <v>1</v>
      </c>
      <c r="U4894" s="14">
        <v>1</v>
      </c>
      <c r="V4894" s="14">
        <v>1</v>
      </c>
      <c r="W4894" s="14">
        <v>1</v>
      </c>
      <c r="X4894" s="14">
        <v>1</v>
      </c>
    </row>
    <row r="4895" spans="1:24" hidden="1" x14ac:dyDescent="0.3">
      <c r="A4895" s="14" t="s">
        <v>518</v>
      </c>
      <c r="B4895" s="14" t="s">
        <v>213</v>
      </c>
      <c r="C4895" s="14" t="s">
        <v>340</v>
      </c>
      <c r="D4895" s="14" t="s">
        <v>341</v>
      </c>
      <c r="E4895" s="14" t="s">
        <v>344</v>
      </c>
      <c r="F4895" s="14" t="s">
        <v>343</v>
      </c>
      <c r="G4895" s="14" t="s">
        <v>343</v>
      </c>
      <c r="H4895" s="14" t="s">
        <v>343</v>
      </c>
      <c r="O4895" s="14">
        <v>61</v>
      </c>
      <c r="P4895" s="14">
        <v>55</v>
      </c>
      <c r="Q4895" s="14">
        <v>54</v>
      </c>
      <c r="R4895" s="14">
        <v>52</v>
      </c>
      <c r="S4895" s="14">
        <v>49</v>
      </c>
      <c r="T4895" s="14">
        <v>47</v>
      </c>
      <c r="U4895" s="14">
        <v>51</v>
      </c>
      <c r="V4895" s="14">
        <v>53</v>
      </c>
      <c r="W4895" s="14">
        <v>52</v>
      </c>
      <c r="X4895" s="14">
        <v>37</v>
      </c>
    </row>
    <row r="4896" spans="1:24" hidden="1" x14ac:dyDescent="0.3">
      <c r="A4896" s="14" t="s">
        <v>518</v>
      </c>
      <c r="B4896" s="14" t="s">
        <v>213</v>
      </c>
      <c r="C4896" s="14" t="s">
        <v>345</v>
      </c>
      <c r="D4896" s="14" t="s">
        <v>346</v>
      </c>
      <c r="E4896" s="14" t="s">
        <v>342</v>
      </c>
      <c r="F4896" s="14" t="s">
        <v>343</v>
      </c>
      <c r="G4896" s="14" t="s">
        <v>343</v>
      </c>
      <c r="H4896" s="14" t="s">
        <v>343</v>
      </c>
      <c r="U4896" s="14">
        <v>0.65</v>
      </c>
      <c r="V4896" s="14">
        <v>0.68</v>
      </c>
      <c r="W4896" s="14">
        <v>0.69</v>
      </c>
      <c r="X4896" s="14">
        <v>0.67</v>
      </c>
    </row>
    <row r="4897" spans="1:24" hidden="1" x14ac:dyDescent="0.3">
      <c r="A4897" s="14" t="s">
        <v>518</v>
      </c>
      <c r="B4897" s="14" t="s">
        <v>213</v>
      </c>
      <c r="C4897" s="14" t="s">
        <v>345</v>
      </c>
      <c r="D4897" s="14" t="s">
        <v>346</v>
      </c>
      <c r="E4897" s="14" t="s">
        <v>344</v>
      </c>
      <c r="F4897" s="14" t="s">
        <v>343</v>
      </c>
      <c r="G4897" s="14" t="s">
        <v>343</v>
      </c>
      <c r="H4897" s="14" t="s">
        <v>343</v>
      </c>
      <c r="U4897" s="14">
        <v>57</v>
      </c>
      <c r="V4897" s="14">
        <v>45</v>
      </c>
      <c r="W4897" s="14">
        <v>48</v>
      </c>
      <c r="X4897" s="14">
        <v>62</v>
      </c>
    </row>
    <row r="4898" spans="1:24" hidden="1" x14ac:dyDescent="0.3">
      <c r="A4898" s="14" t="s">
        <v>518</v>
      </c>
      <c r="B4898" s="14" t="s">
        <v>213</v>
      </c>
      <c r="C4898" s="14" t="s">
        <v>347</v>
      </c>
      <c r="D4898" s="14" t="s">
        <v>348</v>
      </c>
      <c r="E4898" s="14" t="s">
        <v>342</v>
      </c>
      <c r="F4898" s="14" t="s">
        <v>343</v>
      </c>
      <c r="G4898" s="14" t="s">
        <v>343</v>
      </c>
      <c r="H4898" s="14" t="s">
        <v>343</v>
      </c>
      <c r="U4898" s="14">
        <v>0.8</v>
      </c>
      <c r="V4898" s="14">
        <v>0.81</v>
      </c>
      <c r="W4898" s="14">
        <v>0.82</v>
      </c>
      <c r="X4898" s="14">
        <v>0.75</v>
      </c>
    </row>
    <row r="4899" spans="1:24" hidden="1" x14ac:dyDescent="0.3">
      <c r="A4899" s="14" t="s">
        <v>518</v>
      </c>
      <c r="B4899" s="14" t="s">
        <v>213</v>
      </c>
      <c r="C4899" s="14" t="s">
        <v>347</v>
      </c>
      <c r="D4899" s="14" t="s">
        <v>348</v>
      </c>
      <c r="E4899" s="14" t="s">
        <v>344</v>
      </c>
      <c r="F4899" s="14" t="s">
        <v>343</v>
      </c>
      <c r="G4899" s="14" t="s">
        <v>343</v>
      </c>
      <c r="H4899" s="14" t="s">
        <v>343</v>
      </c>
      <c r="U4899" s="14">
        <v>76</v>
      </c>
      <c r="V4899" s="14">
        <v>80</v>
      </c>
      <c r="W4899" s="14">
        <v>76</v>
      </c>
      <c r="X4899" s="14">
        <v>85</v>
      </c>
    </row>
    <row r="4900" spans="1:24" hidden="1" x14ac:dyDescent="0.3">
      <c r="A4900" s="14" t="s">
        <v>518</v>
      </c>
      <c r="B4900" s="14" t="s">
        <v>213</v>
      </c>
      <c r="C4900" s="14" t="s">
        <v>349</v>
      </c>
      <c r="D4900" s="14" t="s">
        <v>350</v>
      </c>
      <c r="E4900" s="14" t="s">
        <v>342</v>
      </c>
      <c r="F4900" s="14" t="s">
        <v>343</v>
      </c>
      <c r="G4900" s="14" t="s">
        <v>343</v>
      </c>
      <c r="H4900" s="14" t="s">
        <v>343</v>
      </c>
      <c r="U4900" s="14">
        <v>0.44</v>
      </c>
      <c r="V4900" s="14">
        <v>0.46</v>
      </c>
      <c r="W4900" s="14">
        <v>0.49</v>
      </c>
      <c r="X4900" s="14">
        <v>0.46</v>
      </c>
    </row>
    <row r="4901" spans="1:24" hidden="1" x14ac:dyDescent="0.3">
      <c r="A4901" s="14" t="s">
        <v>518</v>
      </c>
      <c r="B4901" s="14" t="s">
        <v>213</v>
      </c>
      <c r="C4901" s="14" t="s">
        <v>349</v>
      </c>
      <c r="D4901" s="14" t="s">
        <v>350</v>
      </c>
      <c r="E4901" s="14" t="s">
        <v>344</v>
      </c>
      <c r="F4901" s="14" t="s">
        <v>343</v>
      </c>
      <c r="G4901" s="14" t="s">
        <v>343</v>
      </c>
      <c r="H4901" s="14" t="s">
        <v>343</v>
      </c>
      <c r="U4901" s="14">
        <v>79</v>
      </c>
      <c r="V4901" s="14">
        <v>82</v>
      </c>
      <c r="W4901" s="14">
        <v>79</v>
      </c>
      <c r="X4901" s="14">
        <v>85</v>
      </c>
    </row>
    <row r="4902" spans="1:24" hidden="1" x14ac:dyDescent="0.3">
      <c r="A4902" s="14" t="s">
        <v>518</v>
      </c>
      <c r="B4902" s="14" t="s">
        <v>213</v>
      </c>
      <c r="C4902" s="14" t="s">
        <v>351</v>
      </c>
      <c r="D4902" s="14" t="s">
        <v>352</v>
      </c>
      <c r="E4902" s="14" t="s">
        <v>342</v>
      </c>
      <c r="F4902" s="14" t="s">
        <v>343</v>
      </c>
      <c r="G4902" s="14" t="s">
        <v>343</v>
      </c>
      <c r="H4902" s="14" t="s">
        <v>343</v>
      </c>
      <c r="U4902" s="14">
        <v>1</v>
      </c>
      <c r="V4902" s="14">
        <v>1</v>
      </c>
      <c r="W4902" s="14">
        <v>1</v>
      </c>
      <c r="X4902" s="14">
        <v>1</v>
      </c>
    </row>
    <row r="4903" spans="1:24" hidden="1" x14ac:dyDescent="0.3">
      <c r="A4903" s="14" t="s">
        <v>518</v>
      </c>
      <c r="B4903" s="14" t="s">
        <v>213</v>
      </c>
      <c r="C4903" s="14" t="s">
        <v>351</v>
      </c>
      <c r="D4903" s="14" t="s">
        <v>352</v>
      </c>
      <c r="E4903" s="14" t="s">
        <v>344</v>
      </c>
      <c r="F4903" s="14" t="s">
        <v>343</v>
      </c>
      <c r="G4903" s="14" t="s">
        <v>343</v>
      </c>
      <c r="H4903" s="14" t="s">
        <v>343</v>
      </c>
      <c r="U4903" s="14">
        <v>1</v>
      </c>
      <c r="V4903" s="14">
        <v>1</v>
      </c>
      <c r="W4903" s="14">
        <v>1</v>
      </c>
      <c r="X4903" s="14">
        <v>1</v>
      </c>
    </row>
    <row r="4904" spans="1:24" hidden="1" x14ac:dyDescent="0.3">
      <c r="A4904" s="14" t="s">
        <v>518</v>
      </c>
      <c r="B4904" s="14" t="s">
        <v>213</v>
      </c>
      <c r="C4904" s="14" t="s">
        <v>378</v>
      </c>
      <c r="D4904" s="14" t="s">
        <v>379</v>
      </c>
      <c r="E4904" s="14" t="s">
        <v>342</v>
      </c>
      <c r="F4904" s="14" t="s">
        <v>343</v>
      </c>
      <c r="G4904" s="14" t="s">
        <v>343</v>
      </c>
      <c r="H4904" s="14" t="s">
        <v>343</v>
      </c>
      <c r="S4904" s="14">
        <v>0.61</v>
      </c>
      <c r="U4904" s="14">
        <v>0.57999999999999996</v>
      </c>
      <c r="V4904" s="14">
        <v>0.64</v>
      </c>
      <c r="W4904" s="14">
        <v>0.66</v>
      </c>
      <c r="X4904" s="14">
        <v>0.66</v>
      </c>
    </row>
    <row r="4905" spans="1:24" hidden="1" x14ac:dyDescent="0.3">
      <c r="A4905" s="14" t="s">
        <v>518</v>
      </c>
      <c r="B4905" s="14" t="s">
        <v>213</v>
      </c>
      <c r="C4905" s="14" t="s">
        <v>378</v>
      </c>
      <c r="D4905" s="14" t="s">
        <v>379</v>
      </c>
      <c r="E4905" s="14" t="s">
        <v>344</v>
      </c>
      <c r="F4905" s="14" t="s">
        <v>343</v>
      </c>
      <c r="G4905" s="14" t="s">
        <v>343</v>
      </c>
      <c r="H4905" s="14" t="s">
        <v>343</v>
      </c>
      <c r="S4905" s="14">
        <v>90</v>
      </c>
      <c r="U4905" s="14">
        <v>102</v>
      </c>
      <c r="V4905" s="14">
        <v>78</v>
      </c>
      <c r="W4905" s="14">
        <v>76</v>
      </c>
      <c r="X4905" s="14">
        <v>73</v>
      </c>
    </row>
    <row r="4906" spans="1:24" hidden="1" x14ac:dyDescent="0.3">
      <c r="A4906" s="14" t="s">
        <v>518</v>
      </c>
      <c r="B4906" s="14" t="s">
        <v>213</v>
      </c>
      <c r="C4906" s="14" t="s">
        <v>353</v>
      </c>
      <c r="D4906" s="14" t="s">
        <v>354</v>
      </c>
      <c r="E4906" s="14" t="s">
        <v>342</v>
      </c>
      <c r="F4906" s="14" t="s">
        <v>343</v>
      </c>
      <c r="G4906" s="14" t="s">
        <v>343</v>
      </c>
      <c r="H4906" s="14" t="s">
        <v>343</v>
      </c>
      <c r="U4906" s="14">
        <v>0.99</v>
      </c>
      <c r="V4906" s="14">
        <v>0.98</v>
      </c>
      <c r="W4906" s="14">
        <v>0.99</v>
      </c>
      <c r="X4906" s="14">
        <v>0.99</v>
      </c>
    </row>
    <row r="4907" spans="1:24" hidden="1" x14ac:dyDescent="0.3">
      <c r="A4907" s="14" t="s">
        <v>518</v>
      </c>
      <c r="B4907" s="14" t="s">
        <v>213</v>
      </c>
      <c r="C4907" s="14" t="s">
        <v>353</v>
      </c>
      <c r="D4907" s="14" t="s">
        <v>354</v>
      </c>
      <c r="E4907" s="14" t="s">
        <v>344</v>
      </c>
      <c r="F4907" s="14" t="s">
        <v>343</v>
      </c>
      <c r="G4907" s="14" t="s">
        <v>343</v>
      </c>
      <c r="H4907" s="14" t="s">
        <v>343</v>
      </c>
      <c r="U4907" s="14">
        <v>70</v>
      </c>
      <c r="V4907" s="14">
        <v>78</v>
      </c>
      <c r="W4907" s="14">
        <v>78</v>
      </c>
      <c r="X4907" s="14">
        <v>63</v>
      </c>
    </row>
    <row r="4908" spans="1:24" hidden="1" x14ac:dyDescent="0.3">
      <c r="A4908" s="14" t="s">
        <v>518</v>
      </c>
      <c r="B4908" s="14" t="s">
        <v>213</v>
      </c>
      <c r="C4908" s="14" t="s">
        <v>380</v>
      </c>
      <c r="D4908" s="14" t="s">
        <v>381</v>
      </c>
      <c r="E4908" s="14" t="s">
        <v>342</v>
      </c>
      <c r="F4908" s="14" t="s">
        <v>343</v>
      </c>
      <c r="G4908" s="14" t="s">
        <v>343</v>
      </c>
      <c r="H4908" s="14" t="s">
        <v>343</v>
      </c>
      <c r="U4908" s="14">
        <v>1</v>
      </c>
      <c r="V4908" s="14">
        <v>1</v>
      </c>
      <c r="W4908" s="14">
        <v>1</v>
      </c>
      <c r="X4908" s="14">
        <v>1</v>
      </c>
    </row>
    <row r="4909" spans="1:24" hidden="1" x14ac:dyDescent="0.3">
      <c r="A4909" s="14" t="s">
        <v>518</v>
      </c>
      <c r="B4909" s="14" t="s">
        <v>213</v>
      </c>
      <c r="C4909" s="14" t="s">
        <v>380</v>
      </c>
      <c r="D4909" s="14" t="s">
        <v>381</v>
      </c>
      <c r="E4909" s="14" t="s">
        <v>344</v>
      </c>
      <c r="F4909" s="14" t="s">
        <v>343</v>
      </c>
      <c r="G4909" s="14" t="s">
        <v>343</v>
      </c>
      <c r="H4909" s="14" t="s">
        <v>343</v>
      </c>
      <c r="U4909" s="14">
        <v>1</v>
      </c>
      <c r="V4909" s="14">
        <v>1</v>
      </c>
      <c r="W4909" s="14">
        <v>1</v>
      </c>
      <c r="X4909" s="14">
        <v>69</v>
      </c>
    </row>
    <row r="4910" spans="1:24" hidden="1" x14ac:dyDescent="0.3">
      <c r="A4910" s="14" t="s">
        <v>518</v>
      </c>
      <c r="B4910" s="14" t="s">
        <v>213</v>
      </c>
      <c r="C4910" s="14" t="s">
        <v>355</v>
      </c>
      <c r="D4910" s="14" t="s">
        <v>356</v>
      </c>
      <c r="E4910" s="14" t="s">
        <v>342</v>
      </c>
      <c r="F4910" s="14" t="s">
        <v>343</v>
      </c>
      <c r="G4910" s="14" t="s">
        <v>343</v>
      </c>
      <c r="H4910" s="14" t="s">
        <v>343</v>
      </c>
      <c r="U4910" s="14">
        <v>1</v>
      </c>
      <c r="V4910" s="14">
        <v>1</v>
      </c>
      <c r="W4910" s="14">
        <v>1</v>
      </c>
      <c r="X4910" s="14">
        <v>1</v>
      </c>
    </row>
    <row r="4911" spans="1:24" hidden="1" x14ac:dyDescent="0.3">
      <c r="A4911" s="14" t="s">
        <v>518</v>
      </c>
      <c r="B4911" s="14" t="s">
        <v>213</v>
      </c>
      <c r="C4911" s="14" t="s">
        <v>355</v>
      </c>
      <c r="D4911" s="14" t="s">
        <v>356</v>
      </c>
      <c r="E4911" s="14" t="s">
        <v>344</v>
      </c>
      <c r="F4911" s="14" t="s">
        <v>343</v>
      </c>
      <c r="G4911" s="14" t="s">
        <v>343</v>
      </c>
      <c r="H4911" s="14" t="s">
        <v>343</v>
      </c>
      <c r="U4911" s="14">
        <v>1</v>
      </c>
      <c r="V4911" s="14">
        <v>1</v>
      </c>
      <c r="W4911" s="14">
        <v>1</v>
      </c>
      <c r="X4911" s="14">
        <v>1</v>
      </c>
    </row>
    <row r="4912" spans="1:24" hidden="1" x14ac:dyDescent="0.3">
      <c r="A4912" s="14" t="s">
        <v>518</v>
      </c>
      <c r="B4912" s="14" t="s">
        <v>213</v>
      </c>
      <c r="C4912" s="14" t="s">
        <v>357</v>
      </c>
      <c r="D4912" s="14" t="s">
        <v>358</v>
      </c>
      <c r="E4912" s="14" t="s">
        <v>342</v>
      </c>
      <c r="F4912" s="14" t="s">
        <v>343</v>
      </c>
      <c r="G4912" s="14" t="s">
        <v>343</v>
      </c>
      <c r="H4912" s="14" t="s">
        <v>343</v>
      </c>
      <c r="U4912" s="14">
        <v>1</v>
      </c>
      <c r="V4912" s="14">
        <v>1</v>
      </c>
      <c r="W4912" s="14">
        <v>1</v>
      </c>
      <c r="X4912" s="14">
        <v>1</v>
      </c>
    </row>
    <row r="4913" spans="1:24" hidden="1" x14ac:dyDescent="0.3">
      <c r="A4913" s="14" t="s">
        <v>518</v>
      </c>
      <c r="B4913" s="14" t="s">
        <v>213</v>
      </c>
      <c r="C4913" s="14" t="s">
        <v>357</v>
      </c>
      <c r="D4913" s="14" t="s">
        <v>358</v>
      </c>
      <c r="E4913" s="14" t="s">
        <v>344</v>
      </c>
      <c r="F4913" s="14" t="s">
        <v>343</v>
      </c>
      <c r="G4913" s="14" t="s">
        <v>343</v>
      </c>
      <c r="H4913" s="14" t="s">
        <v>343</v>
      </c>
      <c r="U4913" s="14">
        <v>1</v>
      </c>
      <c r="V4913" s="14">
        <v>1</v>
      </c>
      <c r="W4913" s="14">
        <v>1</v>
      </c>
      <c r="X4913" s="14">
        <v>1</v>
      </c>
    </row>
    <row r="4914" spans="1:24" hidden="1" x14ac:dyDescent="0.3">
      <c r="A4914" s="14" t="s">
        <v>518</v>
      </c>
      <c r="B4914" s="14" t="s">
        <v>213</v>
      </c>
      <c r="C4914" s="14" t="s">
        <v>359</v>
      </c>
      <c r="D4914" s="14" t="s">
        <v>360</v>
      </c>
      <c r="E4914" s="14" t="s">
        <v>342</v>
      </c>
      <c r="F4914" s="14" t="s">
        <v>343</v>
      </c>
      <c r="G4914" s="14" t="s">
        <v>343</v>
      </c>
      <c r="H4914" s="14" t="s">
        <v>343</v>
      </c>
      <c r="O4914" s="14">
        <v>0.66</v>
      </c>
      <c r="P4914" s="14">
        <v>0.68</v>
      </c>
      <c r="Q4914" s="14">
        <v>0.67</v>
      </c>
      <c r="R4914" s="14">
        <v>0.67</v>
      </c>
      <c r="S4914" s="14">
        <v>0.67</v>
      </c>
      <c r="T4914" s="14">
        <v>0.67</v>
      </c>
      <c r="U4914" s="14">
        <v>0.67</v>
      </c>
      <c r="V4914" s="14">
        <v>0.7</v>
      </c>
      <c r="W4914" s="14">
        <v>0.72</v>
      </c>
      <c r="X4914" s="14">
        <v>0.69</v>
      </c>
    </row>
    <row r="4915" spans="1:24" hidden="1" x14ac:dyDescent="0.3">
      <c r="A4915" s="14" t="s">
        <v>518</v>
      </c>
      <c r="B4915" s="14" t="s">
        <v>213</v>
      </c>
      <c r="C4915" s="14" t="s">
        <v>359</v>
      </c>
      <c r="D4915" s="14" t="s">
        <v>360</v>
      </c>
      <c r="E4915" s="14" t="s">
        <v>344</v>
      </c>
      <c r="F4915" s="14" t="s">
        <v>343</v>
      </c>
      <c r="G4915" s="14" t="s">
        <v>343</v>
      </c>
      <c r="H4915" s="14" t="s">
        <v>343</v>
      </c>
      <c r="O4915" s="14">
        <v>67</v>
      </c>
      <c r="P4915" s="14">
        <v>59</v>
      </c>
      <c r="Q4915" s="14">
        <v>67</v>
      </c>
      <c r="R4915" s="14">
        <v>74</v>
      </c>
      <c r="S4915" s="14">
        <v>70</v>
      </c>
      <c r="T4915" s="14">
        <v>72</v>
      </c>
      <c r="U4915" s="14">
        <v>76</v>
      </c>
      <c r="V4915" s="14">
        <v>62</v>
      </c>
      <c r="W4915" s="14">
        <v>54</v>
      </c>
      <c r="X4915" s="14">
        <v>77</v>
      </c>
    </row>
    <row r="4916" spans="1:24" x14ac:dyDescent="0.3">
      <c r="A4916" s="14" t="s">
        <v>518</v>
      </c>
      <c r="B4916" s="14" t="s">
        <v>213</v>
      </c>
      <c r="C4916" s="14" t="s">
        <v>361</v>
      </c>
      <c r="D4916" s="14" t="s">
        <v>362</v>
      </c>
      <c r="E4916" s="14" t="s">
        <v>342</v>
      </c>
      <c r="F4916" s="14" t="s">
        <v>343</v>
      </c>
      <c r="G4916" s="14" t="s">
        <v>343</v>
      </c>
      <c r="H4916" s="14" t="s">
        <v>343</v>
      </c>
      <c r="O4916" s="14">
        <v>0.97</v>
      </c>
      <c r="P4916" s="14">
        <v>0.96</v>
      </c>
      <c r="Q4916" s="14">
        <v>0.97</v>
      </c>
      <c r="R4916" s="14">
        <v>0.97</v>
      </c>
      <c r="S4916" s="14">
        <v>0.97</v>
      </c>
      <c r="T4916" s="14">
        <v>0.98</v>
      </c>
      <c r="U4916" s="14">
        <v>0.98</v>
      </c>
      <c r="V4916" s="14">
        <v>0.97</v>
      </c>
      <c r="W4916" s="14">
        <v>0.97</v>
      </c>
      <c r="X4916" s="14">
        <v>0.97</v>
      </c>
    </row>
    <row r="4917" spans="1:24" hidden="1" x14ac:dyDescent="0.3">
      <c r="A4917" s="14" t="s">
        <v>518</v>
      </c>
      <c r="B4917" s="14" t="s">
        <v>213</v>
      </c>
      <c r="C4917" s="14" t="s">
        <v>361</v>
      </c>
      <c r="D4917" s="14" t="s">
        <v>362</v>
      </c>
      <c r="E4917" s="14" t="s">
        <v>344</v>
      </c>
      <c r="F4917" s="14" t="s">
        <v>343</v>
      </c>
      <c r="G4917" s="14" t="s">
        <v>343</v>
      </c>
      <c r="H4917" s="14" t="s">
        <v>343</v>
      </c>
      <c r="O4917" s="14">
        <v>91</v>
      </c>
      <c r="P4917" s="14">
        <v>111</v>
      </c>
      <c r="Q4917" s="14">
        <v>74</v>
      </c>
      <c r="R4917" s="14">
        <v>79</v>
      </c>
      <c r="S4917" s="14">
        <v>76</v>
      </c>
      <c r="T4917" s="14">
        <v>1</v>
      </c>
      <c r="U4917" s="14">
        <v>1</v>
      </c>
      <c r="V4917" s="14">
        <v>99</v>
      </c>
      <c r="W4917" s="14">
        <v>89</v>
      </c>
      <c r="X4917" s="14">
        <v>71</v>
      </c>
    </row>
    <row r="4918" spans="1:24" hidden="1" x14ac:dyDescent="0.3">
      <c r="A4918" s="14" t="s">
        <v>518</v>
      </c>
      <c r="B4918" s="14" t="s">
        <v>213</v>
      </c>
      <c r="C4918" s="14" t="s">
        <v>363</v>
      </c>
      <c r="D4918" s="14" t="s">
        <v>364</v>
      </c>
      <c r="E4918" s="14" t="s">
        <v>342</v>
      </c>
      <c r="F4918" s="14" t="s">
        <v>343</v>
      </c>
      <c r="G4918" s="14" t="s">
        <v>343</v>
      </c>
      <c r="H4918" s="14" t="s">
        <v>343</v>
      </c>
      <c r="U4918" s="14">
        <v>1.06</v>
      </c>
      <c r="V4918" s="14">
        <v>1.06</v>
      </c>
      <c r="W4918" s="14">
        <v>1.05</v>
      </c>
      <c r="X4918" s="14">
        <v>1.05</v>
      </c>
    </row>
    <row r="4919" spans="1:24" hidden="1" x14ac:dyDescent="0.3">
      <c r="A4919" s="14" t="s">
        <v>518</v>
      </c>
      <c r="B4919" s="14" t="s">
        <v>213</v>
      </c>
      <c r="C4919" s="14" t="s">
        <v>363</v>
      </c>
      <c r="D4919" s="14" t="s">
        <v>364</v>
      </c>
      <c r="E4919" s="14" t="s">
        <v>344</v>
      </c>
      <c r="F4919" s="14" t="s">
        <v>343</v>
      </c>
      <c r="G4919" s="14" t="s">
        <v>343</v>
      </c>
      <c r="H4919" s="14" t="s">
        <v>343</v>
      </c>
      <c r="U4919" s="14">
        <v>1</v>
      </c>
      <c r="V4919" s="14">
        <v>1</v>
      </c>
      <c r="W4919" s="14">
        <v>64</v>
      </c>
      <c r="X4919" s="14">
        <v>58</v>
      </c>
    </row>
    <row r="4920" spans="1:24" hidden="1" x14ac:dyDescent="0.3">
      <c r="A4920" s="14" t="s">
        <v>518</v>
      </c>
      <c r="B4920" s="14" t="s">
        <v>213</v>
      </c>
      <c r="C4920" s="14" t="s">
        <v>365</v>
      </c>
      <c r="D4920" s="14" t="s">
        <v>366</v>
      </c>
      <c r="E4920" s="14" t="s">
        <v>342</v>
      </c>
      <c r="F4920" s="14" t="s">
        <v>343</v>
      </c>
      <c r="G4920" s="14" t="s">
        <v>343</v>
      </c>
      <c r="H4920" s="14" t="s">
        <v>343</v>
      </c>
      <c r="U4920" s="14">
        <v>0.94</v>
      </c>
      <c r="V4920" s="14">
        <v>0.93</v>
      </c>
      <c r="W4920" s="14">
        <v>0.94</v>
      </c>
      <c r="X4920" s="14">
        <v>0.94</v>
      </c>
    </row>
    <row r="4921" spans="1:24" hidden="1" x14ac:dyDescent="0.3">
      <c r="A4921" s="14" t="s">
        <v>518</v>
      </c>
      <c r="B4921" s="14" t="s">
        <v>213</v>
      </c>
      <c r="C4921" s="14" t="s">
        <v>365</v>
      </c>
      <c r="D4921" s="14" t="s">
        <v>366</v>
      </c>
      <c r="E4921" s="14" t="s">
        <v>344</v>
      </c>
      <c r="F4921" s="14" t="s">
        <v>343</v>
      </c>
      <c r="G4921" s="14" t="s">
        <v>343</v>
      </c>
      <c r="H4921" s="14" t="s">
        <v>343</v>
      </c>
      <c r="U4921" s="14">
        <v>1</v>
      </c>
      <c r="V4921" s="14">
        <v>142</v>
      </c>
      <c r="W4921" s="14">
        <v>143</v>
      </c>
      <c r="X4921" s="14">
        <v>131</v>
      </c>
    </row>
    <row r="4922" spans="1:24" hidden="1" x14ac:dyDescent="0.3">
      <c r="A4922" s="14" t="s">
        <v>518</v>
      </c>
      <c r="B4922" s="14" t="s">
        <v>213</v>
      </c>
      <c r="C4922" s="14" t="s">
        <v>367</v>
      </c>
      <c r="D4922" s="14" t="s">
        <v>368</v>
      </c>
      <c r="E4922" s="14" t="s">
        <v>342</v>
      </c>
      <c r="F4922" s="14" t="s">
        <v>343</v>
      </c>
      <c r="G4922" s="14" t="s">
        <v>343</v>
      </c>
      <c r="H4922" s="14" t="s">
        <v>343</v>
      </c>
      <c r="O4922" s="14">
        <v>0.7</v>
      </c>
      <c r="P4922" s="14">
        <v>0.71</v>
      </c>
      <c r="Q4922" s="14">
        <v>0.71</v>
      </c>
      <c r="R4922" s="14">
        <v>0.72</v>
      </c>
      <c r="S4922" s="14">
        <v>0.72</v>
      </c>
      <c r="T4922" s="14">
        <v>0.73</v>
      </c>
      <c r="U4922" s="14">
        <v>0.73</v>
      </c>
      <c r="V4922" s="14">
        <v>0.74</v>
      </c>
      <c r="W4922" s="14">
        <v>0.78</v>
      </c>
      <c r="X4922" s="14">
        <v>0.78</v>
      </c>
    </row>
    <row r="4923" spans="1:24" hidden="1" x14ac:dyDescent="0.3">
      <c r="A4923" s="14" t="s">
        <v>518</v>
      </c>
      <c r="B4923" s="14" t="s">
        <v>213</v>
      </c>
      <c r="C4923" s="14" t="s">
        <v>367</v>
      </c>
      <c r="D4923" s="14" t="s">
        <v>368</v>
      </c>
      <c r="E4923" s="14" t="s">
        <v>344</v>
      </c>
      <c r="F4923" s="14" t="s">
        <v>343</v>
      </c>
      <c r="G4923" s="14" t="s">
        <v>343</v>
      </c>
      <c r="H4923" s="14" t="s">
        <v>343</v>
      </c>
      <c r="O4923" s="14">
        <v>50</v>
      </c>
      <c r="P4923" s="14">
        <v>42</v>
      </c>
      <c r="Q4923" s="14">
        <v>54</v>
      </c>
      <c r="R4923" s="14">
        <v>45</v>
      </c>
      <c r="S4923" s="14">
        <v>48</v>
      </c>
      <c r="T4923" s="14">
        <v>40</v>
      </c>
      <c r="U4923" s="14">
        <v>38</v>
      </c>
      <c r="V4923" s="14">
        <v>39</v>
      </c>
      <c r="W4923" s="14">
        <v>19</v>
      </c>
      <c r="X4923" s="14">
        <v>23</v>
      </c>
    </row>
    <row r="4924" spans="1:24" hidden="1" x14ac:dyDescent="0.3">
      <c r="A4924" s="14" t="s">
        <v>518</v>
      </c>
      <c r="B4924" s="14" t="s">
        <v>213</v>
      </c>
      <c r="C4924" s="14" t="s">
        <v>369</v>
      </c>
      <c r="D4924" s="14" t="s">
        <v>370</v>
      </c>
      <c r="E4924" s="14" t="s">
        <v>342</v>
      </c>
      <c r="F4924" s="14" t="s">
        <v>343</v>
      </c>
      <c r="G4924" s="14" t="s">
        <v>343</v>
      </c>
      <c r="H4924" s="14" t="s">
        <v>343</v>
      </c>
      <c r="O4924" s="14">
        <v>0.19</v>
      </c>
      <c r="P4924" s="14">
        <v>0.21</v>
      </c>
      <c r="Q4924" s="14">
        <v>0.2</v>
      </c>
      <c r="R4924" s="14">
        <v>0.24</v>
      </c>
      <c r="S4924" s="14">
        <v>0.24</v>
      </c>
      <c r="T4924" s="14">
        <v>0.26</v>
      </c>
      <c r="U4924" s="14">
        <v>0.27</v>
      </c>
      <c r="V4924" s="14">
        <v>0.28000000000000003</v>
      </c>
      <c r="W4924" s="14">
        <v>0.44</v>
      </c>
      <c r="X4924" s="14">
        <v>0.46</v>
      </c>
    </row>
    <row r="4925" spans="1:24" hidden="1" x14ac:dyDescent="0.3">
      <c r="A4925" s="14" t="s">
        <v>518</v>
      </c>
      <c r="B4925" s="14" t="s">
        <v>213</v>
      </c>
      <c r="C4925" s="14" t="s">
        <v>369</v>
      </c>
      <c r="D4925" s="14" t="s">
        <v>370</v>
      </c>
      <c r="E4925" s="14" t="s">
        <v>344</v>
      </c>
      <c r="F4925" s="14" t="s">
        <v>343</v>
      </c>
      <c r="G4925" s="14" t="s">
        <v>343</v>
      </c>
      <c r="H4925" s="14" t="s">
        <v>343</v>
      </c>
      <c r="O4925" s="14">
        <v>40</v>
      </c>
      <c r="P4925" s="14">
        <v>39</v>
      </c>
      <c r="Q4925" s="14">
        <v>51</v>
      </c>
      <c r="R4925" s="14">
        <v>43</v>
      </c>
      <c r="S4925" s="14">
        <v>42</v>
      </c>
      <c r="T4925" s="14">
        <v>38</v>
      </c>
      <c r="U4925" s="14">
        <v>37</v>
      </c>
      <c r="V4925" s="14">
        <v>41</v>
      </c>
      <c r="W4925" s="14">
        <v>21</v>
      </c>
      <c r="X4925" s="14">
        <v>21</v>
      </c>
    </row>
    <row r="4926" spans="1:24" hidden="1" x14ac:dyDescent="0.3">
      <c r="A4926" s="14" t="s">
        <v>518</v>
      </c>
      <c r="B4926" s="14" t="s">
        <v>213</v>
      </c>
      <c r="C4926" s="14" t="s">
        <v>371</v>
      </c>
      <c r="D4926" s="14" t="s">
        <v>372</v>
      </c>
      <c r="E4926" s="14" t="s">
        <v>342</v>
      </c>
      <c r="F4926" s="14" t="s">
        <v>343</v>
      </c>
      <c r="G4926" s="14" t="s">
        <v>343</v>
      </c>
      <c r="H4926" s="14" t="s">
        <v>343</v>
      </c>
      <c r="U4926" s="14">
        <v>0.05</v>
      </c>
      <c r="V4926" s="14">
        <v>7.0000000000000007E-2</v>
      </c>
      <c r="W4926" s="14">
        <v>0.11</v>
      </c>
      <c r="X4926" s="14">
        <v>0.13</v>
      </c>
    </row>
    <row r="4927" spans="1:24" hidden="1" x14ac:dyDescent="0.3">
      <c r="A4927" s="14" t="s">
        <v>518</v>
      </c>
      <c r="B4927" s="14" t="s">
        <v>213</v>
      </c>
      <c r="C4927" s="14" t="s">
        <v>371</v>
      </c>
      <c r="D4927" s="14" t="s">
        <v>372</v>
      </c>
      <c r="E4927" s="14" t="s">
        <v>344</v>
      </c>
      <c r="F4927" s="14" t="s">
        <v>343</v>
      </c>
      <c r="G4927" s="14" t="s">
        <v>343</v>
      </c>
      <c r="H4927" s="14" t="s">
        <v>343</v>
      </c>
      <c r="U4927" s="14">
        <v>43</v>
      </c>
      <c r="V4927" s="14">
        <v>37</v>
      </c>
      <c r="W4927" s="14">
        <v>31</v>
      </c>
      <c r="X4927" s="14">
        <v>22</v>
      </c>
    </row>
    <row r="4928" spans="1:24" hidden="1" x14ac:dyDescent="0.3">
      <c r="A4928" s="14" t="s">
        <v>518</v>
      </c>
      <c r="B4928" s="14" t="s">
        <v>213</v>
      </c>
      <c r="C4928" s="14" t="s">
        <v>373</v>
      </c>
      <c r="D4928" s="14" t="s">
        <v>374</v>
      </c>
      <c r="E4928" s="14" t="s">
        <v>342</v>
      </c>
      <c r="F4928" s="14" t="s">
        <v>343</v>
      </c>
      <c r="G4928" s="14" t="s">
        <v>343</v>
      </c>
      <c r="H4928" s="14" t="s">
        <v>343</v>
      </c>
      <c r="U4928" s="14">
        <v>0.36</v>
      </c>
      <c r="V4928" s="14">
        <v>0.24</v>
      </c>
      <c r="W4928" s="14">
        <v>0.77</v>
      </c>
      <c r="X4928" s="14">
        <v>0.77</v>
      </c>
    </row>
    <row r="4929" spans="1:24" hidden="1" x14ac:dyDescent="0.3">
      <c r="A4929" s="14" t="s">
        <v>518</v>
      </c>
      <c r="B4929" s="14" t="s">
        <v>213</v>
      </c>
      <c r="C4929" s="14" t="s">
        <v>373</v>
      </c>
      <c r="D4929" s="14" t="s">
        <v>374</v>
      </c>
      <c r="E4929" s="14" t="s">
        <v>344</v>
      </c>
      <c r="F4929" s="14" t="s">
        <v>343</v>
      </c>
      <c r="G4929" s="14" t="s">
        <v>343</v>
      </c>
      <c r="H4929" s="14" t="s">
        <v>343</v>
      </c>
      <c r="U4929" s="14">
        <v>35</v>
      </c>
      <c r="V4929" s="14">
        <v>85</v>
      </c>
      <c r="W4929" s="14">
        <v>17</v>
      </c>
      <c r="X4929" s="14">
        <v>17</v>
      </c>
    </row>
    <row r="4930" spans="1:24" hidden="1" x14ac:dyDescent="0.3">
      <c r="A4930" s="14" t="s">
        <v>518</v>
      </c>
      <c r="B4930" s="14" t="s">
        <v>213</v>
      </c>
      <c r="C4930" s="14" t="s">
        <v>375</v>
      </c>
      <c r="D4930" s="14" t="s">
        <v>376</v>
      </c>
      <c r="E4930" s="14" t="s">
        <v>342</v>
      </c>
      <c r="F4930" s="14" t="s">
        <v>343</v>
      </c>
      <c r="G4930" s="14" t="s">
        <v>343</v>
      </c>
      <c r="H4930" s="14" t="s">
        <v>343</v>
      </c>
      <c r="U4930" s="14">
        <v>0.52</v>
      </c>
      <c r="V4930" s="14">
        <v>0.6</v>
      </c>
      <c r="W4930" s="14">
        <v>0.64</v>
      </c>
      <c r="X4930" s="14">
        <v>0.67</v>
      </c>
    </row>
    <row r="4931" spans="1:24" hidden="1" x14ac:dyDescent="0.3">
      <c r="A4931" s="14" t="s">
        <v>518</v>
      </c>
      <c r="B4931" s="14" t="s">
        <v>213</v>
      </c>
      <c r="C4931" s="14" t="s">
        <v>375</v>
      </c>
      <c r="D4931" s="14" t="s">
        <v>376</v>
      </c>
      <c r="E4931" s="14" t="s">
        <v>344</v>
      </c>
      <c r="F4931" s="14" t="s">
        <v>343</v>
      </c>
      <c r="G4931" s="14" t="s">
        <v>343</v>
      </c>
      <c r="H4931" s="14" t="s">
        <v>343</v>
      </c>
      <c r="U4931" s="14">
        <v>31</v>
      </c>
      <c r="V4931" s="14">
        <v>25</v>
      </c>
      <c r="W4931" s="14">
        <v>27</v>
      </c>
      <c r="X4931" s="14">
        <v>25</v>
      </c>
    </row>
    <row r="4932" spans="1:24" hidden="1" x14ac:dyDescent="0.3">
      <c r="A4932" s="14" t="s">
        <v>519</v>
      </c>
      <c r="B4932" s="14" t="s">
        <v>227</v>
      </c>
      <c r="C4932" s="14" t="s">
        <v>340</v>
      </c>
      <c r="D4932" s="14" t="s">
        <v>341</v>
      </c>
      <c r="E4932" s="14" t="s">
        <v>342</v>
      </c>
      <c r="F4932" s="14" t="s">
        <v>343</v>
      </c>
      <c r="G4932" s="14" t="s">
        <v>343</v>
      </c>
      <c r="H4932" s="14" t="s">
        <v>343</v>
      </c>
      <c r="J4932" s="14">
        <v>0.99</v>
      </c>
      <c r="K4932" s="14">
        <v>0.99</v>
      </c>
      <c r="L4932" s="14">
        <v>0.99</v>
      </c>
      <c r="M4932" s="14">
        <v>0.99</v>
      </c>
      <c r="N4932" s="14">
        <v>0.99</v>
      </c>
      <c r="O4932" s="14">
        <v>1</v>
      </c>
      <c r="P4932" s="14">
        <v>1</v>
      </c>
      <c r="Q4932" s="14">
        <v>1</v>
      </c>
      <c r="R4932" s="14">
        <v>1</v>
      </c>
      <c r="S4932" s="14">
        <v>1</v>
      </c>
      <c r="T4932" s="14">
        <v>0.99</v>
      </c>
      <c r="U4932" s="14">
        <v>0.99</v>
      </c>
      <c r="V4932" s="14">
        <v>0.99</v>
      </c>
      <c r="W4932" s="14">
        <v>0.99</v>
      </c>
      <c r="X4932" s="14">
        <v>0.99</v>
      </c>
    </row>
    <row r="4933" spans="1:24" hidden="1" x14ac:dyDescent="0.3">
      <c r="A4933" s="14" t="s">
        <v>519</v>
      </c>
      <c r="B4933" s="14" t="s">
        <v>227</v>
      </c>
      <c r="C4933" s="14" t="s">
        <v>340</v>
      </c>
      <c r="D4933" s="14" t="s">
        <v>341</v>
      </c>
      <c r="E4933" s="14" t="s">
        <v>344</v>
      </c>
      <c r="F4933" s="14" t="s">
        <v>343</v>
      </c>
      <c r="G4933" s="14" t="s">
        <v>343</v>
      </c>
      <c r="H4933" s="14" t="s">
        <v>343</v>
      </c>
      <c r="J4933" s="14">
        <v>64</v>
      </c>
      <c r="K4933" s="14">
        <v>70</v>
      </c>
      <c r="L4933" s="14">
        <v>74</v>
      </c>
      <c r="M4933" s="14">
        <v>85</v>
      </c>
      <c r="N4933" s="14">
        <v>62</v>
      </c>
      <c r="O4933" s="14">
        <v>37</v>
      </c>
      <c r="P4933" s="14">
        <v>39</v>
      </c>
      <c r="Q4933" s="14">
        <v>45</v>
      </c>
      <c r="R4933" s="14">
        <v>45</v>
      </c>
      <c r="S4933" s="14">
        <v>44</v>
      </c>
      <c r="T4933" s="14">
        <v>73</v>
      </c>
      <c r="U4933" s="14">
        <v>77</v>
      </c>
      <c r="V4933" s="14">
        <v>68</v>
      </c>
      <c r="W4933" s="14">
        <v>71</v>
      </c>
      <c r="X4933" s="14">
        <v>69</v>
      </c>
    </row>
    <row r="4934" spans="1:24" hidden="1" x14ac:dyDescent="0.3">
      <c r="A4934" s="14" t="s">
        <v>519</v>
      </c>
      <c r="B4934" s="14" t="s">
        <v>227</v>
      </c>
      <c r="C4934" s="14" t="s">
        <v>345</v>
      </c>
      <c r="D4934" s="14" t="s">
        <v>346</v>
      </c>
      <c r="E4934" s="14" t="s">
        <v>342</v>
      </c>
      <c r="F4934" s="14" t="s">
        <v>343</v>
      </c>
      <c r="G4934" s="14" t="s">
        <v>343</v>
      </c>
      <c r="H4934" s="14" t="s">
        <v>343</v>
      </c>
      <c r="U4934" s="14">
        <v>0.45</v>
      </c>
      <c r="V4934" s="14">
        <v>0.47</v>
      </c>
      <c r="W4934" s="14">
        <v>0.56000000000000005</v>
      </c>
      <c r="X4934" s="14">
        <v>0.62</v>
      </c>
    </row>
    <row r="4935" spans="1:24" hidden="1" x14ac:dyDescent="0.3">
      <c r="A4935" s="14" t="s">
        <v>519</v>
      </c>
      <c r="B4935" s="14" t="s">
        <v>227</v>
      </c>
      <c r="C4935" s="14" t="s">
        <v>345</v>
      </c>
      <c r="D4935" s="14" t="s">
        <v>346</v>
      </c>
      <c r="E4935" s="14" t="s">
        <v>344</v>
      </c>
      <c r="F4935" s="14" t="s">
        <v>343</v>
      </c>
      <c r="G4935" s="14" t="s">
        <v>343</v>
      </c>
      <c r="H4935" s="14" t="s">
        <v>343</v>
      </c>
      <c r="U4935" s="14">
        <v>122</v>
      </c>
      <c r="V4935" s="14">
        <v>123</v>
      </c>
      <c r="W4935" s="14">
        <v>99</v>
      </c>
      <c r="X4935" s="14">
        <v>82</v>
      </c>
    </row>
    <row r="4936" spans="1:24" hidden="1" x14ac:dyDescent="0.3">
      <c r="A4936" s="14" t="s">
        <v>519</v>
      </c>
      <c r="B4936" s="14" t="s">
        <v>227</v>
      </c>
      <c r="C4936" s="14" t="s">
        <v>347</v>
      </c>
      <c r="D4936" s="14" t="s">
        <v>348</v>
      </c>
      <c r="E4936" s="14" t="s">
        <v>342</v>
      </c>
      <c r="F4936" s="14" t="s">
        <v>343</v>
      </c>
      <c r="G4936" s="14" t="s">
        <v>343</v>
      </c>
      <c r="H4936" s="14" t="s">
        <v>343</v>
      </c>
      <c r="U4936" s="14">
        <v>0.66</v>
      </c>
      <c r="V4936" s="14">
        <v>0.63</v>
      </c>
      <c r="W4936" s="14">
        <v>0.63</v>
      </c>
      <c r="X4936" s="14">
        <v>0.67</v>
      </c>
    </row>
    <row r="4937" spans="1:24" hidden="1" x14ac:dyDescent="0.3">
      <c r="A4937" s="14" t="s">
        <v>519</v>
      </c>
      <c r="B4937" s="14" t="s">
        <v>227</v>
      </c>
      <c r="C4937" s="14" t="s">
        <v>347</v>
      </c>
      <c r="D4937" s="14" t="s">
        <v>348</v>
      </c>
      <c r="E4937" s="14" t="s">
        <v>344</v>
      </c>
      <c r="F4937" s="14" t="s">
        <v>343</v>
      </c>
      <c r="G4937" s="14" t="s">
        <v>343</v>
      </c>
      <c r="H4937" s="14" t="s">
        <v>343</v>
      </c>
      <c r="U4937" s="14">
        <v>110</v>
      </c>
      <c r="V4937" s="14">
        <v>122</v>
      </c>
      <c r="W4937" s="14">
        <v>120</v>
      </c>
      <c r="X4937" s="14">
        <v>107</v>
      </c>
    </row>
    <row r="4938" spans="1:24" hidden="1" x14ac:dyDescent="0.3">
      <c r="A4938" s="14" t="s">
        <v>519</v>
      </c>
      <c r="B4938" s="14" t="s">
        <v>227</v>
      </c>
      <c r="C4938" s="14" t="s">
        <v>349</v>
      </c>
      <c r="D4938" s="14" t="s">
        <v>350</v>
      </c>
      <c r="E4938" s="14" t="s">
        <v>342</v>
      </c>
      <c r="F4938" s="14" t="s">
        <v>343</v>
      </c>
      <c r="G4938" s="14" t="s">
        <v>343</v>
      </c>
      <c r="H4938" s="14" t="s">
        <v>343</v>
      </c>
      <c r="U4938" s="14">
        <v>0.59</v>
      </c>
      <c r="V4938" s="14">
        <v>0.59</v>
      </c>
      <c r="W4938" s="14">
        <v>0.76</v>
      </c>
      <c r="X4938" s="14">
        <v>0.76</v>
      </c>
    </row>
    <row r="4939" spans="1:24" hidden="1" x14ac:dyDescent="0.3">
      <c r="A4939" s="14" t="s">
        <v>519</v>
      </c>
      <c r="B4939" s="14" t="s">
        <v>227</v>
      </c>
      <c r="C4939" s="14" t="s">
        <v>349</v>
      </c>
      <c r="D4939" s="14" t="s">
        <v>350</v>
      </c>
      <c r="E4939" s="14" t="s">
        <v>344</v>
      </c>
      <c r="F4939" s="14" t="s">
        <v>343</v>
      </c>
      <c r="G4939" s="14" t="s">
        <v>343</v>
      </c>
      <c r="H4939" s="14" t="s">
        <v>343</v>
      </c>
      <c r="U4939" s="14">
        <v>39</v>
      </c>
      <c r="V4939" s="14">
        <v>44</v>
      </c>
      <c r="W4939" s="14">
        <v>27</v>
      </c>
      <c r="X4939" s="14">
        <v>27</v>
      </c>
    </row>
    <row r="4940" spans="1:24" hidden="1" x14ac:dyDescent="0.3">
      <c r="A4940" s="14" t="s">
        <v>519</v>
      </c>
      <c r="B4940" s="14" t="s">
        <v>227</v>
      </c>
      <c r="C4940" s="14" t="s">
        <v>351</v>
      </c>
      <c r="D4940" s="14" t="s">
        <v>352</v>
      </c>
      <c r="E4940" s="14" t="s">
        <v>342</v>
      </c>
      <c r="F4940" s="14" t="s">
        <v>343</v>
      </c>
      <c r="G4940" s="14" t="s">
        <v>343</v>
      </c>
      <c r="H4940" s="14" t="s">
        <v>343</v>
      </c>
      <c r="U4940" s="14">
        <v>1</v>
      </c>
      <c r="V4940" s="14">
        <v>1</v>
      </c>
      <c r="W4940" s="14">
        <v>1</v>
      </c>
      <c r="X4940" s="14">
        <v>1</v>
      </c>
    </row>
    <row r="4941" spans="1:24" hidden="1" x14ac:dyDescent="0.3">
      <c r="A4941" s="14" t="s">
        <v>519</v>
      </c>
      <c r="B4941" s="14" t="s">
        <v>227</v>
      </c>
      <c r="C4941" s="14" t="s">
        <v>351</v>
      </c>
      <c r="D4941" s="14" t="s">
        <v>352</v>
      </c>
      <c r="E4941" s="14" t="s">
        <v>344</v>
      </c>
      <c r="F4941" s="14" t="s">
        <v>343</v>
      </c>
      <c r="G4941" s="14" t="s">
        <v>343</v>
      </c>
      <c r="H4941" s="14" t="s">
        <v>343</v>
      </c>
      <c r="U4941" s="14">
        <v>1</v>
      </c>
      <c r="V4941" s="14">
        <v>1</v>
      </c>
      <c r="W4941" s="14">
        <v>1</v>
      </c>
      <c r="X4941" s="14">
        <v>1</v>
      </c>
    </row>
    <row r="4942" spans="1:24" hidden="1" x14ac:dyDescent="0.3">
      <c r="A4942" s="14" t="s">
        <v>519</v>
      </c>
      <c r="B4942" s="14" t="s">
        <v>227</v>
      </c>
      <c r="C4942" s="14" t="s">
        <v>353</v>
      </c>
      <c r="D4942" s="14" t="s">
        <v>354</v>
      </c>
      <c r="E4942" s="14" t="s">
        <v>342</v>
      </c>
      <c r="F4942" s="14" t="s">
        <v>343</v>
      </c>
      <c r="G4942" s="14" t="s">
        <v>343</v>
      </c>
      <c r="H4942" s="14" t="s">
        <v>343</v>
      </c>
      <c r="U4942" s="14">
        <v>0.96</v>
      </c>
      <c r="V4942" s="14">
        <v>0.96</v>
      </c>
      <c r="W4942" s="14">
        <v>0.96</v>
      </c>
      <c r="X4942" s="14">
        <v>0.96</v>
      </c>
    </row>
    <row r="4943" spans="1:24" hidden="1" x14ac:dyDescent="0.3">
      <c r="A4943" s="14" t="s">
        <v>519</v>
      </c>
      <c r="B4943" s="14" t="s">
        <v>227</v>
      </c>
      <c r="C4943" s="14" t="s">
        <v>353</v>
      </c>
      <c r="D4943" s="14" t="s">
        <v>354</v>
      </c>
      <c r="E4943" s="14" t="s">
        <v>344</v>
      </c>
      <c r="F4943" s="14" t="s">
        <v>343</v>
      </c>
      <c r="G4943" s="14" t="s">
        <v>343</v>
      </c>
      <c r="H4943" s="14" t="s">
        <v>343</v>
      </c>
      <c r="U4943" s="14">
        <v>88</v>
      </c>
      <c r="V4943" s="14">
        <v>92</v>
      </c>
      <c r="X4943" s="14">
        <v>91</v>
      </c>
    </row>
    <row r="4944" spans="1:24" hidden="1" x14ac:dyDescent="0.3">
      <c r="A4944" s="14" t="s">
        <v>519</v>
      </c>
      <c r="B4944" s="14" t="s">
        <v>227</v>
      </c>
      <c r="C4944" s="14" t="s">
        <v>380</v>
      </c>
      <c r="D4944" s="14" t="s">
        <v>381</v>
      </c>
      <c r="E4944" s="14" t="s">
        <v>342</v>
      </c>
      <c r="F4944" s="14" t="s">
        <v>343</v>
      </c>
      <c r="G4944" s="14" t="s">
        <v>343</v>
      </c>
      <c r="H4944" s="14" t="s">
        <v>343</v>
      </c>
      <c r="U4944" s="14">
        <v>1</v>
      </c>
      <c r="V4944" s="14">
        <v>1</v>
      </c>
      <c r="W4944" s="14">
        <v>1</v>
      </c>
      <c r="X4944" s="14">
        <v>1</v>
      </c>
    </row>
    <row r="4945" spans="1:24" hidden="1" x14ac:dyDescent="0.3">
      <c r="A4945" s="14" t="s">
        <v>519</v>
      </c>
      <c r="B4945" s="14" t="s">
        <v>227</v>
      </c>
      <c r="C4945" s="14" t="s">
        <v>380</v>
      </c>
      <c r="D4945" s="14" t="s">
        <v>381</v>
      </c>
      <c r="E4945" s="14" t="s">
        <v>344</v>
      </c>
      <c r="F4945" s="14" t="s">
        <v>343</v>
      </c>
      <c r="G4945" s="14" t="s">
        <v>343</v>
      </c>
      <c r="H4945" s="14" t="s">
        <v>343</v>
      </c>
      <c r="U4945" s="14">
        <v>1</v>
      </c>
      <c r="V4945" s="14">
        <v>1</v>
      </c>
      <c r="W4945" s="14">
        <v>1</v>
      </c>
      <c r="X4945" s="14">
        <v>1</v>
      </c>
    </row>
    <row r="4946" spans="1:24" hidden="1" x14ac:dyDescent="0.3">
      <c r="A4946" s="14" t="s">
        <v>519</v>
      </c>
      <c r="B4946" s="14" t="s">
        <v>227</v>
      </c>
      <c r="C4946" s="14" t="s">
        <v>355</v>
      </c>
      <c r="D4946" s="14" t="s">
        <v>356</v>
      </c>
      <c r="E4946" s="14" t="s">
        <v>342</v>
      </c>
      <c r="F4946" s="14" t="s">
        <v>343</v>
      </c>
      <c r="G4946" s="14" t="s">
        <v>343</v>
      </c>
      <c r="H4946" s="14" t="s">
        <v>343</v>
      </c>
      <c r="U4946" s="14">
        <v>1</v>
      </c>
      <c r="V4946" s="14">
        <v>1</v>
      </c>
      <c r="W4946" s="14">
        <v>1</v>
      </c>
      <c r="X4946" s="14">
        <v>1</v>
      </c>
    </row>
    <row r="4947" spans="1:24" hidden="1" x14ac:dyDescent="0.3">
      <c r="A4947" s="14" t="s">
        <v>519</v>
      </c>
      <c r="B4947" s="14" t="s">
        <v>227</v>
      </c>
      <c r="C4947" s="14" t="s">
        <v>355</v>
      </c>
      <c r="D4947" s="14" t="s">
        <v>356</v>
      </c>
      <c r="E4947" s="14" t="s">
        <v>344</v>
      </c>
      <c r="F4947" s="14" t="s">
        <v>343</v>
      </c>
      <c r="G4947" s="14" t="s">
        <v>343</v>
      </c>
      <c r="H4947" s="14" t="s">
        <v>343</v>
      </c>
      <c r="U4947" s="14">
        <v>1</v>
      </c>
      <c r="V4947" s="14">
        <v>1</v>
      </c>
      <c r="W4947" s="14">
        <v>1</v>
      </c>
      <c r="X4947" s="14">
        <v>1</v>
      </c>
    </row>
    <row r="4948" spans="1:24" hidden="1" x14ac:dyDescent="0.3">
      <c r="A4948" s="14" t="s">
        <v>519</v>
      </c>
      <c r="B4948" s="14" t="s">
        <v>227</v>
      </c>
      <c r="C4948" s="14" t="s">
        <v>357</v>
      </c>
      <c r="D4948" s="14" t="s">
        <v>358</v>
      </c>
      <c r="E4948" s="14" t="s">
        <v>342</v>
      </c>
      <c r="F4948" s="14" t="s">
        <v>343</v>
      </c>
      <c r="G4948" s="14" t="s">
        <v>343</v>
      </c>
      <c r="H4948" s="14" t="s">
        <v>343</v>
      </c>
      <c r="V4948" s="14">
        <v>1</v>
      </c>
      <c r="W4948" s="14">
        <v>1</v>
      </c>
    </row>
    <row r="4949" spans="1:24" hidden="1" x14ac:dyDescent="0.3">
      <c r="A4949" s="14" t="s">
        <v>519</v>
      </c>
      <c r="B4949" s="14" t="s">
        <v>227</v>
      </c>
      <c r="C4949" s="14" t="s">
        <v>357</v>
      </c>
      <c r="D4949" s="14" t="s">
        <v>358</v>
      </c>
      <c r="E4949" s="14" t="s">
        <v>344</v>
      </c>
      <c r="F4949" s="14" t="s">
        <v>343</v>
      </c>
      <c r="G4949" s="14" t="s">
        <v>343</v>
      </c>
      <c r="H4949" s="14" t="s">
        <v>343</v>
      </c>
      <c r="V4949" s="14">
        <v>1</v>
      </c>
      <c r="W4949" s="14">
        <v>1</v>
      </c>
    </row>
    <row r="4950" spans="1:24" hidden="1" x14ac:dyDescent="0.3">
      <c r="A4950" s="14" t="s">
        <v>519</v>
      </c>
      <c r="B4950" s="14" t="s">
        <v>227</v>
      </c>
      <c r="C4950" s="14" t="s">
        <v>359</v>
      </c>
      <c r="D4950" s="14" t="s">
        <v>360</v>
      </c>
      <c r="E4950" s="14" t="s">
        <v>342</v>
      </c>
      <c r="F4950" s="14" t="s">
        <v>343</v>
      </c>
      <c r="G4950" s="14" t="s">
        <v>343</v>
      </c>
      <c r="H4950" s="14" t="s">
        <v>343</v>
      </c>
      <c r="J4950" s="14">
        <v>0.62</v>
      </c>
      <c r="K4950" s="14">
        <v>0.55000000000000004</v>
      </c>
      <c r="L4950" s="14">
        <v>0.56999999999999995</v>
      </c>
      <c r="M4950" s="14">
        <v>0.45</v>
      </c>
      <c r="N4950" s="14">
        <v>0.51</v>
      </c>
      <c r="O4950" s="14">
        <v>0.51</v>
      </c>
      <c r="P4950" s="14">
        <v>0.5</v>
      </c>
      <c r="Q4950" s="14">
        <v>0.56999999999999995</v>
      </c>
      <c r="R4950" s="14">
        <v>0.62</v>
      </c>
      <c r="S4950" s="14">
        <v>0.62</v>
      </c>
      <c r="T4950" s="14">
        <v>0.62</v>
      </c>
      <c r="U4950" s="14">
        <v>0.64</v>
      </c>
      <c r="V4950" s="14">
        <v>0.64</v>
      </c>
      <c r="W4950" s="14">
        <v>0.7</v>
      </c>
      <c r="X4950" s="14">
        <v>0.73</v>
      </c>
    </row>
    <row r="4951" spans="1:24" hidden="1" x14ac:dyDescent="0.3">
      <c r="A4951" s="14" t="s">
        <v>519</v>
      </c>
      <c r="B4951" s="14" t="s">
        <v>227</v>
      </c>
      <c r="C4951" s="14" t="s">
        <v>359</v>
      </c>
      <c r="D4951" s="14" t="s">
        <v>360</v>
      </c>
      <c r="E4951" s="14" t="s">
        <v>344</v>
      </c>
      <c r="F4951" s="14" t="s">
        <v>343</v>
      </c>
      <c r="G4951" s="14" t="s">
        <v>343</v>
      </c>
      <c r="H4951" s="14" t="s">
        <v>343</v>
      </c>
      <c r="J4951" s="14">
        <v>73</v>
      </c>
      <c r="K4951" s="14">
        <v>101</v>
      </c>
      <c r="L4951" s="14">
        <v>101</v>
      </c>
      <c r="M4951" s="14">
        <v>123</v>
      </c>
      <c r="N4951" s="14">
        <v>114</v>
      </c>
      <c r="O4951" s="14">
        <v>115</v>
      </c>
      <c r="P4951" s="14">
        <v>119</v>
      </c>
      <c r="Q4951" s="14">
        <v>115</v>
      </c>
      <c r="R4951" s="14">
        <v>103</v>
      </c>
      <c r="S4951" s="14">
        <v>100</v>
      </c>
      <c r="T4951" s="14">
        <v>105</v>
      </c>
      <c r="U4951" s="14">
        <v>93</v>
      </c>
      <c r="V4951" s="14">
        <v>99</v>
      </c>
      <c r="W4951" s="14">
        <v>67</v>
      </c>
      <c r="X4951" s="14">
        <v>46</v>
      </c>
    </row>
    <row r="4952" spans="1:24" x14ac:dyDescent="0.3">
      <c r="A4952" s="14" t="s">
        <v>519</v>
      </c>
      <c r="B4952" s="14" t="s">
        <v>227</v>
      </c>
      <c r="C4952" s="14" t="s">
        <v>361</v>
      </c>
      <c r="D4952" s="14" t="s">
        <v>362</v>
      </c>
      <c r="E4952" s="14" t="s">
        <v>342</v>
      </c>
      <c r="F4952" s="14" t="s">
        <v>343</v>
      </c>
      <c r="G4952" s="14" t="s">
        <v>343</v>
      </c>
      <c r="H4952" s="14" t="s">
        <v>343</v>
      </c>
      <c r="J4952" s="14">
        <v>0.97</v>
      </c>
      <c r="K4952" s="14">
        <v>0.97</v>
      </c>
      <c r="L4952" s="14">
        <v>0.97</v>
      </c>
      <c r="M4952" s="14">
        <v>0.97</v>
      </c>
      <c r="N4952" s="14">
        <v>0.97</v>
      </c>
      <c r="O4952" s="14">
        <v>0.98</v>
      </c>
      <c r="P4952" s="14">
        <v>0.98</v>
      </c>
      <c r="Q4952" s="14">
        <v>0.98</v>
      </c>
      <c r="R4952" s="14">
        <v>0.98</v>
      </c>
      <c r="S4952" s="14">
        <v>0.98</v>
      </c>
      <c r="T4952" s="14">
        <v>0.97</v>
      </c>
      <c r="U4952" s="14">
        <v>0.97</v>
      </c>
      <c r="V4952" s="14">
        <v>0.97</v>
      </c>
      <c r="W4952" s="14">
        <v>0.97</v>
      </c>
      <c r="X4952" s="14">
        <v>0.97</v>
      </c>
    </row>
    <row r="4953" spans="1:24" hidden="1" x14ac:dyDescent="0.3">
      <c r="A4953" s="14" t="s">
        <v>519</v>
      </c>
      <c r="B4953" s="14" t="s">
        <v>227</v>
      </c>
      <c r="C4953" s="14" t="s">
        <v>361</v>
      </c>
      <c r="D4953" s="14" t="s">
        <v>362</v>
      </c>
      <c r="E4953" s="14" t="s">
        <v>344</v>
      </c>
      <c r="F4953" s="14" t="s">
        <v>343</v>
      </c>
      <c r="G4953" s="14" t="s">
        <v>343</v>
      </c>
      <c r="H4953" s="14" t="s">
        <v>343</v>
      </c>
      <c r="J4953" s="14">
        <v>74</v>
      </c>
      <c r="K4953" s="14">
        <v>76</v>
      </c>
      <c r="L4953" s="14">
        <v>80</v>
      </c>
      <c r="M4953" s="14">
        <v>70</v>
      </c>
      <c r="N4953" s="14">
        <v>70</v>
      </c>
      <c r="O4953" s="14">
        <v>1</v>
      </c>
      <c r="P4953" s="14">
        <v>1</v>
      </c>
      <c r="Q4953" s="14">
        <v>1</v>
      </c>
      <c r="R4953" s="14">
        <v>1</v>
      </c>
      <c r="S4953" s="14">
        <v>1</v>
      </c>
      <c r="T4953" s="14">
        <v>91</v>
      </c>
      <c r="U4953" s="14">
        <v>87</v>
      </c>
      <c r="V4953" s="14">
        <v>125</v>
      </c>
      <c r="W4953" s="14">
        <v>90</v>
      </c>
      <c r="X4953" s="14">
        <v>61</v>
      </c>
    </row>
    <row r="4954" spans="1:24" hidden="1" x14ac:dyDescent="0.3">
      <c r="A4954" s="14" t="s">
        <v>519</v>
      </c>
      <c r="B4954" s="14" t="s">
        <v>227</v>
      </c>
      <c r="C4954" s="14" t="s">
        <v>363</v>
      </c>
      <c r="D4954" s="14" t="s">
        <v>364</v>
      </c>
      <c r="E4954" s="14" t="s">
        <v>342</v>
      </c>
      <c r="F4954" s="14" t="s">
        <v>343</v>
      </c>
      <c r="G4954" s="14" t="s">
        <v>343</v>
      </c>
      <c r="H4954" s="14" t="s">
        <v>343</v>
      </c>
      <c r="U4954" s="14">
        <v>1.06</v>
      </c>
      <c r="V4954" s="14">
        <v>1.06</v>
      </c>
      <c r="W4954" s="14">
        <v>1.06</v>
      </c>
      <c r="X4954" s="14">
        <v>1.06</v>
      </c>
    </row>
    <row r="4955" spans="1:24" hidden="1" x14ac:dyDescent="0.3">
      <c r="A4955" s="14" t="s">
        <v>519</v>
      </c>
      <c r="B4955" s="14" t="s">
        <v>227</v>
      </c>
      <c r="C4955" s="14" t="s">
        <v>363</v>
      </c>
      <c r="D4955" s="14" t="s">
        <v>364</v>
      </c>
      <c r="E4955" s="14" t="s">
        <v>344</v>
      </c>
      <c r="F4955" s="14" t="s">
        <v>343</v>
      </c>
      <c r="G4955" s="14" t="s">
        <v>343</v>
      </c>
      <c r="H4955" s="14" t="s">
        <v>343</v>
      </c>
      <c r="U4955" s="14">
        <v>1</v>
      </c>
      <c r="V4955" s="14">
        <v>1</v>
      </c>
      <c r="W4955" s="14">
        <v>46</v>
      </c>
      <c r="X4955" s="14">
        <v>43</v>
      </c>
    </row>
    <row r="4956" spans="1:24" hidden="1" x14ac:dyDescent="0.3">
      <c r="A4956" s="14" t="s">
        <v>519</v>
      </c>
      <c r="B4956" s="14" t="s">
        <v>227</v>
      </c>
      <c r="C4956" s="14" t="s">
        <v>365</v>
      </c>
      <c r="D4956" s="14" t="s">
        <v>366</v>
      </c>
      <c r="E4956" s="14" t="s">
        <v>342</v>
      </c>
      <c r="F4956" s="14" t="s">
        <v>343</v>
      </c>
      <c r="G4956" s="14" t="s">
        <v>343</v>
      </c>
      <c r="H4956" s="14" t="s">
        <v>343</v>
      </c>
      <c r="U4956" s="14">
        <v>0.93</v>
      </c>
      <c r="V4956" s="14">
        <v>0.93</v>
      </c>
      <c r="W4956" s="14">
        <v>0.93</v>
      </c>
      <c r="X4956" s="14">
        <v>0.94</v>
      </c>
    </row>
    <row r="4957" spans="1:24" hidden="1" x14ac:dyDescent="0.3">
      <c r="A4957" s="14" t="s">
        <v>519</v>
      </c>
      <c r="B4957" s="14" t="s">
        <v>227</v>
      </c>
      <c r="C4957" s="14" t="s">
        <v>365</v>
      </c>
      <c r="D4957" s="14" t="s">
        <v>366</v>
      </c>
      <c r="E4957" s="14" t="s">
        <v>344</v>
      </c>
      <c r="F4957" s="14" t="s">
        <v>343</v>
      </c>
      <c r="G4957" s="14" t="s">
        <v>343</v>
      </c>
      <c r="H4957" s="14" t="s">
        <v>343</v>
      </c>
      <c r="U4957" s="14">
        <v>137</v>
      </c>
      <c r="V4957" s="14">
        <v>145</v>
      </c>
      <c r="W4957" s="14">
        <v>148</v>
      </c>
      <c r="X4957" s="14">
        <v>135</v>
      </c>
    </row>
    <row r="4958" spans="1:24" hidden="1" x14ac:dyDescent="0.3">
      <c r="A4958" s="14" t="s">
        <v>519</v>
      </c>
      <c r="B4958" s="14" t="s">
        <v>227</v>
      </c>
      <c r="C4958" s="14" t="s">
        <v>367</v>
      </c>
      <c r="D4958" s="14" t="s">
        <v>368</v>
      </c>
      <c r="E4958" s="14" t="s">
        <v>342</v>
      </c>
      <c r="F4958" s="14" t="s">
        <v>343</v>
      </c>
      <c r="G4958" s="14" t="s">
        <v>343</v>
      </c>
      <c r="H4958" s="14" t="s">
        <v>343</v>
      </c>
      <c r="J4958" s="14">
        <v>0.68</v>
      </c>
      <c r="K4958" s="14">
        <v>0.67</v>
      </c>
      <c r="L4958" s="14">
        <v>0.67</v>
      </c>
      <c r="M4958" s="14">
        <v>0.64</v>
      </c>
      <c r="N4958" s="14">
        <v>0.64</v>
      </c>
      <c r="O4958" s="14">
        <v>0.64</v>
      </c>
      <c r="P4958" s="14">
        <v>0.64</v>
      </c>
      <c r="Q4958" s="14">
        <v>0.65</v>
      </c>
      <c r="R4958" s="14">
        <v>0.68</v>
      </c>
      <c r="S4958" s="14">
        <v>0.68</v>
      </c>
      <c r="T4958" s="14">
        <v>0.69</v>
      </c>
      <c r="U4958" s="14">
        <v>0.7</v>
      </c>
      <c r="V4958" s="14">
        <v>0.71</v>
      </c>
      <c r="W4958" s="14">
        <v>0.73</v>
      </c>
      <c r="X4958" s="14">
        <v>0.74</v>
      </c>
    </row>
    <row r="4959" spans="1:24" hidden="1" x14ac:dyDescent="0.3">
      <c r="A4959" s="14" t="s">
        <v>519</v>
      </c>
      <c r="B4959" s="14" t="s">
        <v>227</v>
      </c>
      <c r="C4959" s="14" t="s">
        <v>367</v>
      </c>
      <c r="D4959" s="14" t="s">
        <v>368</v>
      </c>
      <c r="E4959" s="14" t="s">
        <v>344</v>
      </c>
      <c r="F4959" s="14" t="s">
        <v>343</v>
      </c>
      <c r="G4959" s="14" t="s">
        <v>343</v>
      </c>
      <c r="H4959" s="14" t="s">
        <v>343</v>
      </c>
      <c r="J4959" s="14">
        <v>56</v>
      </c>
      <c r="K4959" s="14">
        <v>79</v>
      </c>
      <c r="L4959" s="14">
        <v>78</v>
      </c>
      <c r="M4959" s="14">
        <v>102</v>
      </c>
      <c r="N4959" s="14">
        <v>104</v>
      </c>
      <c r="O4959" s="14">
        <v>106</v>
      </c>
      <c r="P4959" s="14">
        <v>110</v>
      </c>
      <c r="Q4959" s="14">
        <v>109</v>
      </c>
      <c r="R4959" s="14">
        <v>94</v>
      </c>
      <c r="S4959" s="14">
        <v>95</v>
      </c>
      <c r="T4959" s="14">
        <v>86</v>
      </c>
      <c r="U4959" s="14">
        <v>79</v>
      </c>
      <c r="V4959" s="14">
        <v>77</v>
      </c>
      <c r="W4959" s="14">
        <v>51</v>
      </c>
      <c r="X4959" s="14">
        <v>44</v>
      </c>
    </row>
    <row r="4960" spans="1:24" hidden="1" x14ac:dyDescent="0.3">
      <c r="A4960" s="14" t="s">
        <v>519</v>
      </c>
      <c r="B4960" s="14" t="s">
        <v>227</v>
      </c>
      <c r="C4960" s="14" t="s">
        <v>369</v>
      </c>
      <c r="D4960" s="14" t="s">
        <v>370</v>
      </c>
      <c r="E4960" s="14" t="s">
        <v>342</v>
      </c>
      <c r="F4960" s="14" t="s">
        <v>343</v>
      </c>
      <c r="G4960" s="14" t="s">
        <v>343</v>
      </c>
      <c r="H4960" s="14" t="s">
        <v>343</v>
      </c>
      <c r="J4960" s="14">
        <v>0.14000000000000001</v>
      </c>
      <c r="K4960" s="14">
        <v>0.16</v>
      </c>
      <c r="L4960" s="14">
        <v>0.16</v>
      </c>
      <c r="M4960" s="14">
        <v>0.15</v>
      </c>
      <c r="N4960" s="14">
        <v>0.08</v>
      </c>
      <c r="O4960" s="14">
        <v>7.0000000000000007E-2</v>
      </c>
      <c r="P4960" s="14">
        <v>7.0000000000000007E-2</v>
      </c>
      <c r="Q4960" s="14">
        <v>0.06</v>
      </c>
      <c r="R4960" s="14">
        <v>0.12</v>
      </c>
      <c r="S4960" s="14">
        <v>0.12</v>
      </c>
      <c r="T4960" s="14">
        <v>0.18</v>
      </c>
      <c r="U4960" s="14">
        <v>0.18</v>
      </c>
      <c r="V4960" s="14">
        <v>0.23</v>
      </c>
      <c r="W4960" s="14">
        <v>0.25</v>
      </c>
      <c r="X4960" s="14">
        <v>0.25</v>
      </c>
    </row>
    <row r="4961" spans="1:24" hidden="1" x14ac:dyDescent="0.3">
      <c r="A4961" s="14" t="s">
        <v>519</v>
      </c>
      <c r="B4961" s="14" t="s">
        <v>227</v>
      </c>
      <c r="C4961" s="14" t="s">
        <v>369</v>
      </c>
      <c r="D4961" s="14" t="s">
        <v>370</v>
      </c>
      <c r="E4961" s="14" t="s">
        <v>344</v>
      </c>
      <c r="F4961" s="14" t="s">
        <v>343</v>
      </c>
      <c r="G4961" s="14" t="s">
        <v>343</v>
      </c>
      <c r="H4961" s="14" t="s">
        <v>343</v>
      </c>
      <c r="J4961" s="14">
        <v>46</v>
      </c>
      <c r="K4961" s="14">
        <v>49</v>
      </c>
      <c r="L4961" s="14">
        <v>51</v>
      </c>
      <c r="M4961" s="14">
        <v>53</v>
      </c>
      <c r="N4961" s="14">
        <v>95</v>
      </c>
      <c r="O4961" s="14">
        <v>107</v>
      </c>
      <c r="P4961" s="14">
        <v>110</v>
      </c>
      <c r="Q4961" s="14">
        <v>131</v>
      </c>
      <c r="R4961" s="14">
        <v>90</v>
      </c>
      <c r="S4961" s="14">
        <v>91</v>
      </c>
      <c r="T4961" s="14">
        <v>71</v>
      </c>
      <c r="U4961" s="14">
        <v>71</v>
      </c>
      <c r="V4961" s="14">
        <v>56</v>
      </c>
      <c r="W4961" s="14">
        <v>56</v>
      </c>
      <c r="X4961" s="14">
        <v>53</v>
      </c>
    </row>
    <row r="4962" spans="1:24" hidden="1" x14ac:dyDescent="0.3">
      <c r="A4962" s="14" t="s">
        <v>519</v>
      </c>
      <c r="B4962" s="14" t="s">
        <v>227</v>
      </c>
      <c r="C4962" s="14" t="s">
        <v>371</v>
      </c>
      <c r="D4962" s="14" t="s">
        <v>372</v>
      </c>
      <c r="E4962" s="14" t="s">
        <v>342</v>
      </c>
      <c r="F4962" s="14" t="s">
        <v>343</v>
      </c>
      <c r="G4962" s="14" t="s">
        <v>343</v>
      </c>
      <c r="H4962" s="14" t="s">
        <v>343</v>
      </c>
      <c r="U4962" s="14">
        <v>0</v>
      </c>
      <c r="V4962" s="14">
        <v>0</v>
      </c>
      <c r="W4962" s="14">
        <v>0</v>
      </c>
      <c r="X4962" s="14">
        <v>0</v>
      </c>
    </row>
    <row r="4963" spans="1:24" hidden="1" x14ac:dyDescent="0.3">
      <c r="A4963" s="14" t="s">
        <v>519</v>
      </c>
      <c r="B4963" s="14" t="s">
        <v>227</v>
      </c>
      <c r="C4963" s="14" t="s">
        <v>371</v>
      </c>
      <c r="D4963" s="14" t="s">
        <v>372</v>
      </c>
      <c r="E4963" s="14" t="s">
        <v>344</v>
      </c>
      <c r="F4963" s="14" t="s">
        <v>343</v>
      </c>
      <c r="G4963" s="14" t="s">
        <v>343</v>
      </c>
      <c r="H4963" s="14" t="s">
        <v>343</v>
      </c>
      <c r="U4963" s="14">
        <v>71</v>
      </c>
      <c r="V4963" s="14">
        <v>73</v>
      </c>
      <c r="W4963" s="14">
        <v>76</v>
      </c>
      <c r="X4963" s="14">
        <v>78</v>
      </c>
    </row>
    <row r="4964" spans="1:24" hidden="1" x14ac:dyDescent="0.3">
      <c r="A4964" s="14" t="s">
        <v>519</v>
      </c>
      <c r="B4964" s="14" t="s">
        <v>227</v>
      </c>
      <c r="C4964" s="14" t="s">
        <v>373</v>
      </c>
      <c r="D4964" s="14" t="s">
        <v>374</v>
      </c>
      <c r="E4964" s="14" t="s">
        <v>342</v>
      </c>
      <c r="F4964" s="14" t="s">
        <v>343</v>
      </c>
      <c r="G4964" s="14" t="s">
        <v>343</v>
      </c>
      <c r="H4964" s="14" t="s">
        <v>343</v>
      </c>
      <c r="U4964" s="14">
        <v>0.28999999999999998</v>
      </c>
      <c r="V4964" s="14">
        <v>0.42</v>
      </c>
      <c r="W4964" s="14">
        <v>0.5</v>
      </c>
      <c r="X4964" s="14">
        <v>0.5</v>
      </c>
    </row>
    <row r="4965" spans="1:24" hidden="1" x14ac:dyDescent="0.3">
      <c r="A4965" s="14" t="s">
        <v>519</v>
      </c>
      <c r="B4965" s="14" t="s">
        <v>227</v>
      </c>
      <c r="C4965" s="14" t="s">
        <v>373</v>
      </c>
      <c r="D4965" s="14" t="s">
        <v>374</v>
      </c>
      <c r="E4965" s="14" t="s">
        <v>344</v>
      </c>
      <c r="F4965" s="14" t="s">
        <v>343</v>
      </c>
      <c r="G4965" s="14" t="s">
        <v>343</v>
      </c>
      <c r="H4965" s="14" t="s">
        <v>343</v>
      </c>
      <c r="U4965" s="14">
        <v>56</v>
      </c>
      <c r="V4965" s="14">
        <v>38</v>
      </c>
      <c r="W4965" s="14">
        <v>37</v>
      </c>
      <c r="X4965" s="14">
        <v>37</v>
      </c>
    </row>
    <row r="4966" spans="1:24" hidden="1" x14ac:dyDescent="0.3">
      <c r="A4966" s="14" t="s">
        <v>519</v>
      </c>
      <c r="B4966" s="14" t="s">
        <v>227</v>
      </c>
      <c r="C4966" s="14" t="s">
        <v>375</v>
      </c>
      <c r="D4966" s="14" t="s">
        <v>376</v>
      </c>
      <c r="E4966" s="14" t="s">
        <v>342</v>
      </c>
      <c r="F4966" s="14" t="s">
        <v>343</v>
      </c>
      <c r="G4966" s="14" t="s">
        <v>343</v>
      </c>
      <c r="H4966" s="14" t="s">
        <v>343</v>
      </c>
      <c r="U4966" s="14">
        <v>0.34</v>
      </c>
      <c r="V4966" s="14">
        <v>0.42</v>
      </c>
      <c r="W4966" s="14">
        <v>0.42</v>
      </c>
      <c r="X4966" s="14">
        <v>0.42</v>
      </c>
    </row>
    <row r="4967" spans="1:24" hidden="1" x14ac:dyDescent="0.3">
      <c r="A4967" s="14" t="s">
        <v>519</v>
      </c>
      <c r="B4967" s="14" t="s">
        <v>227</v>
      </c>
      <c r="C4967" s="14" t="s">
        <v>375</v>
      </c>
      <c r="D4967" s="14" t="s">
        <v>376</v>
      </c>
      <c r="E4967" s="14" t="s">
        <v>344</v>
      </c>
      <c r="F4967" s="14" t="s">
        <v>343</v>
      </c>
      <c r="G4967" s="14" t="s">
        <v>343</v>
      </c>
      <c r="H4967" s="14" t="s">
        <v>343</v>
      </c>
      <c r="U4967" s="14">
        <v>58</v>
      </c>
      <c r="V4967" s="14">
        <v>48</v>
      </c>
      <c r="W4967" s="14">
        <v>50</v>
      </c>
      <c r="X4967" s="14">
        <v>55</v>
      </c>
    </row>
    <row r="4968" spans="1:24" hidden="1" x14ac:dyDescent="0.3">
      <c r="A4968" s="14" t="s">
        <v>520</v>
      </c>
      <c r="B4968" s="14" t="s">
        <v>521</v>
      </c>
      <c r="C4968" s="14" t="s">
        <v>340</v>
      </c>
      <c r="D4968" s="14" t="s">
        <v>341</v>
      </c>
      <c r="E4968" s="14" t="s">
        <v>342</v>
      </c>
      <c r="F4968" s="14" t="s">
        <v>343</v>
      </c>
      <c r="G4968" s="14" t="s">
        <v>343</v>
      </c>
      <c r="H4968" s="14" t="s">
        <v>343</v>
      </c>
      <c r="I4968" s="14">
        <v>1</v>
      </c>
      <c r="J4968" s="14">
        <v>1</v>
      </c>
      <c r="K4968" s="14">
        <v>1</v>
      </c>
      <c r="L4968" s="14">
        <v>1</v>
      </c>
      <c r="M4968" s="14">
        <v>1</v>
      </c>
      <c r="N4968" s="14">
        <v>1</v>
      </c>
      <c r="O4968" s="14">
        <v>1</v>
      </c>
      <c r="P4968" s="14">
        <v>1</v>
      </c>
      <c r="Q4968" s="14">
        <v>1</v>
      </c>
      <c r="R4968" s="14">
        <v>1</v>
      </c>
      <c r="S4968" s="14">
        <v>1</v>
      </c>
      <c r="T4968" s="14">
        <v>1</v>
      </c>
      <c r="U4968" s="14">
        <v>1</v>
      </c>
      <c r="V4968" s="14">
        <v>1</v>
      </c>
      <c r="W4968" s="14">
        <v>1</v>
      </c>
      <c r="X4968" s="14">
        <v>1</v>
      </c>
    </row>
    <row r="4969" spans="1:24" hidden="1" x14ac:dyDescent="0.3">
      <c r="A4969" s="14" t="s">
        <v>520</v>
      </c>
      <c r="B4969" s="14" t="s">
        <v>521</v>
      </c>
      <c r="C4969" s="14" t="s">
        <v>340</v>
      </c>
      <c r="D4969" s="14" t="s">
        <v>341</v>
      </c>
      <c r="E4969" s="14" t="s">
        <v>344</v>
      </c>
      <c r="F4969" s="14" t="s">
        <v>343</v>
      </c>
      <c r="G4969" s="14" t="s">
        <v>343</v>
      </c>
      <c r="H4969" s="14" t="s">
        <v>343</v>
      </c>
      <c r="I4969" s="14">
        <v>33</v>
      </c>
      <c r="J4969" s="14">
        <v>37</v>
      </c>
      <c r="K4969" s="14">
        <v>1</v>
      </c>
      <c r="L4969" s="14">
        <v>1</v>
      </c>
      <c r="M4969" s="14">
        <v>1</v>
      </c>
      <c r="N4969" s="14">
        <v>1</v>
      </c>
      <c r="O4969" s="14">
        <v>1</v>
      </c>
      <c r="P4969" s="14">
        <v>1</v>
      </c>
      <c r="Q4969" s="14">
        <v>1</v>
      </c>
      <c r="R4969" s="14">
        <v>1</v>
      </c>
      <c r="S4969" s="14">
        <v>1</v>
      </c>
      <c r="T4969" s="14">
        <v>1</v>
      </c>
      <c r="U4969" s="14">
        <v>1</v>
      </c>
      <c r="V4969" s="14">
        <v>1</v>
      </c>
      <c r="W4969" s="14">
        <v>1</v>
      </c>
      <c r="X4969" s="14">
        <v>24</v>
      </c>
    </row>
    <row r="4970" spans="1:24" hidden="1" x14ac:dyDescent="0.3">
      <c r="A4970" s="14" t="s">
        <v>520</v>
      </c>
      <c r="B4970" s="14" t="s">
        <v>521</v>
      </c>
      <c r="C4970" s="14" t="s">
        <v>345</v>
      </c>
      <c r="D4970" s="14" t="s">
        <v>346</v>
      </c>
      <c r="E4970" s="14" t="s">
        <v>342</v>
      </c>
      <c r="F4970" s="14" t="s">
        <v>343</v>
      </c>
      <c r="G4970" s="14" t="s">
        <v>343</v>
      </c>
      <c r="H4970" s="14" t="s">
        <v>343</v>
      </c>
      <c r="U4970" s="14">
        <v>0.6</v>
      </c>
      <c r="V4970" s="14">
        <v>0.62</v>
      </c>
      <c r="W4970" s="14">
        <v>0.63</v>
      </c>
      <c r="X4970" s="14">
        <v>0.67</v>
      </c>
    </row>
    <row r="4971" spans="1:24" hidden="1" x14ac:dyDescent="0.3">
      <c r="A4971" s="14" t="s">
        <v>520</v>
      </c>
      <c r="B4971" s="14" t="s">
        <v>521</v>
      </c>
      <c r="C4971" s="14" t="s">
        <v>345</v>
      </c>
      <c r="D4971" s="14" t="s">
        <v>346</v>
      </c>
      <c r="E4971" s="14" t="s">
        <v>344</v>
      </c>
      <c r="F4971" s="14" t="s">
        <v>343</v>
      </c>
      <c r="G4971" s="14" t="s">
        <v>343</v>
      </c>
      <c r="H4971" s="14" t="s">
        <v>343</v>
      </c>
      <c r="U4971" s="14">
        <v>81</v>
      </c>
      <c r="V4971" s="14">
        <v>72</v>
      </c>
      <c r="W4971" s="14">
        <v>68</v>
      </c>
      <c r="X4971" s="14">
        <v>59</v>
      </c>
    </row>
    <row r="4972" spans="1:24" hidden="1" x14ac:dyDescent="0.3">
      <c r="A4972" s="14" t="s">
        <v>520</v>
      </c>
      <c r="B4972" s="14" t="s">
        <v>521</v>
      </c>
      <c r="C4972" s="14" t="s">
        <v>347</v>
      </c>
      <c r="D4972" s="14" t="s">
        <v>348</v>
      </c>
      <c r="E4972" s="14" t="s">
        <v>342</v>
      </c>
      <c r="F4972" s="14" t="s">
        <v>343</v>
      </c>
      <c r="G4972" s="14" t="s">
        <v>343</v>
      </c>
      <c r="H4972" s="14" t="s">
        <v>343</v>
      </c>
      <c r="U4972" s="14">
        <v>0.84</v>
      </c>
      <c r="V4972" s="14">
        <v>0.85</v>
      </c>
      <c r="W4972" s="14">
        <v>0.84</v>
      </c>
      <c r="X4972" s="14">
        <v>0.82</v>
      </c>
    </row>
    <row r="4973" spans="1:24" hidden="1" x14ac:dyDescent="0.3">
      <c r="A4973" s="14" t="s">
        <v>520</v>
      </c>
      <c r="B4973" s="14" t="s">
        <v>521</v>
      </c>
      <c r="C4973" s="14" t="s">
        <v>347</v>
      </c>
      <c r="D4973" s="14" t="s">
        <v>348</v>
      </c>
      <c r="E4973" s="14" t="s">
        <v>344</v>
      </c>
      <c r="F4973" s="14" t="s">
        <v>343</v>
      </c>
      <c r="G4973" s="14" t="s">
        <v>343</v>
      </c>
      <c r="H4973" s="14" t="s">
        <v>343</v>
      </c>
      <c r="U4973" s="14">
        <v>62</v>
      </c>
      <c r="V4973" s="14">
        <v>64</v>
      </c>
      <c r="W4973" s="14">
        <v>66</v>
      </c>
      <c r="X4973" s="14">
        <v>56</v>
      </c>
    </row>
    <row r="4974" spans="1:24" hidden="1" x14ac:dyDescent="0.3">
      <c r="A4974" s="14" t="s">
        <v>520</v>
      </c>
      <c r="B4974" s="14" t="s">
        <v>521</v>
      </c>
      <c r="C4974" s="14" t="s">
        <v>349</v>
      </c>
      <c r="D4974" s="14" t="s">
        <v>350</v>
      </c>
      <c r="E4974" s="14" t="s">
        <v>342</v>
      </c>
      <c r="F4974" s="14" t="s">
        <v>343</v>
      </c>
      <c r="G4974" s="14" t="s">
        <v>343</v>
      </c>
      <c r="H4974" s="14" t="s">
        <v>343</v>
      </c>
      <c r="U4974" s="14">
        <v>0.49</v>
      </c>
      <c r="V4974" s="14">
        <v>0.47</v>
      </c>
      <c r="W4974" s="14">
        <v>0.51</v>
      </c>
      <c r="X4974" s="14">
        <v>0.55000000000000004</v>
      </c>
    </row>
    <row r="4975" spans="1:24" hidden="1" x14ac:dyDescent="0.3">
      <c r="A4975" s="14" t="s">
        <v>520</v>
      </c>
      <c r="B4975" s="14" t="s">
        <v>521</v>
      </c>
      <c r="C4975" s="14" t="s">
        <v>349</v>
      </c>
      <c r="D4975" s="14" t="s">
        <v>350</v>
      </c>
      <c r="E4975" s="14" t="s">
        <v>344</v>
      </c>
      <c r="F4975" s="14" t="s">
        <v>343</v>
      </c>
      <c r="G4975" s="14" t="s">
        <v>343</v>
      </c>
      <c r="H4975" s="14" t="s">
        <v>343</v>
      </c>
      <c r="U4975" s="14">
        <v>65</v>
      </c>
      <c r="V4975" s="14">
        <v>74</v>
      </c>
      <c r="W4975" s="14">
        <v>71</v>
      </c>
      <c r="X4975" s="14">
        <v>61</v>
      </c>
    </row>
    <row r="4976" spans="1:24" hidden="1" x14ac:dyDescent="0.3">
      <c r="A4976" s="14" t="s">
        <v>520</v>
      </c>
      <c r="B4976" s="14" t="s">
        <v>521</v>
      </c>
      <c r="C4976" s="14" t="s">
        <v>351</v>
      </c>
      <c r="D4976" s="14" t="s">
        <v>352</v>
      </c>
      <c r="E4976" s="14" t="s">
        <v>342</v>
      </c>
      <c r="F4976" s="14" t="s">
        <v>343</v>
      </c>
      <c r="G4976" s="14" t="s">
        <v>343</v>
      </c>
      <c r="H4976" s="14" t="s">
        <v>343</v>
      </c>
      <c r="U4976" s="14">
        <v>1</v>
      </c>
      <c r="W4976" s="14">
        <v>1</v>
      </c>
      <c r="X4976" s="14">
        <v>1</v>
      </c>
    </row>
    <row r="4977" spans="1:24" hidden="1" x14ac:dyDescent="0.3">
      <c r="A4977" s="14" t="s">
        <v>520</v>
      </c>
      <c r="B4977" s="14" t="s">
        <v>521</v>
      </c>
      <c r="C4977" s="14" t="s">
        <v>351</v>
      </c>
      <c r="D4977" s="14" t="s">
        <v>352</v>
      </c>
      <c r="E4977" s="14" t="s">
        <v>344</v>
      </c>
      <c r="F4977" s="14" t="s">
        <v>343</v>
      </c>
      <c r="G4977" s="14" t="s">
        <v>343</v>
      </c>
      <c r="H4977" s="14" t="s">
        <v>343</v>
      </c>
      <c r="U4977" s="14">
        <v>1</v>
      </c>
      <c r="V4977" s="14">
        <v>1</v>
      </c>
      <c r="W4977" s="14">
        <v>1</v>
      </c>
      <c r="X4977" s="14">
        <v>1</v>
      </c>
    </row>
    <row r="4978" spans="1:24" hidden="1" x14ac:dyDescent="0.3">
      <c r="A4978" s="14" t="s">
        <v>520</v>
      </c>
      <c r="B4978" s="14" t="s">
        <v>521</v>
      </c>
      <c r="C4978" s="14" t="s">
        <v>378</v>
      </c>
      <c r="D4978" s="14" t="s">
        <v>379</v>
      </c>
      <c r="E4978" s="14" t="s">
        <v>342</v>
      </c>
      <c r="F4978" s="14" t="s">
        <v>343</v>
      </c>
      <c r="G4978" s="14" t="s">
        <v>343</v>
      </c>
      <c r="H4978" s="14" t="s">
        <v>343</v>
      </c>
      <c r="S4978" s="14">
        <v>0.54</v>
      </c>
      <c r="U4978" s="14">
        <v>0.53</v>
      </c>
      <c r="V4978" s="14">
        <v>0.53</v>
      </c>
      <c r="W4978" s="14">
        <v>0.56999999999999995</v>
      </c>
      <c r="X4978" s="14">
        <v>0.59</v>
      </c>
    </row>
    <row r="4979" spans="1:24" hidden="1" x14ac:dyDescent="0.3">
      <c r="A4979" s="14" t="s">
        <v>520</v>
      </c>
      <c r="B4979" s="14" t="s">
        <v>521</v>
      </c>
      <c r="C4979" s="14" t="s">
        <v>378</v>
      </c>
      <c r="D4979" s="14" t="s">
        <v>379</v>
      </c>
      <c r="E4979" s="14" t="s">
        <v>344</v>
      </c>
      <c r="F4979" s="14" t="s">
        <v>343</v>
      </c>
      <c r="G4979" s="14" t="s">
        <v>343</v>
      </c>
      <c r="H4979" s="14" t="s">
        <v>343</v>
      </c>
      <c r="S4979" s="14">
        <v>121</v>
      </c>
      <c r="U4979" s="14">
        <v>123</v>
      </c>
      <c r="V4979" s="14">
        <v>124</v>
      </c>
      <c r="W4979" s="14">
        <v>114</v>
      </c>
      <c r="X4979" s="14">
        <v>102</v>
      </c>
    </row>
    <row r="4980" spans="1:24" hidden="1" x14ac:dyDescent="0.3">
      <c r="A4980" s="14" t="s">
        <v>520</v>
      </c>
      <c r="B4980" s="14" t="s">
        <v>521</v>
      </c>
      <c r="C4980" s="14" t="s">
        <v>353</v>
      </c>
      <c r="D4980" s="14" t="s">
        <v>354</v>
      </c>
      <c r="E4980" s="14" t="s">
        <v>342</v>
      </c>
      <c r="F4980" s="14" t="s">
        <v>343</v>
      </c>
      <c r="G4980" s="14" t="s">
        <v>343</v>
      </c>
      <c r="H4980" s="14" t="s">
        <v>343</v>
      </c>
      <c r="U4980" s="14">
        <v>1</v>
      </c>
      <c r="V4980" s="14">
        <v>1</v>
      </c>
      <c r="W4980" s="14">
        <v>1</v>
      </c>
      <c r="X4980" s="14">
        <v>1</v>
      </c>
    </row>
    <row r="4981" spans="1:24" hidden="1" x14ac:dyDescent="0.3">
      <c r="A4981" s="14" t="s">
        <v>520</v>
      </c>
      <c r="B4981" s="14" t="s">
        <v>521</v>
      </c>
      <c r="C4981" s="14" t="s">
        <v>353</v>
      </c>
      <c r="D4981" s="14" t="s">
        <v>354</v>
      </c>
      <c r="E4981" s="14" t="s">
        <v>344</v>
      </c>
      <c r="F4981" s="14" t="s">
        <v>343</v>
      </c>
      <c r="G4981" s="14" t="s">
        <v>343</v>
      </c>
      <c r="H4981" s="14" t="s">
        <v>343</v>
      </c>
      <c r="U4981" s="14">
        <v>1</v>
      </c>
      <c r="V4981" s="14">
        <v>1</v>
      </c>
      <c r="W4981" s="14">
        <v>1</v>
      </c>
      <c r="X4981" s="14">
        <v>1</v>
      </c>
    </row>
    <row r="4982" spans="1:24" hidden="1" x14ac:dyDescent="0.3">
      <c r="A4982" s="14" t="s">
        <v>520</v>
      </c>
      <c r="B4982" s="14" t="s">
        <v>521</v>
      </c>
      <c r="C4982" s="14" t="s">
        <v>380</v>
      </c>
      <c r="D4982" s="14" t="s">
        <v>381</v>
      </c>
      <c r="E4982" s="14" t="s">
        <v>342</v>
      </c>
      <c r="F4982" s="14" t="s">
        <v>343</v>
      </c>
      <c r="G4982" s="14" t="s">
        <v>343</v>
      </c>
      <c r="H4982" s="14" t="s">
        <v>343</v>
      </c>
      <c r="V4982" s="14">
        <v>1</v>
      </c>
      <c r="W4982" s="14">
        <v>1</v>
      </c>
      <c r="X4982" s="14">
        <v>1</v>
      </c>
    </row>
    <row r="4983" spans="1:24" hidden="1" x14ac:dyDescent="0.3">
      <c r="A4983" s="14" t="s">
        <v>520</v>
      </c>
      <c r="B4983" s="14" t="s">
        <v>521</v>
      </c>
      <c r="C4983" s="14" t="s">
        <v>380</v>
      </c>
      <c r="D4983" s="14" t="s">
        <v>381</v>
      </c>
      <c r="E4983" s="14" t="s">
        <v>344</v>
      </c>
      <c r="F4983" s="14" t="s">
        <v>343</v>
      </c>
      <c r="G4983" s="14" t="s">
        <v>343</v>
      </c>
      <c r="H4983" s="14" t="s">
        <v>343</v>
      </c>
      <c r="V4983" s="14">
        <v>1</v>
      </c>
      <c r="W4983" s="14">
        <v>1</v>
      </c>
      <c r="X4983" s="14">
        <v>68</v>
      </c>
    </row>
    <row r="4984" spans="1:24" hidden="1" x14ac:dyDescent="0.3">
      <c r="A4984" s="14" t="s">
        <v>520</v>
      </c>
      <c r="B4984" s="14" t="s">
        <v>521</v>
      </c>
      <c r="C4984" s="14" t="s">
        <v>355</v>
      </c>
      <c r="D4984" s="14" t="s">
        <v>356</v>
      </c>
      <c r="E4984" s="14" t="s">
        <v>342</v>
      </c>
      <c r="F4984" s="14" t="s">
        <v>343</v>
      </c>
      <c r="G4984" s="14" t="s">
        <v>343</v>
      </c>
      <c r="H4984" s="14" t="s">
        <v>343</v>
      </c>
      <c r="U4984" s="14">
        <v>1</v>
      </c>
      <c r="V4984" s="14">
        <v>1</v>
      </c>
      <c r="W4984" s="14">
        <v>1</v>
      </c>
      <c r="X4984" s="14">
        <v>1</v>
      </c>
    </row>
    <row r="4985" spans="1:24" hidden="1" x14ac:dyDescent="0.3">
      <c r="A4985" s="14" t="s">
        <v>520</v>
      </c>
      <c r="B4985" s="14" t="s">
        <v>521</v>
      </c>
      <c r="C4985" s="14" t="s">
        <v>355</v>
      </c>
      <c r="D4985" s="14" t="s">
        <v>356</v>
      </c>
      <c r="E4985" s="14" t="s">
        <v>344</v>
      </c>
      <c r="F4985" s="14" t="s">
        <v>343</v>
      </c>
      <c r="G4985" s="14" t="s">
        <v>343</v>
      </c>
      <c r="H4985" s="14" t="s">
        <v>343</v>
      </c>
      <c r="U4985" s="14">
        <v>1</v>
      </c>
      <c r="V4985" s="14">
        <v>1</v>
      </c>
      <c r="W4985" s="14">
        <v>1</v>
      </c>
      <c r="X4985" s="14">
        <v>1</v>
      </c>
    </row>
    <row r="4986" spans="1:24" hidden="1" x14ac:dyDescent="0.3">
      <c r="A4986" s="14" t="s">
        <v>520</v>
      </c>
      <c r="B4986" s="14" t="s">
        <v>521</v>
      </c>
      <c r="C4986" s="14" t="s">
        <v>357</v>
      </c>
      <c r="D4986" s="14" t="s">
        <v>358</v>
      </c>
      <c r="E4986" s="14" t="s">
        <v>342</v>
      </c>
      <c r="F4986" s="14" t="s">
        <v>343</v>
      </c>
      <c r="G4986" s="14" t="s">
        <v>343</v>
      </c>
      <c r="H4986" s="14" t="s">
        <v>343</v>
      </c>
      <c r="U4986" s="14">
        <v>1</v>
      </c>
      <c r="V4986" s="14">
        <v>1</v>
      </c>
      <c r="W4986" s="14">
        <v>1</v>
      </c>
      <c r="X4986" s="14">
        <v>1</v>
      </c>
    </row>
    <row r="4987" spans="1:24" hidden="1" x14ac:dyDescent="0.3">
      <c r="A4987" s="14" t="s">
        <v>520</v>
      </c>
      <c r="B4987" s="14" t="s">
        <v>521</v>
      </c>
      <c r="C4987" s="14" t="s">
        <v>357</v>
      </c>
      <c r="D4987" s="14" t="s">
        <v>358</v>
      </c>
      <c r="E4987" s="14" t="s">
        <v>344</v>
      </c>
      <c r="F4987" s="14" t="s">
        <v>343</v>
      </c>
      <c r="G4987" s="14" t="s">
        <v>343</v>
      </c>
      <c r="H4987" s="14" t="s">
        <v>343</v>
      </c>
      <c r="U4987" s="14">
        <v>1</v>
      </c>
      <c r="V4987" s="14">
        <v>1</v>
      </c>
      <c r="W4987" s="14">
        <v>1</v>
      </c>
      <c r="X4987" s="14">
        <v>1</v>
      </c>
    </row>
    <row r="4988" spans="1:24" hidden="1" x14ac:dyDescent="0.3">
      <c r="A4988" s="14" t="s">
        <v>520</v>
      </c>
      <c r="B4988" s="14" t="s">
        <v>521</v>
      </c>
      <c r="C4988" s="14" t="s">
        <v>359</v>
      </c>
      <c r="D4988" s="14" t="s">
        <v>360</v>
      </c>
      <c r="E4988" s="14" t="s">
        <v>342</v>
      </c>
      <c r="F4988" s="14" t="s">
        <v>343</v>
      </c>
      <c r="G4988" s="14" t="s">
        <v>343</v>
      </c>
      <c r="H4988" s="14" t="s">
        <v>343</v>
      </c>
      <c r="I4988" s="14">
        <v>0.65</v>
      </c>
      <c r="J4988" s="14">
        <v>0.67</v>
      </c>
      <c r="K4988" s="14">
        <v>0.64</v>
      </c>
      <c r="L4988" s="14">
        <v>0.65</v>
      </c>
      <c r="M4988" s="14">
        <v>0.64</v>
      </c>
      <c r="N4988" s="14">
        <v>0.63</v>
      </c>
      <c r="O4988" s="14">
        <v>0.63</v>
      </c>
      <c r="P4988" s="14">
        <v>0.64</v>
      </c>
      <c r="Q4988" s="14">
        <v>0.64</v>
      </c>
      <c r="R4988" s="14">
        <v>0.64</v>
      </c>
      <c r="S4988" s="14">
        <v>0.65</v>
      </c>
      <c r="T4988" s="14">
        <v>0.66</v>
      </c>
      <c r="U4988" s="14">
        <v>0.66</v>
      </c>
      <c r="V4988" s="14">
        <v>0.66</v>
      </c>
      <c r="W4988" s="14">
        <v>0.68</v>
      </c>
      <c r="X4988" s="14">
        <v>0.7</v>
      </c>
    </row>
    <row r="4989" spans="1:24" hidden="1" x14ac:dyDescent="0.3">
      <c r="A4989" s="14" t="s">
        <v>520</v>
      </c>
      <c r="B4989" s="14" t="s">
        <v>521</v>
      </c>
      <c r="C4989" s="14" t="s">
        <v>359</v>
      </c>
      <c r="D4989" s="14" t="s">
        <v>360</v>
      </c>
      <c r="E4989" s="14" t="s">
        <v>344</v>
      </c>
      <c r="F4989" s="14" t="s">
        <v>343</v>
      </c>
      <c r="G4989" s="14" t="s">
        <v>343</v>
      </c>
      <c r="H4989" s="14" t="s">
        <v>343</v>
      </c>
      <c r="I4989" s="14">
        <v>43</v>
      </c>
      <c r="J4989" s="14">
        <v>50</v>
      </c>
      <c r="K4989" s="14">
        <v>66</v>
      </c>
      <c r="L4989" s="14">
        <v>68</v>
      </c>
      <c r="M4989" s="14">
        <v>70</v>
      </c>
      <c r="N4989" s="14">
        <v>73</v>
      </c>
      <c r="O4989" s="14">
        <v>82</v>
      </c>
      <c r="P4989" s="14">
        <v>86</v>
      </c>
      <c r="Q4989" s="14">
        <v>88</v>
      </c>
      <c r="R4989" s="14">
        <v>93</v>
      </c>
      <c r="S4989" s="14">
        <v>86</v>
      </c>
      <c r="T4989" s="14">
        <v>79</v>
      </c>
      <c r="U4989" s="14">
        <v>83</v>
      </c>
      <c r="V4989" s="14">
        <v>83</v>
      </c>
      <c r="W4989" s="14">
        <v>80</v>
      </c>
      <c r="X4989" s="14">
        <v>70</v>
      </c>
    </row>
    <row r="4990" spans="1:24" x14ac:dyDescent="0.3">
      <c r="A4990" s="14" t="s">
        <v>520</v>
      </c>
      <c r="B4990" s="14" t="s">
        <v>521</v>
      </c>
      <c r="C4990" s="14" t="s">
        <v>361</v>
      </c>
      <c r="D4990" s="14" t="s">
        <v>362</v>
      </c>
      <c r="E4990" s="14" t="s">
        <v>342</v>
      </c>
      <c r="F4990" s="14" t="s">
        <v>343</v>
      </c>
      <c r="G4990" s="14" t="s">
        <v>343</v>
      </c>
      <c r="H4990" s="14" t="s">
        <v>343</v>
      </c>
      <c r="I4990" s="14">
        <v>0.98</v>
      </c>
      <c r="J4990" s="14">
        <v>0.98</v>
      </c>
      <c r="K4990" s="14">
        <v>0.98</v>
      </c>
      <c r="L4990" s="14">
        <v>0.98</v>
      </c>
      <c r="M4990" s="14">
        <v>0.98</v>
      </c>
      <c r="N4990" s="14">
        <v>0.98</v>
      </c>
      <c r="O4990" s="14">
        <v>0.98</v>
      </c>
      <c r="P4990" s="14">
        <v>0.98</v>
      </c>
      <c r="Q4990" s="14">
        <v>0.97</v>
      </c>
      <c r="R4990" s="14">
        <v>0.97</v>
      </c>
      <c r="S4990" s="14">
        <v>0.97</v>
      </c>
      <c r="T4990" s="14">
        <v>0.98</v>
      </c>
      <c r="U4990" s="14">
        <v>0.98</v>
      </c>
      <c r="V4990" s="14">
        <v>0.98</v>
      </c>
      <c r="W4990" s="14">
        <v>0.98</v>
      </c>
      <c r="X4990" s="14">
        <v>0.98</v>
      </c>
    </row>
    <row r="4991" spans="1:24" hidden="1" x14ac:dyDescent="0.3">
      <c r="A4991" s="14" t="s">
        <v>520</v>
      </c>
      <c r="B4991" s="14" t="s">
        <v>521</v>
      </c>
      <c r="C4991" s="14" t="s">
        <v>361</v>
      </c>
      <c r="D4991" s="14" t="s">
        <v>362</v>
      </c>
      <c r="E4991" s="14" t="s">
        <v>344</v>
      </c>
      <c r="F4991" s="14" t="s">
        <v>343</v>
      </c>
      <c r="G4991" s="14" t="s">
        <v>343</v>
      </c>
      <c r="H4991" s="14" t="s">
        <v>343</v>
      </c>
      <c r="I4991" s="14">
        <v>1</v>
      </c>
      <c r="J4991" s="14">
        <v>1</v>
      </c>
      <c r="K4991" s="14">
        <v>1</v>
      </c>
      <c r="L4991" s="14">
        <v>1</v>
      </c>
      <c r="M4991" s="14">
        <v>1</v>
      </c>
      <c r="N4991" s="14">
        <v>1</v>
      </c>
      <c r="O4991" s="14">
        <v>1</v>
      </c>
      <c r="P4991" s="14">
        <v>1</v>
      </c>
      <c r="Q4991" s="14">
        <v>74</v>
      </c>
      <c r="R4991" s="14">
        <v>79</v>
      </c>
      <c r="S4991" s="14">
        <v>76</v>
      </c>
      <c r="T4991" s="14">
        <v>1</v>
      </c>
      <c r="U4991" s="14">
        <v>1</v>
      </c>
      <c r="V4991" s="14">
        <v>1</v>
      </c>
      <c r="W4991" s="14">
        <v>1</v>
      </c>
      <c r="X4991" s="14">
        <v>1</v>
      </c>
    </row>
    <row r="4992" spans="1:24" hidden="1" x14ac:dyDescent="0.3">
      <c r="A4992" s="14" t="s">
        <v>520</v>
      </c>
      <c r="B4992" s="14" t="s">
        <v>521</v>
      </c>
      <c r="C4992" s="14" t="s">
        <v>363</v>
      </c>
      <c r="D4992" s="14" t="s">
        <v>364</v>
      </c>
      <c r="E4992" s="14" t="s">
        <v>342</v>
      </c>
      <c r="F4992" s="14" t="s">
        <v>343</v>
      </c>
      <c r="G4992" s="14" t="s">
        <v>343</v>
      </c>
      <c r="H4992" s="14" t="s">
        <v>343</v>
      </c>
      <c r="U4992" s="14">
        <v>1.06</v>
      </c>
      <c r="V4992" s="14">
        <v>1.06</v>
      </c>
      <c r="W4992" s="14">
        <v>1.06</v>
      </c>
      <c r="X4992" s="14">
        <v>1.06</v>
      </c>
    </row>
    <row r="4993" spans="1:24" hidden="1" x14ac:dyDescent="0.3">
      <c r="A4993" s="14" t="s">
        <v>520</v>
      </c>
      <c r="B4993" s="14" t="s">
        <v>521</v>
      </c>
      <c r="C4993" s="14" t="s">
        <v>363</v>
      </c>
      <c r="D4993" s="14" t="s">
        <v>364</v>
      </c>
      <c r="E4993" s="14" t="s">
        <v>344</v>
      </c>
      <c r="F4993" s="14" t="s">
        <v>343</v>
      </c>
      <c r="G4993" s="14" t="s">
        <v>343</v>
      </c>
      <c r="H4993" s="14" t="s">
        <v>343</v>
      </c>
      <c r="U4993" s="14">
        <v>1</v>
      </c>
      <c r="V4993" s="14">
        <v>1</v>
      </c>
      <c r="W4993" s="14">
        <v>1</v>
      </c>
      <c r="X4993" s="14">
        <v>1</v>
      </c>
    </row>
    <row r="4994" spans="1:24" hidden="1" x14ac:dyDescent="0.3">
      <c r="A4994" s="14" t="s">
        <v>520</v>
      </c>
      <c r="B4994" s="14" t="s">
        <v>521</v>
      </c>
      <c r="C4994" s="14" t="s">
        <v>365</v>
      </c>
      <c r="D4994" s="14" t="s">
        <v>366</v>
      </c>
      <c r="E4994" s="14" t="s">
        <v>342</v>
      </c>
      <c r="F4994" s="14" t="s">
        <v>343</v>
      </c>
      <c r="G4994" s="14" t="s">
        <v>343</v>
      </c>
      <c r="H4994" s="14" t="s">
        <v>343</v>
      </c>
      <c r="U4994" s="14">
        <v>0.94</v>
      </c>
      <c r="V4994" s="14">
        <v>0.94</v>
      </c>
      <c r="W4994" s="14">
        <v>0.94</v>
      </c>
      <c r="X4994" s="14">
        <v>0.94</v>
      </c>
    </row>
    <row r="4995" spans="1:24" hidden="1" x14ac:dyDescent="0.3">
      <c r="A4995" s="14" t="s">
        <v>520</v>
      </c>
      <c r="B4995" s="14" t="s">
        <v>521</v>
      </c>
      <c r="C4995" s="14" t="s">
        <v>365</v>
      </c>
      <c r="D4995" s="14" t="s">
        <v>366</v>
      </c>
      <c r="E4995" s="14" t="s">
        <v>344</v>
      </c>
      <c r="F4995" s="14" t="s">
        <v>343</v>
      </c>
      <c r="G4995" s="14" t="s">
        <v>343</v>
      </c>
      <c r="H4995" s="14" t="s">
        <v>343</v>
      </c>
      <c r="U4995" s="14">
        <v>1</v>
      </c>
      <c r="V4995" s="14">
        <v>1</v>
      </c>
      <c r="W4995" s="14">
        <v>1</v>
      </c>
      <c r="X4995" s="14">
        <v>1</v>
      </c>
    </row>
    <row r="4996" spans="1:24" hidden="1" x14ac:dyDescent="0.3">
      <c r="A4996" s="14" t="s">
        <v>520</v>
      </c>
      <c r="B4996" s="14" t="s">
        <v>521</v>
      </c>
      <c r="C4996" s="14" t="s">
        <v>367</v>
      </c>
      <c r="D4996" s="14" t="s">
        <v>368</v>
      </c>
      <c r="E4996" s="14" t="s">
        <v>342</v>
      </c>
      <c r="F4996" s="14" t="s">
        <v>343</v>
      </c>
      <c r="G4996" s="14" t="s">
        <v>343</v>
      </c>
      <c r="H4996" s="14" t="s">
        <v>343</v>
      </c>
      <c r="I4996" s="14">
        <v>0.68</v>
      </c>
      <c r="J4996" s="14">
        <v>0.68</v>
      </c>
      <c r="K4996" s="14">
        <v>0.68</v>
      </c>
      <c r="L4996" s="14">
        <v>0.68</v>
      </c>
      <c r="M4996" s="14">
        <v>0.68</v>
      </c>
      <c r="N4996" s="14">
        <v>0.68</v>
      </c>
      <c r="O4996" s="14">
        <v>0.68</v>
      </c>
      <c r="P4996" s="14">
        <v>0.69</v>
      </c>
      <c r="Q4996" s="14">
        <v>0.68</v>
      </c>
      <c r="R4996" s="14">
        <v>0.68</v>
      </c>
      <c r="S4996" s="14">
        <v>0.68</v>
      </c>
      <c r="T4996" s="14">
        <v>0.69</v>
      </c>
      <c r="U4996" s="14">
        <v>0.69</v>
      </c>
      <c r="V4996" s="14">
        <v>0.72</v>
      </c>
      <c r="W4996" s="14">
        <v>0.71</v>
      </c>
      <c r="X4996" s="14">
        <v>0.72</v>
      </c>
    </row>
    <row r="4997" spans="1:24" hidden="1" x14ac:dyDescent="0.3">
      <c r="A4997" s="14" t="s">
        <v>520</v>
      </c>
      <c r="B4997" s="14" t="s">
        <v>521</v>
      </c>
      <c r="C4997" s="14" t="s">
        <v>367</v>
      </c>
      <c r="D4997" s="14" t="s">
        <v>368</v>
      </c>
      <c r="E4997" s="14" t="s">
        <v>344</v>
      </c>
      <c r="F4997" s="14" t="s">
        <v>343</v>
      </c>
      <c r="G4997" s="14" t="s">
        <v>343</v>
      </c>
      <c r="H4997" s="14" t="s">
        <v>343</v>
      </c>
      <c r="I4997" s="14">
        <v>50</v>
      </c>
      <c r="J4997" s="14">
        <v>54</v>
      </c>
      <c r="K4997" s="14">
        <v>64</v>
      </c>
      <c r="L4997" s="14">
        <v>68</v>
      </c>
      <c r="M4997" s="14">
        <v>71</v>
      </c>
      <c r="N4997" s="14">
        <v>72</v>
      </c>
      <c r="O4997" s="14">
        <v>70</v>
      </c>
      <c r="P4997" s="14">
        <v>74</v>
      </c>
      <c r="Q4997" s="14">
        <v>90</v>
      </c>
      <c r="R4997" s="14">
        <v>97</v>
      </c>
      <c r="S4997" s="14">
        <v>94</v>
      </c>
      <c r="T4997" s="14">
        <v>74</v>
      </c>
      <c r="U4997" s="14">
        <v>83</v>
      </c>
      <c r="V4997" s="14">
        <v>63</v>
      </c>
      <c r="W4997" s="14">
        <v>77</v>
      </c>
      <c r="X4997" s="14">
        <v>67</v>
      </c>
    </row>
    <row r="4998" spans="1:24" hidden="1" x14ac:dyDescent="0.3">
      <c r="A4998" s="14" t="s">
        <v>520</v>
      </c>
      <c r="B4998" s="14" t="s">
        <v>521</v>
      </c>
      <c r="C4998" s="14" t="s">
        <v>369</v>
      </c>
      <c r="D4998" s="14" t="s">
        <v>370</v>
      </c>
      <c r="E4998" s="14" t="s">
        <v>342</v>
      </c>
      <c r="F4998" s="14" t="s">
        <v>343</v>
      </c>
      <c r="G4998" s="14" t="s">
        <v>343</v>
      </c>
      <c r="H4998" s="14" t="s">
        <v>343</v>
      </c>
      <c r="I4998" s="14">
        <v>0.08</v>
      </c>
      <c r="J4998" s="14">
        <v>0.08</v>
      </c>
      <c r="K4998" s="14">
        <v>0.11</v>
      </c>
      <c r="L4998" s="14">
        <v>0.11</v>
      </c>
      <c r="M4998" s="14">
        <v>0.09</v>
      </c>
      <c r="N4998" s="14">
        <v>0.11</v>
      </c>
      <c r="O4998" s="14">
        <v>0.12</v>
      </c>
      <c r="P4998" s="14">
        <v>0.13</v>
      </c>
      <c r="Q4998" s="14">
        <v>0.11</v>
      </c>
      <c r="R4998" s="14">
        <v>0.09</v>
      </c>
      <c r="S4998" s="14">
        <v>0.09</v>
      </c>
      <c r="T4998" s="14">
        <v>0.14000000000000001</v>
      </c>
      <c r="U4998" s="14">
        <v>0.14000000000000001</v>
      </c>
      <c r="V4998" s="14">
        <v>0.23</v>
      </c>
      <c r="W4998" s="14">
        <v>0.18</v>
      </c>
      <c r="X4998" s="14">
        <v>0.19</v>
      </c>
    </row>
    <row r="4999" spans="1:24" hidden="1" x14ac:dyDescent="0.3">
      <c r="A4999" s="14" t="s">
        <v>520</v>
      </c>
      <c r="B4999" s="14" t="s">
        <v>521</v>
      </c>
      <c r="C4999" s="14" t="s">
        <v>369</v>
      </c>
      <c r="D4999" s="14" t="s">
        <v>370</v>
      </c>
      <c r="E4999" s="14" t="s">
        <v>344</v>
      </c>
      <c r="F4999" s="14" t="s">
        <v>343</v>
      </c>
      <c r="G4999" s="14" t="s">
        <v>343</v>
      </c>
      <c r="H4999" s="14" t="s">
        <v>343</v>
      </c>
      <c r="I4999" s="14">
        <v>77</v>
      </c>
      <c r="J4999" s="14">
        <v>86</v>
      </c>
      <c r="K4999" s="14">
        <v>71</v>
      </c>
      <c r="L4999" s="14">
        <v>75</v>
      </c>
      <c r="M4999" s="14">
        <v>89</v>
      </c>
      <c r="N4999" s="14">
        <v>79</v>
      </c>
      <c r="O4999" s="14">
        <v>80</v>
      </c>
      <c r="P4999" s="14">
        <v>77</v>
      </c>
      <c r="Q4999" s="14">
        <v>100</v>
      </c>
      <c r="R4999" s="14">
        <v>115</v>
      </c>
      <c r="S4999" s="14">
        <v>110</v>
      </c>
      <c r="T4999" s="14">
        <v>89</v>
      </c>
      <c r="U4999" s="14">
        <v>91</v>
      </c>
      <c r="V4999" s="14">
        <v>58</v>
      </c>
      <c r="W4999" s="14">
        <v>82</v>
      </c>
      <c r="X4999" s="14">
        <v>83</v>
      </c>
    </row>
    <row r="5000" spans="1:24" hidden="1" x14ac:dyDescent="0.3">
      <c r="A5000" s="14" t="s">
        <v>520</v>
      </c>
      <c r="B5000" s="14" t="s">
        <v>521</v>
      </c>
      <c r="C5000" s="14" t="s">
        <v>371</v>
      </c>
      <c r="D5000" s="14" t="s">
        <v>372</v>
      </c>
      <c r="E5000" s="14" t="s">
        <v>342</v>
      </c>
      <c r="F5000" s="14" t="s">
        <v>343</v>
      </c>
      <c r="G5000" s="14" t="s">
        <v>343</v>
      </c>
      <c r="H5000" s="14" t="s">
        <v>343</v>
      </c>
      <c r="U5000" s="14">
        <v>0.04</v>
      </c>
      <c r="V5000" s="14">
        <v>0.04</v>
      </c>
      <c r="W5000" s="14">
        <v>7.0000000000000007E-2</v>
      </c>
      <c r="X5000" s="14">
        <v>0.1</v>
      </c>
    </row>
    <row r="5001" spans="1:24" hidden="1" x14ac:dyDescent="0.3">
      <c r="A5001" s="14" t="s">
        <v>520</v>
      </c>
      <c r="B5001" s="14" t="s">
        <v>521</v>
      </c>
      <c r="C5001" s="14" t="s">
        <v>371</v>
      </c>
      <c r="D5001" s="14" t="s">
        <v>372</v>
      </c>
      <c r="E5001" s="14" t="s">
        <v>344</v>
      </c>
      <c r="F5001" s="14" t="s">
        <v>343</v>
      </c>
      <c r="G5001" s="14" t="s">
        <v>343</v>
      </c>
      <c r="H5001" s="14" t="s">
        <v>343</v>
      </c>
      <c r="U5001" s="14">
        <v>47</v>
      </c>
      <c r="V5001" s="14">
        <v>50</v>
      </c>
      <c r="W5001" s="14">
        <v>40</v>
      </c>
      <c r="X5001" s="14">
        <v>34</v>
      </c>
    </row>
    <row r="5002" spans="1:24" hidden="1" x14ac:dyDescent="0.3">
      <c r="A5002" s="14" t="s">
        <v>520</v>
      </c>
      <c r="B5002" s="14" t="s">
        <v>521</v>
      </c>
      <c r="C5002" s="14" t="s">
        <v>373</v>
      </c>
      <c r="D5002" s="14" t="s">
        <v>374</v>
      </c>
      <c r="E5002" s="14" t="s">
        <v>342</v>
      </c>
      <c r="F5002" s="14" t="s">
        <v>343</v>
      </c>
      <c r="G5002" s="14" t="s">
        <v>343</v>
      </c>
      <c r="H5002" s="14" t="s">
        <v>343</v>
      </c>
      <c r="U5002" s="14">
        <v>0.17</v>
      </c>
      <c r="V5002" s="14">
        <v>0.56000000000000005</v>
      </c>
      <c r="W5002" s="14">
        <v>0.25</v>
      </c>
      <c r="X5002" s="14">
        <v>0.25</v>
      </c>
    </row>
    <row r="5003" spans="1:24" hidden="1" x14ac:dyDescent="0.3">
      <c r="A5003" s="14" t="s">
        <v>520</v>
      </c>
      <c r="B5003" s="14" t="s">
        <v>521</v>
      </c>
      <c r="C5003" s="14" t="s">
        <v>373</v>
      </c>
      <c r="D5003" s="14" t="s">
        <v>374</v>
      </c>
      <c r="E5003" s="14" t="s">
        <v>344</v>
      </c>
      <c r="F5003" s="14" t="s">
        <v>343</v>
      </c>
      <c r="G5003" s="14" t="s">
        <v>343</v>
      </c>
      <c r="H5003" s="14" t="s">
        <v>343</v>
      </c>
      <c r="U5003" s="14">
        <v>95</v>
      </c>
      <c r="V5003" s="14">
        <v>23</v>
      </c>
      <c r="W5003" s="14">
        <v>83</v>
      </c>
      <c r="X5003" s="14">
        <v>78</v>
      </c>
    </row>
    <row r="5004" spans="1:24" hidden="1" x14ac:dyDescent="0.3">
      <c r="A5004" s="14" t="s">
        <v>520</v>
      </c>
      <c r="B5004" s="14" t="s">
        <v>521</v>
      </c>
      <c r="C5004" s="14" t="s">
        <v>375</v>
      </c>
      <c r="D5004" s="14" t="s">
        <v>376</v>
      </c>
      <c r="E5004" s="14" t="s">
        <v>342</v>
      </c>
      <c r="F5004" s="14" t="s">
        <v>343</v>
      </c>
      <c r="G5004" s="14" t="s">
        <v>343</v>
      </c>
      <c r="H5004" s="14" t="s">
        <v>343</v>
      </c>
      <c r="U5004" s="14">
        <v>0.25</v>
      </c>
      <c r="V5004" s="14">
        <v>0.25</v>
      </c>
      <c r="W5004" s="14">
        <v>0.28999999999999998</v>
      </c>
      <c r="X5004" s="14">
        <v>0.27</v>
      </c>
    </row>
    <row r="5005" spans="1:24" hidden="1" x14ac:dyDescent="0.3">
      <c r="A5005" s="14" t="s">
        <v>520</v>
      </c>
      <c r="B5005" s="14" t="s">
        <v>521</v>
      </c>
      <c r="C5005" s="14" t="s">
        <v>375</v>
      </c>
      <c r="D5005" s="14" t="s">
        <v>376</v>
      </c>
      <c r="E5005" s="14" t="s">
        <v>344</v>
      </c>
      <c r="F5005" s="14" t="s">
        <v>343</v>
      </c>
      <c r="G5005" s="14" t="s">
        <v>343</v>
      </c>
      <c r="H5005" s="14" t="s">
        <v>343</v>
      </c>
      <c r="U5005" s="14">
        <v>83</v>
      </c>
      <c r="V5005" s="14">
        <v>92</v>
      </c>
      <c r="W5005" s="14">
        <v>84</v>
      </c>
      <c r="X5005" s="14">
        <v>90</v>
      </c>
    </row>
    <row r="5006" spans="1:24" hidden="1" x14ac:dyDescent="0.3">
      <c r="A5006" s="14" t="s">
        <v>522</v>
      </c>
      <c r="B5006" s="14" t="s">
        <v>219</v>
      </c>
      <c r="C5006" s="14" t="s">
        <v>340</v>
      </c>
      <c r="D5006" s="14" t="s">
        <v>341</v>
      </c>
      <c r="E5006" s="14" t="s">
        <v>342</v>
      </c>
      <c r="F5006" s="14" t="s">
        <v>343</v>
      </c>
      <c r="G5006" s="14" t="s">
        <v>343</v>
      </c>
      <c r="H5006" s="14" t="s">
        <v>343</v>
      </c>
      <c r="I5006" s="14">
        <v>1</v>
      </c>
      <c r="J5006" s="14">
        <v>1</v>
      </c>
      <c r="K5006" s="14">
        <v>1</v>
      </c>
      <c r="L5006" s="14">
        <v>1</v>
      </c>
      <c r="M5006" s="14">
        <v>1</v>
      </c>
      <c r="N5006" s="14">
        <v>1</v>
      </c>
      <c r="O5006" s="14">
        <v>1</v>
      </c>
      <c r="P5006" s="14">
        <v>1</v>
      </c>
      <c r="Q5006" s="14">
        <v>1</v>
      </c>
      <c r="R5006" s="14">
        <v>1</v>
      </c>
      <c r="S5006" s="14">
        <v>1</v>
      </c>
      <c r="T5006" s="14">
        <v>1</v>
      </c>
      <c r="U5006" s="14">
        <v>1</v>
      </c>
      <c r="V5006" s="14">
        <v>1</v>
      </c>
      <c r="W5006" s="14">
        <v>1</v>
      </c>
      <c r="X5006" s="14">
        <v>1</v>
      </c>
    </row>
    <row r="5007" spans="1:24" hidden="1" x14ac:dyDescent="0.3">
      <c r="A5007" s="14" t="s">
        <v>522</v>
      </c>
      <c r="B5007" s="14" t="s">
        <v>219</v>
      </c>
      <c r="C5007" s="14" t="s">
        <v>340</v>
      </c>
      <c r="D5007" s="14" t="s">
        <v>341</v>
      </c>
      <c r="E5007" s="14" t="s">
        <v>344</v>
      </c>
      <c r="F5007" s="14" t="s">
        <v>343</v>
      </c>
      <c r="G5007" s="14" t="s">
        <v>343</v>
      </c>
      <c r="H5007" s="14" t="s">
        <v>343</v>
      </c>
      <c r="I5007" s="14">
        <v>20</v>
      </c>
      <c r="J5007" s="14">
        <v>18</v>
      </c>
      <c r="K5007" s="14">
        <v>36</v>
      </c>
      <c r="L5007" s="14">
        <v>36</v>
      </c>
      <c r="M5007" s="14">
        <v>36</v>
      </c>
      <c r="N5007" s="14">
        <v>36</v>
      </c>
      <c r="O5007" s="14">
        <v>33</v>
      </c>
      <c r="P5007" s="14">
        <v>26</v>
      </c>
      <c r="Q5007" s="14">
        <v>27</v>
      </c>
      <c r="R5007" s="14">
        <v>29</v>
      </c>
      <c r="S5007" s="14">
        <v>25</v>
      </c>
      <c r="T5007" s="14">
        <v>1</v>
      </c>
      <c r="U5007" s="14">
        <v>29</v>
      </c>
      <c r="V5007" s="14">
        <v>27</v>
      </c>
      <c r="W5007" s="14">
        <v>28</v>
      </c>
      <c r="X5007" s="14">
        <v>26</v>
      </c>
    </row>
    <row r="5008" spans="1:24" hidden="1" x14ac:dyDescent="0.3">
      <c r="A5008" s="14" t="s">
        <v>522</v>
      </c>
      <c r="B5008" s="14" t="s">
        <v>219</v>
      </c>
      <c r="C5008" s="14" t="s">
        <v>345</v>
      </c>
      <c r="D5008" s="14" t="s">
        <v>346</v>
      </c>
      <c r="E5008" s="14" t="s">
        <v>342</v>
      </c>
      <c r="F5008" s="14" t="s">
        <v>343</v>
      </c>
      <c r="G5008" s="14" t="s">
        <v>343</v>
      </c>
      <c r="H5008" s="14" t="s">
        <v>343</v>
      </c>
      <c r="U5008" s="14">
        <v>0.79</v>
      </c>
      <c r="V5008" s="14">
        <v>0.81</v>
      </c>
      <c r="W5008" s="14">
        <v>0.79</v>
      </c>
      <c r="X5008" s="14">
        <v>0.82</v>
      </c>
    </row>
    <row r="5009" spans="1:24" hidden="1" x14ac:dyDescent="0.3">
      <c r="A5009" s="14" t="s">
        <v>522</v>
      </c>
      <c r="B5009" s="14" t="s">
        <v>219</v>
      </c>
      <c r="C5009" s="14" t="s">
        <v>345</v>
      </c>
      <c r="D5009" s="14" t="s">
        <v>346</v>
      </c>
      <c r="E5009" s="14" t="s">
        <v>344</v>
      </c>
      <c r="F5009" s="14" t="s">
        <v>343</v>
      </c>
      <c r="G5009" s="14" t="s">
        <v>343</v>
      </c>
      <c r="H5009" s="14" t="s">
        <v>343</v>
      </c>
      <c r="U5009" s="14">
        <v>11</v>
      </c>
      <c r="V5009" s="14">
        <v>10</v>
      </c>
      <c r="W5009" s="14">
        <v>16</v>
      </c>
      <c r="X5009" s="14">
        <v>12</v>
      </c>
    </row>
    <row r="5010" spans="1:24" hidden="1" x14ac:dyDescent="0.3">
      <c r="A5010" s="14" t="s">
        <v>522</v>
      </c>
      <c r="B5010" s="14" t="s">
        <v>219</v>
      </c>
      <c r="C5010" s="14" t="s">
        <v>347</v>
      </c>
      <c r="D5010" s="14" t="s">
        <v>348</v>
      </c>
      <c r="E5010" s="14" t="s">
        <v>342</v>
      </c>
      <c r="F5010" s="14" t="s">
        <v>343</v>
      </c>
      <c r="G5010" s="14" t="s">
        <v>343</v>
      </c>
      <c r="H5010" s="14" t="s">
        <v>343</v>
      </c>
      <c r="U5010" s="14">
        <v>0.92</v>
      </c>
      <c r="V5010" s="14">
        <v>0.93</v>
      </c>
      <c r="W5010" s="14">
        <v>0.93</v>
      </c>
      <c r="X5010" s="14">
        <v>0.86</v>
      </c>
    </row>
    <row r="5011" spans="1:24" hidden="1" x14ac:dyDescent="0.3">
      <c r="A5011" s="14" t="s">
        <v>522</v>
      </c>
      <c r="B5011" s="14" t="s">
        <v>219</v>
      </c>
      <c r="C5011" s="14" t="s">
        <v>347</v>
      </c>
      <c r="D5011" s="14" t="s">
        <v>348</v>
      </c>
      <c r="E5011" s="14" t="s">
        <v>344</v>
      </c>
      <c r="F5011" s="14" t="s">
        <v>343</v>
      </c>
      <c r="G5011" s="14" t="s">
        <v>343</v>
      </c>
      <c r="H5011" s="14" t="s">
        <v>343</v>
      </c>
      <c r="U5011" s="14">
        <v>26</v>
      </c>
      <c r="V5011" s="14">
        <v>25</v>
      </c>
      <c r="W5011" s="14">
        <v>26</v>
      </c>
      <c r="X5011" s="14">
        <v>38</v>
      </c>
    </row>
    <row r="5012" spans="1:24" hidden="1" x14ac:dyDescent="0.3">
      <c r="A5012" s="14" t="s">
        <v>522</v>
      </c>
      <c r="B5012" s="14" t="s">
        <v>219</v>
      </c>
      <c r="C5012" s="14" t="s">
        <v>349</v>
      </c>
      <c r="D5012" s="14" t="s">
        <v>350</v>
      </c>
      <c r="E5012" s="14" t="s">
        <v>342</v>
      </c>
      <c r="F5012" s="14" t="s">
        <v>343</v>
      </c>
      <c r="G5012" s="14" t="s">
        <v>343</v>
      </c>
      <c r="H5012" s="14" t="s">
        <v>343</v>
      </c>
      <c r="U5012" s="14">
        <v>0.7</v>
      </c>
      <c r="V5012" s="14">
        <v>0.63</v>
      </c>
      <c r="W5012" s="14">
        <v>0.67</v>
      </c>
      <c r="X5012" s="14">
        <v>0.67</v>
      </c>
    </row>
    <row r="5013" spans="1:24" hidden="1" x14ac:dyDescent="0.3">
      <c r="A5013" s="14" t="s">
        <v>522</v>
      </c>
      <c r="B5013" s="14" t="s">
        <v>219</v>
      </c>
      <c r="C5013" s="14" t="s">
        <v>349</v>
      </c>
      <c r="D5013" s="14" t="s">
        <v>350</v>
      </c>
      <c r="E5013" s="14" t="s">
        <v>344</v>
      </c>
      <c r="F5013" s="14" t="s">
        <v>343</v>
      </c>
      <c r="G5013" s="14" t="s">
        <v>343</v>
      </c>
      <c r="H5013" s="14" t="s">
        <v>343</v>
      </c>
      <c r="U5013" s="14">
        <v>21</v>
      </c>
      <c r="V5013" s="14">
        <v>37</v>
      </c>
      <c r="W5013" s="14">
        <v>36</v>
      </c>
      <c r="X5013" s="14">
        <v>34</v>
      </c>
    </row>
    <row r="5014" spans="1:24" hidden="1" x14ac:dyDescent="0.3">
      <c r="A5014" s="14" t="s">
        <v>522</v>
      </c>
      <c r="B5014" s="14" t="s">
        <v>219</v>
      </c>
      <c r="C5014" s="14" t="s">
        <v>351</v>
      </c>
      <c r="D5014" s="14" t="s">
        <v>352</v>
      </c>
      <c r="E5014" s="14" t="s">
        <v>342</v>
      </c>
      <c r="F5014" s="14" t="s">
        <v>343</v>
      </c>
      <c r="G5014" s="14" t="s">
        <v>343</v>
      </c>
      <c r="H5014" s="14" t="s">
        <v>343</v>
      </c>
      <c r="U5014" s="14">
        <v>1</v>
      </c>
      <c r="V5014" s="14">
        <v>1</v>
      </c>
      <c r="W5014" s="14">
        <v>1</v>
      </c>
      <c r="X5014" s="14">
        <v>1</v>
      </c>
    </row>
    <row r="5015" spans="1:24" hidden="1" x14ac:dyDescent="0.3">
      <c r="A5015" s="14" t="s">
        <v>522</v>
      </c>
      <c r="B5015" s="14" t="s">
        <v>219</v>
      </c>
      <c r="C5015" s="14" t="s">
        <v>351</v>
      </c>
      <c r="D5015" s="14" t="s">
        <v>352</v>
      </c>
      <c r="E5015" s="14" t="s">
        <v>344</v>
      </c>
      <c r="F5015" s="14" t="s">
        <v>343</v>
      </c>
      <c r="G5015" s="14" t="s">
        <v>343</v>
      </c>
      <c r="H5015" s="14" t="s">
        <v>343</v>
      </c>
      <c r="U5015" s="14">
        <v>1</v>
      </c>
      <c r="V5015" s="14">
        <v>1</v>
      </c>
      <c r="W5015" s="14">
        <v>1</v>
      </c>
      <c r="X5015" s="14">
        <v>1</v>
      </c>
    </row>
    <row r="5016" spans="1:24" hidden="1" x14ac:dyDescent="0.3">
      <c r="A5016" s="14" t="s">
        <v>522</v>
      </c>
      <c r="B5016" s="14" t="s">
        <v>219</v>
      </c>
      <c r="C5016" s="14" t="s">
        <v>378</v>
      </c>
      <c r="D5016" s="14" t="s">
        <v>379</v>
      </c>
      <c r="E5016" s="14" t="s">
        <v>342</v>
      </c>
      <c r="F5016" s="14" t="s">
        <v>343</v>
      </c>
      <c r="G5016" s="14" t="s">
        <v>343</v>
      </c>
      <c r="H5016" s="14" t="s">
        <v>343</v>
      </c>
      <c r="S5016" s="14">
        <v>0.7</v>
      </c>
      <c r="U5016" s="14">
        <v>0.68</v>
      </c>
      <c r="V5016" s="14">
        <v>0.7</v>
      </c>
      <c r="W5016" s="14">
        <v>0.72</v>
      </c>
      <c r="X5016" s="14">
        <v>0.73</v>
      </c>
    </row>
    <row r="5017" spans="1:24" hidden="1" x14ac:dyDescent="0.3">
      <c r="A5017" s="14" t="s">
        <v>522</v>
      </c>
      <c r="B5017" s="14" t="s">
        <v>219</v>
      </c>
      <c r="C5017" s="14" t="s">
        <v>378</v>
      </c>
      <c r="D5017" s="14" t="s">
        <v>379</v>
      </c>
      <c r="E5017" s="14" t="s">
        <v>344</v>
      </c>
      <c r="F5017" s="14" t="s">
        <v>343</v>
      </c>
      <c r="G5017" s="14" t="s">
        <v>343</v>
      </c>
      <c r="H5017" s="14" t="s">
        <v>343</v>
      </c>
      <c r="S5017" s="14">
        <v>44</v>
      </c>
      <c r="U5017" s="14">
        <v>57</v>
      </c>
      <c r="V5017" s="14">
        <v>43</v>
      </c>
      <c r="W5017" s="14">
        <v>40</v>
      </c>
      <c r="X5017" s="14">
        <v>33</v>
      </c>
    </row>
    <row r="5018" spans="1:24" hidden="1" x14ac:dyDescent="0.3">
      <c r="A5018" s="14" t="s">
        <v>522</v>
      </c>
      <c r="B5018" s="14" t="s">
        <v>219</v>
      </c>
      <c r="C5018" s="14" t="s">
        <v>353</v>
      </c>
      <c r="D5018" s="14" t="s">
        <v>354</v>
      </c>
      <c r="E5018" s="14" t="s">
        <v>342</v>
      </c>
      <c r="F5018" s="14" t="s">
        <v>343</v>
      </c>
      <c r="G5018" s="14" t="s">
        <v>343</v>
      </c>
      <c r="H5018" s="14" t="s">
        <v>343</v>
      </c>
      <c r="U5018" s="14">
        <v>1</v>
      </c>
      <c r="V5018" s="14">
        <v>1</v>
      </c>
      <c r="W5018" s="14">
        <v>1</v>
      </c>
      <c r="X5018" s="14">
        <v>1</v>
      </c>
    </row>
    <row r="5019" spans="1:24" hidden="1" x14ac:dyDescent="0.3">
      <c r="A5019" s="14" t="s">
        <v>522</v>
      </c>
      <c r="B5019" s="14" t="s">
        <v>219</v>
      </c>
      <c r="C5019" s="14" t="s">
        <v>353</v>
      </c>
      <c r="D5019" s="14" t="s">
        <v>354</v>
      </c>
      <c r="E5019" s="14" t="s">
        <v>344</v>
      </c>
      <c r="F5019" s="14" t="s">
        <v>343</v>
      </c>
      <c r="G5019" s="14" t="s">
        <v>343</v>
      </c>
      <c r="H5019" s="14" t="s">
        <v>343</v>
      </c>
      <c r="U5019" s="14">
        <v>47</v>
      </c>
      <c r="V5019" s="14">
        <v>53</v>
      </c>
      <c r="W5019" s="14">
        <v>53</v>
      </c>
      <c r="X5019" s="14">
        <v>51</v>
      </c>
    </row>
    <row r="5020" spans="1:24" hidden="1" x14ac:dyDescent="0.3">
      <c r="A5020" s="14" t="s">
        <v>522</v>
      </c>
      <c r="B5020" s="14" t="s">
        <v>219</v>
      </c>
      <c r="C5020" s="14" t="s">
        <v>380</v>
      </c>
      <c r="D5020" s="14" t="s">
        <v>381</v>
      </c>
      <c r="E5020" s="14" t="s">
        <v>342</v>
      </c>
      <c r="F5020" s="14" t="s">
        <v>343</v>
      </c>
      <c r="G5020" s="14" t="s">
        <v>343</v>
      </c>
      <c r="H5020" s="14" t="s">
        <v>343</v>
      </c>
      <c r="U5020" s="14">
        <v>1</v>
      </c>
      <c r="V5020" s="14">
        <v>1</v>
      </c>
      <c r="W5020" s="14">
        <v>1</v>
      </c>
      <c r="X5020" s="14">
        <v>1</v>
      </c>
    </row>
    <row r="5021" spans="1:24" hidden="1" x14ac:dyDescent="0.3">
      <c r="A5021" s="14" t="s">
        <v>522</v>
      </c>
      <c r="B5021" s="14" t="s">
        <v>219</v>
      </c>
      <c r="C5021" s="14" t="s">
        <v>380</v>
      </c>
      <c r="D5021" s="14" t="s">
        <v>381</v>
      </c>
      <c r="E5021" s="14" t="s">
        <v>344</v>
      </c>
      <c r="F5021" s="14" t="s">
        <v>343</v>
      </c>
      <c r="G5021" s="14" t="s">
        <v>343</v>
      </c>
      <c r="H5021" s="14" t="s">
        <v>343</v>
      </c>
      <c r="U5021" s="14">
        <v>1</v>
      </c>
      <c r="V5021" s="14">
        <v>1</v>
      </c>
      <c r="W5021" s="14">
        <v>1</v>
      </c>
      <c r="X5021" s="14">
        <v>1</v>
      </c>
    </row>
    <row r="5022" spans="1:24" hidden="1" x14ac:dyDescent="0.3">
      <c r="A5022" s="14" t="s">
        <v>522</v>
      </c>
      <c r="B5022" s="14" t="s">
        <v>219</v>
      </c>
      <c r="C5022" s="14" t="s">
        <v>355</v>
      </c>
      <c r="D5022" s="14" t="s">
        <v>356</v>
      </c>
      <c r="E5022" s="14" t="s">
        <v>342</v>
      </c>
      <c r="F5022" s="14" t="s">
        <v>343</v>
      </c>
      <c r="G5022" s="14" t="s">
        <v>343</v>
      </c>
      <c r="H5022" s="14" t="s">
        <v>343</v>
      </c>
      <c r="U5022" s="14">
        <v>1</v>
      </c>
      <c r="V5022" s="14">
        <v>1</v>
      </c>
      <c r="W5022" s="14">
        <v>1</v>
      </c>
      <c r="X5022" s="14">
        <v>1</v>
      </c>
    </row>
    <row r="5023" spans="1:24" hidden="1" x14ac:dyDescent="0.3">
      <c r="A5023" s="14" t="s">
        <v>522</v>
      </c>
      <c r="B5023" s="14" t="s">
        <v>219</v>
      </c>
      <c r="C5023" s="14" t="s">
        <v>355</v>
      </c>
      <c r="D5023" s="14" t="s">
        <v>356</v>
      </c>
      <c r="E5023" s="14" t="s">
        <v>344</v>
      </c>
      <c r="F5023" s="14" t="s">
        <v>343</v>
      </c>
      <c r="G5023" s="14" t="s">
        <v>343</v>
      </c>
      <c r="H5023" s="14" t="s">
        <v>343</v>
      </c>
      <c r="U5023" s="14">
        <v>1</v>
      </c>
      <c r="V5023" s="14">
        <v>1</v>
      </c>
      <c r="W5023" s="14">
        <v>1</v>
      </c>
      <c r="X5023" s="14">
        <v>1</v>
      </c>
    </row>
    <row r="5024" spans="1:24" hidden="1" x14ac:dyDescent="0.3">
      <c r="A5024" s="14" t="s">
        <v>522</v>
      </c>
      <c r="B5024" s="14" t="s">
        <v>219</v>
      </c>
      <c r="C5024" s="14" t="s">
        <v>357</v>
      </c>
      <c r="D5024" s="14" t="s">
        <v>358</v>
      </c>
      <c r="E5024" s="14" t="s">
        <v>342</v>
      </c>
      <c r="F5024" s="14" t="s">
        <v>343</v>
      </c>
      <c r="G5024" s="14" t="s">
        <v>343</v>
      </c>
      <c r="H5024" s="14" t="s">
        <v>343</v>
      </c>
      <c r="U5024" s="14">
        <v>1</v>
      </c>
      <c r="V5024" s="14">
        <v>1</v>
      </c>
      <c r="W5024" s="14">
        <v>1</v>
      </c>
      <c r="X5024" s="14">
        <v>1</v>
      </c>
    </row>
    <row r="5025" spans="1:24" hidden="1" x14ac:dyDescent="0.3">
      <c r="A5025" s="14" t="s">
        <v>522</v>
      </c>
      <c r="B5025" s="14" t="s">
        <v>219</v>
      </c>
      <c r="C5025" s="14" t="s">
        <v>357</v>
      </c>
      <c r="D5025" s="14" t="s">
        <v>358</v>
      </c>
      <c r="E5025" s="14" t="s">
        <v>344</v>
      </c>
      <c r="F5025" s="14" t="s">
        <v>343</v>
      </c>
      <c r="G5025" s="14" t="s">
        <v>343</v>
      </c>
      <c r="H5025" s="14" t="s">
        <v>343</v>
      </c>
      <c r="U5025" s="14">
        <v>1</v>
      </c>
      <c r="V5025" s="14">
        <v>1</v>
      </c>
      <c r="W5025" s="14">
        <v>1</v>
      </c>
      <c r="X5025" s="14">
        <v>1</v>
      </c>
    </row>
    <row r="5026" spans="1:24" hidden="1" x14ac:dyDescent="0.3">
      <c r="A5026" s="14" t="s">
        <v>522</v>
      </c>
      <c r="B5026" s="14" t="s">
        <v>219</v>
      </c>
      <c r="C5026" s="14" t="s">
        <v>359</v>
      </c>
      <c r="D5026" s="14" t="s">
        <v>360</v>
      </c>
      <c r="E5026" s="14" t="s">
        <v>342</v>
      </c>
      <c r="F5026" s="14" t="s">
        <v>343</v>
      </c>
      <c r="G5026" s="14" t="s">
        <v>343</v>
      </c>
      <c r="H5026" s="14" t="s">
        <v>343</v>
      </c>
      <c r="I5026" s="14">
        <v>0.67</v>
      </c>
      <c r="J5026" s="14">
        <v>0.7</v>
      </c>
      <c r="K5026" s="14">
        <v>0.71</v>
      </c>
      <c r="L5026" s="14">
        <v>0.72</v>
      </c>
      <c r="M5026" s="14">
        <v>0.72</v>
      </c>
      <c r="N5026" s="14">
        <v>0.72</v>
      </c>
      <c r="O5026" s="14">
        <v>0.71</v>
      </c>
      <c r="P5026" s="14">
        <v>0.72</v>
      </c>
      <c r="Q5026" s="14">
        <v>0.78</v>
      </c>
      <c r="R5026" s="14">
        <v>0.78</v>
      </c>
      <c r="S5026" s="14">
        <v>0.78</v>
      </c>
      <c r="T5026" s="14">
        <v>0.8</v>
      </c>
      <c r="U5026" s="14">
        <v>0.8</v>
      </c>
      <c r="V5026" s="14">
        <v>0.8</v>
      </c>
      <c r="W5026" s="14">
        <v>0.8</v>
      </c>
      <c r="X5026" s="14">
        <v>0.8</v>
      </c>
    </row>
    <row r="5027" spans="1:24" hidden="1" x14ac:dyDescent="0.3">
      <c r="A5027" s="14" t="s">
        <v>522</v>
      </c>
      <c r="B5027" s="14" t="s">
        <v>219</v>
      </c>
      <c r="C5027" s="14" t="s">
        <v>359</v>
      </c>
      <c r="D5027" s="14" t="s">
        <v>360</v>
      </c>
      <c r="E5027" s="14" t="s">
        <v>344</v>
      </c>
      <c r="F5027" s="14" t="s">
        <v>343</v>
      </c>
      <c r="G5027" s="14" t="s">
        <v>343</v>
      </c>
      <c r="H5027" s="14" t="s">
        <v>343</v>
      </c>
      <c r="I5027" s="14">
        <v>34</v>
      </c>
      <c r="J5027" s="14">
        <v>27</v>
      </c>
      <c r="K5027" s="14">
        <v>31</v>
      </c>
      <c r="L5027" s="14">
        <v>31</v>
      </c>
      <c r="M5027" s="14">
        <v>32</v>
      </c>
      <c r="N5027" s="14">
        <v>34</v>
      </c>
      <c r="O5027" s="14">
        <v>41</v>
      </c>
      <c r="P5027" s="14">
        <v>43</v>
      </c>
      <c r="Q5027" s="14">
        <v>22</v>
      </c>
      <c r="R5027" s="14">
        <v>24</v>
      </c>
      <c r="S5027" s="14">
        <v>19</v>
      </c>
      <c r="T5027" s="14">
        <v>13</v>
      </c>
      <c r="U5027" s="14">
        <v>15</v>
      </c>
      <c r="V5027" s="14">
        <v>12</v>
      </c>
      <c r="W5027" s="14">
        <v>15</v>
      </c>
      <c r="X5027" s="14">
        <v>12</v>
      </c>
    </row>
    <row r="5028" spans="1:24" x14ac:dyDescent="0.3">
      <c r="A5028" s="14" t="s">
        <v>522</v>
      </c>
      <c r="B5028" s="14" t="s">
        <v>219</v>
      </c>
      <c r="C5028" s="14" t="s">
        <v>361</v>
      </c>
      <c r="D5028" s="14" t="s">
        <v>362</v>
      </c>
      <c r="E5028" s="14" t="s">
        <v>342</v>
      </c>
      <c r="F5028" s="14" t="s">
        <v>343</v>
      </c>
      <c r="G5028" s="14" t="s">
        <v>343</v>
      </c>
      <c r="H5028" s="14" t="s">
        <v>343</v>
      </c>
      <c r="I5028" s="14">
        <v>0.97</v>
      </c>
      <c r="J5028" s="14">
        <v>0.97</v>
      </c>
      <c r="K5028" s="14">
        <v>0.97</v>
      </c>
      <c r="L5028" s="14">
        <v>0.97</v>
      </c>
      <c r="M5028" s="14">
        <v>0.98</v>
      </c>
      <c r="N5028" s="14">
        <v>0.98</v>
      </c>
      <c r="O5028" s="14">
        <v>0.97</v>
      </c>
      <c r="P5028" s="14">
        <v>0.97</v>
      </c>
      <c r="Q5028" s="14">
        <v>0.97</v>
      </c>
      <c r="R5028" s="14">
        <v>0.97</v>
      </c>
      <c r="S5028" s="14">
        <v>0.97</v>
      </c>
      <c r="T5028" s="14">
        <v>0.98</v>
      </c>
      <c r="U5028" s="14">
        <v>0.98</v>
      </c>
      <c r="V5028" s="14">
        <v>0.98</v>
      </c>
      <c r="W5028" s="14">
        <v>0.98</v>
      </c>
      <c r="X5028" s="14">
        <v>0.98</v>
      </c>
    </row>
    <row r="5029" spans="1:24" hidden="1" x14ac:dyDescent="0.3">
      <c r="A5029" s="14" t="s">
        <v>522</v>
      </c>
      <c r="B5029" s="14" t="s">
        <v>219</v>
      </c>
      <c r="C5029" s="14" t="s">
        <v>361</v>
      </c>
      <c r="D5029" s="14" t="s">
        <v>362</v>
      </c>
      <c r="E5029" s="14" t="s">
        <v>344</v>
      </c>
      <c r="F5029" s="14" t="s">
        <v>343</v>
      </c>
      <c r="G5029" s="14" t="s">
        <v>343</v>
      </c>
      <c r="H5029" s="14" t="s">
        <v>343</v>
      </c>
      <c r="I5029" s="14">
        <v>71</v>
      </c>
      <c r="J5029" s="14">
        <v>74</v>
      </c>
      <c r="K5029" s="14">
        <v>76</v>
      </c>
      <c r="L5029" s="14">
        <v>80</v>
      </c>
      <c r="M5029" s="14">
        <v>63</v>
      </c>
      <c r="N5029" s="14">
        <v>64</v>
      </c>
      <c r="O5029" s="14">
        <v>78</v>
      </c>
      <c r="P5029" s="14">
        <v>75</v>
      </c>
      <c r="Q5029" s="14">
        <v>74</v>
      </c>
      <c r="R5029" s="14">
        <v>79</v>
      </c>
      <c r="S5029" s="14">
        <v>76</v>
      </c>
      <c r="T5029" s="14">
        <v>1</v>
      </c>
      <c r="U5029" s="14">
        <v>1</v>
      </c>
      <c r="V5029" s="14">
        <v>1</v>
      </c>
      <c r="W5029" s="14">
        <v>49</v>
      </c>
      <c r="X5029" s="14">
        <v>48</v>
      </c>
    </row>
    <row r="5030" spans="1:24" hidden="1" x14ac:dyDescent="0.3">
      <c r="A5030" s="14" t="s">
        <v>522</v>
      </c>
      <c r="B5030" s="14" t="s">
        <v>219</v>
      </c>
      <c r="C5030" s="14" t="s">
        <v>363</v>
      </c>
      <c r="D5030" s="14" t="s">
        <v>364</v>
      </c>
      <c r="E5030" s="14" t="s">
        <v>342</v>
      </c>
      <c r="F5030" s="14" t="s">
        <v>343</v>
      </c>
      <c r="G5030" s="14" t="s">
        <v>343</v>
      </c>
      <c r="H5030" s="14" t="s">
        <v>343</v>
      </c>
      <c r="U5030" s="14">
        <v>1.06</v>
      </c>
      <c r="V5030" s="14">
        <v>1.06</v>
      </c>
      <c r="W5030" s="14">
        <v>1.05</v>
      </c>
      <c r="X5030" s="14">
        <v>1.05</v>
      </c>
    </row>
    <row r="5031" spans="1:24" hidden="1" x14ac:dyDescent="0.3">
      <c r="A5031" s="14" t="s">
        <v>522</v>
      </c>
      <c r="B5031" s="14" t="s">
        <v>219</v>
      </c>
      <c r="C5031" s="14" t="s">
        <v>363</v>
      </c>
      <c r="D5031" s="14" t="s">
        <v>364</v>
      </c>
      <c r="E5031" s="14" t="s">
        <v>344</v>
      </c>
      <c r="F5031" s="14" t="s">
        <v>343</v>
      </c>
      <c r="G5031" s="14" t="s">
        <v>343</v>
      </c>
      <c r="H5031" s="14" t="s">
        <v>343</v>
      </c>
      <c r="U5031" s="14">
        <v>1</v>
      </c>
      <c r="V5031" s="14">
        <v>1</v>
      </c>
      <c r="W5031" s="14">
        <v>58</v>
      </c>
      <c r="X5031" s="14">
        <v>54</v>
      </c>
    </row>
    <row r="5032" spans="1:24" hidden="1" x14ac:dyDescent="0.3">
      <c r="A5032" s="14" t="s">
        <v>522</v>
      </c>
      <c r="B5032" s="14" t="s">
        <v>219</v>
      </c>
      <c r="C5032" s="14" t="s">
        <v>365</v>
      </c>
      <c r="D5032" s="14" t="s">
        <v>366</v>
      </c>
      <c r="E5032" s="14" t="s">
        <v>342</v>
      </c>
      <c r="F5032" s="14" t="s">
        <v>343</v>
      </c>
      <c r="G5032" s="14" t="s">
        <v>343</v>
      </c>
      <c r="H5032" s="14" t="s">
        <v>343</v>
      </c>
      <c r="U5032" s="14">
        <v>0.94</v>
      </c>
      <c r="V5032" s="14">
        <v>0.94</v>
      </c>
      <c r="W5032" s="14">
        <v>0.94</v>
      </c>
      <c r="X5032" s="14">
        <v>0.94</v>
      </c>
    </row>
    <row r="5033" spans="1:24" hidden="1" x14ac:dyDescent="0.3">
      <c r="A5033" s="14" t="s">
        <v>522</v>
      </c>
      <c r="B5033" s="14" t="s">
        <v>219</v>
      </c>
      <c r="C5033" s="14" t="s">
        <v>365</v>
      </c>
      <c r="D5033" s="14" t="s">
        <v>366</v>
      </c>
      <c r="E5033" s="14" t="s">
        <v>344</v>
      </c>
      <c r="F5033" s="14" t="s">
        <v>343</v>
      </c>
      <c r="G5033" s="14" t="s">
        <v>343</v>
      </c>
      <c r="H5033" s="14" t="s">
        <v>343</v>
      </c>
      <c r="U5033" s="14">
        <v>1</v>
      </c>
      <c r="V5033" s="14">
        <v>1</v>
      </c>
      <c r="W5033" s="14">
        <v>1</v>
      </c>
      <c r="X5033" s="14">
        <v>1</v>
      </c>
    </row>
    <row r="5034" spans="1:24" hidden="1" x14ac:dyDescent="0.3">
      <c r="A5034" s="14" t="s">
        <v>522</v>
      </c>
      <c r="B5034" s="14" t="s">
        <v>219</v>
      </c>
      <c r="C5034" s="14" t="s">
        <v>367</v>
      </c>
      <c r="D5034" s="14" t="s">
        <v>368</v>
      </c>
      <c r="E5034" s="14" t="s">
        <v>342</v>
      </c>
      <c r="F5034" s="14" t="s">
        <v>343</v>
      </c>
      <c r="G5034" s="14" t="s">
        <v>343</v>
      </c>
      <c r="H5034" s="14" t="s">
        <v>343</v>
      </c>
      <c r="I5034" s="14">
        <v>0.67</v>
      </c>
      <c r="J5034" s="14">
        <v>0.68</v>
      </c>
      <c r="K5034" s="14">
        <v>0.69</v>
      </c>
      <c r="L5034" s="14">
        <v>0.7</v>
      </c>
      <c r="M5034" s="14">
        <v>0.7</v>
      </c>
      <c r="N5034" s="14">
        <v>0.7</v>
      </c>
      <c r="O5034" s="14">
        <v>0.71</v>
      </c>
      <c r="P5034" s="14">
        <v>0.72</v>
      </c>
      <c r="Q5034" s="14">
        <v>0.74</v>
      </c>
      <c r="R5034" s="14">
        <v>0.78</v>
      </c>
      <c r="S5034" s="14">
        <v>0.79</v>
      </c>
      <c r="T5034" s="14">
        <v>0.8</v>
      </c>
      <c r="U5034" s="14">
        <v>0.78</v>
      </c>
      <c r="V5034" s="14">
        <v>0.74</v>
      </c>
      <c r="W5034" s="14">
        <v>0.74</v>
      </c>
      <c r="X5034" s="14">
        <v>0.74</v>
      </c>
    </row>
    <row r="5035" spans="1:24" hidden="1" x14ac:dyDescent="0.3">
      <c r="A5035" s="14" t="s">
        <v>522</v>
      </c>
      <c r="B5035" s="14" t="s">
        <v>219</v>
      </c>
      <c r="C5035" s="14" t="s">
        <v>367</v>
      </c>
      <c r="D5035" s="14" t="s">
        <v>368</v>
      </c>
      <c r="E5035" s="14" t="s">
        <v>344</v>
      </c>
      <c r="F5035" s="14" t="s">
        <v>343</v>
      </c>
      <c r="G5035" s="14" t="s">
        <v>343</v>
      </c>
      <c r="H5035" s="14" t="s">
        <v>343</v>
      </c>
      <c r="I5035" s="14">
        <v>51</v>
      </c>
      <c r="J5035" s="14">
        <v>49</v>
      </c>
      <c r="K5035" s="14">
        <v>51</v>
      </c>
      <c r="L5035" s="14">
        <v>52</v>
      </c>
      <c r="M5035" s="14">
        <v>42</v>
      </c>
      <c r="N5035" s="14">
        <v>41</v>
      </c>
      <c r="O5035" s="14">
        <v>38</v>
      </c>
      <c r="P5035" s="14">
        <v>38</v>
      </c>
      <c r="Q5035" s="14">
        <v>23</v>
      </c>
      <c r="R5035" s="14">
        <v>9</v>
      </c>
      <c r="S5035" s="14">
        <v>8</v>
      </c>
      <c r="T5035" s="14">
        <v>7</v>
      </c>
      <c r="U5035" s="14">
        <v>11</v>
      </c>
      <c r="V5035" s="14">
        <v>36</v>
      </c>
      <c r="W5035" s="14">
        <v>41</v>
      </c>
      <c r="X5035" s="14">
        <v>39</v>
      </c>
    </row>
    <row r="5036" spans="1:24" hidden="1" x14ac:dyDescent="0.3">
      <c r="A5036" s="14" t="s">
        <v>522</v>
      </c>
      <c r="B5036" s="14" t="s">
        <v>219</v>
      </c>
      <c r="C5036" s="14" t="s">
        <v>369</v>
      </c>
      <c r="D5036" s="14" t="s">
        <v>370</v>
      </c>
      <c r="E5036" s="14" t="s">
        <v>342</v>
      </c>
      <c r="F5036" s="14" t="s">
        <v>343</v>
      </c>
      <c r="G5036" s="14" t="s">
        <v>343</v>
      </c>
      <c r="H5036" s="14" t="s">
        <v>343</v>
      </c>
      <c r="I5036" s="14">
        <v>0.06</v>
      </c>
      <c r="J5036" s="14">
        <v>0.06</v>
      </c>
      <c r="K5036" s="14">
        <v>0.1</v>
      </c>
      <c r="L5036" s="14">
        <v>0.1</v>
      </c>
      <c r="M5036" s="14">
        <v>0.12</v>
      </c>
      <c r="N5036" s="14">
        <v>0.12</v>
      </c>
      <c r="O5036" s="14">
        <v>0.17</v>
      </c>
      <c r="P5036" s="14">
        <v>0.17</v>
      </c>
      <c r="Q5036" s="14">
        <v>0.22</v>
      </c>
      <c r="R5036" s="14">
        <v>0.38</v>
      </c>
      <c r="S5036" s="14">
        <v>0.38</v>
      </c>
      <c r="T5036" s="14">
        <v>0.44</v>
      </c>
      <c r="U5036" s="14">
        <v>0.36</v>
      </c>
      <c r="V5036" s="14">
        <v>0.2</v>
      </c>
      <c r="W5036" s="14">
        <v>0.18</v>
      </c>
      <c r="X5036" s="14">
        <v>0.2</v>
      </c>
    </row>
    <row r="5037" spans="1:24" hidden="1" x14ac:dyDescent="0.3">
      <c r="A5037" s="14" t="s">
        <v>522</v>
      </c>
      <c r="B5037" s="14" t="s">
        <v>219</v>
      </c>
      <c r="C5037" s="14" t="s">
        <v>369</v>
      </c>
      <c r="D5037" s="14" t="s">
        <v>370</v>
      </c>
      <c r="E5037" s="14" t="s">
        <v>344</v>
      </c>
      <c r="F5037" s="14" t="s">
        <v>343</v>
      </c>
      <c r="G5037" s="14" t="s">
        <v>343</v>
      </c>
      <c r="H5037" s="14" t="s">
        <v>343</v>
      </c>
      <c r="I5037" s="14">
        <v>88</v>
      </c>
      <c r="J5037" s="14">
        <v>99</v>
      </c>
      <c r="K5037" s="14">
        <v>85</v>
      </c>
      <c r="L5037" s="14">
        <v>87</v>
      </c>
      <c r="M5037" s="14">
        <v>70</v>
      </c>
      <c r="N5037" s="14">
        <v>71</v>
      </c>
      <c r="O5037" s="14">
        <v>50</v>
      </c>
      <c r="P5037" s="14">
        <v>54</v>
      </c>
      <c r="Q5037" s="14">
        <v>43</v>
      </c>
      <c r="R5037" s="14">
        <v>16</v>
      </c>
      <c r="S5037" s="14">
        <v>18</v>
      </c>
      <c r="T5037" s="14">
        <v>11</v>
      </c>
      <c r="U5037" s="14">
        <v>22</v>
      </c>
      <c r="V5037" s="14">
        <v>71</v>
      </c>
      <c r="W5037" s="14">
        <v>83</v>
      </c>
      <c r="X5037" s="14">
        <v>79</v>
      </c>
    </row>
    <row r="5038" spans="1:24" hidden="1" x14ac:dyDescent="0.3">
      <c r="A5038" s="14" t="s">
        <v>522</v>
      </c>
      <c r="B5038" s="14" t="s">
        <v>219</v>
      </c>
      <c r="C5038" s="14" t="s">
        <v>371</v>
      </c>
      <c r="D5038" s="14" t="s">
        <v>372</v>
      </c>
      <c r="E5038" s="14" t="s">
        <v>342</v>
      </c>
      <c r="F5038" s="14" t="s">
        <v>343</v>
      </c>
      <c r="G5038" s="14" t="s">
        <v>343</v>
      </c>
      <c r="H5038" s="14" t="s">
        <v>343</v>
      </c>
      <c r="U5038" s="14">
        <v>0.03</v>
      </c>
      <c r="V5038" s="14">
        <v>0.03</v>
      </c>
      <c r="W5038" s="14">
        <v>0.03</v>
      </c>
      <c r="X5038" s="14">
        <v>0.03</v>
      </c>
    </row>
    <row r="5039" spans="1:24" hidden="1" x14ac:dyDescent="0.3">
      <c r="A5039" s="14" t="s">
        <v>522</v>
      </c>
      <c r="B5039" s="14" t="s">
        <v>219</v>
      </c>
      <c r="C5039" s="14" t="s">
        <v>371</v>
      </c>
      <c r="D5039" s="14" t="s">
        <v>372</v>
      </c>
      <c r="E5039" s="14" t="s">
        <v>344</v>
      </c>
      <c r="F5039" s="14" t="s">
        <v>343</v>
      </c>
      <c r="G5039" s="14" t="s">
        <v>343</v>
      </c>
      <c r="H5039" s="14" t="s">
        <v>343</v>
      </c>
      <c r="U5039" s="14">
        <v>51</v>
      </c>
      <c r="V5039" s="14">
        <v>53</v>
      </c>
      <c r="W5039" s="14">
        <v>58</v>
      </c>
      <c r="X5039" s="14">
        <v>57</v>
      </c>
    </row>
    <row r="5040" spans="1:24" hidden="1" x14ac:dyDescent="0.3">
      <c r="A5040" s="14" t="s">
        <v>522</v>
      </c>
      <c r="B5040" s="14" t="s">
        <v>219</v>
      </c>
      <c r="C5040" s="14" t="s">
        <v>373</v>
      </c>
      <c r="D5040" s="14" t="s">
        <v>374</v>
      </c>
      <c r="E5040" s="14" t="s">
        <v>342</v>
      </c>
      <c r="F5040" s="14" t="s">
        <v>343</v>
      </c>
      <c r="G5040" s="14" t="s">
        <v>343</v>
      </c>
      <c r="H5040" s="14" t="s">
        <v>343</v>
      </c>
      <c r="U5040" s="14">
        <v>1</v>
      </c>
      <c r="V5040" s="14">
        <v>0.33</v>
      </c>
      <c r="W5040" s="14">
        <v>0.23</v>
      </c>
      <c r="X5040" s="14">
        <v>0.23</v>
      </c>
    </row>
    <row r="5041" spans="1:24" hidden="1" x14ac:dyDescent="0.3">
      <c r="A5041" s="14" t="s">
        <v>522</v>
      </c>
      <c r="B5041" s="14" t="s">
        <v>219</v>
      </c>
      <c r="C5041" s="14" t="s">
        <v>373</v>
      </c>
      <c r="D5041" s="14" t="s">
        <v>374</v>
      </c>
      <c r="E5041" s="14" t="s">
        <v>344</v>
      </c>
      <c r="F5041" s="14" t="s">
        <v>343</v>
      </c>
      <c r="G5041" s="14" t="s">
        <v>343</v>
      </c>
      <c r="H5041" s="14" t="s">
        <v>343</v>
      </c>
      <c r="U5041" s="14">
        <v>1</v>
      </c>
      <c r="V5041" s="14">
        <v>57</v>
      </c>
      <c r="W5041" s="14">
        <v>85</v>
      </c>
      <c r="X5041" s="14">
        <v>80</v>
      </c>
    </row>
    <row r="5042" spans="1:24" hidden="1" x14ac:dyDescent="0.3">
      <c r="A5042" s="14" t="s">
        <v>522</v>
      </c>
      <c r="B5042" s="14" t="s">
        <v>219</v>
      </c>
      <c r="C5042" s="14" t="s">
        <v>375</v>
      </c>
      <c r="D5042" s="14" t="s">
        <v>376</v>
      </c>
      <c r="E5042" s="14" t="s">
        <v>342</v>
      </c>
      <c r="F5042" s="14" t="s">
        <v>343</v>
      </c>
      <c r="G5042" s="14" t="s">
        <v>343</v>
      </c>
      <c r="H5042" s="14" t="s">
        <v>343</v>
      </c>
      <c r="U5042" s="14">
        <v>0.32</v>
      </c>
      <c r="V5042" s="14">
        <v>0.32</v>
      </c>
      <c r="W5042" s="14">
        <v>0.36</v>
      </c>
      <c r="X5042" s="14">
        <v>0.41</v>
      </c>
    </row>
    <row r="5043" spans="1:24" hidden="1" x14ac:dyDescent="0.3">
      <c r="A5043" s="14" t="s">
        <v>522</v>
      </c>
      <c r="B5043" s="14" t="s">
        <v>219</v>
      </c>
      <c r="C5043" s="14" t="s">
        <v>375</v>
      </c>
      <c r="D5043" s="14" t="s">
        <v>376</v>
      </c>
      <c r="E5043" s="14" t="s">
        <v>344</v>
      </c>
      <c r="F5043" s="14" t="s">
        <v>343</v>
      </c>
      <c r="G5043" s="14" t="s">
        <v>343</v>
      </c>
      <c r="H5043" s="14" t="s">
        <v>343</v>
      </c>
      <c r="U5043" s="14">
        <v>60</v>
      </c>
      <c r="V5043" s="14">
        <v>63</v>
      </c>
      <c r="W5043" s="14">
        <v>65</v>
      </c>
      <c r="X5043" s="14">
        <v>57</v>
      </c>
    </row>
    <row r="5044" spans="1:24" hidden="1" x14ac:dyDescent="0.3">
      <c r="A5044" s="14" t="s">
        <v>523</v>
      </c>
      <c r="B5044" s="14" t="s">
        <v>229</v>
      </c>
      <c r="C5044" s="14" t="s">
        <v>340</v>
      </c>
      <c r="D5044" s="14" t="s">
        <v>341</v>
      </c>
      <c r="E5044" s="14" t="s">
        <v>342</v>
      </c>
      <c r="F5044" s="14" t="s">
        <v>343</v>
      </c>
      <c r="G5044" s="14" t="s">
        <v>343</v>
      </c>
      <c r="H5044" s="14" t="s">
        <v>343</v>
      </c>
      <c r="I5044" s="14">
        <v>1</v>
      </c>
      <c r="J5044" s="14">
        <v>1</v>
      </c>
      <c r="K5044" s="14">
        <v>1</v>
      </c>
      <c r="L5044" s="14">
        <v>1</v>
      </c>
      <c r="M5044" s="14">
        <v>1</v>
      </c>
      <c r="N5044" s="14">
        <v>1</v>
      </c>
      <c r="O5044" s="14">
        <v>1</v>
      </c>
      <c r="P5044" s="14">
        <v>1</v>
      </c>
      <c r="Q5044" s="14">
        <v>1</v>
      </c>
      <c r="R5044" s="14">
        <v>1</v>
      </c>
      <c r="S5044" s="14">
        <v>1</v>
      </c>
      <c r="T5044" s="14">
        <v>1</v>
      </c>
      <c r="U5044" s="14">
        <v>1</v>
      </c>
      <c r="V5044" s="14">
        <v>1</v>
      </c>
      <c r="W5044" s="14">
        <v>1</v>
      </c>
      <c r="X5044" s="14">
        <v>1</v>
      </c>
    </row>
    <row r="5045" spans="1:24" hidden="1" x14ac:dyDescent="0.3">
      <c r="A5045" s="14" t="s">
        <v>523</v>
      </c>
      <c r="B5045" s="14" t="s">
        <v>229</v>
      </c>
      <c r="C5045" s="14" t="s">
        <v>340</v>
      </c>
      <c r="D5045" s="14" t="s">
        <v>341</v>
      </c>
      <c r="E5045" s="14" t="s">
        <v>344</v>
      </c>
      <c r="F5045" s="14" t="s">
        <v>343</v>
      </c>
      <c r="G5045" s="14" t="s">
        <v>343</v>
      </c>
      <c r="H5045" s="14" t="s">
        <v>343</v>
      </c>
      <c r="I5045" s="14">
        <v>22</v>
      </c>
      <c r="J5045" s="14">
        <v>27</v>
      </c>
      <c r="K5045" s="14">
        <v>33</v>
      </c>
      <c r="L5045" s="14">
        <v>39</v>
      </c>
      <c r="M5045" s="14">
        <v>41</v>
      </c>
      <c r="N5045" s="14">
        <v>41</v>
      </c>
      <c r="O5045" s="14">
        <v>39</v>
      </c>
      <c r="P5045" s="14">
        <v>38</v>
      </c>
      <c r="Q5045" s="14">
        <v>43</v>
      </c>
      <c r="R5045" s="14">
        <v>54</v>
      </c>
      <c r="S5045" s="14">
        <v>36</v>
      </c>
      <c r="T5045" s="14">
        <v>37</v>
      </c>
      <c r="U5045" s="14">
        <v>52</v>
      </c>
      <c r="V5045" s="14">
        <v>59</v>
      </c>
      <c r="W5045" s="14">
        <v>61</v>
      </c>
      <c r="X5045" s="14">
        <v>1</v>
      </c>
    </row>
    <row r="5046" spans="1:24" hidden="1" x14ac:dyDescent="0.3">
      <c r="A5046" s="14" t="s">
        <v>523</v>
      </c>
      <c r="B5046" s="14" t="s">
        <v>229</v>
      </c>
      <c r="C5046" s="14" t="s">
        <v>345</v>
      </c>
      <c r="D5046" s="14" t="s">
        <v>346</v>
      </c>
      <c r="E5046" s="14" t="s">
        <v>342</v>
      </c>
      <c r="F5046" s="14" t="s">
        <v>343</v>
      </c>
      <c r="G5046" s="14" t="s">
        <v>343</v>
      </c>
      <c r="H5046" s="14" t="s">
        <v>343</v>
      </c>
      <c r="U5046" s="14">
        <v>0.78</v>
      </c>
      <c r="V5046" s="14">
        <v>0.77</v>
      </c>
      <c r="W5046" s="14">
        <v>0.82</v>
      </c>
      <c r="X5046" s="14">
        <v>0.83</v>
      </c>
    </row>
    <row r="5047" spans="1:24" hidden="1" x14ac:dyDescent="0.3">
      <c r="A5047" s="14" t="s">
        <v>523</v>
      </c>
      <c r="B5047" s="14" t="s">
        <v>229</v>
      </c>
      <c r="C5047" s="14" t="s">
        <v>345</v>
      </c>
      <c r="D5047" s="14" t="s">
        <v>346</v>
      </c>
      <c r="E5047" s="14" t="s">
        <v>344</v>
      </c>
      <c r="F5047" s="14" t="s">
        <v>343</v>
      </c>
      <c r="G5047" s="14" t="s">
        <v>343</v>
      </c>
      <c r="H5047" s="14" t="s">
        <v>343</v>
      </c>
      <c r="U5047" s="14">
        <v>14</v>
      </c>
      <c r="V5047" s="14">
        <v>15</v>
      </c>
      <c r="W5047" s="14">
        <v>9</v>
      </c>
      <c r="X5047" s="14">
        <v>9</v>
      </c>
    </row>
    <row r="5048" spans="1:24" hidden="1" x14ac:dyDescent="0.3">
      <c r="A5048" s="14" t="s">
        <v>523</v>
      </c>
      <c r="B5048" s="14" t="s">
        <v>229</v>
      </c>
      <c r="C5048" s="14" t="s">
        <v>347</v>
      </c>
      <c r="D5048" s="14" t="s">
        <v>348</v>
      </c>
      <c r="E5048" s="14" t="s">
        <v>342</v>
      </c>
      <c r="F5048" s="14" t="s">
        <v>343</v>
      </c>
      <c r="G5048" s="14" t="s">
        <v>343</v>
      </c>
      <c r="H5048" s="14" t="s">
        <v>343</v>
      </c>
      <c r="U5048" s="14">
        <v>0.96</v>
      </c>
      <c r="V5048" s="14">
        <v>0.96</v>
      </c>
      <c r="W5048" s="14">
        <v>0.96</v>
      </c>
      <c r="X5048" s="14">
        <v>0.91</v>
      </c>
    </row>
    <row r="5049" spans="1:24" hidden="1" x14ac:dyDescent="0.3">
      <c r="A5049" s="14" t="s">
        <v>523</v>
      </c>
      <c r="B5049" s="14" t="s">
        <v>229</v>
      </c>
      <c r="C5049" s="14" t="s">
        <v>347</v>
      </c>
      <c r="D5049" s="14" t="s">
        <v>348</v>
      </c>
      <c r="E5049" s="14" t="s">
        <v>344</v>
      </c>
      <c r="F5049" s="14" t="s">
        <v>343</v>
      </c>
      <c r="G5049" s="14" t="s">
        <v>343</v>
      </c>
      <c r="H5049" s="14" t="s">
        <v>343</v>
      </c>
      <c r="U5049" s="14">
        <v>13</v>
      </c>
      <c r="V5049" s="14">
        <v>14</v>
      </c>
      <c r="W5049" s="14">
        <v>13</v>
      </c>
      <c r="X5049" s="14">
        <v>14</v>
      </c>
    </row>
    <row r="5050" spans="1:24" hidden="1" x14ac:dyDescent="0.3">
      <c r="A5050" s="14" t="s">
        <v>523</v>
      </c>
      <c r="B5050" s="14" t="s">
        <v>229</v>
      </c>
      <c r="C5050" s="14" t="s">
        <v>349</v>
      </c>
      <c r="D5050" s="14" t="s">
        <v>350</v>
      </c>
      <c r="E5050" s="14" t="s">
        <v>342</v>
      </c>
      <c r="F5050" s="14" t="s">
        <v>343</v>
      </c>
      <c r="G5050" s="14" t="s">
        <v>343</v>
      </c>
      <c r="H5050" s="14" t="s">
        <v>343</v>
      </c>
      <c r="U5050" s="14">
        <v>0.64</v>
      </c>
      <c r="V5050" s="14">
        <v>0.63</v>
      </c>
      <c r="W5050" s="14">
        <v>0.67</v>
      </c>
      <c r="X5050" s="14">
        <v>0.73</v>
      </c>
    </row>
    <row r="5051" spans="1:24" hidden="1" x14ac:dyDescent="0.3">
      <c r="A5051" s="14" t="s">
        <v>523</v>
      </c>
      <c r="B5051" s="14" t="s">
        <v>229</v>
      </c>
      <c r="C5051" s="14" t="s">
        <v>349</v>
      </c>
      <c r="D5051" s="14" t="s">
        <v>350</v>
      </c>
      <c r="E5051" s="14" t="s">
        <v>344</v>
      </c>
      <c r="F5051" s="14" t="s">
        <v>343</v>
      </c>
      <c r="G5051" s="14" t="s">
        <v>343</v>
      </c>
      <c r="H5051" s="14" t="s">
        <v>343</v>
      </c>
      <c r="U5051" s="14">
        <v>31</v>
      </c>
      <c r="V5051" s="14">
        <v>35</v>
      </c>
      <c r="W5051" s="14">
        <v>35</v>
      </c>
      <c r="X5051" s="14">
        <v>28</v>
      </c>
    </row>
    <row r="5052" spans="1:24" hidden="1" x14ac:dyDescent="0.3">
      <c r="A5052" s="14" t="s">
        <v>523</v>
      </c>
      <c r="B5052" s="14" t="s">
        <v>229</v>
      </c>
      <c r="C5052" s="14" t="s">
        <v>351</v>
      </c>
      <c r="D5052" s="14" t="s">
        <v>352</v>
      </c>
      <c r="E5052" s="14" t="s">
        <v>342</v>
      </c>
      <c r="F5052" s="14" t="s">
        <v>343</v>
      </c>
      <c r="G5052" s="14" t="s">
        <v>343</v>
      </c>
      <c r="H5052" s="14" t="s">
        <v>343</v>
      </c>
      <c r="U5052" s="14">
        <v>1</v>
      </c>
      <c r="V5052" s="14">
        <v>1</v>
      </c>
      <c r="W5052" s="14">
        <v>1</v>
      </c>
      <c r="X5052" s="14">
        <v>1</v>
      </c>
    </row>
    <row r="5053" spans="1:24" hidden="1" x14ac:dyDescent="0.3">
      <c r="A5053" s="14" t="s">
        <v>523</v>
      </c>
      <c r="B5053" s="14" t="s">
        <v>229</v>
      </c>
      <c r="C5053" s="14" t="s">
        <v>351</v>
      </c>
      <c r="D5053" s="14" t="s">
        <v>352</v>
      </c>
      <c r="E5053" s="14" t="s">
        <v>344</v>
      </c>
      <c r="F5053" s="14" t="s">
        <v>343</v>
      </c>
      <c r="G5053" s="14" t="s">
        <v>343</v>
      </c>
      <c r="H5053" s="14" t="s">
        <v>343</v>
      </c>
      <c r="U5053" s="14">
        <v>1</v>
      </c>
      <c r="V5053" s="14">
        <v>1</v>
      </c>
      <c r="W5053" s="14">
        <v>1</v>
      </c>
      <c r="X5053" s="14">
        <v>1</v>
      </c>
    </row>
    <row r="5054" spans="1:24" hidden="1" x14ac:dyDescent="0.3">
      <c r="A5054" s="14" t="s">
        <v>523</v>
      </c>
      <c r="B5054" s="14" t="s">
        <v>229</v>
      </c>
      <c r="C5054" s="14" t="s">
        <v>378</v>
      </c>
      <c r="D5054" s="14" t="s">
        <v>379</v>
      </c>
      <c r="E5054" s="14" t="s">
        <v>342</v>
      </c>
      <c r="F5054" s="14" t="s">
        <v>343</v>
      </c>
      <c r="G5054" s="14" t="s">
        <v>343</v>
      </c>
      <c r="H5054" s="14" t="s">
        <v>343</v>
      </c>
      <c r="S5054" s="14">
        <v>0.71</v>
      </c>
      <c r="U5054" s="14">
        <v>0.74</v>
      </c>
      <c r="V5054" s="14">
        <v>0.69</v>
      </c>
      <c r="W5054" s="14">
        <v>0.7</v>
      </c>
      <c r="X5054" s="14">
        <v>0.7</v>
      </c>
    </row>
    <row r="5055" spans="1:24" hidden="1" x14ac:dyDescent="0.3">
      <c r="A5055" s="14" t="s">
        <v>523</v>
      </c>
      <c r="B5055" s="14" t="s">
        <v>229</v>
      </c>
      <c r="C5055" s="14" t="s">
        <v>378</v>
      </c>
      <c r="D5055" s="14" t="s">
        <v>379</v>
      </c>
      <c r="E5055" s="14" t="s">
        <v>344</v>
      </c>
      <c r="F5055" s="14" t="s">
        <v>343</v>
      </c>
      <c r="G5055" s="14" t="s">
        <v>343</v>
      </c>
      <c r="H5055" s="14" t="s">
        <v>343</v>
      </c>
      <c r="S5055" s="14">
        <v>35</v>
      </c>
      <c r="U5055" s="14">
        <v>25</v>
      </c>
      <c r="V5055" s="14">
        <v>50</v>
      </c>
      <c r="W5055" s="14">
        <v>58</v>
      </c>
      <c r="X5055" s="14">
        <v>45</v>
      </c>
    </row>
    <row r="5056" spans="1:24" hidden="1" x14ac:dyDescent="0.3">
      <c r="A5056" s="14" t="s">
        <v>523</v>
      </c>
      <c r="B5056" s="14" t="s">
        <v>229</v>
      </c>
      <c r="C5056" s="14" t="s">
        <v>353</v>
      </c>
      <c r="D5056" s="14" t="s">
        <v>354</v>
      </c>
      <c r="E5056" s="14" t="s">
        <v>342</v>
      </c>
      <c r="F5056" s="14" t="s">
        <v>343</v>
      </c>
      <c r="G5056" s="14" t="s">
        <v>343</v>
      </c>
      <c r="H5056" s="14" t="s">
        <v>343</v>
      </c>
      <c r="U5056" s="14">
        <v>1</v>
      </c>
      <c r="V5056" s="14">
        <v>1</v>
      </c>
      <c r="W5056" s="14">
        <v>1</v>
      </c>
      <c r="X5056" s="14">
        <v>1</v>
      </c>
    </row>
    <row r="5057" spans="1:24" hidden="1" x14ac:dyDescent="0.3">
      <c r="A5057" s="14" t="s">
        <v>523</v>
      </c>
      <c r="B5057" s="14" t="s">
        <v>229</v>
      </c>
      <c r="C5057" s="14" t="s">
        <v>353</v>
      </c>
      <c r="D5057" s="14" t="s">
        <v>354</v>
      </c>
      <c r="E5057" s="14" t="s">
        <v>344</v>
      </c>
      <c r="F5057" s="14" t="s">
        <v>343</v>
      </c>
      <c r="G5057" s="14" t="s">
        <v>343</v>
      </c>
      <c r="H5057" s="14" t="s">
        <v>343</v>
      </c>
      <c r="U5057" s="14">
        <v>1</v>
      </c>
      <c r="V5057" s="14">
        <v>1</v>
      </c>
      <c r="W5057" s="14">
        <v>1</v>
      </c>
      <c r="X5057" s="14">
        <v>1</v>
      </c>
    </row>
    <row r="5058" spans="1:24" hidden="1" x14ac:dyDescent="0.3">
      <c r="A5058" s="14" t="s">
        <v>523</v>
      </c>
      <c r="B5058" s="14" t="s">
        <v>229</v>
      </c>
      <c r="C5058" s="14" t="s">
        <v>380</v>
      </c>
      <c r="D5058" s="14" t="s">
        <v>381</v>
      </c>
      <c r="E5058" s="14" t="s">
        <v>342</v>
      </c>
      <c r="F5058" s="14" t="s">
        <v>343</v>
      </c>
      <c r="G5058" s="14" t="s">
        <v>343</v>
      </c>
      <c r="H5058" s="14" t="s">
        <v>343</v>
      </c>
      <c r="U5058" s="14">
        <v>1</v>
      </c>
      <c r="V5058" s="14">
        <v>0.99</v>
      </c>
      <c r="W5058" s="14">
        <v>0.99</v>
      </c>
    </row>
    <row r="5059" spans="1:24" hidden="1" x14ac:dyDescent="0.3">
      <c r="A5059" s="14" t="s">
        <v>523</v>
      </c>
      <c r="B5059" s="14" t="s">
        <v>229</v>
      </c>
      <c r="C5059" s="14" t="s">
        <v>380</v>
      </c>
      <c r="D5059" s="14" t="s">
        <v>381</v>
      </c>
      <c r="E5059" s="14" t="s">
        <v>344</v>
      </c>
      <c r="F5059" s="14" t="s">
        <v>343</v>
      </c>
      <c r="G5059" s="14" t="s">
        <v>343</v>
      </c>
      <c r="H5059" s="14" t="s">
        <v>343</v>
      </c>
      <c r="U5059" s="14">
        <v>77</v>
      </c>
      <c r="V5059" s="14">
        <v>103</v>
      </c>
      <c r="W5059" s="14">
        <v>105</v>
      </c>
    </row>
    <row r="5060" spans="1:24" hidden="1" x14ac:dyDescent="0.3">
      <c r="A5060" s="14" t="s">
        <v>523</v>
      </c>
      <c r="B5060" s="14" t="s">
        <v>229</v>
      </c>
      <c r="C5060" s="14" t="s">
        <v>355</v>
      </c>
      <c r="D5060" s="14" t="s">
        <v>356</v>
      </c>
      <c r="E5060" s="14" t="s">
        <v>342</v>
      </c>
      <c r="F5060" s="14" t="s">
        <v>343</v>
      </c>
      <c r="G5060" s="14" t="s">
        <v>343</v>
      </c>
      <c r="H5060" s="14" t="s">
        <v>343</v>
      </c>
      <c r="U5060" s="14">
        <v>1</v>
      </c>
      <c r="V5060" s="14">
        <v>1</v>
      </c>
      <c r="W5060" s="14">
        <v>1</v>
      </c>
      <c r="X5060" s="14">
        <v>1</v>
      </c>
    </row>
    <row r="5061" spans="1:24" hidden="1" x14ac:dyDescent="0.3">
      <c r="A5061" s="14" t="s">
        <v>523</v>
      </c>
      <c r="B5061" s="14" t="s">
        <v>229</v>
      </c>
      <c r="C5061" s="14" t="s">
        <v>355</v>
      </c>
      <c r="D5061" s="14" t="s">
        <v>356</v>
      </c>
      <c r="E5061" s="14" t="s">
        <v>344</v>
      </c>
      <c r="F5061" s="14" t="s">
        <v>343</v>
      </c>
      <c r="G5061" s="14" t="s">
        <v>343</v>
      </c>
      <c r="H5061" s="14" t="s">
        <v>343</v>
      </c>
      <c r="U5061" s="14">
        <v>109</v>
      </c>
      <c r="V5061" s="14">
        <v>106</v>
      </c>
      <c r="W5061" s="14">
        <v>107</v>
      </c>
      <c r="X5061" s="14">
        <v>1</v>
      </c>
    </row>
    <row r="5062" spans="1:24" hidden="1" x14ac:dyDescent="0.3">
      <c r="A5062" s="14" t="s">
        <v>523</v>
      </c>
      <c r="B5062" s="14" t="s">
        <v>229</v>
      </c>
      <c r="C5062" s="14" t="s">
        <v>357</v>
      </c>
      <c r="D5062" s="14" t="s">
        <v>358</v>
      </c>
      <c r="E5062" s="14" t="s">
        <v>342</v>
      </c>
      <c r="F5062" s="14" t="s">
        <v>343</v>
      </c>
      <c r="G5062" s="14" t="s">
        <v>343</v>
      </c>
      <c r="H5062" s="14" t="s">
        <v>343</v>
      </c>
      <c r="U5062" s="14">
        <v>1</v>
      </c>
      <c r="V5062" s="14">
        <v>1</v>
      </c>
      <c r="W5062" s="14">
        <v>1</v>
      </c>
      <c r="X5062" s="14">
        <v>1</v>
      </c>
    </row>
    <row r="5063" spans="1:24" hidden="1" x14ac:dyDescent="0.3">
      <c r="A5063" s="14" t="s">
        <v>523</v>
      </c>
      <c r="B5063" s="14" t="s">
        <v>229</v>
      </c>
      <c r="C5063" s="14" t="s">
        <v>357</v>
      </c>
      <c r="D5063" s="14" t="s">
        <v>358</v>
      </c>
      <c r="E5063" s="14" t="s">
        <v>344</v>
      </c>
      <c r="F5063" s="14" t="s">
        <v>343</v>
      </c>
      <c r="G5063" s="14" t="s">
        <v>343</v>
      </c>
      <c r="H5063" s="14" t="s">
        <v>343</v>
      </c>
      <c r="U5063" s="14">
        <v>1</v>
      </c>
      <c r="V5063" s="14">
        <v>1</v>
      </c>
      <c r="W5063" s="14">
        <v>1</v>
      </c>
      <c r="X5063" s="14">
        <v>1</v>
      </c>
    </row>
    <row r="5064" spans="1:24" hidden="1" x14ac:dyDescent="0.3">
      <c r="A5064" s="14" t="s">
        <v>523</v>
      </c>
      <c r="B5064" s="14" t="s">
        <v>229</v>
      </c>
      <c r="C5064" s="14" t="s">
        <v>359</v>
      </c>
      <c r="D5064" s="14" t="s">
        <v>360</v>
      </c>
      <c r="E5064" s="14" t="s">
        <v>342</v>
      </c>
      <c r="F5064" s="14" t="s">
        <v>343</v>
      </c>
      <c r="G5064" s="14" t="s">
        <v>343</v>
      </c>
      <c r="H5064" s="14" t="s">
        <v>343</v>
      </c>
      <c r="I5064" s="14">
        <v>0.73</v>
      </c>
      <c r="J5064" s="14">
        <v>0.76</v>
      </c>
      <c r="K5064" s="14">
        <v>0.78</v>
      </c>
      <c r="L5064" s="14">
        <v>0.79</v>
      </c>
      <c r="M5064" s="14">
        <v>0.77</v>
      </c>
      <c r="N5064" s="14">
        <v>0.79</v>
      </c>
      <c r="O5064" s="14">
        <v>0.8</v>
      </c>
      <c r="P5064" s="14">
        <v>0.78</v>
      </c>
      <c r="Q5064" s="14">
        <v>0.8</v>
      </c>
      <c r="R5064" s="14">
        <v>0.84</v>
      </c>
      <c r="S5064" s="14">
        <v>0.8</v>
      </c>
      <c r="T5064" s="14">
        <v>0.81</v>
      </c>
      <c r="U5064" s="14">
        <v>0.81</v>
      </c>
      <c r="V5064" s="14">
        <v>0.79</v>
      </c>
      <c r="W5064" s="14">
        <v>0.81</v>
      </c>
      <c r="X5064" s="14">
        <v>0.81</v>
      </c>
    </row>
    <row r="5065" spans="1:24" hidden="1" x14ac:dyDescent="0.3">
      <c r="A5065" s="14" t="s">
        <v>523</v>
      </c>
      <c r="B5065" s="14" t="s">
        <v>229</v>
      </c>
      <c r="C5065" s="14" t="s">
        <v>359</v>
      </c>
      <c r="D5065" s="14" t="s">
        <v>360</v>
      </c>
      <c r="E5065" s="14" t="s">
        <v>344</v>
      </c>
      <c r="F5065" s="14" t="s">
        <v>343</v>
      </c>
      <c r="G5065" s="14" t="s">
        <v>343</v>
      </c>
      <c r="H5065" s="14" t="s">
        <v>343</v>
      </c>
      <c r="I5065" s="14">
        <v>9</v>
      </c>
      <c r="J5065" s="14">
        <v>6</v>
      </c>
      <c r="K5065" s="14">
        <v>5</v>
      </c>
      <c r="L5065" s="14">
        <v>6</v>
      </c>
      <c r="M5065" s="14">
        <v>11</v>
      </c>
      <c r="N5065" s="14">
        <v>7</v>
      </c>
      <c r="O5065" s="14">
        <v>10</v>
      </c>
      <c r="P5065" s="14">
        <v>14</v>
      </c>
      <c r="Q5065" s="14">
        <v>15</v>
      </c>
      <c r="R5065" s="14">
        <v>4</v>
      </c>
      <c r="S5065" s="14">
        <v>11</v>
      </c>
      <c r="T5065" s="14">
        <v>12</v>
      </c>
      <c r="U5065" s="14">
        <v>9</v>
      </c>
      <c r="V5065" s="14">
        <v>16</v>
      </c>
      <c r="W5065" s="14">
        <v>11</v>
      </c>
      <c r="X5065" s="14">
        <v>5</v>
      </c>
    </row>
    <row r="5066" spans="1:24" x14ac:dyDescent="0.3">
      <c r="A5066" s="14" t="s">
        <v>523</v>
      </c>
      <c r="B5066" s="14" t="s">
        <v>229</v>
      </c>
      <c r="C5066" s="14" t="s">
        <v>361</v>
      </c>
      <c r="D5066" s="14" t="s">
        <v>362</v>
      </c>
      <c r="E5066" s="14" t="s">
        <v>342</v>
      </c>
      <c r="F5066" s="14" t="s">
        <v>343</v>
      </c>
      <c r="G5066" s="14" t="s">
        <v>343</v>
      </c>
      <c r="H5066" s="14" t="s">
        <v>343</v>
      </c>
      <c r="I5066" s="14">
        <v>0.97</v>
      </c>
      <c r="J5066" s="14">
        <v>0.97</v>
      </c>
      <c r="K5066" s="14">
        <v>0.97</v>
      </c>
      <c r="L5066" s="14">
        <v>0.97</v>
      </c>
      <c r="M5066" s="14">
        <v>0.97</v>
      </c>
      <c r="N5066" s="14">
        <v>0.97</v>
      </c>
      <c r="O5066" s="14">
        <v>0.97</v>
      </c>
      <c r="P5066" s="14">
        <v>0.97</v>
      </c>
      <c r="Q5066" s="14">
        <v>0.97</v>
      </c>
      <c r="R5066" s="14">
        <v>0.97</v>
      </c>
      <c r="S5066" s="14">
        <v>0.97</v>
      </c>
      <c r="T5066" s="14">
        <v>0.97</v>
      </c>
      <c r="U5066" s="14">
        <v>0.97</v>
      </c>
      <c r="V5066" s="14">
        <v>0.97</v>
      </c>
      <c r="W5066" s="14">
        <v>0.96</v>
      </c>
      <c r="X5066" s="14">
        <v>0.96</v>
      </c>
    </row>
    <row r="5067" spans="1:24" hidden="1" x14ac:dyDescent="0.3">
      <c r="A5067" s="14" t="s">
        <v>523</v>
      </c>
      <c r="B5067" s="14" t="s">
        <v>229</v>
      </c>
      <c r="C5067" s="14" t="s">
        <v>361</v>
      </c>
      <c r="D5067" s="14" t="s">
        <v>362</v>
      </c>
      <c r="E5067" s="14" t="s">
        <v>344</v>
      </c>
      <c r="F5067" s="14" t="s">
        <v>343</v>
      </c>
      <c r="G5067" s="14" t="s">
        <v>343</v>
      </c>
      <c r="H5067" s="14" t="s">
        <v>343</v>
      </c>
      <c r="I5067" s="14">
        <v>70</v>
      </c>
      <c r="J5067" s="14">
        <v>73</v>
      </c>
      <c r="K5067" s="14">
        <v>75</v>
      </c>
      <c r="L5067" s="14">
        <v>79</v>
      </c>
      <c r="M5067" s="14">
        <v>80</v>
      </c>
      <c r="N5067" s="14">
        <v>82</v>
      </c>
      <c r="O5067" s="14">
        <v>73</v>
      </c>
      <c r="P5067" s="14">
        <v>69</v>
      </c>
      <c r="Q5067" s="14">
        <v>100</v>
      </c>
      <c r="R5067" s="14">
        <v>71</v>
      </c>
      <c r="S5067" s="14">
        <v>69</v>
      </c>
      <c r="T5067" s="14">
        <v>112</v>
      </c>
      <c r="U5067" s="14">
        <v>115</v>
      </c>
      <c r="V5067" s="14">
        <v>117</v>
      </c>
      <c r="W5067" s="14">
        <v>133</v>
      </c>
      <c r="X5067" s="14">
        <v>124</v>
      </c>
    </row>
    <row r="5068" spans="1:24" hidden="1" x14ac:dyDescent="0.3">
      <c r="A5068" s="14" t="s">
        <v>523</v>
      </c>
      <c r="B5068" s="14" t="s">
        <v>229</v>
      </c>
      <c r="C5068" s="14" t="s">
        <v>363</v>
      </c>
      <c r="D5068" s="14" t="s">
        <v>364</v>
      </c>
      <c r="E5068" s="14" t="s">
        <v>342</v>
      </c>
      <c r="F5068" s="14" t="s">
        <v>343</v>
      </c>
      <c r="G5068" s="14" t="s">
        <v>343</v>
      </c>
      <c r="H5068" s="14" t="s">
        <v>343</v>
      </c>
      <c r="U5068" s="14">
        <v>1.03</v>
      </c>
      <c r="V5068" s="14">
        <v>1.03</v>
      </c>
      <c r="W5068" s="14">
        <v>1.01</v>
      </c>
      <c r="X5068" s="14">
        <v>1.01</v>
      </c>
    </row>
    <row r="5069" spans="1:24" hidden="1" x14ac:dyDescent="0.3">
      <c r="A5069" s="14" t="s">
        <v>523</v>
      </c>
      <c r="B5069" s="14" t="s">
        <v>229</v>
      </c>
      <c r="C5069" s="14" t="s">
        <v>363</v>
      </c>
      <c r="D5069" s="14" t="s">
        <v>364</v>
      </c>
      <c r="E5069" s="14" t="s">
        <v>344</v>
      </c>
      <c r="F5069" s="14" t="s">
        <v>343</v>
      </c>
      <c r="G5069" s="14" t="s">
        <v>343</v>
      </c>
      <c r="H5069" s="14" t="s">
        <v>343</v>
      </c>
      <c r="U5069" s="14">
        <v>123</v>
      </c>
      <c r="V5069" s="14">
        <v>127</v>
      </c>
      <c r="W5069" s="14">
        <v>139</v>
      </c>
      <c r="X5069" s="14">
        <v>129</v>
      </c>
    </row>
    <row r="5070" spans="1:24" hidden="1" x14ac:dyDescent="0.3">
      <c r="A5070" s="14" t="s">
        <v>523</v>
      </c>
      <c r="B5070" s="14" t="s">
        <v>229</v>
      </c>
      <c r="C5070" s="14" t="s">
        <v>365</v>
      </c>
      <c r="D5070" s="14" t="s">
        <v>366</v>
      </c>
      <c r="E5070" s="14" t="s">
        <v>342</v>
      </c>
      <c r="F5070" s="14" t="s">
        <v>343</v>
      </c>
      <c r="G5070" s="14" t="s">
        <v>343</v>
      </c>
      <c r="H5070" s="14" t="s">
        <v>343</v>
      </c>
      <c r="U5070" s="14">
        <v>0.94</v>
      </c>
      <c r="V5070" s="14">
        <v>0.94</v>
      </c>
      <c r="W5070" s="14">
        <v>0.94</v>
      </c>
      <c r="X5070" s="14">
        <v>0.94</v>
      </c>
    </row>
    <row r="5071" spans="1:24" hidden="1" x14ac:dyDescent="0.3">
      <c r="A5071" s="14" t="s">
        <v>523</v>
      </c>
      <c r="B5071" s="14" t="s">
        <v>229</v>
      </c>
      <c r="C5071" s="14" t="s">
        <v>365</v>
      </c>
      <c r="D5071" s="14" t="s">
        <v>366</v>
      </c>
      <c r="E5071" s="14" t="s">
        <v>344</v>
      </c>
      <c r="F5071" s="14" t="s">
        <v>343</v>
      </c>
      <c r="G5071" s="14" t="s">
        <v>343</v>
      </c>
      <c r="H5071" s="14" t="s">
        <v>343</v>
      </c>
      <c r="U5071" s="14">
        <v>114</v>
      </c>
      <c r="V5071" s="14">
        <v>112</v>
      </c>
      <c r="W5071" s="14">
        <v>116</v>
      </c>
      <c r="X5071" s="14">
        <v>111</v>
      </c>
    </row>
    <row r="5072" spans="1:24" hidden="1" x14ac:dyDescent="0.3">
      <c r="A5072" s="14" t="s">
        <v>523</v>
      </c>
      <c r="B5072" s="14" t="s">
        <v>229</v>
      </c>
      <c r="C5072" s="14" t="s">
        <v>367</v>
      </c>
      <c r="D5072" s="14" t="s">
        <v>368</v>
      </c>
      <c r="E5072" s="14" t="s">
        <v>342</v>
      </c>
      <c r="F5072" s="14" t="s">
        <v>343</v>
      </c>
      <c r="G5072" s="14" t="s">
        <v>343</v>
      </c>
      <c r="H5072" s="14" t="s">
        <v>343</v>
      </c>
      <c r="I5072" s="14">
        <v>0.81</v>
      </c>
      <c r="J5072" s="14">
        <v>0.81</v>
      </c>
      <c r="K5072" s="14">
        <v>0.81</v>
      </c>
      <c r="L5072" s="14">
        <v>0.81</v>
      </c>
      <c r="M5072" s="14">
        <v>0.8</v>
      </c>
      <c r="N5072" s="14">
        <v>0.8</v>
      </c>
      <c r="O5072" s="14">
        <v>0.82</v>
      </c>
      <c r="P5072" s="14">
        <v>0.81</v>
      </c>
      <c r="Q5072" s="14">
        <v>0.82</v>
      </c>
      <c r="R5072" s="14">
        <v>0.82</v>
      </c>
      <c r="S5072" s="14">
        <v>0.82</v>
      </c>
      <c r="T5072" s="14">
        <v>0.82</v>
      </c>
      <c r="U5072" s="14">
        <v>0.82</v>
      </c>
      <c r="V5072" s="14">
        <v>0.82</v>
      </c>
      <c r="W5072" s="14">
        <v>0.82</v>
      </c>
      <c r="X5072" s="14">
        <v>0.82</v>
      </c>
    </row>
    <row r="5073" spans="1:24" hidden="1" x14ac:dyDescent="0.3">
      <c r="A5073" s="14" t="s">
        <v>523</v>
      </c>
      <c r="B5073" s="14" t="s">
        <v>229</v>
      </c>
      <c r="C5073" s="14" t="s">
        <v>367</v>
      </c>
      <c r="D5073" s="14" t="s">
        <v>368</v>
      </c>
      <c r="E5073" s="14" t="s">
        <v>344</v>
      </c>
      <c r="F5073" s="14" t="s">
        <v>343</v>
      </c>
      <c r="G5073" s="14" t="s">
        <v>343</v>
      </c>
      <c r="H5073" s="14" t="s">
        <v>343</v>
      </c>
      <c r="I5073" s="14">
        <v>1</v>
      </c>
      <c r="J5073" s="14">
        <v>1</v>
      </c>
      <c r="K5073" s="14">
        <v>3</v>
      </c>
      <c r="L5073" s="14">
        <v>4</v>
      </c>
      <c r="M5073" s="14">
        <v>4</v>
      </c>
      <c r="N5073" s="14">
        <v>4</v>
      </c>
      <c r="O5073" s="14">
        <v>4</v>
      </c>
      <c r="P5073" s="14">
        <v>4</v>
      </c>
      <c r="Q5073" s="14">
        <v>4</v>
      </c>
      <c r="R5073" s="14">
        <v>4</v>
      </c>
      <c r="S5073" s="14">
        <v>4</v>
      </c>
      <c r="T5073" s="14">
        <v>5</v>
      </c>
      <c r="U5073" s="14">
        <v>3</v>
      </c>
      <c r="V5073" s="14">
        <v>4</v>
      </c>
      <c r="W5073" s="14">
        <v>5</v>
      </c>
      <c r="X5073" s="14">
        <v>5</v>
      </c>
    </row>
    <row r="5074" spans="1:24" hidden="1" x14ac:dyDescent="0.3">
      <c r="A5074" s="14" t="s">
        <v>523</v>
      </c>
      <c r="B5074" s="14" t="s">
        <v>229</v>
      </c>
      <c r="C5074" s="14" t="s">
        <v>369</v>
      </c>
      <c r="D5074" s="14" t="s">
        <v>370</v>
      </c>
      <c r="E5074" s="14" t="s">
        <v>342</v>
      </c>
      <c r="F5074" s="14" t="s">
        <v>343</v>
      </c>
      <c r="G5074" s="14" t="s">
        <v>343</v>
      </c>
      <c r="H5074" s="14" t="s">
        <v>343</v>
      </c>
      <c r="I5074" s="14">
        <v>0.55000000000000004</v>
      </c>
      <c r="J5074" s="14">
        <v>0.53</v>
      </c>
      <c r="K5074" s="14">
        <v>0.5</v>
      </c>
      <c r="L5074" s="14">
        <v>0.5</v>
      </c>
      <c r="M5074" s="14">
        <v>0.47</v>
      </c>
      <c r="N5074" s="14">
        <v>0.46</v>
      </c>
      <c r="O5074" s="14">
        <v>0.5</v>
      </c>
      <c r="P5074" s="14">
        <v>0.5</v>
      </c>
      <c r="Q5074" s="14">
        <v>0.5</v>
      </c>
      <c r="R5074" s="14">
        <v>0.49</v>
      </c>
      <c r="S5074" s="14">
        <v>0.49</v>
      </c>
      <c r="T5074" s="14">
        <v>0.49</v>
      </c>
      <c r="U5074" s="14">
        <v>0.51</v>
      </c>
      <c r="V5074" s="14">
        <v>0.52</v>
      </c>
      <c r="W5074" s="14">
        <v>0.52</v>
      </c>
      <c r="X5074" s="14">
        <v>0.52</v>
      </c>
    </row>
    <row r="5075" spans="1:24" hidden="1" x14ac:dyDescent="0.3">
      <c r="A5075" s="14" t="s">
        <v>523</v>
      </c>
      <c r="B5075" s="14" t="s">
        <v>229</v>
      </c>
      <c r="C5075" s="14" t="s">
        <v>369</v>
      </c>
      <c r="D5075" s="14" t="s">
        <v>370</v>
      </c>
      <c r="E5075" s="14" t="s">
        <v>344</v>
      </c>
      <c r="F5075" s="14" t="s">
        <v>343</v>
      </c>
      <c r="G5075" s="14" t="s">
        <v>343</v>
      </c>
      <c r="H5075" s="14" t="s">
        <v>343</v>
      </c>
      <c r="I5075" s="14">
        <v>1</v>
      </c>
      <c r="J5075" s="14">
        <v>1</v>
      </c>
      <c r="K5075" s="14">
        <v>4</v>
      </c>
      <c r="L5075" s="14">
        <v>4</v>
      </c>
      <c r="M5075" s="14">
        <v>4</v>
      </c>
      <c r="N5075" s="14">
        <v>4</v>
      </c>
      <c r="O5075" s="14">
        <v>4</v>
      </c>
      <c r="P5075" s="14">
        <v>4</v>
      </c>
      <c r="Q5075" s="14">
        <v>5</v>
      </c>
      <c r="R5075" s="14">
        <v>5</v>
      </c>
      <c r="S5075" s="14">
        <v>6</v>
      </c>
      <c r="T5075" s="14">
        <v>8</v>
      </c>
      <c r="U5075" s="14">
        <v>7</v>
      </c>
      <c r="V5075" s="14">
        <v>9</v>
      </c>
      <c r="W5075" s="14">
        <v>9</v>
      </c>
      <c r="X5075" s="14">
        <v>10</v>
      </c>
    </row>
    <row r="5076" spans="1:24" hidden="1" x14ac:dyDescent="0.3">
      <c r="A5076" s="14" t="s">
        <v>523</v>
      </c>
      <c r="B5076" s="14" t="s">
        <v>229</v>
      </c>
      <c r="C5076" s="14" t="s">
        <v>371</v>
      </c>
      <c r="D5076" s="14" t="s">
        <v>372</v>
      </c>
      <c r="E5076" s="14" t="s">
        <v>342</v>
      </c>
      <c r="F5076" s="14" t="s">
        <v>343</v>
      </c>
      <c r="G5076" s="14" t="s">
        <v>343</v>
      </c>
      <c r="H5076" s="14" t="s">
        <v>343</v>
      </c>
      <c r="U5076" s="14">
        <v>0</v>
      </c>
      <c r="V5076" s="14">
        <v>0</v>
      </c>
      <c r="W5076" s="14">
        <v>0</v>
      </c>
      <c r="X5076" s="14">
        <v>0.01</v>
      </c>
    </row>
    <row r="5077" spans="1:24" hidden="1" x14ac:dyDescent="0.3">
      <c r="A5077" s="14" t="s">
        <v>523</v>
      </c>
      <c r="B5077" s="14" t="s">
        <v>229</v>
      </c>
      <c r="C5077" s="14" t="s">
        <v>371</v>
      </c>
      <c r="D5077" s="14" t="s">
        <v>372</v>
      </c>
      <c r="E5077" s="14" t="s">
        <v>344</v>
      </c>
      <c r="F5077" s="14" t="s">
        <v>343</v>
      </c>
      <c r="G5077" s="14" t="s">
        <v>343</v>
      </c>
      <c r="H5077" s="14" t="s">
        <v>343</v>
      </c>
      <c r="U5077" s="14">
        <v>71</v>
      </c>
      <c r="V5077" s="14">
        <v>73</v>
      </c>
      <c r="W5077" s="14">
        <v>76</v>
      </c>
      <c r="X5077" s="14">
        <v>69</v>
      </c>
    </row>
    <row r="5078" spans="1:24" hidden="1" x14ac:dyDescent="0.3">
      <c r="A5078" s="14" t="s">
        <v>523</v>
      </c>
      <c r="B5078" s="14" t="s">
        <v>229</v>
      </c>
      <c r="C5078" s="14" t="s">
        <v>373</v>
      </c>
      <c r="D5078" s="14" t="s">
        <v>374</v>
      </c>
      <c r="E5078" s="14" t="s">
        <v>342</v>
      </c>
      <c r="F5078" s="14" t="s">
        <v>343</v>
      </c>
      <c r="G5078" s="14" t="s">
        <v>343</v>
      </c>
      <c r="H5078" s="14" t="s">
        <v>343</v>
      </c>
      <c r="U5078" s="14">
        <v>1</v>
      </c>
      <c r="V5078" s="14">
        <v>1</v>
      </c>
      <c r="W5078" s="14">
        <v>1</v>
      </c>
      <c r="X5078" s="14">
        <v>1</v>
      </c>
    </row>
    <row r="5079" spans="1:24" hidden="1" x14ac:dyDescent="0.3">
      <c r="A5079" s="14" t="s">
        <v>523</v>
      </c>
      <c r="B5079" s="14" t="s">
        <v>229</v>
      </c>
      <c r="C5079" s="14" t="s">
        <v>373</v>
      </c>
      <c r="D5079" s="14" t="s">
        <v>374</v>
      </c>
      <c r="E5079" s="14" t="s">
        <v>344</v>
      </c>
      <c r="F5079" s="14" t="s">
        <v>343</v>
      </c>
      <c r="G5079" s="14" t="s">
        <v>343</v>
      </c>
      <c r="H5079" s="14" t="s">
        <v>343</v>
      </c>
      <c r="U5079" s="14">
        <v>1</v>
      </c>
      <c r="V5079" s="14">
        <v>1</v>
      </c>
      <c r="W5079" s="14">
        <v>1</v>
      </c>
      <c r="X5079" s="14">
        <v>1</v>
      </c>
    </row>
    <row r="5080" spans="1:24" hidden="1" x14ac:dyDescent="0.3">
      <c r="A5080" s="14" t="s">
        <v>523</v>
      </c>
      <c r="B5080" s="14" t="s">
        <v>229</v>
      </c>
      <c r="C5080" s="14" t="s">
        <v>375</v>
      </c>
      <c r="D5080" s="14" t="s">
        <v>376</v>
      </c>
      <c r="E5080" s="14" t="s">
        <v>342</v>
      </c>
      <c r="F5080" s="14" t="s">
        <v>343</v>
      </c>
      <c r="G5080" s="14" t="s">
        <v>343</v>
      </c>
      <c r="H5080" s="14" t="s">
        <v>343</v>
      </c>
      <c r="U5080" s="14">
        <v>0.86</v>
      </c>
      <c r="V5080" s="14">
        <v>0.9</v>
      </c>
      <c r="W5080" s="14">
        <v>0.89</v>
      </c>
      <c r="X5080" s="14">
        <v>0.86</v>
      </c>
    </row>
    <row r="5081" spans="1:24" hidden="1" x14ac:dyDescent="0.3">
      <c r="A5081" s="14" t="s">
        <v>523</v>
      </c>
      <c r="B5081" s="14" t="s">
        <v>229</v>
      </c>
      <c r="C5081" s="14" t="s">
        <v>375</v>
      </c>
      <c r="D5081" s="14" t="s">
        <v>376</v>
      </c>
      <c r="E5081" s="14" t="s">
        <v>344</v>
      </c>
      <c r="F5081" s="14" t="s">
        <v>343</v>
      </c>
      <c r="G5081" s="14" t="s">
        <v>343</v>
      </c>
      <c r="H5081" s="14" t="s">
        <v>343</v>
      </c>
      <c r="U5081" s="14">
        <v>6</v>
      </c>
      <c r="V5081" s="14">
        <v>6</v>
      </c>
      <c r="W5081" s="14">
        <v>7</v>
      </c>
      <c r="X5081" s="14">
        <v>10</v>
      </c>
    </row>
    <row r="5082" spans="1:24" hidden="1" x14ac:dyDescent="0.3">
      <c r="A5082" s="14" t="s">
        <v>524</v>
      </c>
      <c r="B5082" s="14" t="s">
        <v>94</v>
      </c>
      <c r="C5082" s="14" t="s">
        <v>340</v>
      </c>
      <c r="D5082" s="14" t="s">
        <v>341</v>
      </c>
      <c r="E5082" s="14" t="s">
        <v>342</v>
      </c>
      <c r="F5082" s="14" t="s">
        <v>343</v>
      </c>
      <c r="G5082" s="14" t="s">
        <v>343</v>
      </c>
      <c r="H5082" s="14" t="s">
        <v>343</v>
      </c>
      <c r="Q5082" s="14">
        <v>1</v>
      </c>
      <c r="R5082" s="14">
        <v>1</v>
      </c>
      <c r="S5082" s="14">
        <v>1</v>
      </c>
      <c r="T5082" s="14">
        <v>1</v>
      </c>
      <c r="V5082" s="14">
        <v>0.99</v>
      </c>
      <c r="W5082" s="14">
        <v>0.99</v>
      </c>
      <c r="X5082" s="14">
        <v>0.98</v>
      </c>
    </row>
    <row r="5083" spans="1:24" hidden="1" x14ac:dyDescent="0.3">
      <c r="A5083" s="14" t="s">
        <v>524</v>
      </c>
      <c r="B5083" s="14" t="s">
        <v>94</v>
      </c>
      <c r="C5083" s="14" t="s">
        <v>340</v>
      </c>
      <c r="D5083" s="14" t="s">
        <v>341</v>
      </c>
      <c r="E5083" s="14" t="s">
        <v>344</v>
      </c>
      <c r="F5083" s="14" t="s">
        <v>343</v>
      </c>
      <c r="G5083" s="14" t="s">
        <v>343</v>
      </c>
      <c r="H5083" s="14" t="s">
        <v>343</v>
      </c>
      <c r="Q5083" s="14">
        <v>47</v>
      </c>
      <c r="R5083" s="14">
        <v>1</v>
      </c>
      <c r="S5083" s="14">
        <v>46</v>
      </c>
      <c r="T5083" s="14">
        <v>59</v>
      </c>
      <c r="V5083" s="14">
        <v>76</v>
      </c>
      <c r="W5083" s="14">
        <v>79</v>
      </c>
      <c r="X5083" s="14">
        <v>86</v>
      </c>
    </row>
    <row r="5084" spans="1:24" hidden="1" x14ac:dyDescent="0.3">
      <c r="A5084" s="14" t="s">
        <v>524</v>
      </c>
      <c r="B5084" s="14" t="s">
        <v>94</v>
      </c>
      <c r="C5084" s="14" t="s">
        <v>345</v>
      </c>
      <c r="D5084" s="14" t="s">
        <v>346</v>
      </c>
      <c r="E5084" s="14" t="s">
        <v>342</v>
      </c>
      <c r="F5084" s="14" t="s">
        <v>343</v>
      </c>
      <c r="G5084" s="14" t="s">
        <v>343</v>
      </c>
      <c r="H5084" s="14" t="s">
        <v>343</v>
      </c>
      <c r="U5084" s="14">
        <v>0.55000000000000004</v>
      </c>
      <c r="V5084" s="14">
        <v>0.57999999999999996</v>
      </c>
      <c r="W5084" s="14">
        <v>0.79</v>
      </c>
      <c r="X5084" s="14">
        <v>0.78</v>
      </c>
    </row>
    <row r="5085" spans="1:24" hidden="1" x14ac:dyDescent="0.3">
      <c r="A5085" s="14" t="s">
        <v>524</v>
      </c>
      <c r="B5085" s="14" t="s">
        <v>94</v>
      </c>
      <c r="C5085" s="14" t="s">
        <v>345</v>
      </c>
      <c r="D5085" s="14" t="s">
        <v>346</v>
      </c>
      <c r="E5085" s="14" t="s">
        <v>344</v>
      </c>
      <c r="F5085" s="14" t="s">
        <v>343</v>
      </c>
      <c r="G5085" s="14" t="s">
        <v>343</v>
      </c>
      <c r="H5085" s="14" t="s">
        <v>343</v>
      </c>
      <c r="U5085" s="14">
        <v>98</v>
      </c>
      <c r="V5085" s="14">
        <v>91</v>
      </c>
      <c r="W5085" s="14">
        <v>15</v>
      </c>
      <c r="X5085" s="14">
        <v>19</v>
      </c>
    </row>
    <row r="5086" spans="1:24" hidden="1" x14ac:dyDescent="0.3">
      <c r="A5086" s="14" t="s">
        <v>524</v>
      </c>
      <c r="B5086" s="14" t="s">
        <v>94</v>
      </c>
      <c r="C5086" s="14" t="s">
        <v>347</v>
      </c>
      <c r="D5086" s="14" t="s">
        <v>348</v>
      </c>
      <c r="E5086" s="14" t="s">
        <v>342</v>
      </c>
      <c r="F5086" s="14" t="s">
        <v>343</v>
      </c>
      <c r="G5086" s="14" t="s">
        <v>343</v>
      </c>
      <c r="H5086" s="14" t="s">
        <v>343</v>
      </c>
      <c r="U5086" s="14">
        <v>0.65</v>
      </c>
      <c r="V5086" s="14">
        <v>0.64</v>
      </c>
      <c r="W5086" s="14">
        <v>0.88</v>
      </c>
      <c r="X5086" s="14">
        <v>0.85</v>
      </c>
    </row>
    <row r="5087" spans="1:24" hidden="1" x14ac:dyDescent="0.3">
      <c r="A5087" s="14" t="s">
        <v>524</v>
      </c>
      <c r="B5087" s="14" t="s">
        <v>94</v>
      </c>
      <c r="C5087" s="14" t="s">
        <v>347</v>
      </c>
      <c r="D5087" s="14" t="s">
        <v>348</v>
      </c>
      <c r="E5087" s="14" t="s">
        <v>344</v>
      </c>
      <c r="F5087" s="14" t="s">
        <v>343</v>
      </c>
      <c r="G5087" s="14" t="s">
        <v>343</v>
      </c>
      <c r="H5087" s="14" t="s">
        <v>343</v>
      </c>
      <c r="U5087" s="14">
        <v>114</v>
      </c>
      <c r="V5087" s="14">
        <v>117</v>
      </c>
      <c r="W5087" s="14">
        <v>53</v>
      </c>
      <c r="X5087" s="14">
        <v>44</v>
      </c>
    </row>
    <row r="5088" spans="1:24" hidden="1" x14ac:dyDescent="0.3">
      <c r="A5088" s="14" t="s">
        <v>524</v>
      </c>
      <c r="B5088" s="14" t="s">
        <v>94</v>
      </c>
      <c r="C5088" s="14" t="s">
        <v>349</v>
      </c>
      <c r="D5088" s="14" t="s">
        <v>350</v>
      </c>
      <c r="E5088" s="14" t="s">
        <v>342</v>
      </c>
      <c r="F5088" s="14" t="s">
        <v>343</v>
      </c>
      <c r="G5088" s="14" t="s">
        <v>343</v>
      </c>
      <c r="H5088" s="14" t="s">
        <v>343</v>
      </c>
      <c r="U5088" s="14">
        <v>0.77</v>
      </c>
      <c r="V5088" s="14">
        <v>0.77</v>
      </c>
      <c r="W5088" s="14">
        <v>0.77</v>
      </c>
      <c r="X5088" s="14">
        <v>0.77</v>
      </c>
    </row>
    <row r="5089" spans="1:24" hidden="1" x14ac:dyDescent="0.3">
      <c r="A5089" s="14" t="s">
        <v>524</v>
      </c>
      <c r="B5089" s="14" t="s">
        <v>94</v>
      </c>
      <c r="C5089" s="14" t="s">
        <v>349</v>
      </c>
      <c r="D5089" s="14" t="s">
        <v>350</v>
      </c>
      <c r="E5089" s="14" t="s">
        <v>344</v>
      </c>
      <c r="F5089" s="14" t="s">
        <v>343</v>
      </c>
      <c r="G5089" s="14" t="s">
        <v>343</v>
      </c>
      <c r="H5089" s="14" t="s">
        <v>343</v>
      </c>
      <c r="U5089" s="14">
        <v>13</v>
      </c>
      <c r="V5089" s="14">
        <v>16</v>
      </c>
      <c r="W5089" s="14">
        <v>26</v>
      </c>
      <c r="X5089" s="14">
        <v>25</v>
      </c>
    </row>
    <row r="5090" spans="1:24" hidden="1" x14ac:dyDescent="0.3">
      <c r="A5090" s="14" t="s">
        <v>524</v>
      </c>
      <c r="B5090" s="14" t="s">
        <v>94</v>
      </c>
      <c r="C5090" s="14" t="s">
        <v>351</v>
      </c>
      <c r="D5090" s="14" t="s">
        <v>352</v>
      </c>
      <c r="E5090" s="14" t="s">
        <v>342</v>
      </c>
      <c r="F5090" s="14" t="s">
        <v>343</v>
      </c>
      <c r="G5090" s="14" t="s">
        <v>343</v>
      </c>
      <c r="H5090" s="14" t="s">
        <v>343</v>
      </c>
      <c r="U5090" s="14">
        <v>1</v>
      </c>
      <c r="V5090" s="14">
        <v>1</v>
      </c>
      <c r="W5090" s="14">
        <v>1</v>
      </c>
      <c r="X5090" s="14">
        <v>1</v>
      </c>
    </row>
    <row r="5091" spans="1:24" hidden="1" x14ac:dyDescent="0.3">
      <c r="A5091" s="14" t="s">
        <v>524</v>
      </c>
      <c r="B5091" s="14" t="s">
        <v>94</v>
      </c>
      <c r="C5091" s="14" t="s">
        <v>351</v>
      </c>
      <c r="D5091" s="14" t="s">
        <v>352</v>
      </c>
      <c r="E5091" s="14" t="s">
        <v>344</v>
      </c>
      <c r="F5091" s="14" t="s">
        <v>343</v>
      </c>
      <c r="G5091" s="14" t="s">
        <v>343</v>
      </c>
      <c r="H5091" s="14" t="s">
        <v>343</v>
      </c>
      <c r="U5091" s="14">
        <v>1</v>
      </c>
      <c r="V5091" s="14">
        <v>1</v>
      </c>
      <c r="W5091" s="14">
        <v>1</v>
      </c>
      <c r="X5091" s="14">
        <v>1</v>
      </c>
    </row>
    <row r="5092" spans="1:24" hidden="1" x14ac:dyDescent="0.3">
      <c r="A5092" s="14" t="s">
        <v>524</v>
      </c>
      <c r="B5092" s="14" t="s">
        <v>94</v>
      </c>
      <c r="C5092" s="14" t="s">
        <v>378</v>
      </c>
      <c r="D5092" s="14" t="s">
        <v>379</v>
      </c>
      <c r="E5092" s="14" t="s">
        <v>342</v>
      </c>
      <c r="F5092" s="14" t="s">
        <v>343</v>
      </c>
      <c r="G5092" s="14" t="s">
        <v>343</v>
      </c>
      <c r="H5092" s="14" t="s">
        <v>343</v>
      </c>
      <c r="S5092" s="14">
        <v>0.65</v>
      </c>
      <c r="U5092" s="14">
        <v>0.68</v>
      </c>
      <c r="V5092" s="14">
        <v>0.68</v>
      </c>
      <c r="W5092" s="14">
        <v>0.68</v>
      </c>
      <c r="X5092" s="14">
        <v>0.68</v>
      </c>
    </row>
    <row r="5093" spans="1:24" hidden="1" x14ac:dyDescent="0.3">
      <c r="A5093" s="14" t="s">
        <v>524</v>
      </c>
      <c r="B5093" s="14" t="s">
        <v>94</v>
      </c>
      <c r="C5093" s="14" t="s">
        <v>378</v>
      </c>
      <c r="D5093" s="14" t="s">
        <v>379</v>
      </c>
      <c r="E5093" s="14" t="s">
        <v>344</v>
      </c>
      <c r="F5093" s="14" t="s">
        <v>343</v>
      </c>
      <c r="G5093" s="14" t="s">
        <v>343</v>
      </c>
      <c r="H5093" s="14" t="s">
        <v>343</v>
      </c>
      <c r="S5093" s="14">
        <v>63</v>
      </c>
      <c r="U5093" s="14">
        <v>59</v>
      </c>
      <c r="V5093" s="14">
        <v>59</v>
      </c>
      <c r="W5093" s="14">
        <v>67</v>
      </c>
      <c r="X5093" s="14">
        <v>58</v>
      </c>
    </row>
    <row r="5094" spans="1:24" hidden="1" x14ac:dyDescent="0.3">
      <c r="A5094" s="14" t="s">
        <v>524</v>
      </c>
      <c r="B5094" s="14" t="s">
        <v>94</v>
      </c>
      <c r="C5094" s="14" t="s">
        <v>353</v>
      </c>
      <c r="D5094" s="14" t="s">
        <v>354</v>
      </c>
      <c r="E5094" s="14" t="s">
        <v>342</v>
      </c>
      <c r="F5094" s="14" t="s">
        <v>343</v>
      </c>
      <c r="G5094" s="14" t="s">
        <v>343</v>
      </c>
      <c r="H5094" s="14" t="s">
        <v>343</v>
      </c>
      <c r="U5094" s="14">
        <v>0.98</v>
      </c>
      <c r="V5094" s="14">
        <v>1</v>
      </c>
      <c r="W5094" s="14">
        <v>1</v>
      </c>
      <c r="X5094" s="14">
        <v>1</v>
      </c>
    </row>
    <row r="5095" spans="1:24" hidden="1" x14ac:dyDescent="0.3">
      <c r="A5095" s="14" t="s">
        <v>524</v>
      </c>
      <c r="B5095" s="14" t="s">
        <v>94</v>
      </c>
      <c r="C5095" s="14" t="s">
        <v>353</v>
      </c>
      <c r="D5095" s="14" t="s">
        <v>354</v>
      </c>
      <c r="E5095" s="14" t="s">
        <v>344</v>
      </c>
      <c r="F5095" s="14" t="s">
        <v>343</v>
      </c>
      <c r="G5095" s="14" t="s">
        <v>343</v>
      </c>
      <c r="H5095" s="14" t="s">
        <v>343</v>
      </c>
      <c r="U5095" s="14">
        <v>73</v>
      </c>
      <c r="V5095" s="14">
        <v>1</v>
      </c>
      <c r="W5095" s="14">
        <v>1</v>
      </c>
      <c r="X5095" s="14">
        <v>1</v>
      </c>
    </row>
    <row r="5096" spans="1:24" hidden="1" x14ac:dyDescent="0.3">
      <c r="A5096" s="14" t="s">
        <v>524</v>
      </c>
      <c r="B5096" s="14" t="s">
        <v>94</v>
      </c>
      <c r="C5096" s="14" t="s">
        <v>380</v>
      </c>
      <c r="D5096" s="14" t="s">
        <v>381</v>
      </c>
      <c r="E5096" s="14" t="s">
        <v>342</v>
      </c>
      <c r="F5096" s="14" t="s">
        <v>343</v>
      </c>
      <c r="G5096" s="14" t="s">
        <v>343</v>
      </c>
      <c r="H5096" s="14" t="s">
        <v>343</v>
      </c>
      <c r="U5096" s="14">
        <v>0.98</v>
      </c>
      <c r="V5096" s="14">
        <v>1</v>
      </c>
      <c r="W5096" s="14">
        <v>1</v>
      </c>
      <c r="X5096" s="14">
        <v>0.98</v>
      </c>
    </row>
    <row r="5097" spans="1:24" hidden="1" x14ac:dyDescent="0.3">
      <c r="A5097" s="14" t="s">
        <v>524</v>
      </c>
      <c r="B5097" s="14" t="s">
        <v>94</v>
      </c>
      <c r="C5097" s="14" t="s">
        <v>380</v>
      </c>
      <c r="D5097" s="14" t="s">
        <v>381</v>
      </c>
      <c r="E5097" s="14" t="s">
        <v>344</v>
      </c>
      <c r="F5097" s="14" t="s">
        <v>343</v>
      </c>
      <c r="G5097" s="14" t="s">
        <v>343</v>
      </c>
      <c r="H5097" s="14" t="s">
        <v>343</v>
      </c>
      <c r="U5097" s="14">
        <v>112</v>
      </c>
      <c r="V5097" s="14">
        <v>92</v>
      </c>
      <c r="W5097" s="14">
        <v>95</v>
      </c>
      <c r="X5097" s="14">
        <v>100</v>
      </c>
    </row>
    <row r="5098" spans="1:24" hidden="1" x14ac:dyDescent="0.3">
      <c r="A5098" s="14" t="s">
        <v>524</v>
      </c>
      <c r="B5098" s="14" t="s">
        <v>94</v>
      </c>
      <c r="C5098" s="14" t="s">
        <v>355</v>
      </c>
      <c r="D5098" s="14" t="s">
        <v>356</v>
      </c>
      <c r="E5098" s="14" t="s">
        <v>342</v>
      </c>
      <c r="F5098" s="14" t="s">
        <v>343</v>
      </c>
      <c r="G5098" s="14" t="s">
        <v>343</v>
      </c>
      <c r="H5098" s="14" t="s">
        <v>343</v>
      </c>
      <c r="U5098" s="14">
        <v>1</v>
      </c>
      <c r="V5098" s="14">
        <v>1</v>
      </c>
      <c r="W5098" s="14">
        <v>1</v>
      </c>
      <c r="X5098" s="14">
        <v>1</v>
      </c>
    </row>
    <row r="5099" spans="1:24" hidden="1" x14ac:dyDescent="0.3">
      <c r="A5099" s="14" t="s">
        <v>524</v>
      </c>
      <c r="B5099" s="14" t="s">
        <v>94</v>
      </c>
      <c r="C5099" s="14" t="s">
        <v>355</v>
      </c>
      <c r="D5099" s="14" t="s">
        <v>356</v>
      </c>
      <c r="E5099" s="14" t="s">
        <v>344</v>
      </c>
      <c r="F5099" s="14" t="s">
        <v>343</v>
      </c>
      <c r="G5099" s="14" t="s">
        <v>343</v>
      </c>
      <c r="H5099" s="14" t="s">
        <v>343</v>
      </c>
      <c r="U5099" s="14">
        <v>1</v>
      </c>
      <c r="V5099" s="14">
        <v>1</v>
      </c>
      <c r="W5099" s="14">
        <v>1</v>
      </c>
      <c r="X5099" s="14">
        <v>80</v>
      </c>
    </row>
    <row r="5100" spans="1:24" hidden="1" x14ac:dyDescent="0.3">
      <c r="A5100" s="14" t="s">
        <v>524</v>
      </c>
      <c r="B5100" s="14" t="s">
        <v>94</v>
      </c>
      <c r="C5100" s="14" t="s">
        <v>357</v>
      </c>
      <c r="D5100" s="14" t="s">
        <v>358</v>
      </c>
      <c r="E5100" s="14" t="s">
        <v>342</v>
      </c>
      <c r="F5100" s="14" t="s">
        <v>343</v>
      </c>
      <c r="G5100" s="14" t="s">
        <v>343</v>
      </c>
      <c r="H5100" s="14" t="s">
        <v>343</v>
      </c>
      <c r="U5100" s="14">
        <v>1</v>
      </c>
      <c r="V5100" s="14">
        <v>0.94</v>
      </c>
      <c r="W5100" s="14">
        <v>0.94</v>
      </c>
      <c r="X5100" s="14">
        <v>0.94</v>
      </c>
    </row>
    <row r="5101" spans="1:24" hidden="1" x14ac:dyDescent="0.3">
      <c r="A5101" s="14" t="s">
        <v>524</v>
      </c>
      <c r="B5101" s="14" t="s">
        <v>94</v>
      </c>
      <c r="C5101" s="14" t="s">
        <v>357</v>
      </c>
      <c r="D5101" s="14" t="s">
        <v>358</v>
      </c>
      <c r="E5101" s="14" t="s">
        <v>344</v>
      </c>
      <c r="F5101" s="14" t="s">
        <v>343</v>
      </c>
      <c r="G5101" s="14" t="s">
        <v>343</v>
      </c>
      <c r="H5101" s="14" t="s">
        <v>343</v>
      </c>
      <c r="U5101" s="14">
        <v>1</v>
      </c>
      <c r="V5101" s="14">
        <v>109</v>
      </c>
      <c r="W5101" s="14">
        <v>112</v>
      </c>
      <c r="X5101" s="14">
        <v>105</v>
      </c>
    </row>
    <row r="5102" spans="1:24" hidden="1" x14ac:dyDescent="0.3">
      <c r="A5102" s="14" t="s">
        <v>524</v>
      </c>
      <c r="B5102" s="14" t="s">
        <v>94</v>
      </c>
      <c r="C5102" s="14" t="s">
        <v>359</v>
      </c>
      <c r="D5102" s="14" t="s">
        <v>360</v>
      </c>
      <c r="E5102" s="14" t="s">
        <v>342</v>
      </c>
      <c r="F5102" s="14" t="s">
        <v>343</v>
      </c>
      <c r="G5102" s="14" t="s">
        <v>343</v>
      </c>
      <c r="H5102" s="14" t="s">
        <v>343</v>
      </c>
      <c r="Q5102" s="14">
        <v>0.62</v>
      </c>
      <c r="R5102" s="14">
        <v>0.61</v>
      </c>
      <c r="S5102" s="14">
        <v>0.6</v>
      </c>
      <c r="T5102" s="14">
        <v>0.6</v>
      </c>
      <c r="V5102" s="14">
        <v>0.7</v>
      </c>
      <c r="W5102" s="14">
        <v>0.8</v>
      </c>
      <c r="X5102" s="14">
        <v>0.79</v>
      </c>
    </row>
    <row r="5103" spans="1:24" hidden="1" x14ac:dyDescent="0.3">
      <c r="A5103" s="14" t="s">
        <v>524</v>
      </c>
      <c r="B5103" s="14" t="s">
        <v>94</v>
      </c>
      <c r="C5103" s="14" t="s">
        <v>359</v>
      </c>
      <c r="D5103" s="14" t="s">
        <v>360</v>
      </c>
      <c r="E5103" s="14" t="s">
        <v>344</v>
      </c>
      <c r="F5103" s="14" t="s">
        <v>343</v>
      </c>
      <c r="G5103" s="14" t="s">
        <v>343</v>
      </c>
      <c r="H5103" s="14" t="s">
        <v>343</v>
      </c>
      <c r="Q5103" s="14">
        <v>99</v>
      </c>
      <c r="R5103" s="14">
        <v>107</v>
      </c>
      <c r="S5103" s="14">
        <v>109</v>
      </c>
      <c r="T5103" s="14">
        <v>112</v>
      </c>
      <c r="V5103" s="14">
        <v>59</v>
      </c>
      <c r="W5103" s="14">
        <v>17</v>
      </c>
      <c r="X5103" s="14">
        <v>19</v>
      </c>
    </row>
    <row r="5104" spans="1:24" x14ac:dyDescent="0.3">
      <c r="A5104" s="14" t="s">
        <v>524</v>
      </c>
      <c r="B5104" s="14" t="s">
        <v>94</v>
      </c>
      <c r="C5104" s="14" t="s">
        <v>361</v>
      </c>
      <c r="D5104" s="14" t="s">
        <v>362</v>
      </c>
      <c r="E5104" s="14" t="s">
        <v>342</v>
      </c>
      <c r="F5104" s="14" t="s">
        <v>343</v>
      </c>
      <c r="G5104" s="14" t="s">
        <v>343</v>
      </c>
      <c r="H5104" s="14" t="s">
        <v>343</v>
      </c>
      <c r="Q5104" s="14">
        <v>0.98</v>
      </c>
      <c r="R5104" s="14">
        <v>0.96</v>
      </c>
      <c r="S5104" s="14">
        <v>0.96</v>
      </c>
      <c r="T5104" s="14">
        <v>0.98</v>
      </c>
      <c r="V5104" s="14">
        <v>0.98</v>
      </c>
      <c r="W5104" s="14">
        <v>0.98</v>
      </c>
      <c r="X5104" s="14">
        <v>0.98</v>
      </c>
    </row>
    <row r="5105" spans="1:24" hidden="1" x14ac:dyDescent="0.3">
      <c r="A5105" s="14" t="s">
        <v>524</v>
      </c>
      <c r="B5105" s="14" t="s">
        <v>94</v>
      </c>
      <c r="C5105" s="14" t="s">
        <v>361</v>
      </c>
      <c r="D5105" s="14" t="s">
        <v>362</v>
      </c>
      <c r="E5105" s="14" t="s">
        <v>344</v>
      </c>
      <c r="F5105" s="14" t="s">
        <v>343</v>
      </c>
      <c r="G5105" s="14" t="s">
        <v>343</v>
      </c>
      <c r="H5105" s="14" t="s">
        <v>343</v>
      </c>
      <c r="Q5105" s="14">
        <v>1</v>
      </c>
      <c r="R5105" s="14">
        <v>133</v>
      </c>
      <c r="S5105" s="14">
        <v>132</v>
      </c>
      <c r="T5105" s="14">
        <v>1</v>
      </c>
      <c r="V5105" s="14">
        <v>1</v>
      </c>
      <c r="W5105" s="14">
        <v>1</v>
      </c>
      <c r="X5105" s="14">
        <v>1</v>
      </c>
    </row>
    <row r="5106" spans="1:24" hidden="1" x14ac:dyDescent="0.3">
      <c r="A5106" s="14" t="s">
        <v>524</v>
      </c>
      <c r="B5106" s="14" t="s">
        <v>94</v>
      </c>
      <c r="C5106" s="14" t="s">
        <v>363</v>
      </c>
      <c r="D5106" s="14" t="s">
        <v>364</v>
      </c>
      <c r="E5106" s="14" t="s">
        <v>342</v>
      </c>
      <c r="F5106" s="14" t="s">
        <v>343</v>
      </c>
      <c r="G5106" s="14" t="s">
        <v>343</v>
      </c>
      <c r="H5106" s="14" t="s">
        <v>343</v>
      </c>
      <c r="U5106" s="14">
        <v>1.06</v>
      </c>
      <c r="V5106" s="14">
        <v>1.06</v>
      </c>
      <c r="W5106" s="14">
        <v>1.06</v>
      </c>
      <c r="X5106" s="14">
        <v>1.06</v>
      </c>
    </row>
    <row r="5107" spans="1:24" hidden="1" x14ac:dyDescent="0.3">
      <c r="A5107" s="14" t="s">
        <v>524</v>
      </c>
      <c r="B5107" s="14" t="s">
        <v>94</v>
      </c>
      <c r="C5107" s="14" t="s">
        <v>363</v>
      </c>
      <c r="D5107" s="14" t="s">
        <v>364</v>
      </c>
      <c r="E5107" s="14" t="s">
        <v>344</v>
      </c>
      <c r="F5107" s="14" t="s">
        <v>343</v>
      </c>
      <c r="G5107" s="14" t="s">
        <v>343</v>
      </c>
      <c r="H5107" s="14" t="s">
        <v>343</v>
      </c>
      <c r="U5107" s="14">
        <v>1</v>
      </c>
      <c r="V5107" s="14">
        <v>1</v>
      </c>
      <c r="W5107" s="14">
        <v>1</v>
      </c>
      <c r="X5107" s="14">
        <v>1</v>
      </c>
    </row>
    <row r="5108" spans="1:24" hidden="1" x14ac:dyDescent="0.3">
      <c r="A5108" s="14" t="s">
        <v>524</v>
      </c>
      <c r="B5108" s="14" t="s">
        <v>94</v>
      </c>
      <c r="C5108" s="14" t="s">
        <v>365</v>
      </c>
      <c r="D5108" s="14" t="s">
        <v>366</v>
      </c>
      <c r="E5108" s="14" t="s">
        <v>342</v>
      </c>
      <c r="F5108" s="14" t="s">
        <v>343</v>
      </c>
      <c r="G5108" s="14" t="s">
        <v>343</v>
      </c>
      <c r="H5108" s="14" t="s">
        <v>343</v>
      </c>
      <c r="U5108" s="14">
        <v>0.94</v>
      </c>
      <c r="V5108" s="14">
        <v>0.94</v>
      </c>
      <c r="W5108" s="14">
        <v>0.94</v>
      </c>
      <c r="X5108" s="14">
        <v>0.94</v>
      </c>
    </row>
    <row r="5109" spans="1:24" hidden="1" x14ac:dyDescent="0.3">
      <c r="A5109" s="14" t="s">
        <v>524</v>
      </c>
      <c r="B5109" s="14" t="s">
        <v>94</v>
      </c>
      <c r="C5109" s="14" t="s">
        <v>365</v>
      </c>
      <c r="D5109" s="14" t="s">
        <v>366</v>
      </c>
      <c r="E5109" s="14" t="s">
        <v>344</v>
      </c>
      <c r="F5109" s="14" t="s">
        <v>343</v>
      </c>
      <c r="G5109" s="14" t="s">
        <v>343</v>
      </c>
      <c r="H5109" s="14" t="s">
        <v>343</v>
      </c>
      <c r="U5109" s="14">
        <v>1</v>
      </c>
      <c r="V5109" s="14">
        <v>1</v>
      </c>
      <c r="W5109" s="14">
        <v>1</v>
      </c>
      <c r="X5109" s="14">
        <v>1</v>
      </c>
    </row>
    <row r="5110" spans="1:24" hidden="1" x14ac:dyDescent="0.3">
      <c r="A5110" s="14" t="s">
        <v>524</v>
      </c>
      <c r="B5110" s="14" t="s">
        <v>94</v>
      </c>
      <c r="C5110" s="14" t="s">
        <v>367</v>
      </c>
      <c r="D5110" s="14" t="s">
        <v>368</v>
      </c>
      <c r="E5110" s="14" t="s">
        <v>342</v>
      </c>
      <c r="F5110" s="14" t="s">
        <v>343</v>
      </c>
      <c r="G5110" s="14" t="s">
        <v>343</v>
      </c>
      <c r="H5110" s="14" t="s">
        <v>343</v>
      </c>
      <c r="Q5110" s="14">
        <v>0.68</v>
      </c>
      <c r="R5110" s="14">
        <v>0.67</v>
      </c>
      <c r="S5110" s="14">
        <v>0.66</v>
      </c>
      <c r="T5110" s="14">
        <v>0.67</v>
      </c>
      <c r="V5110" s="14">
        <v>0.7</v>
      </c>
      <c r="X5110" s="14">
        <v>0.73</v>
      </c>
    </row>
    <row r="5111" spans="1:24" hidden="1" x14ac:dyDescent="0.3">
      <c r="A5111" s="14" t="s">
        <v>524</v>
      </c>
      <c r="B5111" s="14" t="s">
        <v>94</v>
      </c>
      <c r="C5111" s="14" t="s">
        <v>367</v>
      </c>
      <c r="D5111" s="14" t="s">
        <v>368</v>
      </c>
      <c r="E5111" s="14" t="s">
        <v>344</v>
      </c>
      <c r="F5111" s="14" t="s">
        <v>343</v>
      </c>
      <c r="G5111" s="14" t="s">
        <v>343</v>
      </c>
      <c r="H5111" s="14" t="s">
        <v>343</v>
      </c>
      <c r="Q5111" s="14">
        <v>92</v>
      </c>
      <c r="R5111" s="14">
        <v>102</v>
      </c>
      <c r="S5111" s="14">
        <v>107</v>
      </c>
      <c r="T5111" s="14">
        <v>105</v>
      </c>
      <c r="V5111" s="14">
        <v>83</v>
      </c>
      <c r="W5111" s="14">
        <v>52</v>
      </c>
      <c r="X5111" s="14">
        <v>58</v>
      </c>
    </row>
    <row r="5112" spans="1:24" hidden="1" x14ac:dyDescent="0.3">
      <c r="A5112" s="14" t="s">
        <v>524</v>
      </c>
      <c r="B5112" s="14" t="s">
        <v>94</v>
      </c>
      <c r="C5112" s="14" t="s">
        <v>369</v>
      </c>
      <c r="D5112" s="14" t="s">
        <v>370</v>
      </c>
      <c r="E5112" s="14" t="s">
        <v>342</v>
      </c>
      <c r="F5112" s="14" t="s">
        <v>343</v>
      </c>
      <c r="G5112" s="14" t="s">
        <v>343</v>
      </c>
      <c r="H5112" s="14" t="s">
        <v>343</v>
      </c>
      <c r="Q5112" s="14">
        <v>0.11</v>
      </c>
      <c r="R5112" s="14">
        <v>0.11</v>
      </c>
      <c r="S5112" s="14">
        <v>0.11</v>
      </c>
      <c r="T5112" s="14">
        <v>0.11</v>
      </c>
      <c r="V5112" s="14">
        <v>0.14000000000000001</v>
      </c>
      <c r="W5112" s="14">
        <v>0.15</v>
      </c>
      <c r="X5112" s="14">
        <v>0.16</v>
      </c>
    </row>
    <row r="5113" spans="1:24" hidden="1" x14ac:dyDescent="0.3">
      <c r="A5113" s="14" t="s">
        <v>524</v>
      </c>
      <c r="B5113" s="14" t="s">
        <v>94</v>
      </c>
      <c r="C5113" s="14" t="s">
        <v>369</v>
      </c>
      <c r="D5113" s="14" t="s">
        <v>370</v>
      </c>
      <c r="E5113" s="14" t="s">
        <v>344</v>
      </c>
      <c r="F5113" s="14" t="s">
        <v>343</v>
      </c>
      <c r="G5113" s="14" t="s">
        <v>343</v>
      </c>
      <c r="H5113" s="14" t="s">
        <v>343</v>
      </c>
      <c r="Q5113" s="14">
        <v>99</v>
      </c>
      <c r="R5113" s="14">
        <v>100</v>
      </c>
      <c r="S5113" s="14">
        <v>100</v>
      </c>
      <c r="T5113" s="14">
        <v>102</v>
      </c>
      <c r="V5113" s="14">
        <v>101</v>
      </c>
      <c r="W5113" s="14">
        <v>102</v>
      </c>
      <c r="X5113" s="14">
        <v>94</v>
      </c>
    </row>
    <row r="5114" spans="1:24" hidden="1" x14ac:dyDescent="0.3">
      <c r="A5114" s="14" t="s">
        <v>524</v>
      </c>
      <c r="B5114" s="14" t="s">
        <v>94</v>
      </c>
      <c r="C5114" s="14" t="s">
        <v>371</v>
      </c>
      <c r="D5114" s="14" t="s">
        <v>372</v>
      </c>
      <c r="E5114" s="14" t="s">
        <v>342</v>
      </c>
      <c r="F5114" s="14" t="s">
        <v>343</v>
      </c>
      <c r="G5114" s="14" t="s">
        <v>343</v>
      </c>
      <c r="H5114" s="14" t="s">
        <v>343</v>
      </c>
      <c r="U5114" s="14">
        <v>0</v>
      </c>
      <c r="V5114" s="14">
        <v>0</v>
      </c>
      <c r="W5114" s="14">
        <v>0</v>
      </c>
      <c r="X5114" s="14">
        <v>0</v>
      </c>
    </row>
    <row r="5115" spans="1:24" hidden="1" x14ac:dyDescent="0.3">
      <c r="A5115" s="14" t="s">
        <v>524</v>
      </c>
      <c r="B5115" s="14" t="s">
        <v>94</v>
      </c>
      <c r="C5115" s="14" t="s">
        <v>371</v>
      </c>
      <c r="D5115" s="14" t="s">
        <v>372</v>
      </c>
      <c r="E5115" s="14" t="s">
        <v>344</v>
      </c>
      <c r="F5115" s="14" t="s">
        <v>343</v>
      </c>
      <c r="G5115" s="14" t="s">
        <v>343</v>
      </c>
      <c r="H5115" s="14" t="s">
        <v>343</v>
      </c>
      <c r="U5115" s="14">
        <v>71</v>
      </c>
      <c r="V5115" s="14">
        <v>73</v>
      </c>
      <c r="W5115" s="14">
        <v>76</v>
      </c>
      <c r="X5115" s="14">
        <v>78</v>
      </c>
    </row>
    <row r="5116" spans="1:24" hidden="1" x14ac:dyDescent="0.3">
      <c r="A5116" s="14" t="s">
        <v>524</v>
      </c>
      <c r="B5116" s="14" t="s">
        <v>94</v>
      </c>
      <c r="C5116" s="14" t="s">
        <v>373</v>
      </c>
      <c r="D5116" s="14" t="s">
        <v>374</v>
      </c>
      <c r="E5116" s="14" t="s">
        <v>342</v>
      </c>
      <c r="F5116" s="14" t="s">
        <v>343</v>
      </c>
      <c r="G5116" s="14" t="s">
        <v>343</v>
      </c>
      <c r="H5116" s="14" t="s">
        <v>343</v>
      </c>
      <c r="U5116" s="14">
        <v>0.36</v>
      </c>
      <c r="V5116" s="14">
        <v>0.46</v>
      </c>
      <c r="W5116" s="14">
        <v>0.46</v>
      </c>
      <c r="X5116" s="14">
        <v>0.46</v>
      </c>
    </row>
    <row r="5117" spans="1:24" hidden="1" x14ac:dyDescent="0.3">
      <c r="A5117" s="14" t="s">
        <v>524</v>
      </c>
      <c r="B5117" s="14" t="s">
        <v>94</v>
      </c>
      <c r="C5117" s="14" t="s">
        <v>373</v>
      </c>
      <c r="D5117" s="14" t="s">
        <v>374</v>
      </c>
      <c r="E5117" s="14" t="s">
        <v>344</v>
      </c>
      <c r="F5117" s="14" t="s">
        <v>343</v>
      </c>
      <c r="G5117" s="14" t="s">
        <v>343</v>
      </c>
      <c r="H5117" s="14" t="s">
        <v>343</v>
      </c>
      <c r="U5117" s="14">
        <v>35</v>
      </c>
      <c r="V5117" s="14">
        <v>33</v>
      </c>
      <c r="W5117" s="14">
        <v>43</v>
      </c>
      <c r="X5117" s="14">
        <v>42</v>
      </c>
    </row>
    <row r="5118" spans="1:24" hidden="1" x14ac:dyDescent="0.3">
      <c r="A5118" s="14" t="s">
        <v>524</v>
      </c>
      <c r="B5118" s="14" t="s">
        <v>94</v>
      </c>
      <c r="C5118" s="14" t="s">
        <v>375</v>
      </c>
      <c r="D5118" s="14" t="s">
        <v>376</v>
      </c>
      <c r="E5118" s="14" t="s">
        <v>342</v>
      </c>
      <c r="F5118" s="14" t="s">
        <v>343</v>
      </c>
      <c r="G5118" s="14" t="s">
        <v>343</v>
      </c>
      <c r="H5118" s="14" t="s">
        <v>343</v>
      </c>
      <c r="U5118" s="14">
        <v>0.08</v>
      </c>
      <c r="V5118" s="14">
        <v>0.08</v>
      </c>
      <c r="W5118" s="14">
        <v>0.11</v>
      </c>
      <c r="X5118" s="14">
        <v>0.14000000000000001</v>
      </c>
    </row>
    <row r="5119" spans="1:24" hidden="1" x14ac:dyDescent="0.3">
      <c r="A5119" s="14" t="s">
        <v>524</v>
      </c>
      <c r="B5119" s="14" t="s">
        <v>94</v>
      </c>
      <c r="C5119" s="14" t="s">
        <v>375</v>
      </c>
      <c r="D5119" s="14" t="s">
        <v>376</v>
      </c>
      <c r="E5119" s="14" t="s">
        <v>344</v>
      </c>
      <c r="F5119" s="14" t="s">
        <v>343</v>
      </c>
      <c r="G5119" s="14" t="s">
        <v>343</v>
      </c>
      <c r="H5119" s="14" t="s">
        <v>343</v>
      </c>
      <c r="U5119" s="14">
        <v>139</v>
      </c>
      <c r="V5119" s="14">
        <v>142</v>
      </c>
      <c r="W5119" s="14">
        <v>142</v>
      </c>
      <c r="X5119" s="14">
        <v>129</v>
      </c>
    </row>
    <row r="5120" spans="1:24" hidden="1" x14ac:dyDescent="0.3">
      <c r="A5120" s="14" t="s">
        <v>525</v>
      </c>
      <c r="B5120" s="14" t="s">
        <v>231</v>
      </c>
      <c r="C5120" s="14" t="s">
        <v>340</v>
      </c>
      <c r="D5120" s="14" t="s">
        <v>341</v>
      </c>
      <c r="E5120" s="14" t="s">
        <v>342</v>
      </c>
      <c r="F5120" s="14" t="s">
        <v>343</v>
      </c>
      <c r="G5120" s="14" t="s">
        <v>343</v>
      </c>
      <c r="H5120" s="14" t="s">
        <v>343</v>
      </c>
      <c r="J5120" s="14">
        <v>0.93</v>
      </c>
      <c r="K5120" s="14">
        <v>0.93</v>
      </c>
      <c r="L5120" s="14">
        <v>0.93</v>
      </c>
      <c r="M5120" s="14">
        <v>0.94</v>
      </c>
      <c r="N5120" s="14">
        <v>0.91</v>
      </c>
      <c r="O5120" s="14">
        <v>0.93</v>
      </c>
      <c r="P5120" s="14">
        <v>0.97</v>
      </c>
      <c r="Q5120" s="14">
        <v>0.97</v>
      </c>
      <c r="R5120" s="14">
        <v>0.96</v>
      </c>
      <c r="S5120" s="14">
        <v>0.96</v>
      </c>
      <c r="T5120" s="14">
        <v>0.96</v>
      </c>
      <c r="U5120" s="14">
        <v>0.96</v>
      </c>
      <c r="V5120" s="14">
        <v>0.95</v>
      </c>
      <c r="W5120" s="14">
        <v>0.95</v>
      </c>
    </row>
    <row r="5121" spans="1:23" hidden="1" x14ac:dyDescent="0.3">
      <c r="A5121" s="14" t="s">
        <v>525</v>
      </c>
      <c r="B5121" s="14" t="s">
        <v>231</v>
      </c>
      <c r="C5121" s="14" t="s">
        <v>340</v>
      </c>
      <c r="D5121" s="14" t="s">
        <v>341</v>
      </c>
      <c r="E5121" s="14" t="s">
        <v>344</v>
      </c>
      <c r="F5121" s="14" t="s">
        <v>343</v>
      </c>
      <c r="G5121" s="14" t="s">
        <v>343</v>
      </c>
      <c r="H5121" s="14" t="s">
        <v>343</v>
      </c>
      <c r="J5121" s="14">
        <v>99</v>
      </c>
      <c r="K5121" s="14">
        <v>101</v>
      </c>
      <c r="L5121" s="14">
        <v>104</v>
      </c>
      <c r="M5121" s="14">
        <v>104</v>
      </c>
      <c r="N5121" s="14">
        <v>109</v>
      </c>
      <c r="O5121" s="14">
        <v>107</v>
      </c>
      <c r="P5121" s="14">
        <v>96</v>
      </c>
      <c r="Q5121" s="14">
        <v>101</v>
      </c>
      <c r="R5121" s="14">
        <v>103</v>
      </c>
      <c r="S5121" s="14">
        <v>103</v>
      </c>
      <c r="T5121" s="14">
        <v>110</v>
      </c>
      <c r="U5121" s="14">
        <v>113</v>
      </c>
      <c r="V5121" s="14">
        <v>117</v>
      </c>
      <c r="W5121" s="14">
        <v>118</v>
      </c>
    </row>
    <row r="5122" spans="1:23" hidden="1" x14ac:dyDescent="0.3">
      <c r="A5122" s="14" t="s">
        <v>525</v>
      </c>
      <c r="B5122" s="14" t="s">
        <v>231</v>
      </c>
      <c r="C5122" s="14" t="s">
        <v>345</v>
      </c>
      <c r="D5122" s="14" t="s">
        <v>346</v>
      </c>
      <c r="E5122" s="14" t="s">
        <v>342</v>
      </c>
      <c r="F5122" s="14" t="s">
        <v>343</v>
      </c>
      <c r="G5122" s="14" t="s">
        <v>343</v>
      </c>
      <c r="H5122" s="14" t="s">
        <v>343</v>
      </c>
      <c r="V5122" s="14">
        <v>0.2</v>
      </c>
    </row>
    <row r="5123" spans="1:23" hidden="1" x14ac:dyDescent="0.3">
      <c r="A5123" s="14" t="s">
        <v>525</v>
      </c>
      <c r="B5123" s="14" t="s">
        <v>231</v>
      </c>
      <c r="C5123" s="14" t="s">
        <v>345</v>
      </c>
      <c r="D5123" s="14" t="s">
        <v>346</v>
      </c>
      <c r="E5123" s="14" t="s">
        <v>344</v>
      </c>
      <c r="F5123" s="14" t="s">
        <v>343</v>
      </c>
      <c r="G5123" s="14" t="s">
        <v>343</v>
      </c>
      <c r="H5123" s="14" t="s">
        <v>343</v>
      </c>
      <c r="V5123" s="14">
        <v>147</v>
      </c>
    </row>
    <row r="5124" spans="1:23" hidden="1" x14ac:dyDescent="0.3">
      <c r="A5124" s="14" t="s">
        <v>525</v>
      </c>
      <c r="B5124" s="14" t="s">
        <v>231</v>
      </c>
      <c r="C5124" s="14" t="s">
        <v>347</v>
      </c>
      <c r="D5124" s="14" t="s">
        <v>348</v>
      </c>
      <c r="E5124" s="14" t="s">
        <v>342</v>
      </c>
      <c r="F5124" s="14" t="s">
        <v>343</v>
      </c>
      <c r="G5124" s="14" t="s">
        <v>343</v>
      </c>
      <c r="H5124" s="14" t="s">
        <v>343</v>
      </c>
      <c r="U5124" s="14">
        <v>0.17</v>
      </c>
      <c r="V5124" s="14">
        <v>0.18</v>
      </c>
      <c r="W5124" s="14">
        <v>0.2</v>
      </c>
    </row>
    <row r="5125" spans="1:23" hidden="1" x14ac:dyDescent="0.3">
      <c r="A5125" s="14" t="s">
        <v>525</v>
      </c>
      <c r="B5125" s="14" t="s">
        <v>231</v>
      </c>
      <c r="C5125" s="14" t="s">
        <v>347</v>
      </c>
      <c r="D5125" s="14" t="s">
        <v>348</v>
      </c>
      <c r="E5125" s="14" t="s">
        <v>344</v>
      </c>
      <c r="F5125" s="14" t="s">
        <v>343</v>
      </c>
      <c r="G5125" s="14" t="s">
        <v>343</v>
      </c>
      <c r="H5125" s="14" t="s">
        <v>343</v>
      </c>
      <c r="U5125" s="14">
        <v>148</v>
      </c>
      <c r="V5125" s="14">
        <v>151</v>
      </c>
      <c r="W5125" s="14">
        <v>154</v>
      </c>
    </row>
    <row r="5126" spans="1:23" hidden="1" x14ac:dyDescent="0.3">
      <c r="A5126" s="14" t="s">
        <v>525</v>
      </c>
      <c r="B5126" s="14" t="s">
        <v>231</v>
      </c>
      <c r="C5126" s="14" t="s">
        <v>349</v>
      </c>
      <c r="D5126" s="14" t="s">
        <v>350</v>
      </c>
      <c r="E5126" s="14" t="s">
        <v>342</v>
      </c>
      <c r="F5126" s="14" t="s">
        <v>343</v>
      </c>
      <c r="G5126" s="14" t="s">
        <v>343</v>
      </c>
      <c r="H5126" s="14" t="s">
        <v>343</v>
      </c>
      <c r="U5126" s="14">
        <v>0.1</v>
      </c>
      <c r="V5126" s="14">
        <v>0.1</v>
      </c>
      <c r="W5126" s="14">
        <v>0.1</v>
      </c>
    </row>
    <row r="5127" spans="1:23" hidden="1" x14ac:dyDescent="0.3">
      <c r="A5127" s="14" t="s">
        <v>525</v>
      </c>
      <c r="B5127" s="14" t="s">
        <v>231</v>
      </c>
      <c r="C5127" s="14" t="s">
        <v>349</v>
      </c>
      <c r="D5127" s="14" t="s">
        <v>350</v>
      </c>
      <c r="E5127" s="14" t="s">
        <v>344</v>
      </c>
      <c r="F5127" s="14" t="s">
        <v>343</v>
      </c>
      <c r="G5127" s="14" t="s">
        <v>343</v>
      </c>
      <c r="H5127" s="14" t="s">
        <v>343</v>
      </c>
      <c r="U5127" s="14">
        <v>136</v>
      </c>
      <c r="V5127" s="14">
        <v>143</v>
      </c>
      <c r="W5127" s="14">
        <v>146</v>
      </c>
    </row>
    <row r="5128" spans="1:23" hidden="1" x14ac:dyDescent="0.3">
      <c r="A5128" s="14" t="s">
        <v>525</v>
      </c>
      <c r="B5128" s="14" t="s">
        <v>231</v>
      </c>
      <c r="C5128" s="14" t="s">
        <v>351</v>
      </c>
      <c r="D5128" s="14" t="s">
        <v>352</v>
      </c>
      <c r="E5128" s="14" t="s">
        <v>342</v>
      </c>
      <c r="F5128" s="14" t="s">
        <v>343</v>
      </c>
      <c r="G5128" s="14" t="s">
        <v>343</v>
      </c>
      <c r="H5128" s="14" t="s">
        <v>343</v>
      </c>
      <c r="U5128" s="14">
        <v>0.65</v>
      </c>
      <c r="V5128" s="14">
        <v>0.65</v>
      </c>
      <c r="W5128" s="14">
        <v>0.65</v>
      </c>
    </row>
    <row r="5129" spans="1:23" hidden="1" x14ac:dyDescent="0.3">
      <c r="A5129" s="14" t="s">
        <v>525</v>
      </c>
      <c r="B5129" s="14" t="s">
        <v>231</v>
      </c>
      <c r="C5129" s="14" t="s">
        <v>351</v>
      </c>
      <c r="D5129" s="14" t="s">
        <v>352</v>
      </c>
      <c r="E5129" s="14" t="s">
        <v>344</v>
      </c>
      <c r="F5129" s="14" t="s">
        <v>343</v>
      </c>
      <c r="G5129" s="14" t="s">
        <v>343</v>
      </c>
      <c r="H5129" s="14" t="s">
        <v>343</v>
      </c>
      <c r="U5129" s="14">
        <v>110</v>
      </c>
      <c r="V5129" s="14">
        <v>114</v>
      </c>
      <c r="W5129" s="14">
        <v>112</v>
      </c>
    </row>
    <row r="5130" spans="1:23" hidden="1" x14ac:dyDescent="0.3">
      <c r="A5130" s="14" t="s">
        <v>525</v>
      </c>
      <c r="B5130" s="14" t="s">
        <v>231</v>
      </c>
      <c r="C5130" s="14" t="s">
        <v>353</v>
      </c>
      <c r="D5130" s="14" t="s">
        <v>354</v>
      </c>
      <c r="E5130" s="14" t="s">
        <v>342</v>
      </c>
      <c r="F5130" s="14" t="s">
        <v>343</v>
      </c>
      <c r="G5130" s="14" t="s">
        <v>343</v>
      </c>
      <c r="H5130" s="14" t="s">
        <v>343</v>
      </c>
      <c r="U5130" s="14">
        <v>0.84</v>
      </c>
      <c r="V5130" s="14">
        <v>0.84</v>
      </c>
      <c r="W5130" s="14">
        <v>0.84</v>
      </c>
    </row>
    <row r="5131" spans="1:23" hidden="1" x14ac:dyDescent="0.3">
      <c r="A5131" s="14" t="s">
        <v>525</v>
      </c>
      <c r="B5131" s="14" t="s">
        <v>231</v>
      </c>
      <c r="C5131" s="14" t="s">
        <v>353</v>
      </c>
      <c r="D5131" s="14" t="s">
        <v>354</v>
      </c>
      <c r="E5131" s="14" t="s">
        <v>344</v>
      </c>
      <c r="F5131" s="14" t="s">
        <v>343</v>
      </c>
      <c r="G5131" s="14" t="s">
        <v>343</v>
      </c>
      <c r="H5131" s="14" t="s">
        <v>343</v>
      </c>
      <c r="U5131" s="14">
        <v>113</v>
      </c>
      <c r="V5131" s="14">
        <v>125</v>
      </c>
      <c r="W5131" s="14">
        <v>127</v>
      </c>
    </row>
    <row r="5132" spans="1:23" hidden="1" x14ac:dyDescent="0.3">
      <c r="A5132" s="14" t="s">
        <v>525</v>
      </c>
      <c r="B5132" s="14" t="s">
        <v>231</v>
      </c>
      <c r="C5132" s="14" t="s">
        <v>380</v>
      </c>
      <c r="D5132" s="14" t="s">
        <v>381</v>
      </c>
      <c r="E5132" s="14" t="s">
        <v>342</v>
      </c>
      <c r="F5132" s="14" t="s">
        <v>343</v>
      </c>
      <c r="G5132" s="14" t="s">
        <v>343</v>
      </c>
      <c r="H5132" s="14" t="s">
        <v>343</v>
      </c>
      <c r="U5132" s="14">
        <v>0.97</v>
      </c>
      <c r="V5132" s="14">
        <v>0.97</v>
      </c>
      <c r="W5132" s="14">
        <v>0.97</v>
      </c>
    </row>
    <row r="5133" spans="1:23" hidden="1" x14ac:dyDescent="0.3">
      <c r="A5133" s="14" t="s">
        <v>525</v>
      </c>
      <c r="B5133" s="14" t="s">
        <v>231</v>
      </c>
      <c r="C5133" s="14" t="s">
        <v>380</v>
      </c>
      <c r="D5133" s="14" t="s">
        <v>381</v>
      </c>
      <c r="E5133" s="14" t="s">
        <v>344</v>
      </c>
      <c r="F5133" s="14" t="s">
        <v>343</v>
      </c>
      <c r="G5133" s="14" t="s">
        <v>343</v>
      </c>
      <c r="H5133" s="14" t="s">
        <v>343</v>
      </c>
      <c r="U5133" s="14">
        <v>119</v>
      </c>
      <c r="V5133" s="14">
        <v>129</v>
      </c>
      <c r="W5133" s="14">
        <v>129</v>
      </c>
    </row>
    <row r="5134" spans="1:23" hidden="1" x14ac:dyDescent="0.3">
      <c r="A5134" s="14" t="s">
        <v>525</v>
      </c>
      <c r="B5134" s="14" t="s">
        <v>231</v>
      </c>
      <c r="C5134" s="14" t="s">
        <v>355</v>
      </c>
      <c r="D5134" s="14" t="s">
        <v>356</v>
      </c>
      <c r="E5134" s="14" t="s">
        <v>342</v>
      </c>
      <c r="F5134" s="14" t="s">
        <v>343</v>
      </c>
      <c r="G5134" s="14" t="s">
        <v>343</v>
      </c>
      <c r="H5134" s="14" t="s">
        <v>343</v>
      </c>
      <c r="U5134" s="14">
        <v>0.99</v>
      </c>
      <c r="V5134" s="14">
        <v>0.98</v>
      </c>
      <c r="W5134" s="14">
        <v>0.98</v>
      </c>
    </row>
    <row r="5135" spans="1:23" hidden="1" x14ac:dyDescent="0.3">
      <c r="A5135" s="14" t="s">
        <v>525</v>
      </c>
      <c r="B5135" s="14" t="s">
        <v>231</v>
      </c>
      <c r="C5135" s="14" t="s">
        <v>355</v>
      </c>
      <c r="D5135" s="14" t="s">
        <v>356</v>
      </c>
      <c r="E5135" s="14" t="s">
        <v>344</v>
      </c>
      <c r="F5135" s="14" t="s">
        <v>343</v>
      </c>
      <c r="G5135" s="14" t="s">
        <v>343</v>
      </c>
      <c r="H5135" s="14" t="s">
        <v>343</v>
      </c>
      <c r="U5135" s="14">
        <v>112</v>
      </c>
      <c r="V5135" s="14">
        <v>113</v>
      </c>
      <c r="W5135" s="14">
        <v>115</v>
      </c>
    </row>
    <row r="5136" spans="1:23" hidden="1" x14ac:dyDescent="0.3">
      <c r="A5136" s="14" t="s">
        <v>525</v>
      </c>
      <c r="B5136" s="14" t="s">
        <v>231</v>
      </c>
      <c r="C5136" s="14" t="s">
        <v>357</v>
      </c>
      <c r="D5136" s="14" t="s">
        <v>358</v>
      </c>
      <c r="E5136" s="14" t="s">
        <v>342</v>
      </c>
      <c r="F5136" s="14" t="s">
        <v>343</v>
      </c>
      <c r="G5136" s="14" t="s">
        <v>343</v>
      </c>
      <c r="H5136" s="14" t="s">
        <v>343</v>
      </c>
      <c r="U5136" s="14">
        <v>1</v>
      </c>
      <c r="V5136" s="14">
        <v>1</v>
      </c>
      <c r="W5136" s="14">
        <v>1</v>
      </c>
    </row>
    <row r="5137" spans="1:23" hidden="1" x14ac:dyDescent="0.3">
      <c r="A5137" s="14" t="s">
        <v>525</v>
      </c>
      <c r="B5137" s="14" t="s">
        <v>231</v>
      </c>
      <c r="C5137" s="14" t="s">
        <v>357</v>
      </c>
      <c r="D5137" s="14" t="s">
        <v>358</v>
      </c>
      <c r="E5137" s="14" t="s">
        <v>344</v>
      </c>
      <c r="F5137" s="14" t="s">
        <v>343</v>
      </c>
      <c r="G5137" s="14" t="s">
        <v>343</v>
      </c>
      <c r="H5137" s="14" t="s">
        <v>343</v>
      </c>
      <c r="U5137" s="14">
        <v>1</v>
      </c>
      <c r="V5137" s="14">
        <v>1</v>
      </c>
      <c r="W5137" s="14">
        <v>1</v>
      </c>
    </row>
    <row r="5138" spans="1:23" hidden="1" x14ac:dyDescent="0.3">
      <c r="A5138" s="14" t="s">
        <v>525</v>
      </c>
      <c r="B5138" s="14" t="s">
        <v>231</v>
      </c>
      <c r="C5138" s="14" t="s">
        <v>359</v>
      </c>
      <c r="D5138" s="14" t="s">
        <v>360</v>
      </c>
      <c r="E5138" s="14" t="s">
        <v>342</v>
      </c>
      <c r="F5138" s="14" t="s">
        <v>343</v>
      </c>
      <c r="G5138" s="14" t="s">
        <v>343</v>
      </c>
      <c r="H5138" s="14" t="s">
        <v>343</v>
      </c>
      <c r="J5138" s="14">
        <v>0.52</v>
      </c>
      <c r="K5138" s="14">
        <v>0.51</v>
      </c>
      <c r="L5138" s="14">
        <v>0.46</v>
      </c>
      <c r="M5138" s="14">
        <v>0.4</v>
      </c>
      <c r="N5138" s="14">
        <v>0.41</v>
      </c>
      <c r="O5138" s="14">
        <v>0.27</v>
      </c>
      <c r="P5138" s="14">
        <v>0.25</v>
      </c>
      <c r="Q5138" s="14">
        <v>0.3</v>
      </c>
      <c r="R5138" s="14">
        <v>0.28000000000000003</v>
      </c>
      <c r="S5138" s="14">
        <v>0.27</v>
      </c>
      <c r="T5138" s="14">
        <v>0.27</v>
      </c>
      <c r="U5138" s="14">
        <v>0.27</v>
      </c>
      <c r="V5138" s="14">
        <v>0.25</v>
      </c>
      <c r="W5138" s="14">
        <v>0.28000000000000003</v>
      </c>
    </row>
    <row r="5139" spans="1:23" hidden="1" x14ac:dyDescent="0.3">
      <c r="A5139" s="14" t="s">
        <v>525</v>
      </c>
      <c r="B5139" s="14" t="s">
        <v>231</v>
      </c>
      <c r="C5139" s="14" t="s">
        <v>359</v>
      </c>
      <c r="D5139" s="14" t="s">
        <v>360</v>
      </c>
      <c r="E5139" s="14" t="s">
        <v>344</v>
      </c>
      <c r="F5139" s="14" t="s">
        <v>343</v>
      </c>
      <c r="G5139" s="14" t="s">
        <v>343</v>
      </c>
      <c r="H5139" s="14" t="s">
        <v>343</v>
      </c>
      <c r="J5139" s="14">
        <v>104</v>
      </c>
      <c r="K5139" s="14">
        <v>107</v>
      </c>
      <c r="L5139" s="14">
        <v>120</v>
      </c>
      <c r="M5139" s="14">
        <v>130</v>
      </c>
      <c r="N5139" s="14">
        <v>129</v>
      </c>
      <c r="O5139" s="14">
        <v>135</v>
      </c>
      <c r="P5139" s="14">
        <v>136</v>
      </c>
      <c r="Q5139" s="14">
        <v>142</v>
      </c>
      <c r="R5139" s="14">
        <v>144</v>
      </c>
      <c r="S5139" s="14">
        <v>144</v>
      </c>
      <c r="T5139" s="14">
        <v>144</v>
      </c>
      <c r="U5139" s="14">
        <v>148</v>
      </c>
      <c r="V5139" s="14">
        <v>152</v>
      </c>
      <c r="W5139" s="14">
        <v>153</v>
      </c>
    </row>
    <row r="5140" spans="1:23" x14ac:dyDescent="0.3">
      <c r="A5140" s="14" t="s">
        <v>525</v>
      </c>
      <c r="B5140" s="14" t="s">
        <v>231</v>
      </c>
      <c r="C5140" s="14" t="s">
        <v>361</v>
      </c>
      <c r="D5140" s="14" t="s">
        <v>362</v>
      </c>
      <c r="E5140" s="14" t="s">
        <v>342</v>
      </c>
      <c r="F5140" s="14" t="s">
        <v>343</v>
      </c>
      <c r="G5140" s="14" t="s">
        <v>343</v>
      </c>
      <c r="H5140" s="14" t="s">
        <v>343</v>
      </c>
      <c r="J5140" s="14">
        <v>0.98</v>
      </c>
      <c r="K5140" s="14">
        <v>0.98</v>
      </c>
      <c r="L5140" s="14">
        <v>0.98</v>
      </c>
      <c r="M5140" s="14">
        <v>0.98</v>
      </c>
      <c r="N5140" s="14">
        <v>0.98</v>
      </c>
      <c r="O5140" s="14">
        <v>0.98</v>
      </c>
      <c r="P5140" s="14">
        <v>0.98</v>
      </c>
      <c r="Q5140" s="14">
        <v>0.98</v>
      </c>
      <c r="R5140" s="14">
        <v>0.97</v>
      </c>
      <c r="S5140" s="14">
        <v>0.97</v>
      </c>
      <c r="T5140" s="14">
        <v>0.98</v>
      </c>
      <c r="U5140" s="14">
        <v>0.98</v>
      </c>
      <c r="V5140" s="14">
        <v>0.98</v>
      </c>
      <c r="W5140" s="14">
        <v>0.96</v>
      </c>
    </row>
    <row r="5141" spans="1:23" hidden="1" x14ac:dyDescent="0.3">
      <c r="A5141" s="14" t="s">
        <v>525</v>
      </c>
      <c r="B5141" s="14" t="s">
        <v>231</v>
      </c>
      <c r="C5141" s="14" t="s">
        <v>361</v>
      </c>
      <c r="D5141" s="14" t="s">
        <v>362</v>
      </c>
      <c r="E5141" s="14" t="s">
        <v>344</v>
      </c>
      <c r="F5141" s="14" t="s">
        <v>343</v>
      </c>
      <c r="G5141" s="14" t="s">
        <v>343</v>
      </c>
      <c r="H5141" s="14" t="s">
        <v>343</v>
      </c>
      <c r="J5141" s="14">
        <v>63</v>
      </c>
      <c r="K5141" s="14">
        <v>65</v>
      </c>
      <c r="L5141" s="14">
        <v>68</v>
      </c>
      <c r="M5141" s="14">
        <v>60</v>
      </c>
      <c r="N5141" s="14">
        <v>61</v>
      </c>
      <c r="O5141" s="14">
        <v>61</v>
      </c>
      <c r="P5141" s="14">
        <v>58</v>
      </c>
      <c r="Q5141" s="14">
        <v>37</v>
      </c>
      <c r="R5141" s="14">
        <v>102</v>
      </c>
      <c r="S5141" s="14">
        <v>101</v>
      </c>
      <c r="T5141" s="14">
        <v>1</v>
      </c>
      <c r="U5141" s="14">
        <v>1</v>
      </c>
      <c r="V5141" s="14">
        <v>1</v>
      </c>
      <c r="W5141" s="14">
        <v>115</v>
      </c>
    </row>
    <row r="5142" spans="1:23" hidden="1" x14ac:dyDescent="0.3">
      <c r="A5142" s="14" t="s">
        <v>525</v>
      </c>
      <c r="B5142" s="14" t="s">
        <v>231</v>
      </c>
      <c r="C5142" s="14" t="s">
        <v>363</v>
      </c>
      <c r="D5142" s="14" t="s">
        <v>364</v>
      </c>
      <c r="E5142" s="14" t="s">
        <v>342</v>
      </c>
      <c r="F5142" s="14" t="s">
        <v>343</v>
      </c>
      <c r="G5142" s="14" t="s">
        <v>343</v>
      </c>
      <c r="H5142" s="14" t="s">
        <v>343</v>
      </c>
      <c r="U5142" s="14">
        <v>1.06</v>
      </c>
      <c r="V5142" s="14">
        <v>1.06</v>
      </c>
      <c r="W5142" s="14">
        <v>1.01</v>
      </c>
    </row>
    <row r="5143" spans="1:23" hidden="1" x14ac:dyDescent="0.3">
      <c r="A5143" s="14" t="s">
        <v>525</v>
      </c>
      <c r="B5143" s="14" t="s">
        <v>231</v>
      </c>
      <c r="C5143" s="14" t="s">
        <v>363</v>
      </c>
      <c r="D5143" s="14" t="s">
        <v>364</v>
      </c>
      <c r="E5143" s="14" t="s">
        <v>344</v>
      </c>
      <c r="F5143" s="14" t="s">
        <v>343</v>
      </c>
      <c r="G5143" s="14" t="s">
        <v>343</v>
      </c>
      <c r="H5143" s="14" t="s">
        <v>343</v>
      </c>
      <c r="U5143" s="14">
        <v>1</v>
      </c>
      <c r="V5143" s="14">
        <v>1</v>
      </c>
      <c r="W5143" s="14">
        <v>125</v>
      </c>
    </row>
    <row r="5144" spans="1:23" hidden="1" x14ac:dyDescent="0.3">
      <c r="A5144" s="14" t="s">
        <v>525</v>
      </c>
      <c r="B5144" s="14" t="s">
        <v>231</v>
      </c>
      <c r="C5144" s="14" t="s">
        <v>365</v>
      </c>
      <c r="D5144" s="14" t="s">
        <v>366</v>
      </c>
      <c r="E5144" s="14" t="s">
        <v>342</v>
      </c>
      <c r="F5144" s="14" t="s">
        <v>343</v>
      </c>
      <c r="G5144" s="14" t="s">
        <v>343</v>
      </c>
      <c r="H5144" s="14" t="s">
        <v>343</v>
      </c>
      <c r="U5144" s="14">
        <v>0.94</v>
      </c>
      <c r="V5144" s="14">
        <v>0.94</v>
      </c>
      <c r="W5144" s="14">
        <v>0.94</v>
      </c>
    </row>
    <row r="5145" spans="1:23" hidden="1" x14ac:dyDescent="0.3">
      <c r="A5145" s="14" t="s">
        <v>525</v>
      </c>
      <c r="B5145" s="14" t="s">
        <v>231</v>
      </c>
      <c r="C5145" s="14" t="s">
        <v>365</v>
      </c>
      <c r="D5145" s="14" t="s">
        <v>366</v>
      </c>
      <c r="E5145" s="14" t="s">
        <v>344</v>
      </c>
      <c r="F5145" s="14" t="s">
        <v>343</v>
      </c>
      <c r="G5145" s="14" t="s">
        <v>343</v>
      </c>
      <c r="H5145" s="14" t="s">
        <v>343</v>
      </c>
      <c r="U5145" s="14">
        <v>1</v>
      </c>
      <c r="V5145" s="14">
        <v>1</v>
      </c>
      <c r="W5145" s="14">
        <v>1</v>
      </c>
    </row>
    <row r="5146" spans="1:23" hidden="1" x14ac:dyDescent="0.3">
      <c r="A5146" s="14" t="s">
        <v>525</v>
      </c>
      <c r="B5146" s="14" t="s">
        <v>231</v>
      </c>
      <c r="C5146" s="14" t="s">
        <v>367</v>
      </c>
      <c r="D5146" s="14" t="s">
        <v>368</v>
      </c>
      <c r="E5146" s="14" t="s">
        <v>342</v>
      </c>
      <c r="F5146" s="14" t="s">
        <v>343</v>
      </c>
      <c r="G5146" s="14" t="s">
        <v>343</v>
      </c>
      <c r="H5146" s="14" t="s">
        <v>343</v>
      </c>
      <c r="J5146" s="14">
        <v>0.62</v>
      </c>
      <c r="K5146" s="14">
        <v>0.62</v>
      </c>
      <c r="L5146" s="14">
        <v>0.61</v>
      </c>
      <c r="M5146" s="14">
        <v>0.59</v>
      </c>
      <c r="N5146" s="14">
        <v>0.59</v>
      </c>
      <c r="O5146" s="14">
        <v>0.56000000000000005</v>
      </c>
      <c r="P5146" s="14">
        <v>0.56999999999999995</v>
      </c>
      <c r="Q5146" s="14">
        <v>0.57999999999999996</v>
      </c>
      <c r="R5146" s="14">
        <v>0.56999999999999995</v>
      </c>
      <c r="S5146" s="14">
        <v>0.56999999999999995</v>
      </c>
      <c r="T5146" s="14">
        <v>0.56999999999999995</v>
      </c>
      <c r="U5146" s="14">
        <v>0.56999999999999995</v>
      </c>
      <c r="V5146" s="14">
        <v>0.56999999999999995</v>
      </c>
      <c r="W5146" s="14">
        <v>0.56999999999999995</v>
      </c>
    </row>
    <row r="5147" spans="1:23" hidden="1" x14ac:dyDescent="0.3">
      <c r="A5147" s="14" t="s">
        <v>525</v>
      </c>
      <c r="B5147" s="14" t="s">
        <v>231</v>
      </c>
      <c r="C5147" s="14" t="s">
        <v>367</v>
      </c>
      <c r="D5147" s="14" t="s">
        <v>368</v>
      </c>
      <c r="E5147" s="14" t="s">
        <v>344</v>
      </c>
      <c r="F5147" s="14" t="s">
        <v>343</v>
      </c>
      <c r="G5147" s="14" t="s">
        <v>343</v>
      </c>
      <c r="H5147" s="14" t="s">
        <v>343</v>
      </c>
      <c r="J5147" s="14">
        <v>103</v>
      </c>
      <c r="K5147" s="14">
        <v>107</v>
      </c>
      <c r="L5147" s="14">
        <v>121</v>
      </c>
      <c r="M5147" s="14">
        <v>124</v>
      </c>
      <c r="N5147" s="14">
        <v>124</v>
      </c>
      <c r="O5147" s="14">
        <v>132</v>
      </c>
      <c r="P5147" s="14">
        <v>133</v>
      </c>
      <c r="Q5147" s="14">
        <v>139</v>
      </c>
      <c r="R5147" s="14">
        <v>143</v>
      </c>
      <c r="S5147" s="14">
        <v>142</v>
      </c>
      <c r="T5147" s="14">
        <v>142</v>
      </c>
      <c r="U5147" s="14">
        <v>146</v>
      </c>
      <c r="V5147" s="14">
        <v>150</v>
      </c>
      <c r="W5147" s="14">
        <v>152</v>
      </c>
    </row>
    <row r="5148" spans="1:23" hidden="1" x14ac:dyDescent="0.3">
      <c r="A5148" s="14" t="s">
        <v>525</v>
      </c>
      <c r="B5148" s="14" t="s">
        <v>231</v>
      </c>
      <c r="C5148" s="14" t="s">
        <v>369</v>
      </c>
      <c r="D5148" s="14" t="s">
        <v>370</v>
      </c>
      <c r="E5148" s="14" t="s">
        <v>342</v>
      </c>
      <c r="F5148" s="14" t="s">
        <v>343</v>
      </c>
      <c r="G5148" s="14" t="s">
        <v>343</v>
      </c>
      <c r="H5148" s="14" t="s">
        <v>343</v>
      </c>
      <c r="J5148" s="14">
        <v>0.06</v>
      </c>
      <c r="K5148" s="14">
        <v>0.06</v>
      </c>
      <c r="L5148" s="14">
        <v>0.06</v>
      </c>
      <c r="M5148" s="14">
        <v>0.06</v>
      </c>
      <c r="N5148" s="14">
        <v>0.06</v>
      </c>
      <c r="O5148" s="14">
        <v>7.0000000000000007E-2</v>
      </c>
      <c r="P5148" s="14">
        <v>7.0000000000000007E-2</v>
      </c>
      <c r="Q5148" s="14">
        <v>7.0000000000000007E-2</v>
      </c>
      <c r="R5148" s="14">
        <v>0.06</v>
      </c>
      <c r="S5148" s="14">
        <v>0.06</v>
      </c>
      <c r="T5148" s="14">
        <v>0.06</v>
      </c>
      <c r="U5148" s="14">
        <v>0.06</v>
      </c>
      <c r="V5148" s="14">
        <v>0.08</v>
      </c>
      <c r="W5148" s="14">
        <v>7.0000000000000007E-2</v>
      </c>
    </row>
    <row r="5149" spans="1:23" hidden="1" x14ac:dyDescent="0.3">
      <c r="A5149" s="14" t="s">
        <v>525</v>
      </c>
      <c r="B5149" s="14" t="s">
        <v>231</v>
      </c>
      <c r="C5149" s="14" t="s">
        <v>369</v>
      </c>
      <c r="D5149" s="14" t="s">
        <v>370</v>
      </c>
      <c r="E5149" s="14" t="s">
        <v>344</v>
      </c>
      <c r="F5149" s="14" t="s">
        <v>343</v>
      </c>
      <c r="G5149" s="14" t="s">
        <v>343</v>
      </c>
      <c r="H5149" s="14" t="s">
        <v>343</v>
      </c>
      <c r="J5149" s="14">
        <v>100</v>
      </c>
      <c r="K5149" s="14">
        <v>112</v>
      </c>
      <c r="L5149" s="14">
        <v>116</v>
      </c>
      <c r="M5149" s="14">
        <v>107</v>
      </c>
      <c r="N5149" s="14">
        <v>110</v>
      </c>
      <c r="O5149" s="14">
        <v>111</v>
      </c>
      <c r="P5149" s="14">
        <v>112</v>
      </c>
      <c r="Q5149" s="14">
        <v>126</v>
      </c>
      <c r="R5149" s="14">
        <v>130</v>
      </c>
      <c r="S5149" s="14">
        <v>130</v>
      </c>
      <c r="T5149" s="14">
        <v>130</v>
      </c>
      <c r="U5149" s="14">
        <v>135</v>
      </c>
      <c r="V5149" s="14">
        <v>130</v>
      </c>
      <c r="W5149" s="14">
        <v>142</v>
      </c>
    </row>
    <row r="5150" spans="1:23" hidden="1" x14ac:dyDescent="0.3">
      <c r="A5150" s="14" t="s">
        <v>525</v>
      </c>
      <c r="B5150" s="14" t="s">
        <v>231</v>
      </c>
      <c r="C5150" s="14" t="s">
        <v>371</v>
      </c>
      <c r="D5150" s="14" t="s">
        <v>372</v>
      </c>
      <c r="E5150" s="14" t="s">
        <v>342</v>
      </c>
      <c r="F5150" s="14" t="s">
        <v>343</v>
      </c>
      <c r="G5150" s="14" t="s">
        <v>343</v>
      </c>
      <c r="H5150" s="14" t="s">
        <v>343</v>
      </c>
      <c r="U5150" s="14">
        <v>0</v>
      </c>
      <c r="V5150" s="14">
        <v>0</v>
      </c>
      <c r="W5150" s="14">
        <v>0</v>
      </c>
    </row>
    <row r="5151" spans="1:23" hidden="1" x14ac:dyDescent="0.3">
      <c r="A5151" s="14" t="s">
        <v>525</v>
      </c>
      <c r="B5151" s="14" t="s">
        <v>231</v>
      </c>
      <c r="C5151" s="14" t="s">
        <v>371</v>
      </c>
      <c r="D5151" s="14" t="s">
        <v>372</v>
      </c>
      <c r="E5151" s="14" t="s">
        <v>344</v>
      </c>
      <c r="F5151" s="14" t="s">
        <v>343</v>
      </c>
      <c r="G5151" s="14" t="s">
        <v>343</v>
      </c>
      <c r="H5151" s="14" t="s">
        <v>343</v>
      </c>
      <c r="U5151" s="14">
        <v>71</v>
      </c>
      <c r="V5151" s="14">
        <v>73</v>
      </c>
      <c r="W5151" s="14">
        <v>76</v>
      </c>
    </row>
    <row r="5152" spans="1:23" hidden="1" x14ac:dyDescent="0.3">
      <c r="A5152" s="14" t="s">
        <v>525</v>
      </c>
      <c r="B5152" s="14" t="s">
        <v>231</v>
      </c>
      <c r="C5152" s="14" t="s">
        <v>373</v>
      </c>
      <c r="D5152" s="14" t="s">
        <v>374</v>
      </c>
      <c r="E5152" s="14" t="s">
        <v>342</v>
      </c>
      <c r="F5152" s="14" t="s">
        <v>343</v>
      </c>
      <c r="G5152" s="14" t="s">
        <v>343</v>
      </c>
      <c r="H5152" s="14" t="s">
        <v>343</v>
      </c>
      <c r="U5152" s="14">
        <v>0.06</v>
      </c>
      <c r="V5152" s="14">
        <v>0.15</v>
      </c>
      <c r="W5152" s="14">
        <v>0.12</v>
      </c>
    </row>
    <row r="5153" spans="1:24" hidden="1" x14ac:dyDescent="0.3">
      <c r="A5153" s="14" t="s">
        <v>525</v>
      </c>
      <c r="B5153" s="14" t="s">
        <v>231</v>
      </c>
      <c r="C5153" s="14" t="s">
        <v>373</v>
      </c>
      <c r="D5153" s="14" t="s">
        <v>374</v>
      </c>
      <c r="E5153" s="14" t="s">
        <v>344</v>
      </c>
      <c r="F5153" s="14" t="s">
        <v>343</v>
      </c>
      <c r="G5153" s="14" t="s">
        <v>343</v>
      </c>
      <c r="H5153" s="14" t="s">
        <v>343</v>
      </c>
      <c r="U5153" s="14">
        <v>130</v>
      </c>
      <c r="V5153" s="14">
        <v>107</v>
      </c>
      <c r="W5153" s="14">
        <v>123</v>
      </c>
    </row>
    <row r="5154" spans="1:24" hidden="1" x14ac:dyDescent="0.3">
      <c r="A5154" s="14" t="s">
        <v>525</v>
      </c>
      <c r="B5154" s="14" t="s">
        <v>231</v>
      </c>
      <c r="C5154" s="14" t="s">
        <v>375</v>
      </c>
      <c r="D5154" s="14" t="s">
        <v>376</v>
      </c>
      <c r="E5154" s="14" t="s">
        <v>342</v>
      </c>
      <c r="F5154" s="14" t="s">
        <v>343</v>
      </c>
      <c r="G5154" s="14" t="s">
        <v>343</v>
      </c>
      <c r="H5154" s="14" t="s">
        <v>343</v>
      </c>
      <c r="U5154" s="14">
        <v>0.15</v>
      </c>
      <c r="V5154" s="14">
        <v>0.15</v>
      </c>
      <c r="W5154" s="14">
        <v>0.13</v>
      </c>
    </row>
    <row r="5155" spans="1:24" hidden="1" x14ac:dyDescent="0.3">
      <c r="A5155" s="14" t="s">
        <v>525</v>
      </c>
      <c r="B5155" s="14" t="s">
        <v>231</v>
      </c>
      <c r="C5155" s="14" t="s">
        <v>375</v>
      </c>
      <c r="D5155" s="14" t="s">
        <v>376</v>
      </c>
      <c r="E5155" s="14" t="s">
        <v>344</v>
      </c>
      <c r="F5155" s="14" t="s">
        <v>343</v>
      </c>
      <c r="G5155" s="14" t="s">
        <v>343</v>
      </c>
      <c r="H5155" s="14" t="s">
        <v>343</v>
      </c>
      <c r="U5155" s="14">
        <v>114</v>
      </c>
      <c r="V5155" s="14">
        <v>124</v>
      </c>
      <c r="W5155" s="14">
        <v>137</v>
      </c>
    </row>
    <row r="5156" spans="1:24" hidden="1" x14ac:dyDescent="0.3">
      <c r="A5156" s="14" t="s">
        <v>526</v>
      </c>
      <c r="B5156" s="14" t="s">
        <v>65</v>
      </c>
      <c r="C5156" s="14" t="s">
        <v>340</v>
      </c>
      <c r="D5156" s="14" t="s">
        <v>341</v>
      </c>
      <c r="E5156" s="14" t="s">
        <v>342</v>
      </c>
      <c r="F5156" s="14" t="s">
        <v>343</v>
      </c>
      <c r="G5156" s="14" t="s">
        <v>343</v>
      </c>
      <c r="H5156" s="14" t="s">
        <v>343</v>
      </c>
      <c r="I5156" s="14">
        <v>0.47</v>
      </c>
      <c r="J5156" s="14">
        <v>0.47</v>
      </c>
      <c r="K5156" s="14">
        <v>0.47</v>
      </c>
      <c r="L5156" s="14">
        <v>0.47</v>
      </c>
      <c r="M5156" s="14">
        <v>0.51</v>
      </c>
      <c r="N5156" s="14">
        <v>0.52</v>
      </c>
      <c r="O5156" s="14">
        <v>0.52</v>
      </c>
      <c r="P5156" s="14">
        <v>0.53</v>
      </c>
      <c r="Q5156" s="14">
        <v>0.56999999999999995</v>
      </c>
      <c r="R5156" s="14">
        <v>0.59</v>
      </c>
      <c r="S5156" s="14">
        <v>0.62</v>
      </c>
      <c r="T5156" s="14">
        <v>0.56999999999999995</v>
      </c>
      <c r="U5156" s="14">
        <v>0.56999999999999995</v>
      </c>
      <c r="V5156" s="14">
        <v>0.59</v>
      </c>
      <c r="W5156" s="14">
        <v>0.59</v>
      </c>
      <c r="X5156" s="14">
        <v>0.6</v>
      </c>
    </row>
    <row r="5157" spans="1:24" hidden="1" x14ac:dyDescent="0.3">
      <c r="A5157" s="14" t="s">
        <v>526</v>
      </c>
      <c r="B5157" s="14" t="s">
        <v>65</v>
      </c>
      <c r="C5157" s="14" t="s">
        <v>340</v>
      </c>
      <c r="D5157" s="14" t="s">
        <v>341</v>
      </c>
      <c r="E5157" s="14" t="s">
        <v>344</v>
      </c>
      <c r="F5157" s="14" t="s">
        <v>343</v>
      </c>
      <c r="G5157" s="14" t="s">
        <v>343</v>
      </c>
      <c r="H5157" s="14" t="s">
        <v>343</v>
      </c>
      <c r="I5157" s="14">
        <v>115</v>
      </c>
      <c r="J5157" s="14">
        <v>128</v>
      </c>
      <c r="K5157" s="14">
        <v>130</v>
      </c>
      <c r="L5157" s="14">
        <v>134</v>
      </c>
      <c r="M5157" s="14">
        <v>134</v>
      </c>
      <c r="N5157" s="14">
        <v>135</v>
      </c>
      <c r="O5157" s="14">
        <v>135</v>
      </c>
      <c r="P5157" s="14">
        <v>135</v>
      </c>
      <c r="Q5157" s="14">
        <v>142</v>
      </c>
      <c r="R5157" s="14">
        <v>145</v>
      </c>
      <c r="S5157" s="14">
        <v>144</v>
      </c>
      <c r="T5157" s="14">
        <v>144</v>
      </c>
      <c r="U5157" s="14">
        <v>149</v>
      </c>
      <c r="V5157" s="14">
        <v>153</v>
      </c>
      <c r="W5157" s="14">
        <v>155</v>
      </c>
      <c r="X5157" s="14">
        <v>145</v>
      </c>
    </row>
    <row r="5158" spans="1:24" hidden="1" x14ac:dyDescent="0.3">
      <c r="A5158" s="14" t="s">
        <v>526</v>
      </c>
      <c r="B5158" s="14" t="s">
        <v>65</v>
      </c>
      <c r="C5158" s="14" t="s">
        <v>345</v>
      </c>
      <c r="D5158" s="14" t="s">
        <v>346</v>
      </c>
      <c r="E5158" s="14" t="s">
        <v>342</v>
      </c>
      <c r="F5158" s="14" t="s">
        <v>343</v>
      </c>
      <c r="G5158" s="14" t="s">
        <v>343</v>
      </c>
      <c r="H5158" s="14" t="s">
        <v>343</v>
      </c>
      <c r="U5158" s="14">
        <v>0.61</v>
      </c>
      <c r="V5158" s="14">
        <v>0.63</v>
      </c>
      <c r="W5158" s="14">
        <v>0.67</v>
      </c>
      <c r="X5158" s="14">
        <v>0.55000000000000004</v>
      </c>
    </row>
    <row r="5159" spans="1:24" hidden="1" x14ac:dyDescent="0.3">
      <c r="A5159" s="14" t="s">
        <v>526</v>
      </c>
      <c r="B5159" s="14" t="s">
        <v>65</v>
      </c>
      <c r="C5159" s="14" t="s">
        <v>345</v>
      </c>
      <c r="D5159" s="14" t="s">
        <v>346</v>
      </c>
      <c r="E5159" s="14" t="s">
        <v>344</v>
      </c>
      <c r="F5159" s="14" t="s">
        <v>343</v>
      </c>
      <c r="G5159" s="14" t="s">
        <v>343</v>
      </c>
      <c r="H5159" s="14" t="s">
        <v>343</v>
      </c>
      <c r="U5159" s="14">
        <v>76</v>
      </c>
      <c r="V5159" s="14">
        <v>67</v>
      </c>
      <c r="W5159" s="14">
        <v>52</v>
      </c>
      <c r="X5159" s="14">
        <v>108</v>
      </c>
    </row>
    <row r="5160" spans="1:24" hidden="1" x14ac:dyDescent="0.3">
      <c r="A5160" s="14" t="s">
        <v>526</v>
      </c>
      <c r="B5160" s="14" t="s">
        <v>65</v>
      </c>
      <c r="C5160" s="14" t="s">
        <v>347</v>
      </c>
      <c r="D5160" s="14" t="s">
        <v>348</v>
      </c>
      <c r="E5160" s="14" t="s">
        <v>342</v>
      </c>
      <c r="F5160" s="14" t="s">
        <v>343</v>
      </c>
      <c r="G5160" s="14" t="s">
        <v>343</v>
      </c>
      <c r="H5160" s="14" t="s">
        <v>343</v>
      </c>
      <c r="U5160" s="14">
        <v>0.84</v>
      </c>
      <c r="V5160" s="14">
        <v>0.84</v>
      </c>
      <c r="W5160" s="14">
        <v>0.84</v>
      </c>
      <c r="X5160" s="14">
        <v>0.67</v>
      </c>
    </row>
    <row r="5161" spans="1:24" hidden="1" x14ac:dyDescent="0.3">
      <c r="A5161" s="14" t="s">
        <v>526</v>
      </c>
      <c r="B5161" s="14" t="s">
        <v>65</v>
      </c>
      <c r="C5161" s="14" t="s">
        <v>347</v>
      </c>
      <c r="D5161" s="14" t="s">
        <v>348</v>
      </c>
      <c r="E5161" s="14" t="s">
        <v>344</v>
      </c>
      <c r="F5161" s="14" t="s">
        <v>343</v>
      </c>
      <c r="G5161" s="14" t="s">
        <v>343</v>
      </c>
      <c r="H5161" s="14" t="s">
        <v>343</v>
      </c>
      <c r="U5161" s="14">
        <v>60</v>
      </c>
      <c r="V5161" s="14">
        <v>68</v>
      </c>
      <c r="W5161" s="14">
        <v>70</v>
      </c>
      <c r="X5161" s="14">
        <v>103</v>
      </c>
    </row>
    <row r="5162" spans="1:24" hidden="1" x14ac:dyDescent="0.3">
      <c r="A5162" s="14" t="s">
        <v>526</v>
      </c>
      <c r="B5162" s="14" t="s">
        <v>65</v>
      </c>
      <c r="C5162" s="14" t="s">
        <v>351</v>
      </c>
      <c r="D5162" s="14" t="s">
        <v>352</v>
      </c>
      <c r="E5162" s="14" t="s">
        <v>342</v>
      </c>
      <c r="F5162" s="14" t="s">
        <v>343</v>
      </c>
      <c r="G5162" s="14" t="s">
        <v>343</v>
      </c>
      <c r="H5162" s="14" t="s">
        <v>343</v>
      </c>
      <c r="X5162" s="14">
        <v>0.22</v>
      </c>
    </row>
    <row r="5163" spans="1:24" hidden="1" x14ac:dyDescent="0.3">
      <c r="A5163" s="14" t="s">
        <v>526</v>
      </c>
      <c r="B5163" s="14" t="s">
        <v>65</v>
      </c>
      <c r="C5163" s="14" t="s">
        <v>351</v>
      </c>
      <c r="D5163" s="14" t="s">
        <v>352</v>
      </c>
      <c r="E5163" s="14" t="s">
        <v>344</v>
      </c>
      <c r="F5163" s="14" t="s">
        <v>343</v>
      </c>
      <c r="G5163" s="14" t="s">
        <v>343</v>
      </c>
      <c r="H5163" s="14" t="s">
        <v>343</v>
      </c>
      <c r="X5163" s="14">
        <v>138</v>
      </c>
    </row>
    <row r="5164" spans="1:24" hidden="1" x14ac:dyDescent="0.3">
      <c r="A5164" s="14" t="s">
        <v>526</v>
      </c>
      <c r="B5164" s="14" t="s">
        <v>65</v>
      </c>
      <c r="C5164" s="14" t="s">
        <v>378</v>
      </c>
      <c r="D5164" s="14" t="s">
        <v>379</v>
      </c>
      <c r="E5164" s="14" t="s">
        <v>342</v>
      </c>
      <c r="F5164" s="14" t="s">
        <v>343</v>
      </c>
      <c r="G5164" s="14" t="s">
        <v>343</v>
      </c>
      <c r="H5164" s="14" t="s">
        <v>343</v>
      </c>
      <c r="S5164" s="14">
        <v>0.61</v>
      </c>
      <c r="U5164" s="14">
        <v>0.62</v>
      </c>
      <c r="V5164" s="14">
        <v>0.62</v>
      </c>
      <c r="W5164" s="14">
        <v>0.62</v>
      </c>
      <c r="X5164" s="14">
        <v>0.56999999999999995</v>
      </c>
    </row>
    <row r="5165" spans="1:24" hidden="1" x14ac:dyDescent="0.3">
      <c r="A5165" s="14" t="s">
        <v>526</v>
      </c>
      <c r="B5165" s="14" t="s">
        <v>65</v>
      </c>
      <c r="C5165" s="14" t="s">
        <v>378</v>
      </c>
      <c r="D5165" s="14" t="s">
        <v>379</v>
      </c>
      <c r="E5165" s="14" t="s">
        <v>344</v>
      </c>
      <c r="F5165" s="14" t="s">
        <v>343</v>
      </c>
      <c r="G5165" s="14" t="s">
        <v>343</v>
      </c>
      <c r="H5165" s="14" t="s">
        <v>343</v>
      </c>
      <c r="S5165" s="14">
        <v>89</v>
      </c>
      <c r="U5165" s="14">
        <v>87</v>
      </c>
      <c r="V5165" s="14">
        <v>91</v>
      </c>
      <c r="W5165" s="14">
        <v>94</v>
      </c>
      <c r="X5165" s="14">
        <v>111</v>
      </c>
    </row>
    <row r="5166" spans="1:24" hidden="1" x14ac:dyDescent="0.3">
      <c r="A5166" s="14" t="s">
        <v>526</v>
      </c>
      <c r="B5166" s="14" t="s">
        <v>65</v>
      </c>
      <c r="C5166" s="14" t="s">
        <v>353</v>
      </c>
      <c r="D5166" s="14" t="s">
        <v>354</v>
      </c>
      <c r="E5166" s="14" t="s">
        <v>342</v>
      </c>
      <c r="F5166" s="14" t="s">
        <v>343</v>
      </c>
      <c r="G5166" s="14" t="s">
        <v>343</v>
      </c>
      <c r="H5166" s="14" t="s">
        <v>343</v>
      </c>
      <c r="U5166" s="14">
        <v>0.45</v>
      </c>
      <c r="V5166" s="14">
        <v>0.44</v>
      </c>
      <c r="W5166" s="14">
        <v>0.44</v>
      </c>
      <c r="X5166" s="14">
        <v>0.44</v>
      </c>
    </row>
    <row r="5167" spans="1:24" hidden="1" x14ac:dyDescent="0.3">
      <c r="A5167" s="14" t="s">
        <v>526</v>
      </c>
      <c r="B5167" s="14" t="s">
        <v>65</v>
      </c>
      <c r="C5167" s="14" t="s">
        <v>353</v>
      </c>
      <c r="D5167" s="14" t="s">
        <v>354</v>
      </c>
      <c r="E5167" s="14" t="s">
        <v>344</v>
      </c>
      <c r="F5167" s="14" t="s">
        <v>343</v>
      </c>
      <c r="G5167" s="14" t="s">
        <v>343</v>
      </c>
      <c r="H5167" s="14" t="s">
        <v>343</v>
      </c>
      <c r="U5167" s="14">
        <v>143</v>
      </c>
      <c r="V5167" s="14">
        <v>151</v>
      </c>
      <c r="W5167" s="14">
        <v>154</v>
      </c>
      <c r="X5167" s="14">
        <v>142</v>
      </c>
    </row>
    <row r="5168" spans="1:24" hidden="1" x14ac:dyDescent="0.3">
      <c r="A5168" s="14" t="s">
        <v>526</v>
      </c>
      <c r="B5168" s="14" t="s">
        <v>65</v>
      </c>
      <c r="C5168" s="14" t="s">
        <v>380</v>
      </c>
      <c r="D5168" s="14" t="s">
        <v>381</v>
      </c>
      <c r="E5168" s="14" t="s">
        <v>342</v>
      </c>
      <c r="F5168" s="14" t="s">
        <v>343</v>
      </c>
      <c r="G5168" s="14" t="s">
        <v>343</v>
      </c>
      <c r="H5168" s="14" t="s">
        <v>343</v>
      </c>
      <c r="U5168" s="14">
        <v>0.77</v>
      </c>
      <c r="V5168" s="14">
        <v>0.78</v>
      </c>
      <c r="W5168" s="14">
        <v>0.78</v>
      </c>
      <c r="X5168" s="14">
        <v>0.79</v>
      </c>
    </row>
    <row r="5169" spans="1:24" hidden="1" x14ac:dyDescent="0.3">
      <c r="A5169" s="14" t="s">
        <v>526</v>
      </c>
      <c r="B5169" s="14" t="s">
        <v>65</v>
      </c>
      <c r="C5169" s="14" t="s">
        <v>380</v>
      </c>
      <c r="D5169" s="14" t="s">
        <v>381</v>
      </c>
      <c r="E5169" s="14" t="s">
        <v>344</v>
      </c>
      <c r="F5169" s="14" t="s">
        <v>343</v>
      </c>
      <c r="G5169" s="14" t="s">
        <v>343</v>
      </c>
      <c r="H5169" s="14" t="s">
        <v>343</v>
      </c>
      <c r="U5169" s="14">
        <v>136</v>
      </c>
      <c r="V5169" s="14">
        <v>146</v>
      </c>
      <c r="W5169" s="14">
        <v>148</v>
      </c>
      <c r="X5169" s="14">
        <v>114</v>
      </c>
    </row>
    <row r="5170" spans="1:24" hidden="1" x14ac:dyDescent="0.3">
      <c r="A5170" s="14" t="s">
        <v>526</v>
      </c>
      <c r="B5170" s="14" t="s">
        <v>65</v>
      </c>
      <c r="C5170" s="14" t="s">
        <v>355</v>
      </c>
      <c r="D5170" s="14" t="s">
        <v>356</v>
      </c>
      <c r="E5170" s="14" t="s">
        <v>342</v>
      </c>
      <c r="F5170" s="14" t="s">
        <v>343</v>
      </c>
      <c r="G5170" s="14" t="s">
        <v>343</v>
      </c>
      <c r="H5170" s="14" t="s">
        <v>343</v>
      </c>
      <c r="U5170" s="14">
        <v>0.48</v>
      </c>
      <c r="V5170" s="14">
        <v>0.48</v>
      </c>
      <c r="W5170" s="14">
        <v>0.48</v>
      </c>
      <c r="X5170" s="14">
        <v>0.53</v>
      </c>
    </row>
    <row r="5171" spans="1:24" hidden="1" x14ac:dyDescent="0.3">
      <c r="A5171" s="14" t="s">
        <v>526</v>
      </c>
      <c r="B5171" s="14" t="s">
        <v>65</v>
      </c>
      <c r="C5171" s="14" t="s">
        <v>355</v>
      </c>
      <c r="D5171" s="14" t="s">
        <v>356</v>
      </c>
      <c r="E5171" s="14" t="s">
        <v>344</v>
      </c>
      <c r="F5171" s="14" t="s">
        <v>343</v>
      </c>
      <c r="G5171" s="14" t="s">
        <v>343</v>
      </c>
      <c r="H5171" s="14" t="s">
        <v>343</v>
      </c>
      <c r="U5171" s="14">
        <v>147</v>
      </c>
      <c r="V5171" s="14">
        <v>151</v>
      </c>
      <c r="W5171" s="14">
        <v>154</v>
      </c>
      <c r="X5171" s="14">
        <v>137</v>
      </c>
    </row>
    <row r="5172" spans="1:24" hidden="1" x14ac:dyDescent="0.3">
      <c r="A5172" s="14" t="s">
        <v>526</v>
      </c>
      <c r="B5172" s="14" t="s">
        <v>65</v>
      </c>
      <c r="C5172" s="14" t="s">
        <v>357</v>
      </c>
      <c r="D5172" s="14" t="s">
        <v>358</v>
      </c>
      <c r="E5172" s="14" t="s">
        <v>342</v>
      </c>
      <c r="F5172" s="14" t="s">
        <v>343</v>
      </c>
      <c r="G5172" s="14" t="s">
        <v>343</v>
      </c>
      <c r="H5172" s="14" t="s">
        <v>343</v>
      </c>
      <c r="U5172" s="14">
        <v>0.2</v>
      </c>
      <c r="V5172" s="14">
        <v>0.28999999999999998</v>
      </c>
      <c r="W5172" s="14">
        <v>0.28999999999999998</v>
      </c>
      <c r="X5172" s="14">
        <v>0.28999999999999998</v>
      </c>
    </row>
    <row r="5173" spans="1:24" hidden="1" x14ac:dyDescent="0.3">
      <c r="A5173" s="14" t="s">
        <v>526</v>
      </c>
      <c r="B5173" s="14" t="s">
        <v>65</v>
      </c>
      <c r="C5173" s="14" t="s">
        <v>357</v>
      </c>
      <c r="D5173" s="14" t="s">
        <v>358</v>
      </c>
      <c r="E5173" s="14" t="s">
        <v>344</v>
      </c>
      <c r="F5173" s="14" t="s">
        <v>343</v>
      </c>
      <c r="G5173" s="14" t="s">
        <v>343</v>
      </c>
      <c r="H5173" s="14" t="s">
        <v>343</v>
      </c>
      <c r="U5173" s="14">
        <v>139</v>
      </c>
      <c r="V5173" s="14">
        <v>148</v>
      </c>
      <c r="W5173" s="14">
        <v>151</v>
      </c>
      <c r="X5173" s="14">
        <v>137</v>
      </c>
    </row>
    <row r="5174" spans="1:24" hidden="1" x14ac:dyDescent="0.3">
      <c r="A5174" s="14" t="s">
        <v>526</v>
      </c>
      <c r="B5174" s="14" t="s">
        <v>65</v>
      </c>
      <c r="C5174" s="14" t="s">
        <v>359</v>
      </c>
      <c r="D5174" s="14" t="s">
        <v>360</v>
      </c>
      <c r="E5174" s="14" t="s">
        <v>342</v>
      </c>
      <c r="F5174" s="14" t="s">
        <v>343</v>
      </c>
      <c r="G5174" s="14" t="s">
        <v>343</v>
      </c>
      <c r="H5174" s="14" t="s">
        <v>343</v>
      </c>
      <c r="I5174" s="14">
        <v>0.6</v>
      </c>
      <c r="J5174" s="14">
        <v>0.65</v>
      </c>
      <c r="K5174" s="14">
        <v>0.6</v>
      </c>
      <c r="L5174" s="14">
        <v>0.65</v>
      </c>
      <c r="M5174" s="14">
        <v>0.63</v>
      </c>
      <c r="N5174" s="14">
        <v>0.59</v>
      </c>
      <c r="O5174" s="14">
        <v>0.68</v>
      </c>
      <c r="P5174" s="14">
        <v>0.65</v>
      </c>
      <c r="Q5174" s="14">
        <v>0.66</v>
      </c>
      <c r="R5174" s="14">
        <v>0.67</v>
      </c>
      <c r="S5174" s="14">
        <v>0.67</v>
      </c>
      <c r="T5174" s="14">
        <v>0.67</v>
      </c>
      <c r="U5174" s="14">
        <v>0.68</v>
      </c>
      <c r="V5174" s="14">
        <v>0.68</v>
      </c>
      <c r="W5174" s="14">
        <v>0.69</v>
      </c>
      <c r="X5174" s="14">
        <v>0.54</v>
      </c>
    </row>
    <row r="5175" spans="1:24" hidden="1" x14ac:dyDescent="0.3">
      <c r="A5175" s="14" t="s">
        <v>526</v>
      </c>
      <c r="B5175" s="14" t="s">
        <v>65</v>
      </c>
      <c r="C5175" s="14" t="s">
        <v>359</v>
      </c>
      <c r="D5175" s="14" t="s">
        <v>360</v>
      </c>
      <c r="E5175" s="14" t="s">
        <v>344</v>
      </c>
      <c r="F5175" s="14" t="s">
        <v>343</v>
      </c>
      <c r="G5175" s="14" t="s">
        <v>343</v>
      </c>
      <c r="H5175" s="14" t="s">
        <v>343</v>
      </c>
      <c r="I5175" s="14">
        <v>65</v>
      </c>
      <c r="J5175" s="14">
        <v>58</v>
      </c>
      <c r="K5175" s="14">
        <v>81</v>
      </c>
      <c r="L5175" s="14">
        <v>66</v>
      </c>
      <c r="M5175" s="14">
        <v>77</v>
      </c>
      <c r="N5175" s="14">
        <v>98</v>
      </c>
      <c r="O5175" s="14">
        <v>56</v>
      </c>
      <c r="P5175" s="14">
        <v>75</v>
      </c>
      <c r="Q5175" s="14">
        <v>70</v>
      </c>
      <c r="R5175" s="14">
        <v>77</v>
      </c>
      <c r="S5175" s="14">
        <v>74</v>
      </c>
      <c r="T5175" s="14">
        <v>77</v>
      </c>
      <c r="U5175" s="14">
        <v>71</v>
      </c>
      <c r="V5175" s="14">
        <v>71</v>
      </c>
      <c r="W5175" s="14">
        <v>73</v>
      </c>
      <c r="X5175" s="14">
        <v>124</v>
      </c>
    </row>
    <row r="5176" spans="1:24" x14ac:dyDescent="0.3">
      <c r="A5176" s="14" t="s">
        <v>526</v>
      </c>
      <c r="B5176" s="14" t="s">
        <v>65</v>
      </c>
      <c r="C5176" s="14" t="s">
        <v>361</v>
      </c>
      <c r="D5176" s="14" t="s">
        <v>362</v>
      </c>
      <c r="E5176" s="14" t="s">
        <v>342</v>
      </c>
      <c r="F5176" s="14" t="s">
        <v>343</v>
      </c>
      <c r="G5176" s="14" t="s">
        <v>343</v>
      </c>
      <c r="H5176" s="14" t="s">
        <v>343</v>
      </c>
      <c r="I5176" s="14">
        <v>0.98</v>
      </c>
      <c r="J5176" s="14">
        <v>0.98</v>
      </c>
      <c r="K5176" s="14">
        <v>0.98</v>
      </c>
      <c r="L5176" s="14">
        <v>0.98</v>
      </c>
      <c r="M5176" s="14">
        <v>0.96</v>
      </c>
      <c r="N5176" s="14">
        <v>0.96</v>
      </c>
      <c r="O5176" s="14">
        <v>0.96</v>
      </c>
      <c r="P5176" s="14">
        <v>0.96</v>
      </c>
      <c r="Q5176" s="14">
        <v>0.97</v>
      </c>
      <c r="R5176" s="14">
        <v>0.97</v>
      </c>
      <c r="S5176" s="14">
        <v>0.97</v>
      </c>
      <c r="T5176" s="14">
        <v>0.97</v>
      </c>
      <c r="U5176" s="14">
        <v>0.97</v>
      </c>
      <c r="V5176" s="14">
        <v>0.97</v>
      </c>
      <c r="W5176" s="14">
        <v>0.97</v>
      </c>
      <c r="X5176" s="14">
        <v>0.97</v>
      </c>
    </row>
    <row r="5177" spans="1:24" hidden="1" x14ac:dyDescent="0.3">
      <c r="A5177" s="14" t="s">
        <v>526</v>
      </c>
      <c r="B5177" s="14" t="s">
        <v>65</v>
      </c>
      <c r="C5177" s="14" t="s">
        <v>361</v>
      </c>
      <c r="D5177" s="14" t="s">
        <v>362</v>
      </c>
      <c r="E5177" s="14" t="s">
        <v>344</v>
      </c>
      <c r="F5177" s="14" t="s">
        <v>343</v>
      </c>
      <c r="G5177" s="14" t="s">
        <v>343</v>
      </c>
      <c r="H5177" s="14" t="s">
        <v>343</v>
      </c>
      <c r="I5177" s="14">
        <v>56</v>
      </c>
      <c r="J5177" s="14">
        <v>60</v>
      </c>
      <c r="K5177" s="14">
        <v>62</v>
      </c>
      <c r="L5177" s="14">
        <v>65</v>
      </c>
      <c r="M5177" s="14">
        <v>110</v>
      </c>
      <c r="N5177" s="14">
        <v>111</v>
      </c>
      <c r="O5177" s="14">
        <v>111</v>
      </c>
      <c r="P5177" s="14">
        <v>112</v>
      </c>
      <c r="Q5177" s="14">
        <v>103</v>
      </c>
      <c r="R5177" s="14">
        <v>112</v>
      </c>
      <c r="S5177" s="14">
        <v>111</v>
      </c>
      <c r="T5177" s="14">
        <v>73</v>
      </c>
      <c r="U5177" s="14">
        <v>101</v>
      </c>
      <c r="V5177" s="14">
        <v>102</v>
      </c>
      <c r="W5177" s="14">
        <v>81</v>
      </c>
      <c r="X5177" s="14">
        <v>79</v>
      </c>
    </row>
    <row r="5178" spans="1:24" hidden="1" x14ac:dyDescent="0.3">
      <c r="A5178" s="14" t="s">
        <v>526</v>
      </c>
      <c r="B5178" s="14" t="s">
        <v>65</v>
      </c>
      <c r="C5178" s="14" t="s">
        <v>363</v>
      </c>
      <c r="D5178" s="14" t="s">
        <v>364</v>
      </c>
      <c r="E5178" s="14" t="s">
        <v>342</v>
      </c>
      <c r="F5178" s="14" t="s">
        <v>343</v>
      </c>
      <c r="G5178" s="14" t="s">
        <v>343</v>
      </c>
      <c r="H5178" s="14" t="s">
        <v>343</v>
      </c>
      <c r="U5178" s="14">
        <v>1.03</v>
      </c>
      <c r="V5178" s="14">
        <v>1.03</v>
      </c>
      <c r="W5178" s="14">
        <v>1.03</v>
      </c>
      <c r="X5178" s="14">
        <v>1.03</v>
      </c>
    </row>
    <row r="5179" spans="1:24" hidden="1" x14ac:dyDescent="0.3">
      <c r="A5179" s="14" t="s">
        <v>526</v>
      </c>
      <c r="B5179" s="14" t="s">
        <v>65</v>
      </c>
      <c r="C5179" s="14" t="s">
        <v>363</v>
      </c>
      <c r="D5179" s="14" t="s">
        <v>364</v>
      </c>
      <c r="E5179" s="14" t="s">
        <v>344</v>
      </c>
      <c r="F5179" s="14" t="s">
        <v>343</v>
      </c>
      <c r="G5179" s="14" t="s">
        <v>343</v>
      </c>
      <c r="H5179" s="14" t="s">
        <v>343</v>
      </c>
      <c r="U5179" s="14">
        <v>108</v>
      </c>
      <c r="V5179" s="14">
        <v>111</v>
      </c>
      <c r="W5179" s="14">
        <v>94</v>
      </c>
      <c r="X5179" s="14">
        <v>86</v>
      </c>
    </row>
    <row r="5180" spans="1:24" hidden="1" x14ac:dyDescent="0.3">
      <c r="A5180" s="14" t="s">
        <v>526</v>
      </c>
      <c r="B5180" s="14" t="s">
        <v>65</v>
      </c>
      <c r="C5180" s="14" t="s">
        <v>365</v>
      </c>
      <c r="D5180" s="14" t="s">
        <v>366</v>
      </c>
      <c r="E5180" s="14" t="s">
        <v>342</v>
      </c>
      <c r="F5180" s="14" t="s">
        <v>343</v>
      </c>
      <c r="G5180" s="14" t="s">
        <v>343</v>
      </c>
      <c r="H5180" s="14" t="s">
        <v>343</v>
      </c>
      <c r="U5180" s="14">
        <v>0.94</v>
      </c>
      <c r="V5180" s="14">
        <v>0.94</v>
      </c>
      <c r="W5180" s="14">
        <v>0.94</v>
      </c>
      <c r="X5180" s="14">
        <v>0.94</v>
      </c>
    </row>
    <row r="5181" spans="1:24" hidden="1" x14ac:dyDescent="0.3">
      <c r="A5181" s="14" t="s">
        <v>526</v>
      </c>
      <c r="B5181" s="14" t="s">
        <v>65</v>
      </c>
      <c r="C5181" s="14" t="s">
        <v>365</v>
      </c>
      <c r="D5181" s="14" t="s">
        <v>366</v>
      </c>
      <c r="E5181" s="14" t="s">
        <v>344</v>
      </c>
      <c r="F5181" s="14" t="s">
        <v>343</v>
      </c>
      <c r="G5181" s="14" t="s">
        <v>343</v>
      </c>
      <c r="H5181" s="14" t="s">
        <v>343</v>
      </c>
      <c r="U5181" s="14">
        <v>1</v>
      </c>
      <c r="V5181" s="14">
        <v>1</v>
      </c>
      <c r="W5181" s="14">
        <v>1</v>
      </c>
      <c r="X5181" s="14">
        <v>1</v>
      </c>
    </row>
    <row r="5182" spans="1:24" hidden="1" x14ac:dyDescent="0.3">
      <c r="A5182" s="14" t="s">
        <v>526</v>
      </c>
      <c r="B5182" s="14" t="s">
        <v>65</v>
      </c>
      <c r="C5182" s="14" t="s">
        <v>367</v>
      </c>
      <c r="D5182" s="14" t="s">
        <v>368</v>
      </c>
      <c r="E5182" s="14" t="s">
        <v>342</v>
      </c>
      <c r="F5182" s="14" t="s">
        <v>343</v>
      </c>
      <c r="G5182" s="14" t="s">
        <v>343</v>
      </c>
      <c r="H5182" s="14" t="s">
        <v>343</v>
      </c>
      <c r="I5182" s="14">
        <v>0.52</v>
      </c>
      <c r="J5182" s="14">
        <v>0.54</v>
      </c>
      <c r="K5182" s="14">
        <v>0.53</v>
      </c>
      <c r="L5182" s="14">
        <v>0.54</v>
      </c>
      <c r="M5182" s="14">
        <v>0.53</v>
      </c>
      <c r="N5182" s="14">
        <v>0.53</v>
      </c>
      <c r="O5182" s="14">
        <v>0.56000000000000005</v>
      </c>
      <c r="P5182" s="14">
        <v>0.56000000000000005</v>
      </c>
      <c r="Q5182" s="14">
        <v>0.57999999999999996</v>
      </c>
      <c r="R5182" s="14">
        <v>0.57999999999999996</v>
      </c>
      <c r="S5182" s="14">
        <v>0.59</v>
      </c>
      <c r="T5182" s="14">
        <v>0.56999999999999995</v>
      </c>
      <c r="U5182" s="14">
        <v>0.57999999999999996</v>
      </c>
      <c r="V5182" s="14">
        <v>0.6</v>
      </c>
      <c r="W5182" s="14">
        <v>0.59</v>
      </c>
      <c r="X5182" s="14">
        <v>0.57999999999999996</v>
      </c>
    </row>
    <row r="5183" spans="1:24" hidden="1" x14ac:dyDescent="0.3">
      <c r="A5183" s="14" t="s">
        <v>526</v>
      </c>
      <c r="B5183" s="14" t="s">
        <v>65</v>
      </c>
      <c r="C5183" s="14" t="s">
        <v>367</v>
      </c>
      <c r="D5183" s="14" t="s">
        <v>368</v>
      </c>
      <c r="E5183" s="14" t="s">
        <v>344</v>
      </c>
      <c r="F5183" s="14" t="s">
        <v>343</v>
      </c>
      <c r="G5183" s="14" t="s">
        <v>343</v>
      </c>
      <c r="H5183" s="14" t="s">
        <v>343</v>
      </c>
      <c r="I5183" s="14">
        <v>113</v>
      </c>
      <c r="J5183" s="14">
        <v>127</v>
      </c>
      <c r="K5183" s="14">
        <v>129</v>
      </c>
      <c r="L5183" s="14">
        <v>133</v>
      </c>
      <c r="M5183" s="14">
        <v>133</v>
      </c>
      <c r="N5183" s="14">
        <v>134</v>
      </c>
      <c r="O5183" s="14">
        <v>133</v>
      </c>
      <c r="P5183" s="14">
        <v>134</v>
      </c>
      <c r="Q5183" s="14">
        <v>140</v>
      </c>
      <c r="R5183" s="14">
        <v>142</v>
      </c>
      <c r="S5183" s="14">
        <v>140</v>
      </c>
      <c r="T5183" s="14">
        <v>141</v>
      </c>
      <c r="U5183" s="14">
        <v>145</v>
      </c>
      <c r="V5183" s="14">
        <v>147</v>
      </c>
      <c r="W5183" s="14">
        <v>148</v>
      </c>
      <c r="X5183" s="14">
        <v>142</v>
      </c>
    </row>
    <row r="5184" spans="1:24" hidden="1" x14ac:dyDescent="0.3">
      <c r="A5184" s="14" t="s">
        <v>526</v>
      </c>
      <c r="B5184" s="14" t="s">
        <v>65</v>
      </c>
      <c r="C5184" s="14" t="s">
        <v>369</v>
      </c>
      <c r="D5184" s="14" t="s">
        <v>370</v>
      </c>
      <c r="E5184" s="14" t="s">
        <v>342</v>
      </c>
      <c r="F5184" s="14" t="s">
        <v>343</v>
      </c>
      <c r="G5184" s="14" t="s">
        <v>343</v>
      </c>
      <c r="H5184" s="14" t="s">
        <v>343</v>
      </c>
      <c r="I5184" s="14">
        <v>0.05</v>
      </c>
      <c r="J5184" s="14">
        <v>0.05</v>
      </c>
      <c r="K5184" s="14">
        <v>7.0000000000000007E-2</v>
      </c>
      <c r="L5184" s="14">
        <v>7.0000000000000007E-2</v>
      </c>
      <c r="M5184" s="14">
        <v>0.04</v>
      </c>
      <c r="N5184" s="14">
        <v>0.06</v>
      </c>
      <c r="O5184" s="14">
        <v>0.08</v>
      </c>
      <c r="P5184" s="14">
        <v>0.09</v>
      </c>
      <c r="Q5184" s="14">
        <v>0.1</v>
      </c>
      <c r="R5184" s="14">
        <v>0.09</v>
      </c>
      <c r="S5184" s="14">
        <v>0.09</v>
      </c>
      <c r="T5184" s="14">
        <v>0.09</v>
      </c>
      <c r="U5184" s="14">
        <v>0.1</v>
      </c>
      <c r="V5184" s="14">
        <v>0.14000000000000001</v>
      </c>
      <c r="W5184" s="14">
        <v>0.12</v>
      </c>
      <c r="X5184" s="14">
        <v>0.2</v>
      </c>
    </row>
    <row r="5185" spans="1:24" hidden="1" x14ac:dyDescent="0.3">
      <c r="A5185" s="14" t="s">
        <v>526</v>
      </c>
      <c r="B5185" s="14" t="s">
        <v>65</v>
      </c>
      <c r="C5185" s="14" t="s">
        <v>369</v>
      </c>
      <c r="D5185" s="14" t="s">
        <v>370</v>
      </c>
      <c r="E5185" s="14" t="s">
        <v>344</v>
      </c>
      <c r="F5185" s="14" t="s">
        <v>343</v>
      </c>
      <c r="G5185" s="14" t="s">
        <v>343</v>
      </c>
      <c r="H5185" s="14" t="s">
        <v>343</v>
      </c>
      <c r="I5185" s="14">
        <v>91</v>
      </c>
      <c r="J5185" s="14">
        <v>102</v>
      </c>
      <c r="K5185" s="14">
        <v>105</v>
      </c>
      <c r="L5185" s="14">
        <v>106</v>
      </c>
      <c r="M5185" s="14">
        <v>122</v>
      </c>
      <c r="N5185" s="14">
        <v>107</v>
      </c>
      <c r="O5185" s="14">
        <v>102</v>
      </c>
      <c r="P5185" s="14">
        <v>102</v>
      </c>
      <c r="Q5185" s="14">
        <v>106</v>
      </c>
      <c r="R5185" s="14">
        <v>112</v>
      </c>
      <c r="S5185" s="14">
        <v>111</v>
      </c>
      <c r="T5185" s="14">
        <v>120</v>
      </c>
      <c r="U5185" s="14">
        <v>118</v>
      </c>
      <c r="V5185" s="14">
        <v>100</v>
      </c>
      <c r="W5185" s="14">
        <v>119</v>
      </c>
      <c r="X5185" s="14">
        <v>74</v>
      </c>
    </row>
    <row r="5186" spans="1:24" hidden="1" x14ac:dyDescent="0.3">
      <c r="A5186" s="14" t="s">
        <v>526</v>
      </c>
      <c r="B5186" s="14" t="s">
        <v>65</v>
      </c>
      <c r="C5186" s="14" t="s">
        <v>371</v>
      </c>
      <c r="D5186" s="14" t="s">
        <v>372</v>
      </c>
      <c r="E5186" s="14" t="s">
        <v>342</v>
      </c>
      <c r="F5186" s="14" t="s">
        <v>343</v>
      </c>
      <c r="G5186" s="14" t="s">
        <v>343</v>
      </c>
      <c r="H5186" s="14" t="s">
        <v>343</v>
      </c>
      <c r="U5186" s="14">
        <v>0</v>
      </c>
      <c r="V5186" s="14">
        <v>0</v>
      </c>
      <c r="W5186" s="14">
        <v>0</v>
      </c>
      <c r="X5186" s="14">
        <v>0</v>
      </c>
    </row>
    <row r="5187" spans="1:24" hidden="1" x14ac:dyDescent="0.3">
      <c r="A5187" s="14" t="s">
        <v>526</v>
      </c>
      <c r="B5187" s="14" t="s">
        <v>65</v>
      </c>
      <c r="C5187" s="14" t="s">
        <v>371</v>
      </c>
      <c r="D5187" s="14" t="s">
        <v>372</v>
      </c>
      <c r="E5187" s="14" t="s">
        <v>344</v>
      </c>
      <c r="F5187" s="14" t="s">
        <v>343</v>
      </c>
      <c r="G5187" s="14" t="s">
        <v>343</v>
      </c>
      <c r="H5187" s="14" t="s">
        <v>343</v>
      </c>
      <c r="U5187" s="14">
        <v>71</v>
      </c>
      <c r="V5187" s="14">
        <v>73</v>
      </c>
      <c r="W5187" s="14">
        <v>76</v>
      </c>
      <c r="X5187" s="14">
        <v>78</v>
      </c>
    </row>
    <row r="5188" spans="1:24" hidden="1" x14ac:dyDescent="0.3">
      <c r="A5188" s="14" t="s">
        <v>526</v>
      </c>
      <c r="B5188" s="14" t="s">
        <v>65</v>
      </c>
      <c r="C5188" s="14" t="s">
        <v>373</v>
      </c>
      <c r="D5188" s="14" t="s">
        <v>374</v>
      </c>
      <c r="E5188" s="14" t="s">
        <v>342</v>
      </c>
      <c r="F5188" s="14" t="s">
        <v>343</v>
      </c>
      <c r="G5188" s="14" t="s">
        <v>343</v>
      </c>
      <c r="H5188" s="14" t="s">
        <v>343</v>
      </c>
      <c r="U5188" s="14">
        <v>0.17</v>
      </c>
      <c r="V5188" s="14">
        <v>0.35</v>
      </c>
      <c r="W5188" s="14">
        <v>0.25</v>
      </c>
      <c r="X5188" s="14">
        <v>0.25</v>
      </c>
    </row>
    <row r="5189" spans="1:24" hidden="1" x14ac:dyDescent="0.3">
      <c r="A5189" s="14" t="s">
        <v>526</v>
      </c>
      <c r="B5189" s="14" t="s">
        <v>65</v>
      </c>
      <c r="C5189" s="14" t="s">
        <v>373</v>
      </c>
      <c r="D5189" s="14" t="s">
        <v>374</v>
      </c>
      <c r="E5189" s="14" t="s">
        <v>344</v>
      </c>
      <c r="F5189" s="14" t="s">
        <v>343</v>
      </c>
      <c r="G5189" s="14" t="s">
        <v>343</v>
      </c>
      <c r="H5189" s="14" t="s">
        <v>343</v>
      </c>
      <c r="U5189" s="14">
        <v>95</v>
      </c>
      <c r="V5189" s="14">
        <v>56</v>
      </c>
      <c r="W5189" s="14">
        <v>83</v>
      </c>
      <c r="X5189" s="14">
        <v>78</v>
      </c>
    </row>
    <row r="5190" spans="1:24" hidden="1" x14ac:dyDescent="0.3">
      <c r="A5190" s="14" t="s">
        <v>526</v>
      </c>
      <c r="B5190" s="14" t="s">
        <v>65</v>
      </c>
      <c r="C5190" s="14" t="s">
        <v>375</v>
      </c>
      <c r="D5190" s="14" t="s">
        <v>376</v>
      </c>
      <c r="E5190" s="14" t="s">
        <v>342</v>
      </c>
      <c r="F5190" s="14" t="s">
        <v>343</v>
      </c>
      <c r="G5190" s="14" t="s">
        <v>343</v>
      </c>
      <c r="H5190" s="14" t="s">
        <v>343</v>
      </c>
      <c r="U5190" s="14">
        <v>0.18</v>
      </c>
      <c r="V5190" s="14">
        <v>0.18</v>
      </c>
      <c r="W5190" s="14">
        <v>0.18</v>
      </c>
      <c r="X5190" s="14">
        <v>0.45</v>
      </c>
    </row>
    <row r="5191" spans="1:24" hidden="1" x14ac:dyDescent="0.3">
      <c r="A5191" s="14" t="s">
        <v>526</v>
      </c>
      <c r="B5191" s="14" t="s">
        <v>65</v>
      </c>
      <c r="C5191" s="14" t="s">
        <v>375</v>
      </c>
      <c r="D5191" s="14" t="s">
        <v>376</v>
      </c>
      <c r="E5191" s="14" t="s">
        <v>344</v>
      </c>
      <c r="F5191" s="14" t="s">
        <v>343</v>
      </c>
      <c r="G5191" s="14" t="s">
        <v>343</v>
      </c>
      <c r="H5191" s="14" t="s">
        <v>343</v>
      </c>
      <c r="U5191" s="14">
        <v>110</v>
      </c>
      <c r="V5191" s="14">
        <v>119</v>
      </c>
      <c r="W5191" s="14">
        <v>120</v>
      </c>
      <c r="X5191" s="14">
        <v>47</v>
      </c>
    </row>
    <row r="5192" spans="1:24" hidden="1" x14ac:dyDescent="0.3">
      <c r="A5192" s="14" t="s">
        <v>527</v>
      </c>
      <c r="B5192" s="14" t="s">
        <v>235</v>
      </c>
      <c r="C5192" s="14" t="s">
        <v>340</v>
      </c>
      <c r="D5192" s="14" t="s">
        <v>341</v>
      </c>
      <c r="E5192" s="14" t="s">
        <v>342</v>
      </c>
      <c r="F5192" s="14" t="s">
        <v>343</v>
      </c>
      <c r="G5192" s="14" t="s">
        <v>343</v>
      </c>
      <c r="H5192" s="14" t="s">
        <v>343</v>
      </c>
      <c r="U5192" s="14">
        <v>0.77</v>
      </c>
      <c r="V5192" s="14">
        <v>0.78</v>
      </c>
      <c r="W5192" s="14">
        <v>0.78</v>
      </c>
      <c r="X5192" s="14">
        <v>0.82</v>
      </c>
    </row>
    <row r="5193" spans="1:24" hidden="1" x14ac:dyDescent="0.3">
      <c r="A5193" s="14" t="s">
        <v>527</v>
      </c>
      <c r="B5193" s="14" t="s">
        <v>235</v>
      </c>
      <c r="C5193" s="14" t="s">
        <v>340</v>
      </c>
      <c r="D5193" s="14" t="s">
        <v>341</v>
      </c>
      <c r="E5193" s="14" t="s">
        <v>344</v>
      </c>
      <c r="F5193" s="14" t="s">
        <v>343</v>
      </c>
      <c r="G5193" s="14" t="s">
        <v>343</v>
      </c>
      <c r="H5193" s="14" t="s">
        <v>343</v>
      </c>
      <c r="U5193" s="14">
        <v>142</v>
      </c>
      <c r="V5193" s="14">
        <v>146</v>
      </c>
      <c r="W5193" s="14">
        <v>147</v>
      </c>
      <c r="X5193" s="14">
        <v>136</v>
      </c>
    </row>
    <row r="5194" spans="1:24" hidden="1" x14ac:dyDescent="0.3">
      <c r="A5194" s="14" t="s">
        <v>527</v>
      </c>
      <c r="B5194" s="14" t="s">
        <v>235</v>
      </c>
      <c r="C5194" s="14" t="s">
        <v>345</v>
      </c>
      <c r="D5194" s="14" t="s">
        <v>346</v>
      </c>
      <c r="E5194" s="14" t="s">
        <v>342</v>
      </c>
      <c r="F5194" s="14" t="s">
        <v>343</v>
      </c>
      <c r="G5194" s="14" t="s">
        <v>343</v>
      </c>
      <c r="H5194" s="14" t="s">
        <v>343</v>
      </c>
      <c r="V5194" s="14">
        <v>0.6</v>
      </c>
      <c r="W5194" s="14">
        <v>0.8</v>
      </c>
      <c r="X5194" s="14">
        <v>0.82</v>
      </c>
    </row>
    <row r="5195" spans="1:24" hidden="1" x14ac:dyDescent="0.3">
      <c r="A5195" s="14" t="s">
        <v>527</v>
      </c>
      <c r="B5195" s="14" t="s">
        <v>235</v>
      </c>
      <c r="C5195" s="14" t="s">
        <v>345</v>
      </c>
      <c r="D5195" s="14" t="s">
        <v>346</v>
      </c>
      <c r="E5195" s="14" t="s">
        <v>344</v>
      </c>
      <c r="F5195" s="14" t="s">
        <v>343</v>
      </c>
      <c r="G5195" s="14" t="s">
        <v>343</v>
      </c>
      <c r="H5195" s="14" t="s">
        <v>343</v>
      </c>
      <c r="V5195" s="14">
        <v>85</v>
      </c>
      <c r="W5195" s="14">
        <v>14</v>
      </c>
      <c r="X5195" s="14">
        <v>11</v>
      </c>
    </row>
    <row r="5196" spans="1:24" hidden="1" x14ac:dyDescent="0.3">
      <c r="A5196" s="14" t="s">
        <v>527</v>
      </c>
      <c r="B5196" s="14" t="s">
        <v>235</v>
      </c>
      <c r="C5196" s="14" t="s">
        <v>347</v>
      </c>
      <c r="D5196" s="14" t="s">
        <v>348</v>
      </c>
      <c r="E5196" s="14" t="s">
        <v>342</v>
      </c>
      <c r="F5196" s="14" t="s">
        <v>343</v>
      </c>
      <c r="G5196" s="14" t="s">
        <v>343</v>
      </c>
      <c r="H5196" s="14" t="s">
        <v>343</v>
      </c>
      <c r="U5196" s="14">
        <v>0.97</v>
      </c>
      <c r="V5196" s="14">
        <v>0.97</v>
      </c>
      <c r="W5196" s="14">
        <v>0.93</v>
      </c>
      <c r="X5196" s="14">
        <v>0.94</v>
      </c>
    </row>
    <row r="5197" spans="1:24" hidden="1" x14ac:dyDescent="0.3">
      <c r="A5197" s="14" t="s">
        <v>527</v>
      </c>
      <c r="B5197" s="14" t="s">
        <v>235</v>
      </c>
      <c r="C5197" s="14" t="s">
        <v>347</v>
      </c>
      <c r="D5197" s="14" t="s">
        <v>348</v>
      </c>
      <c r="E5197" s="14" t="s">
        <v>344</v>
      </c>
      <c r="F5197" s="14" t="s">
        <v>343</v>
      </c>
      <c r="G5197" s="14" t="s">
        <v>343</v>
      </c>
      <c r="H5197" s="14" t="s">
        <v>343</v>
      </c>
      <c r="U5197" s="14">
        <v>9</v>
      </c>
      <c r="V5197" s="14">
        <v>9</v>
      </c>
      <c r="W5197" s="14">
        <v>23</v>
      </c>
      <c r="X5197" s="14">
        <v>11</v>
      </c>
    </row>
    <row r="5198" spans="1:24" hidden="1" x14ac:dyDescent="0.3">
      <c r="A5198" s="14" t="s">
        <v>527</v>
      </c>
      <c r="B5198" s="14" t="s">
        <v>235</v>
      </c>
      <c r="C5198" s="14" t="s">
        <v>349</v>
      </c>
      <c r="D5198" s="14" t="s">
        <v>350</v>
      </c>
      <c r="E5198" s="14" t="s">
        <v>342</v>
      </c>
      <c r="F5198" s="14" t="s">
        <v>343</v>
      </c>
      <c r="G5198" s="14" t="s">
        <v>343</v>
      </c>
      <c r="H5198" s="14" t="s">
        <v>343</v>
      </c>
      <c r="U5198" s="14">
        <v>0.43</v>
      </c>
      <c r="V5198" s="14">
        <v>0.42</v>
      </c>
      <c r="W5198" s="14">
        <v>1</v>
      </c>
      <c r="X5198" s="14">
        <v>1</v>
      </c>
    </row>
    <row r="5199" spans="1:24" hidden="1" x14ac:dyDescent="0.3">
      <c r="A5199" s="14" t="s">
        <v>527</v>
      </c>
      <c r="B5199" s="14" t="s">
        <v>235</v>
      </c>
      <c r="C5199" s="14" t="s">
        <v>349</v>
      </c>
      <c r="D5199" s="14" t="s">
        <v>350</v>
      </c>
      <c r="E5199" s="14" t="s">
        <v>344</v>
      </c>
      <c r="F5199" s="14" t="s">
        <v>343</v>
      </c>
      <c r="G5199" s="14" t="s">
        <v>343</v>
      </c>
      <c r="H5199" s="14" t="s">
        <v>343</v>
      </c>
      <c r="U5199" s="14">
        <v>84</v>
      </c>
      <c r="V5199" s="14">
        <v>87</v>
      </c>
      <c r="W5199" s="14">
        <v>1</v>
      </c>
      <c r="X5199" s="14">
        <v>1</v>
      </c>
    </row>
    <row r="5200" spans="1:24" hidden="1" x14ac:dyDescent="0.3">
      <c r="A5200" s="14" t="s">
        <v>527</v>
      </c>
      <c r="B5200" s="14" t="s">
        <v>235</v>
      </c>
      <c r="C5200" s="14" t="s">
        <v>351</v>
      </c>
      <c r="D5200" s="14" t="s">
        <v>352</v>
      </c>
      <c r="E5200" s="14" t="s">
        <v>342</v>
      </c>
      <c r="F5200" s="14" t="s">
        <v>343</v>
      </c>
      <c r="G5200" s="14" t="s">
        <v>343</v>
      </c>
      <c r="H5200" s="14" t="s">
        <v>343</v>
      </c>
      <c r="U5200" s="14">
        <v>0.25</v>
      </c>
      <c r="V5200" s="14">
        <v>0.25</v>
      </c>
      <c r="W5200" s="14">
        <v>0.28000000000000003</v>
      </c>
      <c r="X5200" s="14">
        <v>0.28000000000000003</v>
      </c>
    </row>
    <row r="5201" spans="1:24" hidden="1" x14ac:dyDescent="0.3">
      <c r="A5201" s="14" t="s">
        <v>527</v>
      </c>
      <c r="B5201" s="14" t="s">
        <v>235</v>
      </c>
      <c r="C5201" s="14" t="s">
        <v>351</v>
      </c>
      <c r="D5201" s="14" t="s">
        <v>352</v>
      </c>
      <c r="E5201" s="14" t="s">
        <v>344</v>
      </c>
      <c r="F5201" s="14" t="s">
        <v>343</v>
      </c>
      <c r="G5201" s="14" t="s">
        <v>343</v>
      </c>
      <c r="H5201" s="14" t="s">
        <v>343</v>
      </c>
      <c r="U5201" s="14">
        <v>140</v>
      </c>
      <c r="V5201" s="14">
        <v>145</v>
      </c>
      <c r="W5201" s="14">
        <v>149</v>
      </c>
      <c r="X5201" s="14">
        <v>133</v>
      </c>
    </row>
    <row r="5202" spans="1:24" hidden="1" x14ac:dyDescent="0.3">
      <c r="A5202" s="14" t="s">
        <v>527</v>
      </c>
      <c r="B5202" s="14" t="s">
        <v>235</v>
      </c>
      <c r="C5202" s="14" t="s">
        <v>353</v>
      </c>
      <c r="D5202" s="14" t="s">
        <v>354</v>
      </c>
      <c r="E5202" s="14" t="s">
        <v>342</v>
      </c>
      <c r="F5202" s="14" t="s">
        <v>343</v>
      </c>
      <c r="G5202" s="14" t="s">
        <v>343</v>
      </c>
      <c r="H5202" s="14" t="s">
        <v>343</v>
      </c>
      <c r="U5202" s="14">
        <v>0.66</v>
      </c>
      <c r="V5202" s="14">
        <v>0.66</v>
      </c>
      <c r="W5202" s="14">
        <v>0.66</v>
      </c>
      <c r="X5202" s="14">
        <v>0.69</v>
      </c>
    </row>
    <row r="5203" spans="1:24" hidden="1" x14ac:dyDescent="0.3">
      <c r="A5203" s="14" t="s">
        <v>527</v>
      </c>
      <c r="B5203" s="14" t="s">
        <v>235</v>
      </c>
      <c r="C5203" s="14" t="s">
        <v>353</v>
      </c>
      <c r="D5203" s="14" t="s">
        <v>354</v>
      </c>
      <c r="E5203" s="14" t="s">
        <v>344</v>
      </c>
      <c r="F5203" s="14" t="s">
        <v>343</v>
      </c>
      <c r="G5203" s="14" t="s">
        <v>343</v>
      </c>
      <c r="H5203" s="14" t="s">
        <v>343</v>
      </c>
      <c r="U5203" s="14">
        <v>130</v>
      </c>
      <c r="V5203" s="14">
        <v>142</v>
      </c>
      <c r="W5203" s="14">
        <v>143</v>
      </c>
      <c r="X5203" s="14">
        <v>130</v>
      </c>
    </row>
    <row r="5204" spans="1:24" hidden="1" x14ac:dyDescent="0.3">
      <c r="A5204" s="14" t="s">
        <v>527</v>
      </c>
      <c r="B5204" s="14" t="s">
        <v>235</v>
      </c>
      <c r="C5204" s="14" t="s">
        <v>380</v>
      </c>
      <c r="D5204" s="14" t="s">
        <v>381</v>
      </c>
      <c r="E5204" s="14" t="s">
        <v>342</v>
      </c>
      <c r="F5204" s="14" t="s">
        <v>343</v>
      </c>
      <c r="G5204" s="14" t="s">
        <v>343</v>
      </c>
      <c r="H5204" s="14" t="s">
        <v>343</v>
      </c>
      <c r="U5204" s="14">
        <v>0.94</v>
      </c>
      <c r="V5204" s="14">
        <v>0.94</v>
      </c>
      <c r="W5204" s="14">
        <v>0.95</v>
      </c>
      <c r="X5204" s="14">
        <v>0.98</v>
      </c>
    </row>
    <row r="5205" spans="1:24" hidden="1" x14ac:dyDescent="0.3">
      <c r="A5205" s="14" t="s">
        <v>527</v>
      </c>
      <c r="B5205" s="14" t="s">
        <v>235</v>
      </c>
      <c r="C5205" s="14" t="s">
        <v>380</v>
      </c>
      <c r="D5205" s="14" t="s">
        <v>381</v>
      </c>
      <c r="E5205" s="14" t="s">
        <v>344</v>
      </c>
      <c r="F5205" s="14" t="s">
        <v>343</v>
      </c>
      <c r="G5205" s="14" t="s">
        <v>343</v>
      </c>
      <c r="H5205" s="14" t="s">
        <v>343</v>
      </c>
      <c r="U5205" s="14">
        <v>123</v>
      </c>
      <c r="V5205" s="14">
        <v>132</v>
      </c>
      <c r="W5205" s="14">
        <v>133</v>
      </c>
      <c r="X5205" s="14">
        <v>104</v>
      </c>
    </row>
    <row r="5206" spans="1:24" hidden="1" x14ac:dyDescent="0.3">
      <c r="A5206" s="14" t="s">
        <v>527</v>
      </c>
      <c r="B5206" s="14" t="s">
        <v>235</v>
      </c>
      <c r="C5206" s="14" t="s">
        <v>355</v>
      </c>
      <c r="D5206" s="14" t="s">
        <v>356</v>
      </c>
      <c r="E5206" s="14" t="s">
        <v>342</v>
      </c>
      <c r="F5206" s="14" t="s">
        <v>343</v>
      </c>
      <c r="G5206" s="14" t="s">
        <v>343</v>
      </c>
      <c r="H5206" s="14" t="s">
        <v>343</v>
      </c>
      <c r="U5206" s="14">
        <v>0.69</v>
      </c>
      <c r="V5206" s="14">
        <v>0.69</v>
      </c>
      <c r="W5206" s="14">
        <v>0.69</v>
      </c>
      <c r="X5206" s="14">
        <v>0.73</v>
      </c>
    </row>
    <row r="5207" spans="1:24" hidden="1" x14ac:dyDescent="0.3">
      <c r="A5207" s="14" t="s">
        <v>527</v>
      </c>
      <c r="B5207" s="14" t="s">
        <v>235</v>
      </c>
      <c r="C5207" s="14" t="s">
        <v>355</v>
      </c>
      <c r="D5207" s="14" t="s">
        <v>356</v>
      </c>
      <c r="E5207" s="14" t="s">
        <v>344</v>
      </c>
      <c r="F5207" s="14" t="s">
        <v>343</v>
      </c>
      <c r="G5207" s="14" t="s">
        <v>343</v>
      </c>
      <c r="H5207" s="14" t="s">
        <v>343</v>
      </c>
      <c r="U5207" s="14">
        <v>144</v>
      </c>
      <c r="V5207" s="14">
        <v>148</v>
      </c>
      <c r="W5207" s="14">
        <v>150</v>
      </c>
      <c r="X5207" s="14">
        <v>132</v>
      </c>
    </row>
    <row r="5208" spans="1:24" hidden="1" x14ac:dyDescent="0.3">
      <c r="A5208" s="14" t="s">
        <v>527</v>
      </c>
      <c r="B5208" s="14" t="s">
        <v>235</v>
      </c>
      <c r="C5208" s="14" t="s">
        <v>357</v>
      </c>
      <c r="D5208" s="14" t="s">
        <v>358</v>
      </c>
      <c r="E5208" s="14" t="s">
        <v>342</v>
      </c>
      <c r="F5208" s="14" t="s">
        <v>343</v>
      </c>
      <c r="G5208" s="14" t="s">
        <v>343</v>
      </c>
      <c r="H5208" s="14" t="s">
        <v>343</v>
      </c>
      <c r="U5208" s="14">
        <v>0.45</v>
      </c>
      <c r="V5208" s="14">
        <v>0.51</v>
      </c>
      <c r="W5208" s="14">
        <v>0.51</v>
      </c>
      <c r="X5208" s="14">
        <v>0.56000000000000005</v>
      </c>
    </row>
    <row r="5209" spans="1:24" hidden="1" x14ac:dyDescent="0.3">
      <c r="A5209" s="14" t="s">
        <v>527</v>
      </c>
      <c r="B5209" s="14" t="s">
        <v>235</v>
      </c>
      <c r="C5209" s="14" t="s">
        <v>357</v>
      </c>
      <c r="D5209" s="14" t="s">
        <v>358</v>
      </c>
      <c r="E5209" s="14" t="s">
        <v>344</v>
      </c>
      <c r="F5209" s="14" t="s">
        <v>343</v>
      </c>
      <c r="G5209" s="14" t="s">
        <v>343</v>
      </c>
      <c r="H5209" s="14" t="s">
        <v>343</v>
      </c>
      <c r="U5209" s="14">
        <v>133</v>
      </c>
      <c r="V5209" s="14">
        <v>139</v>
      </c>
      <c r="W5209" s="14">
        <v>140</v>
      </c>
      <c r="X5209" s="14">
        <v>129</v>
      </c>
    </row>
    <row r="5210" spans="1:24" hidden="1" x14ac:dyDescent="0.3">
      <c r="A5210" s="14" t="s">
        <v>527</v>
      </c>
      <c r="B5210" s="14" t="s">
        <v>235</v>
      </c>
      <c r="C5210" s="14" t="s">
        <v>359</v>
      </c>
      <c r="D5210" s="14" t="s">
        <v>360</v>
      </c>
      <c r="E5210" s="14" t="s">
        <v>342</v>
      </c>
      <c r="F5210" s="14" t="s">
        <v>343</v>
      </c>
      <c r="G5210" s="14" t="s">
        <v>343</v>
      </c>
      <c r="H5210" s="14" t="s">
        <v>343</v>
      </c>
      <c r="U5210" s="14">
        <v>0.61</v>
      </c>
      <c r="V5210" s="14">
        <v>0.61</v>
      </c>
      <c r="W5210" s="14">
        <v>0.79</v>
      </c>
      <c r="X5210" s="14">
        <v>0.8</v>
      </c>
    </row>
    <row r="5211" spans="1:24" hidden="1" x14ac:dyDescent="0.3">
      <c r="A5211" s="14" t="s">
        <v>527</v>
      </c>
      <c r="B5211" s="14" t="s">
        <v>235</v>
      </c>
      <c r="C5211" s="14" t="s">
        <v>359</v>
      </c>
      <c r="D5211" s="14" t="s">
        <v>360</v>
      </c>
      <c r="E5211" s="14" t="s">
        <v>344</v>
      </c>
      <c r="F5211" s="14" t="s">
        <v>343</v>
      </c>
      <c r="G5211" s="14" t="s">
        <v>343</v>
      </c>
      <c r="H5211" s="14" t="s">
        <v>343</v>
      </c>
      <c r="U5211" s="14">
        <v>108</v>
      </c>
      <c r="V5211" s="14">
        <v>110</v>
      </c>
      <c r="W5211" s="14">
        <v>21</v>
      </c>
      <c r="X5211" s="14">
        <v>13</v>
      </c>
    </row>
    <row r="5212" spans="1:24" hidden="1" x14ac:dyDescent="0.3">
      <c r="A5212" s="14" t="s">
        <v>527</v>
      </c>
      <c r="B5212" s="14" t="s">
        <v>235</v>
      </c>
      <c r="C5212" s="14" t="s">
        <v>361</v>
      </c>
      <c r="D5212" s="14" t="s">
        <v>362</v>
      </c>
      <c r="E5212" s="14" t="s">
        <v>342</v>
      </c>
      <c r="F5212" s="14" t="s">
        <v>343</v>
      </c>
      <c r="G5212" s="14" t="s">
        <v>343</v>
      </c>
      <c r="H5212" s="14" t="s">
        <v>343</v>
      </c>
      <c r="U5212" s="14">
        <v>0.96</v>
      </c>
      <c r="V5212" s="14">
        <v>0.96</v>
      </c>
      <c r="W5212" s="14">
        <v>0.98</v>
      </c>
      <c r="X5212" s="14">
        <v>0.98</v>
      </c>
    </row>
    <row r="5213" spans="1:24" hidden="1" x14ac:dyDescent="0.3">
      <c r="A5213" s="14" t="s">
        <v>527</v>
      </c>
      <c r="B5213" s="14" t="s">
        <v>235</v>
      </c>
      <c r="C5213" s="14" t="s">
        <v>361</v>
      </c>
      <c r="D5213" s="14" t="s">
        <v>362</v>
      </c>
      <c r="E5213" s="14" t="s">
        <v>344</v>
      </c>
      <c r="F5213" s="14" t="s">
        <v>343</v>
      </c>
      <c r="G5213" s="14" t="s">
        <v>343</v>
      </c>
      <c r="H5213" s="14" t="s">
        <v>343</v>
      </c>
      <c r="U5213" s="14">
        <v>131</v>
      </c>
      <c r="V5213" s="14">
        <v>134</v>
      </c>
      <c r="W5213" s="14">
        <v>38</v>
      </c>
      <c r="X5213" s="14">
        <v>33</v>
      </c>
    </row>
    <row r="5214" spans="1:24" hidden="1" x14ac:dyDescent="0.3">
      <c r="A5214" s="14" t="s">
        <v>527</v>
      </c>
      <c r="B5214" s="14" t="s">
        <v>235</v>
      </c>
      <c r="C5214" s="14" t="s">
        <v>363</v>
      </c>
      <c r="D5214" s="14" t="s">
        <v>364</v>
      </c>
      <c r="E5214" s="14" t="s">
        <v>342</v>
      </c>
      <c r="F5214" s="14" t="s">
        <v>343</v>
      </c>
      <c r="G5214" s="14" t="s">
        <v>343</v>
      </c>
      <c r="H5214" s="14" t="s">
        <v>343</v>
      </c>
      <c r="U5214" s="14">
        <v>1.01</v>
      </c>
      <c r="V5214" s="14">
        <v>1.01</v>
      </c>
      <c r="W5214" s="14">
        <v>1.06</v>
      </c>
      <c r="X5214" s="14">
        <v>1.06</v>
      </c>
    </row>
    <row r="5215" spans="1:24" hidden="1" x14ac:dyDescent="0.3">
      <c r="A5215" s="14" t="s">
        <v>527</v>
      </c>
      <c r="B5215" s="14" t="s">
        <v>235</v>
      </c>
      <c r="C5215" s="14" t="s">
        <v>363</v>
      </c>
      <c r="D5215" s="14" t="s">
        <v>364</v>
      </c>
      <c r="E5215" s="14" t="s">
        <v>344</v>
      </c>
      <c r="F5215" s="14" t="s">
        <v>343</v>
      </c>
      <c r="G5215" s="14" t="s">
        <v>343</v>
      </c>
      <c r="H5215" s="14" t="s">
        <v>343</v>
      </c>
      <c r="U5215" s="14">
        <v>137</v>
      </c>
      <c r="V5215" s="14">
        <v>141</v>
      </c>
      <c r="W5215" s="14">
        <v>49</v>
      </c>
      <c r="X5215" s="14">
        <v>42</v>
      </c>
    </row>
    <row r="5216" spans="1:24" hidden="1" x14ac:dyDescent="0.3">
      <c r="A5216" s="14" t="s">
        <v>527</v>
      </c>
      <c r="B5216" s="14" t="s">
        <v>235</v>
      </c>
      <c r="C5216" s="14" t="s">
        <v>365</v>
      </c>
      <c r="D5216" s="14" t="s">
        <v>366</v>
      </c>
      <c r="E5216" s="14" t="s">
        <v>342</v>
      </c>
      <c r="F5216" s="14" t="s">
        <v>343</v>
      </c>
      <c r="G5216" s="14" t="s">
        <v>343</v>
      </c>
      <c r="H5216" s="14" t="s">
        <v>343</v>
      </c>
      <c r="U5216" s="14">
        <v>0.94</v>
      </c>
      <c r="V5216" s="14">
        <v>0.94</v>
      </c>
      <c r="W5216" s="14">
        <v>0.94</v>
      </c>
      <c r="X5216" s="14">
        <v>0.94</v>
      </c>
    </row>
    <row r="5217" spans="1:24" hidden="1" x14ac:dyDescent="0.3">
      <c r="A5217" s="14" t="s">
        <v>527</v>
      </c>
      <c r="B5217" s="14" t="s">
        <v>235</v>
      </c>
      <c r="C5217" s="14" t="s">
        <v>365</v>
      </c>
      <c r="D5217" s="14" t="s">
        <v>366</v>
      </c>
      <c r="E5217" s="14" t="s">
        <v>344</v>
      </c>
      <c r="F5217" s="14" t="s">
        <v>343</v>
      </c>
      <c r="G5217" s="14" t="s">
        <v>343</v>
      </c>
      <c r="H5217" s="14" t="s">
        <v>343</v>
      </c>
      <c r="U5217" s="14">
        <v>1</v>
      </c>
      <c r="V5217" s="14">
        <v>1</v>
      </c>
      <c r="W5217" s="14">
        <v>1</v>
      </c>
      <c r="X5217" s="14">
        <v>1</v>
      </c>
    </row>
    <row r="5218" spans="1:24" hidden="1" x14ac:dyDescent="0.3">
      <c r="A5218" s="14" t="s">
        <v>527</v>
      </c>
      <c r="B5218" s="14" t="s">
        <v>235</v>
      </c>
      <c r="C5218" s="14" t="s">
        <v>367</v>
      </c>
      <c r="D5218" s="14" t="s">
        <v>368</v>
      </c>
      <c r="E5218" s="14" t="s">
        <v>342</v>
      </c>
      <c r="F5218" s="14" t="s">
        <v>343</v>
      </c>
      <c r="G5218" s="14" t="s">
        <v>343</v>
      </c>
      <c r="H5218" s="14" t="s">
        <v>343</v>
      </c>
      <c r="U5218" s="14">
        <v>0.62</v>
      </c>
      <c r="V5218" s="14">
        <v>0.62</v>
      </c>
      <c r="W5218" s="14">
        <v>0.68</v>
      </c>
      <c r="X5218" s="14">
        <v>0.7</v>
      </c>
    </row>
    <row r="5219" spans="1:24" hidden="1" x14ac:dyDescent="0.3">
      <c r="A5219" s="14" t="s">
        <v>527</v>
      </c>
      <c r="B5219" s="14" t="s">
        <v>235</v>
      </c>
      <c r="C5219" s="14" t="s">
        <v>367</v>
      </c>
      <c r="D5219" s="14" t="s">
        <v>368</v>
      </c>
      <c r="E5219" s="14" t="s">
        <v>344</v>
      </c>
      <c r="F5219" s="14" t="s">
        <v>343</v>
      </c>
      <c r="G5219" s="14" t="s">
        <v>343</v>
      </c>
      <c r="H5219" s="14" t="s">
        <v>343</v>
      </c>
      <c r="U5219" s="14">
        <v>134</v>
      </c>
      <c r="V5219" s="14">
        <v>140</v>
      </c>
      <c r="W5219" s="14">
        <v>105</v>
      </c>
      <c r="X5219" s="14">
        <v>91</v>
      </c>
    </row>
    <row r="5220" spans="1:24" hidden="1" x14ac:dyDescent="0.3">
      <c r="A5220" s="14" t="s">
        <v>527</v>
      </c>
      <c r="B5220" s="14" t="s">
        <v>235</v>
      </c>
      <c r="C5220" s="14" t="s">
        <v>369</v>
      </c>
      <c r="D5220" s="14" t="s">
        <v>370</v>
      </c>
      <c r="E5220" s="14" t="s">
        <v>342</v>
      </c>
      <c r="F5220" s="14" t="s">
        <v>343</v>
      </c>
      <c r="G5220" s="14" t="s">
        <v>343</v>
      </c>
      <c r="H5220" s="14" t="s">
        <v>343</v>
      </c>
      <c r="U5220" s="14">
        <v>0.13</v>
      </c>
      <c r="V5220" s="14">
        <v>0.11</v>
      </c>
      <c r="W5220" s="14">
        <v>0.18</v>
      </c>
      <c r="X5220" s="14">
        <v>0.2</v>
      </c>
    </row>
    <row r="5221" spans="1:24" hidden="1" x14ac:dyDescent="0.3">
      <c r="A5221" s="14" t="s">
        <v>527</v>
      </c>
      <c r="B5221" s="14" t="s">
        <v>235</v>
      </c>
      <c r="C5221" s="14" t="s">
        <v>369</v>
      </c>
      <c r="D5221" s="14" t="s">
        <v>370</v>
      </c>
      <c r="E5221" s="14" t="s">
        <v>344</v>
      </c>
      <c r="F5221" s="14" t="s">
        <v>343</v>
      </c>
      <c r="G5221" s="14" t="s">
        <v>343</v>
      </c>
      <c r="H5221" s="14" t="s">
        <v>343</v>
      </c>
      <c r="U5221" s="14">
        <v>95</v>
      </c>
      <c r="V5221" s="14">
        <v>116</v>
      </c>
      <c r="W5221" s="14">
        <v>81</v>
      </c>
      <c r="X5221" s="14">
        <v>80</v>
      </c>
    </row>
    <row r="5222" spans="1:24" hidden="1" x14ac:dyDescent="0.3">
      <c r="A5222" s="14" t="s">
        <v>527</v>
      </c>
      <c r="B5222" s="14" t="s">
        <v>235</v>
      </c>
      <c r="C5222" s="14" t="s">
        <v>371</v>
      </c>
      <c r="D5222" s="14" t="s">
        <v>372</v>
      </c>
      <c r="E5222" s="14" t="s">
        <v>342</v>
      </c>
      <c r="F5222" s="14" t="s">
        <v>343</v>
      </c>
      <c r="G5222" s="14" t="s">
        <v>343</v>
      </c>
      <c r="H5222" s="14" t="s">
        <v>343</v>
      </c>
      <c r="U5222" s="14">
        <v>0</v>
      </c>
      <c r="V5222" s="14">
        <v>0</v>
      </c>
      <c r="W5222" s="14">
        <v>0.01</v>
      </c>
      <c r="X5222" s="14">
        <v>0.03</v>
      </c>
    </row>
    <row r="5223" spans="1:24" hidden="1" x14ac:dyDescent="0.3">
      <c r="A5223" s="14" t="s">
        <v>527</v>
      </c>
      <c r="B5223" s="14" t="s">
        <v>235</v>
      </c>
      <c r="C5223" s="14" t="s">
        <v>371</v>
      </c>
      <c r="D5223" s="14" t="s">
        <v>372</v>
      </c>
      <c r="E5223" s="14" t="s">
        <v>344</v>
      </c>
      <c r="F5223" s="14" t="s">
        <v>343</v>
      </c>
      <c r="G5223" s="14" t="s">
        <v>343</v>
      </c>
      <c r="H5223" s="14" t="s">
        <v>343</v>
      </c>
      <c r="U5223" s="14">
        <v>71</v>
      </c>
      <c r="V5223" s="14">
        <v>73</v>
      </c>
      <c r="W5223" s="14">
        <v>68</v>
      </c>
      <c r="X5223" s="14">
        <v>58</v>
      </c>
    </row>
    <row r="5224" spans="1:24" hidden="1" x14ac:dyDescent="0.3">
      <c r="A5224" s="14" t="s">
        <v>527</v>
      </c>
      <c r="B5224" s="14" t="s">
        <v>235</v>
      </c>
      <c r="C5224" s="14" t="s">
        <v>373</v>
      </c>
      <c r="D5224" s="14" t="s">
        <v>374</v>
      </c>
      <c r="E5224" s="14" t="s">
        <v>342</v>
      </c>
      <c r="F5224" s="14" t="s">
        <v>343</v>
      </c>
      <c r="G5224" s="14" t="s">
        <v>343</v>
      </c>
      <c r="H5224" s="14" t="s">
        <v>343</v>
      </c>
      <c r="U5224" s="14">
        <v>0.25</v>
      </c>
      <c r="V5224" s="14">
        <v>0.2</v>
      </c>
      <c r="W5224" s="14">
        <v>0.45</v>
      </c>
      <c r="X5224" s="14">
        <v>0.45</v>
      </c>
    </row>
    <row r="5225" spans="1:24" hidden="1" x14ac:dyDescent="0.3">
      <c r="A5225" s="14" t="s">
        <v>527</v>
      </c>
      <c r="B5225" s="14" t="s">
        <v>235</v>
      </c>
      <c r="C5225" s="14" t="s">
        <v>373</v>
      </c>
      <c r="D5225" s="14" t="s">
        <v>374</v>
      </c>
      <c r="E5225" s="14" t="s">
        <v>344</v>
      </c>
      <c r="F5225" s="14" t="s">
        <v>343</v>
      </c>
      <c r="G5225" s="14" t="s">
        <v>343</v>
      </c>
      <c r="H5225" s="14" t="s">
        <v>343</v>
      </c>
      <c r="U5225" s="14">
        <v>68</v>
      </c>
      <c r="V5225" s="14">
        <v>94</v>
      </c>
      <c r="W5225" s="14">
        <v>48</v>
      </c>
      <c r="X5225" s="14">
        <v>47</v>
      </c>
    </row>
    <row r="5226" spans="1:24" hidden="1" x14ac:dyDescent="0.3">
      <c r="A5226" s="14" t="s">
        <v>527</v>
      </c>
      <c r="B5226" s="14" t="s">
        <v>235</v>
      </c>
      <c r="C5226" s="14" t="s">
        <v>375</v>
      </c>
      <c r="D5226" s="14" t="s">
        <v>376</v>
      </c>
      <c r="E5226" s="14" t="s">
        <v>342</v>
      </c>
      <c r="F5226" s="14" t="s">
        <v>343</v>
      </c>
      <c r="G5226" s="14" t="s">
        <v>343</v>
      </c>
      <c r="H5226" s="14" t="s">
        <v>343</v>
      </c>
      <c r="U5226" s="14">
        <v>0.21</v>
      </c>
      <c r="V5226" s="14">
        <v>0.2</v>
      </c>
      <c r="W5226" s="14">
        <v>0.23</v>
      </c>
      <c r="X5226" s="14">
        <v>0.23</v>
      </c>
    </row>
    <row r="5227" spans="1:24" hidden="1" x14ac:dyDescent="0.3">
      <c r="A5227" s="14" t="s">
        <v>527</v>
      </c>
      <c r="B5227" s="14" t="s">
        <v>235</v>
      </c>
      <c r="C5227" s="14" t="s">
        <v>375</v>
      </c>
      <c r="D5227" s="14" t="s">
        <v>376</v>
      </c>
      <c r="E5227" s="14" t="s">
        <v>344</v>
      </c>
      <c r="F5227" s="14" t="s">
        <v>343</v>
      </c>
      <c r="G5227" s="14" t="s">
        <v>343</v>
      </c>
      <c r="H5227" s="14" t="s">
        <v>343</v>
      </c>
      <c r="U5227" s="14">
        <v>98</v>
      </c>
      <c r="V5227" s="14">
        <v>109</v>
      </c>
      <c r="W5227" s="14">
        <v>109</v>
      </c>
      <c r="X5227" s="14">
        <v>103</v>
      </c>
    </row>
    <row r="5228" spans="1:24" hidden="1" x14ac:dyDescent="0.3">
      <c r="A5228" s="14" t="s">
        <v>528</v>
      </c>
      <c r="B5228" s="14" t="s">
        <v>233</v>
      </c>
      <c r="C5228" s="14" t="s">
        <v>340</v>
      </c>
      <c r="D5228" s="14" t="s">
        <v>341</v>
      </c>
      <c r="E5228" s="14" t="s">
        <v>342</v>
      </c>
      <c r="F5228" s="14" t="s">
        <v>343</v>
      </c>
      <c r="G5228" s="14" t="s">
        <v>343</v>
      </c>
      <c r="H5228" s="14" t="s">
        <v>343</v>
      </c>
      <c r="I5228" s="14">
        <v>0.97</v>
      </c>
      <c r="J5228" s="14">
        <v>0.97</v>
      </c>
      <c r="K5228" s="14">
        <v>0.99</v>
      </c>
      <c r="L5228" s="14">
        <v>0.99</v>
      </c>
      <c r="M5228" s="14">
        <v>0.99</v>
      </c>
      <c r="N5228" s="14">
        <v>0.99</v>
      </c>
      <c r="O5228" s="14">
        <v>0.99</v>
      </c>
      <c r="P5228" s="14">
        <v>0.99</v>
      </c>
      <c r="Q5228" s="14">
        <v>0.99</v>
      </c>
      <c r="R5228" s="14">
        <v>0.99</v>
      </c>
      <c r="S5228" s="14">
        <v>0.99</v>
      </c>
      <c r="T5228" s="14">
        <v>0.96</v>
      </c>
      <c r="U5228" s="14">
        <v>0.99</v>
      </c>
      <c r="V5228" s="14">
        <v>0.99</v>
      </c>
      <c r="W5228" s="14">
        <v>0.99</v>
      </c>
      <c r="X5228" s="14">
        <v>0.98</v>
      </c>
    </row>
    <row r="5229" spans="1:24" hidden="1" x14ac:dyDescent="0.3">
      <c r="A5229" s="14" t="s">
        <v>528</v>
      </c>
      <c r="B5229" s="14" t="s">
        <v>233</v>
      </c>
      <c r="C5229" s="14" t="s">
        <v>340</v>
      </c>
      <c r="D5229" s="14" t="s">
        <v>341</v>
      </c>
      <c r="E5229" s="14" t="s">
        <v>344</v>
      </c>
      <c r="F5229" s="14" t="s">
        <v>343</v>
      </c>
      <c r="G5229" s="14" t="s">
        <v>343</v>
      </c>
      <c r="H5229" s="14" t="s">
        <v>343</v>
      </c>
      <c r="I5229" s="14">
        <v>71</v>
      </c>
      <c r="J5229" s="14">
        <v>81</v>
      </c>
      <c r="K5229" s="14">
        <v>69</v>
      </c>
      <c r="L5229" s="14">
        <v>62</v>
      </c>
      <c r="M5229" s="14">
        <v>84</v>
      </c>
      <c r="N5229" s="14">
        <v>82</v>
      </c>
      <c r="O5229" s="14">
        <v>78</v>
      </c>
      <c r="P5229" s="14">
        <v>78</v>
      </c>
      <c r="Q5229" s="14">
        <v>64</v>
      </c>
      <c r="R5229" s="14">
        <v>67</v>
      </c>
      <c r="S5229" s="14">
        <v>74</v>
      </c>
      <c r="T5229" s="14">
        <v>106</v>
      </c>
      <c r="U5229" s="14">
        <v>81</v>
      </c>
      <c r="V5229" s="14">
        <v>80</v>
      </c>
      <c r="X5229" s="14">
        <v>92</v>
      </c>
    </row>
    <row r="5230" spans="1:24" hidden="1" x14ac:dyDescent="0.3">
      <c r="A5230" s="14" t="s">
        <v>528</v>
      </c>
      <c r="B5230" s="14" t="s">
        <v>233</v>
      </c>
      <c r="C5230" s="14" t="s">
        <v>345</v>
      </c>
      <c r="D5230" s="14" t="s">
        <v>346</v>
      </c>
      <c r="E5230" s="14" t="s">
        <v>342</v>
      </c>
      <c r="F5230" s="14" t="s">
        <v>343</v>
      </c>
      <c r="G5230" s="14" t="s">
        <v>343</v>
      </c>
      <c r="H5230" s="14" t="s">
        <v>343</v>
      </c>
      <c r="U5230" s="14">
        <v>0.79</v>
      </c>
      <c r="V5230" s="14">
        <v>0.81</v>
      </c>
      <c r="W5230" s="14">
        <v>0.81</v>
      </c>
      <c r="X5230" s="14">
        <v>0.83</v>
      </c>
    </row>
    <row r="5231" spans="1:24" hidden="1" x14ac:dyDescent="0.3">
      <c r="A5231" s="14" t="s">
        <v>528</v>
      </c>
      <c r="B5231" s="14" t="s">
        <v>233</v>
      </c>
      <c r="C5231" s="14" t="s">
        <v>345</v>
      </c>
      <c r="D5231" s="14" t="s">
        <v>346</v>
      </c>
      <c r="E5231" s="14" t="s">
        <v>344</v>
      </c>
      <c r="F5231" s="14" t="s">
        <v>343</v>
      </c>
      <c r="G5231" s="14" t="s">
        <v>343</v>
      </c>
      <c r="H5231" s="14" t="s">
        <v>343</v>
      </c>
      <c r="U5231" s="14">
        <v>12</v>
      </c>
      <c r="V5231" s="14">
        <v>11</v>
      </c>
      <c r="W5231" s="14">
        <v>12</v>
      </c>
      <c r="X5231" s="14">
        <v>8</v>
      </c>
    </row>
    <row r="5232" spans="1:24" hidden="1" x14ac:dyDescent="0.3">
      <c r="A5232" s="14" t="s">
        <v>528</v>
      </c>
      <c r="B5232" s="14" t="s">
        <v>233</v>
      </c>
      <c r="C5232" s="14" t="s">
        <v>347</v>
      </c>
      <c r="D5232" s="14" t="s">
        <v>348</v>
      </c>
      <c r="E5232" s="14" t="s">
        <v>342</v>
      </c>
      <c r="F5232" s="14" t="s">
        <v>343</v>
      </c>
      <c r="G5232" s="14" t="s">
        <v>343</v>
      </c>
      <c r="H5232" s="14" t="s">
        <v>343</v>
      </c>
      <c r="U5232" s="14">
        <v>0.82</v>
      </c>
      <c r="V5232" s="14">
        <v>0.82</v>
      </c>
      <c r="W5232" s="14">
        <v>0.82</v>
      </c>
      <c r="X5232" s="14">
        <v>0.79</v>
      </c>
    </row>
    <row r="5233" spans="1:24" hidden="1" x14ac:dyDescent="0.3">
      <c r="A5233" s="14" t="s">
        <v>528</v>
      </c>
      <c r="B5233" s="14" t="s">
        <v>233</v>
      </c>
      <c r="C5233" s="14" t="s">
        <v>347</v>
      </c>
      <c r="D5233" s="14" t="s">
        <v>348</v>
      </c>
      <c r="E5233" s="14" t="s">
        <v>344</v>
      </c>
      <c r="F5233" s="14" t="s">
        <v>343</v>
      </c>
      <c r="G5233" s="14" t="s">
        <v>343</v>
      </c>
      <c r="H5233" s="14" t="s">
        <v>343</v>
      </c>
      <c r="U5233" s="14">
        <v>73</v>
      </c>
      <c r="V5233" s="14">
        <v>78</v>
      </c>
      <c r="W5233" s="14">
        <v>79</v>
      </c>
      <c r="X5233" s="14">
        <v>67</v>
      </c>
    </row>
    <row r="5234" spans="1:24" hidden="1" x14ac:dyDescent="0.3">
      <c r="A5234" s="14" t="s">
        <v>528</v>
      </c>
      <c r="B5234" s="14" t="s">
        <v>233</v>
      </c>
      <c r="C5234" s="14" t="s">
        <v>349</v>
      </c>
      <c r="D5234" s="14" t="s">
        <v>350</v>
      </c>
      <c r="E5234" s="14" t="s">
        <v>342</v>
      </c>
      <c r="F5234" s="14" t="s">
        <v>343</v>
      </c>
      <c r="G5234" s="14" t="s">
        <v>343</v>
      </c>
      <c r="H5234" s="14" t="s">
        <v>343</v>
      </c>
      <c r="U5234" s="14">
        <v>0.49</v>
      </c>
      <c r="V5234" s="14">
        <v>0.51</v>
      </c>
      <c r="W5234" s="14">
        <v>0.54</v>
      </c>
      <c r="X5234" s="14">
        <v>0.64</v>
      </c>
    </row>
    <row r="5235" spans="1:24" hidden="1" x14ac:dyDescent="0.3">
      <c r="A5235" s="14" t="s">
        <v>528</v>
      </c>
      <c r="B5235" s="14" t="s">
        <v>233</v>
      </c>
      <c r="C5235" s="14" t="s">
        <v>349</v>
      </c>
      <c r="D5235" s="14" t="s">
        <v>350</v>
      </c>
      <c r="E5235" s="14" t="s">
        <v>344</v>
      </c>
      <c r="F5235" s="14" t="s">
        <v>343</v>
      </c>
      <c r="G5235" s="14" t="s">
        <v>343</v>
      </c>
      <c r="H5235" s="14" t="s">
        <v>343</v>
      </c>
      <c r="U5235" s="14">
        <v>66</v>
      </c>
      <c r="V5235" s="14">
        <v>65</v>
      </c>
      <c r="W5235" s="14">
        <v>64</v>
      </c>
      <c r="X5235" s="14">
        <v>38</v>
      </c>
    </row>
    <row r="5236" spans="1:24" hidden="1" x14ac:dyDescent="0.3">
      <c r="A5236" s="14" t="s">
        <v>528</v>
      </c>
      <c r="B5236" s="14" t="s">
        <v>233</v>
      </c>
      <c r="C5236" s="14" t="s">
        <v>351</v>
      </c>
      <c r="D5236" s="14" t="s">
        <v>352</v>
      </c>
      <c r="E5236" s="14" t="s">
        <v>342</v>
      </c>
      <c r="F5236" s="14" t="s">
        <v>343</v>
      </c>
      <c r="G5236" s="14" t="s">
        <v>343</v>
      </c>
      <c r="H5236" s="14" t="s">
        <v>343</v>
      </c>
      <c r="U5236" s="14">
        <v>1</v>
      </c>
      <c r="V5236" s="14">
        <v>1</v>
      </c>
      <c r="W5236" s="14">
        <v>1</v>
      </c>
      <c r="X5236" s="14">
        <v>1</v>
      </c>
    </row>
    <row r="5237" spans="1:24" hidden="1" x14ac:dyDescent="0.3">
      <c r="A5237" s="14" t="s">
        <v>528</v>
      </c>
      <c r="B5237" s="14" t="s">
        <v>233</v>
      </c>
      <c r="C5237" s="14" t="s">
        <v>351</v>
      </c>
      <c r="D5237" s="14" t="s">
        <v>352</v>
      </c>
      <c r="E5237" s="14" t="s">
        <v>344</v>
      </c>
      <c r="F5237" s="14" t="s">
        <v>343</v>
      </c>
      <c r="G5237" s="14" t="s">
        <v>343</v>
      </c>
      <c r="H5237" s="14" t="s">
        <v>343</v>
      </c>
      <c r="U5237" s="14">
        <v>1</v>
      </c>
      <c r="V5237" s="14">
        <v>1</v>
      </c>
      <c r="W5237" s="14">
        <v>1</v>
      </c>
      <c r="X5237" s="14">
        <v>1</v>
      </c>
    </row>
    <row r="5238" spans="1:24" hidden="1" x14ac:dyDescent="0.3">
      <c r="A5238" s="14" t="s">
        <v>528</v>
      </c>
      <c r="B5238" s="14" t="s">
        <v>233</v>
      </c>
      <c r="C5238" s="14" t="s">
        <v>378</v>
      </c>
      <c r="D5238" s="14" t="s">
        <v>379</v>
      </c>
      <c r="E5238" s="14" t="s">
        <v>342</v>
      </c>
      <c r="F5238" s="14" t="s">
        <v>343</v>
      </c>
      <c r="G5238" s="14" t="s">
        <v>343</v>
      </c>
      <c r="H5238" s="14" t="s">
        <v>343</v>
      </c>
      <c r="S5238" s="14">
        <v>0.77</v>
      </c>
      <c r="U5238" s="14">
        <v>0.75</v>
      </c>
      <c r="V5238" s="14">
        <v>0.76</v>
      </c>
      <c r="W5238" s="14">
        <v>0.78</v>
      </c>
      <c r="X5238" s="14">
        <v>0.77</v>
      </c>
    </row>
    <row r="5239" spans="1:24" hidden="1" x14ac:dyDescent="0.3">
      <c r="A5239" s="14" t="s">
        <v>528</v>
      </c>
      <c r="B5239" s="14" t="s">
        <v>233</v>
      </c>
      <c r="C5239" s="14" t="s">
        <v>378</v>
      </c>
      <c r="D5239" s="14" t="s">
        <v>379</v>
      </c>
      <c r="E5239" s="14" t="s">
        <v>344</v>
      </c>
      <c r="F5239" s="14" t="s">
        <v>343</v>
      </c>
      <c r="G5239" s="14" t="s">
        <v>343</v>
      </c>
      <c r="H5239" s="14" t="s">
        <v>343</v>
      </c>
      <c r="S5239" s="14">
        <v>16</v>
      </c>
      <c r="U5239" s="14">
        <v>20</v>
      </c>
      <c r="V5239" s="14">
        <v>11</v>
      </c>
      <c r="W5239" s="14">
        <v>14</v>
      </c>
      <c r="X5239" s="14">
        <v>13</v>
      </c>
    </row>
    <row r="5240" spans="1:24" hidden="1" x14ac:dyDescent="0.3">
      <c r="A5240" s="14" t="s">
        <v>528</v>
      </c>
      <c r="B5240" s="14" t="s">
        <v>233</v>
      </c>
      <c r="C5240" s="14" t="s">
        <v>353</v>
      </c>
      <c r="D5240" s="14" t="s">
        <v>354</v>
      </c>
      <c r="E5240" s="14" t="s">
        <v>342</v>
      </c>
      <c r="F5240" s="14" t="s">
        <v>343</v>
      </c>
      <c r="G5240" s="14" t="s">
        <v>343</v>
      </c>
      <c r="H5240" s="14" t="s">
        <v>343</v>
      </c>
      <c r="U5240" s="14">
        <v>0.96</v>
      </c>
      <c r="V5240" s="14">
        <v>0.96</v>
      </c>
      <c r="W5240" s="14">
        <v>0.97</v>
      </c>
      <c r="X5240" s="14">
        <v>0.97</v>
      </c>
    </row>
    <row r="5241" spans="1:24" hidden="1" x14ac:dyDescent="0.3">
      <c r="A5241" s="14" t="s">
        <v>528</v>
      </c>
      <c r="B5241" s="14" t="s">
        <v>233</v>
      </c>
      <c r="C5241" s="14" t="s">
        <v>353</v>
      </c>
      <c r="D5241" s="14" t="s">
        <v>354</v>
      </c>
      <c r="E5241" s="14" t="s">
        <v>344</v>
      </c>
      <c r="F5241" s="14" t="s">
        <v>343</v>
      </c>
      <c r="G5241" s="14" t="s">
        <v>343</v>
      </c>
      <c r="H5241" s="14" t="s">
        <v>343</v>
      </c>
      <c r="U5241" s="14">
        <v>85</v>
      </c>
      <c r="V5241" s="14">
        <v>93</v>
      </c>
      <c r="W5241" s="14">
        <v>90</v>
      </c>
      <c r="X5241" s="14">
        <v>87</v>
      </c>
    </row>
    <row r="5242" spans="1:24" hidden="1" x14ac:dyDescent="0.3">
      <c r="A5242" s="14" t="s">
        <v>528</v>
      </c>
      <c r="B5242" s="14" t="s">
        <v>233</v>
      </c>
      <c r="C5242" s="14" t="s">
        <v>380</v>
      </c>
      <c r="D5242" s="14" t="s">
        <v>381</v>
      </c>
      <c r="E5242" s="14" t="s">
        <v>342</v>
      </c>
      <c r="F5242" s="14" t="s">
        <v>343</v>
      </c>
      <c r="G5242" s="14" t="s">
        <v>343</v>
      </c>
      <c r="H5242" s="14" t="s">
        <v>343</v>
      </c>
      <c r="U5242" s="14">
        <v>1</v>
      </c>
      <c r="V5242" s="14">
        <v>1</v>
      </c>
      <c r="W5242" s="14">
        <v>1</v>
      </c>
    </row>
    <row r="5243" spans="1:24" hidden="1" x14ac:dyDescent="0.3">
      <c r="A5243" s="14" t="s">
        <v>528</v>
      </c>
      <c r="B5243" s="14" t="s">
        <v>233</v>
      </c>
      <c r="C5243" s="14" t="s">
        <v>380</v>
      </c>
      <c r="D5243" s="14" t="s">
        <v>381</v>
      </c>
      <c r="E5243" s="14" t="s">
        <v>344</v>
      </c>
      <c r="F5243" s="14" t="s">
        <v>343</v>
      </c>
      <c r="G5243" s="14" t="s">
        <v>343</v>
      </c>
      <c r="H5243" s="14" t="s">
        <v>343</v>
      </c>
      <c r="U5243" s="14">
        <v>83</v>
      </c>
      <c r="V5243" s="14">
        <v>99</v>
      </c>
      <c r="W5243" s="14">
        <v>101</v>
      </c>
    </row>
    <row r="5244" spans="1:24" hidden="1" x14ac:dyDescent="0.3">
      <c r="A5244" s="14" t="s">
        <v>528</v>
      </c>
      <c r="B5244" s="14" t="s">
        <v>233</v>
      </c>
      <c r="C5244" s="14" t="s">
        <v>355</v>
      </c>
      <c r="D5244" s="14" t="s">
        <v>356</v>
      </c>
      <c r="E5244" s="14" t="s">
        <v>342</v>
      </c>
      <c r="F5244" s="14" t="s">
        <v>343</v>
      </c>
      <c r="G5244" s="14" t="s">
        <v>343</v>
      </c>
      <c r="H5244" s="14" t="s">
        <v>343</v>
      </c>
      <c r="U5244" s="14">
        <v>1</v>
      </c>
      <c r="V5244" s="14">
        <v>1</v>
      </c>
      <c r="W5244" s="14">
        <v>1</v>
      </c>
      <c r="X5244" s="14">
        <v>0.98</v>
      </c>
    </row>
    <row r="5245" spans="1:24" hidden="1" x14ac:dyDescent="0.3">
      <c r="A5245" s="14" t="s">
        <v>528</v>
      </c>
      <c r="B5245" s="14" t="s">
        <v>233</v>
      </c>
      <c r="C5245" s="14" t="s">
        <v>355</v>
      </c>
      <c r="D5245" s="14" t="s">
        <v>356</v>
      </c>
      <c r="E5245" s="14" t="s">
        <v>344</v>
      </c>
      <c r="F5245" s="14" t="s">
        <v>343</v>
      </c>
      <c r="G5245" s="14" t="s">
        <v>343</v>
      </c>
      <c r="H5245" s="14" t="s">
        <v>343</v>
      </c>
      <c r="U5245" s="14">
        <v>1</v>
      </c>
      <c r="V5245" s="14">
        <v>1</v>
      </c>
      <c r="W5245" s="14">
        <v>1</v>
      </c>
      <c r="X5245" s="14">
        <v>96</v>
      </c>
    </row>
    <row r="5246" spans="1:24" hidden="1" x14ac:dyDescent="0.3">
      <c r="A5246" s="14" t="s">
        <v>528</v>
      </c>
      <c r="B5246" s="14" t="s">
        <v>233</v>
      </c>
      <c r="C5246" s="14" t="s">
        <v>357</v>
      </c>
      <c r="D5246" s="14" t="s">
        <v>358</v>
      </c>
      <c r="E5246" s="14" t="s">
        <v>342</v>
      </c>
      <c r="F5246" s="14" t="s">
        <v>343</v>
      </c>
      <c r="G5246" s="14" t="s">
        <v>343</v>
      </c>
      <c r="H5246" s="14" t="s">
        <v>343</v>
      </c>
      <c r="U5246" s="14">
        <v>1</v>
      </c>
      <c r="V5246" s="14">
        <v>1</v>
      </c>
      <c r="W5246" s="14">
        <v>1</v>
      </c>
      <c r="X5246" s="14">
        <v>1</v>
      </c>
    </row>
    <row r="5247" spans="1:24" hidden="1" x14ac:dyDescent="0.3">
      <c r="A5247" s="14" t="s">
        <v>528</v>
      </c>
      <c r="B5247" s="14" t="s">
        <v>233</v>
      </c>
      <c r="C5247" s="14" t="s">
        <v>357</v>
      </c>
      <c r="D5247" s="14" t="s">
        <v>358</v>
      </c>
      <c r="E5247" s="14" t="s">
        <v>344</v>
      </c>
      <c r="F5247" s="14" t="s">
        <v>343</v>
      </c>
      <c r="G5247" s="14" t="s">
        <v>343</v>
      </c>
      <c r="H5247" s="14" t="s">
        <v>343</v>
      </c>
      <c r="U5247" s="14">
        <v>1</v>
      </c>
      <c r="V5247" s="14">
        <v>1</v>
      </c>
      <c r="W5247" s="14">
        <v>1</v>
      </c>
      <c r="X5247" s="14">
        <v>1</v>
      </c>
    </row>
    <row r="5248" spans="1:24" hidden="1" x14ac:dyDescent="0.3">
      <c r="A5248" s="14" t="s">
        <v>528</v>
      </c>
      <c r="B5248" s="14" t="s">
        <v>233</v>
      </c>
      <c r="C5248" s="14" t="s">
        <v>359</v>
      </c>
      <c r="D5248" s="14" t="s">
        <v>360</v>
      </c>
      <c r="E5248" s="14" t="s">
        <v>342</v>
      </c>
      <c r="F5248" s="14" t="s">
        <v>343</v>
      </c>
      <c r="G5248" s="14" t="s">
        <v>343</v>
      </c>
      <c r="H5248" s="14" t="s">
        <v>343</v>
      </c>
      <c r="I5248" s="14">
        <v>0.72</v>
      </c>
      <c r="J5248" s="14">
        <v>0.72</v>
      </c>
      <c r="K5248" s="14">
        <v>0.73</v>
      </c>
      <c r="L5248" s="14">
        <v>0.72</v>
      </c>
      <c r="M5248" s="14">
        <v>0.72</v>
      </c>
      <c r="N5248" s="14">
        <v>0.71</v>
      </c>
      <c r="O5248" s="14">
        <v>0.7</v>
      </c>
      <c r="P5248" s="14">
        <v>0.7</v>
      </c>
      <c r="Q5248" s="14">
        <v>0.77</v>
      </c>
      <c r="R5248" s="14">
        <v>0.79</v>
      </c>
      <c r="S5248" s="14">
        <v>0.77</v>
      </c>
      <c r="T5248" s="14">
        <v>0.77</v>
      </c>
      <c r="U5248" s="14">
        <v>0.76</v>
      </c>
      <c r="V5248" s="14">
        <v>0.78</v>
      </c>
      <c r="W5248" s="14">
        <v>0.79</v>
      </c>
      <c r="X5248" s="14">
        <v>0.8</v>
      </c>
    </row>
    <row r="5249" spans="1:24" hidden="1" x14ac:dyDescent="0.3">
      <c r="A5249" s="14" t="s">
        <v>528</v>
      </c>
      <c r="B5249" s="14" t="s">
        <v>233</v>
      </c>
      <c r="C5249" s="14" t="s">
        <v>359</v>
      </c>
      <c r="D5249" s="14" t="s">
        <v>360</v>
      </c>
      <c r="E5249" s="14" t="s">
        <v>344</v>
      </c>
      <c r="F5249" s="14" t="s">
        <v>343</v>
      </c>
      <c r="G5249" s="14" t="s">
        <v>343</v>
      </c>
      <c r="H5249" s="14" t="s">
        <v>343</v>
      </c>
      <c r="I5249" s="14">
        <v>13</v>
      </c>
      <c r="J5249" s="14">
        <v>21</v>
      </c>
      <c r="K5249" s="14">
        <v>25</v>
      </c>
      <c r="L5249" s="14">
        <v>30</v>
      </c>
      <c r="M5249" s="14">
        <v>36</v>
      </c>
      <c r="N5249" s="14">
        <v>41</v>
      </c>
      <c r="O5249" s="14">
        <v>49</v>
      </c>
      <c r="P5249" s="14">
        <v>50</v>
      </c>
      <c r="Q5249" s="14">
        <v>26</v>
      </c>
      <c r="R5249" s="14">
        <v>19</v>
      </c>
      <c r="S5249" s="14">
        <v>22</v>
      </c>
      <c r="T5249" s="14">
        <v>24</v>
      </c>
      <c r="U5249" s="14">
        <v>22</v>
      </c>
      <c r="V5249" s="14">
        <v>22</v>
      </c>
      <c r="W5249" s="14">
        <v>22</v>
      </c>
      <c r="X5249" s="14">
        <v>15</v>
      </c>
    </row>
    <row r="5250" spans="1:24" x14ac:dyDescent="0.3">
      <c r="A5250" s="14" t="s">
        <v>528</v>
      </c>
      <c r="B5250" s="14" t="s">
        <v>233</v>
      </c>
      <c r="C5250" s="14" t="s">
        <v>361</v>
      </c>
      <c r="D5250" s="14" t="s">
        <v>362</v>
      </c>
      <c r="E5250" s="14" t="s">
        <v>342</v>
      </c>
      <c r="F5250" s="14" t="s">
        <v>343</v>
      </c>
      <c r="G5250" s="14" t="s">
        <v>343</v>
      </c>
      <c r="H5250" s="14" t="s">
        <v>343</v>
      </c>
      <c r="I5250" s="14">
        <v>0.98</v>
      </c>
      <c r="J5250" s="14">
        <v>0.98</v>
      </c>
      <c r="K5250" s="14">
        <v>0.98</v>
      </c>
      <c r="L5250" s="14">
        <v>0.98</v>
      </c>
      <c r="M5250" s="14">
        <v>0.98</v>
      </c>
      <c r="N5250" s="14">
        <v>0.98</v>
      </c>
      <c r="O5250" s="14">
        <v>0.98</v>
      </c>
      <c r="P5250" s="14">
        <v>0.98</v>
      </c>
      <c r="Q5250" s="14">
        <v>0.98</v>
      </c>
      <c r="R5250" s="14">
        <v>0.98</v>
      </c>
      <c r="S5250" s="14">
        <v>0.98</v>
      </c>
      <c r="T5250" s="14">
        <v>0.98</v>
      </c>
      <c r="U5250" s="14">
        <v>0.98</v>
      </c>
      <c r="V5250" s="14">
        <v>0.98</v>
      </c>
      <c r="W5250" s="14">
        <v>0.98</v>
      </c>
      <c r="X5250" s="14">
        <v>0.98</v>
      </c>
    </row>
    <row r="5251" spans="1:24" hidden="1" x14ac:dyDescent="0.3">
      <c r="A5251" s="14" t="s">
        <v>528</v>
      </c>
      <c r="B5251" s="14" t="s">
        <v>233</v>
      </c>
      <c r="C5251" s="14" t="s">
        <v>361</v>
      </c>
      <c r="D5251" s="14" t="s">
        <v>362</v>
      </c>
      <c r="E5251" s="14" t="s">
        <v>344</v>
      </c>
      <c r="F5251" s="14" t="s">
        <v>343</v>
      </c>
      <c r="G5251" s="14" t="s">
        <v>343</v>
      </c>
      <c r="H5251" s="14" t="s">
        <v>343</v>
      </c>
      <c r="I5251" s="14">
        <v>1</v>
      </c>
      <c r="J5251" s="14">
        <v>1</v>
      </c>
      <c r="K5251" s="14">
        <v>1</v>
      </c>
      <c r="L5251" s="14">
        <v>1</v>
      </c>
      <c r="M5251" s="14">
        <v>1</v>
      </c>
      <c r="N5251" s="14">
        <v>1</v>
      </c>
      <c r="O5251" s="14">
        <v>1</v>
      </c>
      <c r="P5251" s="14">
        <v>1</v>
      </c>
      <c r="Q5251" s="14">
        <v>1</v>
      </c>
      <c r="R5251" s="14">
        <v>1</v>
      </c>
      <c r="S5251" s="14">
        <v>1</v>
      </c>
      <c r="T5251" s="14">
        <v>51</v>
      </c>
      <c r="U5251" s="14">
        <v>56</v>
      </c>
      <c r="V5251" s="14">
        <v>52</v>
      </c>
      <c r="W5251" s="14">
        <v>41</v>
      </c>
      <c r="X5251" s="14">
        <v>37</v>
      </c>
    </row>
    <row r="5252" spans="1:24" hidden="1" x14ac:dyDescent="0.3">
      <c r="A5252" s="14" t="s">
        <v>528</v>
      </c>
      <c r="B5252" s="14" t="s">
        <v>233</v>
      </c>
      <c r="C5252" s="14" t="s">
        <v>363</v>
      </c>
      <c r="D5252" s="14" t="s">
        <v>364</v>
      </c>
      <c r="E5252" s="14" t="s">
        <v>342</v>
      </c>
      <c r="F5252" s="14" t="s">
        <v>343</v>
      </c>
      <c r="G5252" s="14" t="s">
        <v>343</v>
      </c>
      <c r="H5252" s="14" t="s">
        <v>343</v>
      </c>
      <c r="U5252" s="14">
        <v>1.06</v>
      </c>
      <c r="V5252" s="14">
        <v>1.06</v>
      </c>
      <c r="W5252" s="14">
        <v>1.06</v>
      </c>
      <c r="X5252" s="14">
        <v>1.06</v>
      </c>
    </row>
    <row r="5253" spans="1:24" hidden="1" x14ac:dyDescent="0.3">
      <c r="A5253" s="14" t="s">
        <v>528</v>
      </c>
      <c r="B5253" s="14" t="s">
        <v>233</v>
      </c>
      <c r="C5253" s="14" t="s">
        <v>363</v>
      </c>
      <c r="D5253" s="14" t="s">
        <v>364</v>
      </c>
      <c r="E5253" s="14" t="s">
        <v>344</v>
      </c>
      <c r="F5253" s="14" t="s">
        <v>343</v>
      </c>
      <c r="G5253" s="14" t="s">
        <v>343</v>
      </c>
      <c r="H5253" s="14" t="s">
        <v>343</v>
      </c>
      <c r="U5253" s="14">
        <v>1</v>
      </c>
      <c r="V5253" s="14">
        <v>1</v>
      </c>
      <c r="W5253" s="14">
        <v>1</v>
      </c>
      <c r="X5253" s="14">
        <v>1</v>
      </c>
    </row>
    <row r="5254" spans="1:24" hidden="1" x14ac:dyDescent="0.3">
      <c r="A5254" s="14" t="s">
        <v>528</v>
      </c>
      <c r="B5254" s="14" t="s">
        <v>233</v>
      </c>
      <c r="C5254" s="14" t="s">
        <v>365</v>
      </c>
      <c r="D5254" s="14" t="s">
        <v>366</v>
      </c>
      <c r="E5254" s="14" t="s">
        <v>342</v>
      </c>
      <c r="F5254" s="14" t="s">
        <v>343</v>
      </c>
      <c r="G5254" s="14" t="s">
        <v>343</v>
      </c>
      <c r="H5254" s="14" t="s">
        <v>343</v>
      </c>
      <c r="U5254" s="14">
        <v>0.94</v>
      </c>
      <c r="V5254" s="14">
        <v>0.94</v>
      </c>
      <c r="W5254" s="14">
        <v>0.94</v>
      </c>
      <c r="X5254" s="14">
        <v>0.94</v>
      </c>
    </row>
    <row r="5255" spans="1:24" hidden="1" x14ac:dyDescent="0.3">
      <c r="A5255" s="14" t="s">
        <v>528</v>
      </c>
      <c r="B5255" s="14" t="s">
        <v>233</v>
      </c>
      <c r="C5255" s="14" t="s">
        <v>365</v>
      </c>
      <c r="D5255" s="14" t="s">
        <v>366</v>
      </c>
      <c r="E5255" s="14" t="s">
        <v>344</v>
      </c>
      <c r="F5255" s="14" t="s">
        <v>343</v>
      </c>
      <c r="G5255" s="14" t="s">
        <v>343</v>
      </c>
      <c r="H5255" s="14" t="s">
        <v>343</v>
      </c>
      <c r="U5255" s="14">
        <v>129</v>
      </c>
      <c r="V5255" s="14">
        <v>124</v>
      </c>
      <c r="W5255" s="14">
        <v>127</v>
      </c>
      <c r="X5255" s="14">
        <v>122</v>
      </c>
    </row>
    <row r="5256" spans="1:24" hidden="1" x14ac:dyDescent="0.3">
      <c r="A5256" s="14" t="s">
        <v>528</v>
      </c>
      <c r="B5256" s="14" t="s">
        <v>233</v>
      </c>
      <c r="C5256" s="14" t="s">
        <v>367</v>
      </c>
      <c r="D5256" s="14" t="s">
        <v>368</v>
      </c>
      <c r="E5256" s="14" t="s">
        <v>342</v>
      </c>
      <c r="F5256" s="14" t="s">
        <v>343</v>
      </c>
      <c r="G5256" s="14" t="s">
        <v>343</v>
      </c>
      <c r="H5256" s="14" t="s">
        <v>343</v>
      </c>
      <c r="J5256" s="14">
        <v>0.68</v>
      </c>
      <c r="K5256" s="14">
        <v>0.69</v>
      </c>
      <c r="L5256" s="14">
        <v>0.69</v>
      </c>
      <c r="M5256" s="14">
        <v>0.69</v>
      </c>
      <c r="N5256" s="14">
        <v>0.69</v>
      </c>
      <c r="O5256" s="14">
        <v>0.69</v>
      </c>
      <c r="P5256" s="14">
        <v>0.69</v>
      </c>
      <c r="Q5256" s="14">
        <v>0.7</v>
      </c>
      <c r="R5256" s="14">
        <v>0.71</v>
      </c>
      <c r="S5256" s="14">
        <v>0.7</v>
      </c>
      <c r="T5256" s="14">
        <v>0.69</v>
      </c>
      <c r="U5256" s="14">
        <v>0.7</v>
      </c>
      <c r="V5256" s="14">
        <v>0.71</v>
      </c>
      <c r="W5256" s="14">
        <v>0.71</v>
      </c>
      <c r="X5256" s="14">
        <v>0.71</v>
      </c>
    </row>
    <row r="5257" spans="1:24" hidden="1" x14ac:dyDescent="0.3">
      <c r="A5257" s="14" t="s">
        <v>528</v>
      </c>
      <c r="B5257" s="14" t="s">
        <v>233</v>
      </c>
      <c r="C5257" s="14" t="s">
        <v>367</v>
      </c>
      <c r="D5257" s="14" t="s">
        <v>368</v>
      </c>
      <c r="E5257" s="14" t="s">
        <v>344</v>
      </c>
      <c r="F5257" s="14" t="s">
        <v>343</v>
      </c>
      <c r="G5257" s="14" t="s">
        <v>343</v>
      </c>
      <c r="H5257" s="14" t="s">
        <v>343</v>
      </c>
      <c r="I5257" s="14">
        <v>40</v>
      </c>
      <c r="J5257" s="14">
        <v>52</v>
      </c>
      <c r="K5257" s="14">
        <v>52</v>
      </c>
      <c r="L5257" s="14">
        <v>59</v>
      </c>
      <c r="M5257" s="14">
        <v>57</v>
      </c>
      <c r="N5257" s="14">
        <v>60</v>
      </c>
      <c r="O5257" s="14">
        <v>65</v>
      </c>
      <c r="P5257" s="14">
        <v>65</v>
      </c>
      <c r="Q5257" s="14">
        <v>61</v>
      </c>
      <c r="R5257" s="14">
        <v>60</v>
      </c>
      <c r="S5257" s="14">
        <v>71</v>
      </c>
      <c r="T5257" s="14">
        <v>75</v>
      </c>
      <c r="U5257" s="14">
        <v>73</v>
      </c>
      <c r="V5257" s="14">
        <v>75</v>
      </c>
      <c r="W5257" s="14">
        <v>79</v>
      </c>
      <c r="X5257" s="14">
        <v>79</v>
      </c>
    </row>
    <row r="5258" spans="1:24" hidden="1" x14ac:dyDescent="0.3">
      <c r="A5258" s="14" t="s">
        <v>528</v>
      </c>
      <c r="B5258" s="14" t="s">
        <v>233</v>
      </c>
      <c r="C5258" s="14" t="s">
        <v>369</v>
      </c>
      <c r="D5258" s="14" t="s">
        <v>370</v>
      </c>
      <c r="E5258" s="14" t="s">
        <v>342</v>
      </c>
      <c r="F5258" s="14" t="s">
        <v>343</v>
      </c>
      <c r="G5258" s="14" t="s">
        <v>343</v>
      </c>
      <c r="H5258" s="14" t="s">
        <v>343</v>
      </c>
      <c r="I5258" s="14">
        <v>0.06</v>
      </c>
      <c r="J5258" s="14">
        <v>0.05</v>
      </c>
      <c r="K5258" s="14">
        <v>7.0000000000000007E-2</v>
      </c>
      <c r="L5258" s="14">
        <v>7.0000000000000007E-2</v>
      </c>
      <c r="M5258" s="14">
        <v>0.08</v>
      </c>
      <c r="N5258" s="14">
        <v>0.08</v>
      </c>
      <c r="O5258" s="14">
        <v>0.09</v>
      </c>
      <c r="P5258" s="14">
        <v>0.1</v>
      </c>
      <c r="Q5258" s="14">
        <v>7.0000000000000007E-2</v>
      </c>
      <c r="R5258" s="14">
        <v>0.06</v>
      </c>
      <c r="S5258" s="14">
        <v>0.06</v>
      </c>
      <c r="T5258" s="14">
        <v>7.0000000000000007E-2</v>
      </c>
      <c r="U5258" s="14">
        <v>7.0000000000000007E-2</v>
      </c>
      <c r="V5258" s="14">
        <v>0.09</v>
      </c>
      <c r="W5258" s="14">
        <v>0.08</v>
      </c>
      <c r="X5258" s="14">
        <v>0.08</v>
      </c>
    </row>
    <row r="5259" spans="1:24" hidden="1" x14ac:dyDescent="0.3">
      <c r="A5259" s="14" t="s">
        <v>528</v>
      </c>
      <c r="B5259" s="14" t="s">
        <v>233</v>
      </c>
      <c r="C5259" s="14" t="s">
        <v>369</v>
      </c>
      <c r="D5259" s="14" t="s">
        <v>370</v>
      </c>
      <c r="E5259" s="14" t="s">
        <v>344</v>
      </c>
      <c r="F5259" s="14" t="s">
        <v>343</v>
      </c>
      <c r="G5259" s="14" t="s">
        <v>343</v>
      </c>
      <c r="H5259" s="14" t="s">
        <v>343</v>
      </c>
      <c r="I5259" s="14">
        <v>89</v>
      </c>
      <c r="J5259" s="14">
        <v>110</v>
      </c>
      <c r="K5259" s="14">
        <v>104</v>
      </c>
      <c r="L5259" s="14">
        <v>105</v>
      </c>
      <c r="M5259" s="14">
        <v>94</v>
      </c>
      <c r="N5259" s="14">
        <v>97</v>
      </c>
      <c r="O5259" s="14">
        <v>93</v>
      </c>
      <c r="P5259" s="14">
        <v>89</v>
      </c>
      <c r="Q5259" s="14">
        <v>121</v>
      </c>
      <c r="R5259" s="14">
        <v>131</v>
      </c>
      <c r="S5259" s="14">
        <v>131</v>
      </c>
      <c r="T5259" s="14">
        <v>127</v>
      </c>
      <c r="U5259" s="14">
        <v>130</v>
      </c>
      <c r="V5259" s="14">
        <v>129</v>
      </c>
      <c r="W5259" s="14">
        <v>134</v>
      </c>
      <c r="X5259" s="14">
        <v>130</v>
      </c>
    </row>
    <row r="5260" spans="1:24" hidden="1" x14ac:dyDescent="0.3">
      <c r="A5260" s="14" t="s">
        <v>528</v>
      </c>
      <c r="B5260" s="14" t="s">
        <v>233</v>
      </c>
      <c r="C5260" s="14" t="s">
        <v>371</v>
      </c>
      <c r="D5260" s="14" t="s">
        <v>372</v>
      </c>
      <c r="E5260" s="14" t="s">
        <v>342</v>
      </c>
      <c r="F5260" s="14" t="s">
        <v>343</v>
      </c>
      <c r="G5260" s="14" t="s">
        <v>343</v>
      </c>
      <c r="H5260" s="14" t="s">
        <v>343</v>
      </c>
      <c r="U5260" s="14">
        <v>0.06</v>
      </c>
      <c r="V5260" s="14">
        <v>0.06</v>
      </c>
      <c r="W5260" s="14">
        <v>0.06</v>
      </c>
      <c r="X5260" s="14">
        <v>0.06</v>
      </c>
    </row>
    <row r="5261" spans="1:24" hidden="1" x14ac:dyDescent="0.3">
      <c r="A5261" s="14" t="s">
        <v>528</v>
      </c>
      <c r="B5261" s="14" t="s">
        <v>233</v>
      </c>
      <c r="C5261" s="14" t="s">
        <v>371</v>
      </c>
      <c r="D5261" s="14" t="s">
        <v>372</v>
      </c>
      <c r="E5261" s="14" t="s">
        <v>344</v>
      </c>
      <c r="F5261" s="14" t="s">
        <v>343</v>
      </c>
      <c r="G5261" s="14" t="s">
        <v>343</v>
      </c>
      <c r="H5261" s="14" t="s">
        <v>343</v>
      </c>
      <c r="U5261" s="14">
        <v>39</v>
      </c>
      <c r="V5261" s="14">
        <v>43</v>
      </c>
      <c r="W5261" s="14">
        <v>45</v>
      </c>
      <c r="X5261" s="14">
        <v>46</v>
      </c>
    </row>
    <row r="5262" spans="1:24" hidden="1" x14ac:dyDescent="0.3">
      <c r="A5262" s="14" t="s">
        <v>528</v>
      </c>
      <c r="B5262" s="14" t="s">
        <v>233</v>
      </c>
      <c r="C5262" s="14" t="s">
        <v>373</v>
      </c>
      <c r="D5262" s="14" t="s">
        <v>374</v>
      </c>
      <c r="E5262" s="14" t="s">
        <v>342</v>
      </c>
      <c r="F5262" s="14" t="s">
        <v>343</v>
      </c>
      <c r="G5262" s="14" t="s">
        <v>343</v>
      </c>
      <c r="H5262" s="14" t="s">
        <v>343</v>
      </c>
      <c r="U5262" s="14">
        <v>0.12</v>
      </c>
      <c r="V5262" s="14">
        <v>0</v>
      </c>
      <c r="W5262" s="14">
        <v>0</v>
      </c>
      <c r="X5262" s="14">
        <v>0</v>
      </c>
    </row>
    <row r="5263" spans="1:24" hidden="1" x14ac:dyDescent="0.3">
      <c r="A5263" s="14" t="s">
        <v>528</v>
      </c>
      <c r="B5263" s="14" t="s">
        <v>233</v>
      </c>
      <c r="C5263" s="14" t="s">
        <v>373</v>
      </c>
      <c r="D5263" s="14" t="s">
        <v>374</v>
      </c>
      <c r="E5263" s="14" t="s">
        <v>344</v>
      </c>
      <c r="F5263" s="14" t="s">
        <v>343</v>
      </c>
      <c r="G5263" s="14" t="s">
        <v>343</v>
      </c>
      <c r="H5263" s="14" t="s">
        <v>343</v>
      </c>
      <c r="U5263" s="14">
        <v>109</v>
      </c>
      <c r="V5263" s="14">
        <v>145</v>
      </c>
      <c r="W5263" s="14">
        <v>148</v>
      </c>
      <c r="X5263" s="14">
        <v>140</v>
      </c>
    </row>
    <row r="5264" spans="1:24" hidden="1" x14ac:dyDescent="0.3">
      <c r="A5264" s="14" t="s">
        <v>528</v>
      </c>
      <c r="B5264" s="14" t="s">
        <v>233</v>
      </c>
      <c r="C5264" s="14" t="s">
        <v>375</v>
      </c>
      <c r="D5264" s="14" t="s">
        <v>376</v>
      </c>
      <c r="E5264" s="14" t="s">
        <v>342</v>
      </c>
      <c r="F5264" s="14" t="s">
        <v>343</v>
      </c>
      <c r="G5264" s="14" t="s">
        <v>343</v>
      </c>
      <c r="H5264" s="14" t="s">
        <v>343</v>
      </c>
      <c r="U5264" s="14">
        <v>0.06</v>
      </c>
      <c r="V5264" s="14">
        <v>0.19</v>
      </c>
      <c r="W5264" s="14">
        <v>0.19</v>
      </c>
      <c r="X5264" s="14">
        <v>0.19</v>
      </c>
    </row>
    <row r="5265" spans="1:24" hidden="1" x14ac:dyDescent="0.3">
      <c r="A5265" s="14" t="s">
        <v>528</v>
      </c>
      <c r="B5265" s="14" t="s">
        <v>233</v>
      </c>
      <c r="C5265" s="14" t="s">
        <v>375</v>
      </c>
      <c r="D5265" s="14" t="s">
        <v>376</v>
      </c>
      <c r="E5265" s="14" t="s">
        <v>344</v>
      </c>
      <c r="F5265" s="14" t="s">
        <v>343</v>
      </c>
      <c r="G5265" s="14" t="s">
        <v>343</v>
      </c>
      <c r="H5265" s="14" t="s">
        <v>343</v>
      </c>
      <c r="U5265" s="14">
        <v>145</v>
      </c>
      <c r="V5265" s="14">
        <v>110</v>
      </c>
      <c r="W5265" s="14">
        <v>118</v>
      </c>
      <c r="X5265" s="14">
        <v>113</v>
      </c>
    </row>
    <row r="5266" spans="1:24" hidden="1" x14ac:dyDescent="0.3">
      <c r="A5266" s="14" t="s">
        <v>529</v>
      </c>
      <c r="B5266" s="14" t="s">
        <v>232</v>
      </c>
      <c r="C5266" s="14" t="s">
        <v>340</v>
      </c>
      <c r="D5266" s="14" t="s">
        <v>341</v>
      </c>
      <c r="E5266" s="14" t="s">
        <v>342</v>
      </c>
      <c r="F5266" s="14" t="s">
        <v>343</v>
      </c>
      <c r="G5266" s="14" t="s">
        <v>343</v>
      </c>
      <c r="H5266" s="14" t="s">
        <v>343</v>
      </c>
      <c r="J5266" s="14">
        <v>0.87</v>
      </c>
      <c r="K5266" s="14">
        <v>0.87</v>
      </c>
      <c r="L5266" s="14">
        <v>0.88</v>
      </c>
      <c r="M5266" s="14">
        <v>0.88</v>
      </c>
      <c r="N5266" s="14">
        <v>0.88</v>
      </c>
      <c r="O5266" s="14">
        <v>0.89</v>
      </c>
      <c r="P5266" s="14">
        <v>0.9</v>
      </c>
      <c r="Q5266" s="14">
        <v>0.9</v>
      </c>
      <c r="R5266" s="14">
        <v>0.92</v>
      </c>
      <c r="S5266" s="14">
        <v>0.94</v>
      </c>
      <c r="T5266" s="14">
        <v>0.94</v>
      </c>
      <c r="U5266" s="14">
        <v>0.94</v>
      </c>
      <c r="V5266" s="14">
        <v>0.94</v>
      </c>
      <c r="W5266" s="14">
        <v>0.94</v>
      </c>
      <c r="X5266" s="14">
        <v>0.94</v>
      </c>
    </row>
    <row r="5267" spans="1:24" hidden="1" x14ac:dyDescent="0.3">
      <c r="A5267" s="14" t="s">
        <v>529</v>
      </c>
      <c r="B5267" s="14" t="s">
        <v>232</v>
      </c>
      <c r="C5267" s="14" t="s">
        <v>340</v>
      </c>
      <c r="D5267" s="14" t="s">
        <v>341</v>
      </c>
      <c r="E5267" s="14" t="s">
        <v>344</v>
      </c>
      <c r="F5267" s="14" t="s">
        <v>343</v>
      </c>
      <c r="G5267" s="14" t="s">
        <v>343</v>
      </c>
      <c r="H5267" s="14" t="s">
        <v>343</v>
      </c>
      <c r="J5267" s="14">
        <v>107</v>
      </c>
      <c r="K5267" s="14">
        <v>112</v>
      </c>
      <c r="L5267" s="14">
        <v>114</v>
      </c>
      <c r="M5267" s="14">
        <v>113</v>
      </c>
      <c r="N5267" s="14">
        <v>113</v>
      </c>
      <c r="O5267" s="14">
        <v>114</v>
      </c>
      <c r="P5267" s="14">
        <v>110</v>
      </c>
      <c r="Q5267" s="14">
        <v>119</v>
      </c>
      <c r="R5267" s="14">
        <v>120</v>
      </c>
      <c r="S5267" s="14">
        <v>118</v>
      </c>
      <c r="T5267" s="14">
        <v>115</v>
      </c>
      <c r="U5267" s="14">
        <v>118</v>
      </c>
      <c r="V5267" s="14">
        <v>123</v>
      </c>
      <c r="W5267" s="14">
        <v>124</v>
      </c>
      <c r="X5267" s="14">
        <v>117</v>
      </c>
    </row>
    <row r="5268" spans="1:24" hidden="1" x14ac:dyDescent="0.3">
      <c r="A5268" s="14" t="s">
        <v>529</v>
      </c>
      <c r="B5268" s="14" t="s">
        <v>232</v>
      </c>
      <c r="C5268" s="14" t="s">
        <v>345</v>
      </c>
      <c r="D5268" s="14" t="s">
        <v>346</v>
      </c>
      <c r="E5268" s="14" t="s">
        <v>342</v>
      </c>
      <c r="F5268" s="14" t="s">
        <v>343</v>
      </c>
      <c r="G5268" s="14" t="s">
        <v>343</v>
      </c>
      <c r="H5268" s="14" t="s">
        <v>343</v>
      </c>
      <c r="U5268" s="14">
        <v>0.28000000000000003</v>
      </c>
      <c r="V5268" s="14">
        <v>0.2</v>
      </c>
      <c r="W5268" s="14">
        <v>0.45</v>
      </c>
      <c r="X5268" s="14">
        <v>0.46</v>
      </c>
    </row>
    <row r="5269" spans="1:24" hidden="1" x14ac:dyDescent="0.3">
      <c r="A5269" s="14" t="s">
        <v>529</v>
      </c>
      <c r="B5269" s="14" t="s">
        <v>232</v>
      </c>
      <c r="C5269" s="14" t="s">
        <v>345</v>
      </c>
      <c r="D5269" s="14" t="s">
        <v>346</v>
      </c>
      <c r="E5269" s="14" t="s">
        <v>344</v>
      </c>
      <c r="F5269" s="14" t="s">
        <v>343</v>
      </c>
      <c r="G5269" s="14" t="s">
        <v>343</v>
      </c>
      <c r="H5269" s="14" t="s">
        <v>343</v>
      </c>
      <c r="U5269" s="14">
        <v>132</v>
      </c>
      <c r="V5269" s="14">
        <v>146</v>
      </c>
      <c r="W5269" s="14">
        <v>128</v>
      </c>
      <c r="X5269" s="14">
        <v>124</v>
      </c>
    </row>
    <row r="5270" spans="1:24" hidden="1" x14ac:dyDescent="0.3">
      <c r="A5270" s="14" t="s">
        <v>529</v>
      </c>
      <c r="B5270" s="14" t="s">
        <v>232</v>
      </c>
      <c r="C5270" s="14" t="s">
        <v>347</v>
      </c>
      <c r="D5270" s="14" t="s">
        <v>348</v>
      </c>
      <c r="E5270" s="14" t="s">
        <v>342</v>
      </c>
      <c r="F5270" s="14" t="s">
        <v>343</v>
      </c>
      <c r="G5270" s="14" t="s">
        <v>343</v>
      </c>
      <c r="H5270" s="14" t="s">
        <v>343</v>
      </c>
      <c r="U5270" s="14">
        <v>0.63</v>
      </c>
      <c r="V5270" s="14">
        <v>0.47</v>
      </c>
      <c r="W5270" s="14">
        <v>0.59</v>
      </c>
      <c r="X5270" s="14">
        <v>0.6</v>
      </c>
    </row>
    <row r="5271" spans="1:24" hidden="1" x14ac:dyDescent="0.3">
      <c r="A5271" s="14" t="s">
        <v>529</v>
      </c>
      <c r="B5271" s="14" t="s">
        <v>232</v>
      </c>
      <c r="C5271" s="14" t="s">
        <v>347</v>
      </c>
      <c r="D5271" s="14" t="s">
        <v>348</v>
      </c>
      <c r="E5271" s="14" t="s">
        <v>344</v>
      </c>
      <c r="F5271" s="14" t="s">
        <v>343</v>
      </c>
      <c r="G5271" s="14" t="s">
        <v>343</v>
      </c>
      <c r="H5271" s="14" t="s">
        <v>343</v>
      </c>
      <c r="U5271" s="14">
        <v>119</v>
      </c>
      <c r="V5271" s="14">
        <v>137</v>
      </c>
      <c r="W5271" s="14">
        <v>130</v>
      </c>
      <c r="X5271" s="14">
        <v>118</v>
      </c>
    </row>
    <row r="5272" spans="1:24" hidden="1" x14ac:dyDescent="0.3">
      <c r="A5272" s="14" t="s">
        <v>529</v>
      </c>
      <c r="B5272" s="14" t="s">
        <v>232</v>
      </c>
      <c r="C5272" s="14" t="s">
        <v>349</v>
      </c>
      <c r="D5272" s="14" t="s">
        <v>350</v>
      </c>
      <c r="E5272" s="14" t="s">
        <v>342</v>
      </c>
      <c r="F5272" s="14" t="s">
        <v>343</v>
      </c>
      <c r="G5272" s="14" t="s">
        <v>343</v>
      </c>
      <c r="H5272" s="14" t="s">
        <v>343</v>
      </c>
      <c r="U5272" s="14">
        <v>0.17</v>
      </c>
      <c r="V5272" s="14">
        <v>0.17</v>
      </c>
      <c r="W5272" s="14">
        <v>0.17</v>
      </c>
    </row>
    <row r="5273" spans="1:24" hidden="1" x14ac:dyDescent="0.3">
      <c r="A5273" s="14" t="s">
        <v>529</v>
      </c>
      <c r="B5273" s="14" t="s">
        <v>232</v>
      </c>
      <c r="C5273" s="14" t="s">
        <v>349</v>
      </c>
      <c r="D5273" s="14" t="s">
        <v>350</v>
      </c>
      <c r="E5273" s="14" t="s">
        <v>344</v>
      </c>
      <c r="F5273" s="14" t="s">
        <v>343</v>
      </c>
      <c r="G5273" s="14" t="s">
        <v>343</v>
      </c>
      <c r="H5273" s="14" t="s">
        <v>343</v>
      </c>
      <c r="U5273" s="14">
        <v>126</v>
      </c>
      <c r="V5273" s="14">
        <v>133</v>
      </c>
      <c r="W5273" s="14">
        <v>137</v>
      </c>
    </row>
    <row r="5274" spans="1:24" hidden="1" x14ac:dyDescent="0.3">
      <c r="A5274" s="14" t="s">
        <v>529</v>
      </c>
      <c r="B5274" s="14" t="s">
        <v>232</v>
      </c>
      <c r="C5274" s="14" t="s">
        <v>351</v>
      </c>
      <c r="D5274" s="14" t="s">
        <v>352</v>
      </c>
      <c r="E5274" s="14" t="s">
        <v>342</v>
      </c>
      <c r="F5274" s="14" t="s">
        <v>343</v>
      </c>
      <c r="G5274" s="14" t="s">
        <v>343</v>
      </c>
      <c r="H5274" s="14" t="s">
        <v>343</v>
      </c>
      <c r="U5274" s="14">
        <v>0.7</v>
      </c>
      <c r="V5274" s="14">
        <v>0.7</v>
      </c>
      <c r="W5274" s="14">
        <v>0.7</v>
      </c>
    </row>
    <row r="5275" spans="1:24" hidden="1" x14ac:dyDescent="0.3">
      <c r="A5275" s="14" t="s">
        <v>529</v>
      </c>
      <c r="B5275" s="14" t="s">
        <v>232</v>
      </c>
      <c r="C5275" s="14" t="s">
        <v>351</v>
      </c>
      <c r="D5275" s="14" t="s">
        <v>352</v>
      </c>
      <c r="E5275" s="14" t="s">
        <v>344</v>
      </c>
      <c r="F5275" s="14" t="s">
        <v>343</v>
      </c>
      <c r="G5275" s="14" t="s">
        <v>343</v>
      </c>
      <c r="H5275" s="14" t="s">
        <v>343</v>
      </c>
      <c r="U5275" s="14">
        <v>105</v>
      </c>
      <c r="V5275" s="14">
        <v>108</v>
      </c>
      <c r="W5275" s="14">
        <v>106</v>
      </c>
    </row>
    <row r="5276" spans="1:24" hidden="1" x14ac:dyDescent="0.3">
      <c r="A5276" s="14" t="s">
        <v>529</v>
      </c>
      <c r="B5276" s="14" t="s">
        <v>232</v>
      </c>
      <c r="C5276" s="14" t="s">
        <v>378</v>
      </c>
      <c r="D5276" s="14" t="s">
        <v>379</v>
      </c>
      <c r="E5276" s="14" t="s">
        <v>342</v>
      </c>
      <c r="F5276" s="14" t="s">
        <v>343</v>
      </c>
      <c r="G5276" s="14" t="s">
        <v>343</v>
      </c>
      <c r="H5276" s="14" t="s">
        <v>343</v>
      </c>
      <c r="S5276" s="14">
        <v>0.76</v>
      </c>
      <c r="U5276" s="14">
        <v>0.8</v>
      </c>
      <c r="V5276" s="14">
        <v>0.8</v>
      </c>
      <c r="W5276" s="14">
        <v>0.8</v>
      </c>
      <c r="X5276" s="14">
        <v>0.72</v>
      </c>
    </row>
    <row r="5277" spans="1:24" hidden="1" x14ac:dyDescent="0.3">
      <c r="A5277" s="14" t="s">
        <v>529</v>
      </c>
      <c r="B5277" s="14" t="s">
        <v>232</v>
      </c>
      <c r="C5277" s="14" t="s">
        <v>378</v>
      </c>
      <c r="D5277" s="14" t="s">
        <v>379</v>
      </c>
      <c r="E5277" s="14" t="s">
        <v>344</v>
      </c>
      <c r="F5277" s="14" t="s">
        <v>343</v>
      </c>
      <c r="G5277" s="14" t="s">
        <v>343</v>
      </c>
      <c r="H5277" s="14" t="s">
        <v>343</v>
      </c>
      <c r="S5277" s="14">
        <v>21</v>
      </c>
      <c r="U5277" s="14">
        <v>4</v>
      </c>
      <c r="V5277" s="14">
        <v>8</v>
      </c>
      <c r="W5277" s="14">
        <v>8</v>
      </c>
      <c r="X5277" s="14">
        <v>36</v>
      </c>
    </row>
    <row r="5278" spans="1:24" hidden="1" x14ac:dyDescent="0.3">
      <c r="A5278" s="14" t="s">
        <v>529</v>
      </c>
      <c r="B5278" s="14" t="s">
        <v>232</v>
      </c>
      <c r="C5278" s="14" t="s">
        <v>353</v>
      </c>
      <c r="D5278" s="14" t="s">
        <v>354</v>
      </c>
      <c r="E5278" s="14" t="s">
        <v>342</v>
      </c>
      <c r="F5278" s="14" t="s">
        <v>343</v>
      </c>
      <c r="G5278" s="14" t="s">
        <v>343</v>
      </c>
      <c r="H5278" s="14" t="s">
        <v>343</v>
      </c>
      <c r="U5278" s="14">
        <v>1</v>
      </c>
      <c r="V5278" s="14">
        <v>1</v>
      </c>
      <c r="W5278" s="14">
        <v>1</v>
      </c>
      <c r="X5278" s="14">
        <v>1</v>
      </c>
    </row>
    <row r="5279" spans="1:24" hidden="1" x14ac:dyDescent="0.3">
      <c r="A5279" s="14" t="s">
        <v>529</v>
      </c>
      <c r="B5279" s="14" t="s">
        <v>232</v>
      </c>
      <c r="C5279" s="14" t="s">
        <v>353</v>
      </c>
      <c r="D5279" s="14" t="s">
        <v>354</v>
      </c>
      <c r="E5279" s="14" t="s">
        <v>344</v>
      </c>
      <c r="F5279" s="14" t="s">
        <v>343</v>
      </c>
      <c r="G5279" s="14" t="s">
        <v>343</v>
      </c>
      <c r="H5279" s="14" t="s">
        <v>343</v>
      </c>
      <c r="U5279" s="14">
        <v>50</v>
      </c>
      <c r="V5279" s="14">
        <v>55</v>
      </c>
      <c r="W5279" s="14">
        <v>55</v>
      </c>
      <c r="X5279" s="14">
        <v>54</v>
      </c>
    </row>
    <row r="5280" spans="1:24" hidden="1" x14ac:dyDescent="0.3">
      <c r="A5280" s="14" t="s">
        <v>529</v>
      </c>
      <c r="B5280" s="14" t="s">
        <v>232</v>
      </c>
      <c r="C5280" s="14" t="s">
        <v>380</v>
      </c>
      <c r="D5280" s="14" t="s">
        <v>381</v>
      </c>
      <c r="E5280" s="14" t="s">
        <v>342</v>
      </c>
      <c r="F5280" s="14" t="s">
        <v>343</v>
      </c>
      <c r="G5280" s="14" t="s">
        <v>343</v>
      </c>
      <c r="H5280" s="14" t="s">
        <v>343</v>
      </c>
      <c r="U5280" s="14">
        <v>0.99</v>
      </c>
      <c r="V5280" s="14">
        <v>0.99</v>
      </c>
      <c r="W5280" s="14">
        <v>0.99</v>
      </c>
      <c r="X5280" s="14">
        <v>0.99</v>
      </c>
    </row>
    <row r="5281" spans="1:24" hidden="1" x14ac:dyDescent="0.3">
      <c r="A5281" s="14" t="s">
        <v>529</v>
      </c>
      <c r="B5281" s="14" t="s">
        <v>232</v>
      </c>
      <c r="C5281" s="14" t="s">
        <v>380</v>
      </c>
      <c r="D5281" s="14" t="s">
        <v>381</v>
      </c>
      <c r="E5281" s="14" t="s">
        <v>344</v>
      </c>
      <c r="F5281" s="14" t="s">
        <v>343</v>
      </c>
      <c r="G5281" s="14" t="s">
        <v>343</v>
      </c>
      <c r="H5281" s="14" t="s">
        <v>343</v>
      </c>
      <c r="U5281" s="14">
        <v>109</v>
      </c>
      <c r="V5281" s="14">
        <v>114</v>
      </c>
      <c r="W5281" s="14">
        <v>114</v>
      </c>
      <c r="X5281" s="14">
        <v>97</v>
      </c>
    </row>
    <row r="5282" spans="1:24" hidden="1" x14ac:dyDescent="0.3">
      <c r="A5282" s="14" t="s">
        <v>529</v>
      </c>
      <c r="B5282" s="14" t="s">
        <v>232</v>
      </c>
      <c r="C5282" s="14" t="s">
        <v>355</v>
      </c>
      <c r="D5282" s="14" t="s">
        <v>356</v>
      </c>
      <c r="E5282" s="14" t="s">
        <v>342</v>
      </c>
      <c r="F5282" s="14" t="s">
        <v>343</v>
      </c>
      <c r="G5282" s="14" t="s">
        <v>343</v>
      </c>
      <c r="H5282" s="14" t="s">
        <v>343</v>
      </c>
      <c r="U5282" s="14">
        <v>0.9</v>
      </c>
      <c r="V5282" s="14">
        <v>0.9</v>
      </c>
      <c r="W5282" s="14">
        <v>0.9</v>
      </c>
      <c r="X5282" s="14">
        <v>0.9</v>
      </c>
    </row>
    <row r="5283" spans="1:24" hidden="1" x14ac:dyDescent="0.3">
      <c r="A5283" s="14" t="s">
        <v>529</v>
      </c>
      <c r="B5283" s="14" t="s">
        <v>232</v>
      </c>
      <c r="C5283" s="14" t="s">
        <v>355</v>
      </c>
      <c r="D5283" s="14" t="s">
        <v>356</v>
      </c>
      <c r="E5283" s="14" t="s">
        <v>344</v>
      </c>
      <c r="F5283" s="14" t="s">
        <v>343</v>
      </c>
      <c r="G5283" s="14" t="s">
        <v>343</v>
      </c>
      <c r="H5283" s="14" t="s">
        <v>343</v>
      </c>
      <c r="U5283" s="14">
        <v>134</v>
      </c>
      <c r="V5283" s="14">
        <v>134</v>
      </c>
      <c r="W5283" s="14">
        <v>134</v>
      </c>
      <c r="X5283" s="14">
        <v>121</v>
      </c>
    </row>
    <row r="5284" spans="1:24" hidden="1" x14ac:dyDescent="0.3">
      <c r="A5284" s="14" t="s">
        <v>529</v>
      </c>
      <c r="B5284" s="14" t="s">
        <v>232</v>
      </c>
      <c r="C5284" s="14" t="s">
        <v>357</v>
      </c>
      <c r="D5284" s="14" t="s">
        <v>358</v>
      </c>
      <c r="E5284" s="14" t="s">
        <v>342</v>
      </c>
      <c r="F5284" s="14" t="s">
        <v>343</v>
      </c>
      <c r="G5284" s="14" t="s">
        <v>343</v>
      </c>
      <c r="H5284" s="14" t="s">
        <v>343</v>
      </c>
      <c r="U5284" s="14">
        <v>0.75</v>
      </c>
      <c r="V5284" s="14">
        <v>0.76</v>
      </c>
      <c r="W5284" s="14">
        <v>0.76</v>
      </c>
      <c r="X5284" s="14">
        <v>0.76</v>
      </c>
    </row>
    <row r="5285" spans="1:24" hidden="1" x14ac:dyDescent="0.3">
      <c r="A5285" s="14" t="s">
        <v>529</v>
      </c>
      <c r="B5285" s="14" t="s">
        <v>232</v>
      </c>
      <c r="C5285" s="14" t="s">
        <v>357</v>
      </c>
      <c r="D5285" s="14" t="s">
        <v>358</v>
      </c>
      <c r="E5285" s="14" t="s">
        <v>344</v>
      </c>
      <c r="F5285" s="14" t="s">
        <v>343</v>
      </c>
      <c r="G5285" s="14" t="s">
        <v>343</v>
      </c>
      <c r="H5285" s="14" t="s">
        <v>343</v>
      </c>
      <c r="U5285" s="14">
        <v>116</v>
      </c>
      <c r="V5285" s="14">
        <v>122</v>
      </c>
      <c r="W5285" s="14">
        <v>123</v>
      </c>
      <c r="X5285" s="14">
        <v>119</v>
      </c>
    </row>
    <row r="5286" spans="1:24" hidden="1" x14ac:dyDescent="0.3">
      <c r="A5286" s="14" t="s">
        <v>529</v>
      </c>
      <c r="B5286" s="14" t="s">
        <v>232</v>
      </c>
      <c r="C5286" s="14" t="s">
        <v>359</v>
      </c>
      <c r="D5286" s="14" t="s">
        <v>360</v>
      </c>
      <c r="E5286" s="14" t="s">
        <v>342</v>
      </c>
      <c r="F5286" s="14" t="s">
        <v>343</v>
      </c>
      <c r="G5286" s="14" t="s">
        <v>343</v>
      </c>
      <c r="H5286" s="14" t="s">
        <v>343</v>
      </c>
      <c r="J5286" s="14">
        <v>0.71</v>
      </c>
      <c r="K5286" s="14">
        <v>0.69</v>
      </c>
      <c r="L5286" s="14">
        <v>0.73</v>
      </c>
      <c r="M5286" s="14">
        <v>0.71</v>
      </c>
      <c r="N5286" s="14">
        <v>0.68</v>
      </c>
      <c r="O5286" s="14">
        <v>0.71</v>
      </c>
      <c r="P5286" s="14">
        <v>0.73</v>
      </c>
      <c r="Q5286" s="14">
        <v>0.7</v>
      </c>
      <c r="R5286" s="14">
        <v>0.71</v>
      </c>
      <c r="S5286" s="14">
        <v>0.71</v>
      </c>
      <c r="T5286" s="14">
        <v>0.71</v>
      </c>
      <c r="U5286" s="14">
        <v>0.55000000000000004</v>
      </c>
      <c r="V5286" s="14">
        <v>0.5</v>
      </c>
      <c r="W5286" s="14">
        <v>0.56999999999999995</v>
      </c>
      <c r="X5286" s="14">
        <v>0.61</v>
      </c>
    </row>
    <row r="5287" spans="1:24" hidden="1" x14ac:dyDescent="0.3">
      <c r="A5287" s="14" t="s">
        <v>529</v>
      </c>
      <c r="B5287" s="14" t="s">
        <v>232</v>
      </c>
      <c r="C5287" s="14" t="s">
        <v>359</v>
      </c>
      <c r="D5287" s="14" t="s">
        <v>360</v>
      </c>
      <c r="E5287" s="14" t="s">
        <v>344</v>
      </c>
      <c r="F5287" s="14" t="s">
        <v>343</v>
      </c>
      <c r="G5287" s="14" t="s">
        <v>343</v>
      </c>
      <c r="H5287" s="14" t="s">
        <v>343</v>
      </c>
      <c r="J5287" s="14">
        <v>25</v>
      </c>
      <c r="K5287" s="14">
        <v>44</v>
      </c>
      <c r="L5287" s="14">
        <v>27</v>
      </c>
      <c r="M5287" s="14">
        <v>40</v>
      </c>
      <c r="N5287" s="14">
        <v>49</v>
      </c>
      <c r="O5287" s="14">
        <v>42</v>
      </c>
      <c r="P5287" s="14">
        <v>38</v>
      </c>
      <c r="Q5287" s="14">
        <v>58</v>
      </c>
      <c r="R5287" s="14">
        <v>48</v>
      </c>
      <c r="S5287" s="14">
        <v>47</v>
      </c>
      <c r="T5287" s="14">
        <v>52</v>
      </c>
      <c r="U5287" s="14">
        <v>126</v>
      </c>
      <c r="V5287" s="14">
        <v>134</v>
      </c>
      <c r="W5287" s="14">
        <v>125</v>
      </c>
      <c r="X5287" s="14">
        <v>107</v>
      </c>
    </row>
    <row r="5288" spans="1:24" x14ac:dyDescent="0.3">
      <c r="A5288" s="14" t="s">
        <v>529</v>
      </c>
      <c r="B5288" s="14" t="s">
        <v>232</v>
      </c>
      <c r="C5288" s="14" t="s">
        <v>361</v>
      </c>
      <c r="D5288" s="14" t="s">
        <v>362</v>
      </c>
      <c r="E5288" s="14" t="s">
        <v>342</v>
      </c>
      <c r="F5288" s="14" t="s">
        <v>343</v>
      </c>
      <c r="G5288" s="14" t="s">
        <v>343</v>
      </c>
      <c r="H5288" s="14" t="s">
        <v>343</v>
      </c>
      <c r="J5288" s="14">
        <v>0.98</v>
      </c>
      <c r="K5288" s="14">
        <v>0.98</v>
      </c>
      <c r="L5288" s="14">
        <v>0.98</v>
      </c>
      <c r="M5288" s="14">
        <v>0.96</v>
      </c>
      <c r="N5288" s="14">
        <v>0.96</v>
      </c>
      <c r="O5288" s="14">
        <v>0.96</v>
      </c>
      <c r="P5288" s="14">
        <v>0.96</v>
      </c>
      <c r="Q5288" s="14">
        <v>0.97</v>
      </c>
      <c r="R5288" s="14">
        <v>0.97</v>
      </c>
      <c r="S5288" s="14">
        <v>0.97</v>
      </c>
      <c r="T5288" s="14">
        <v>0.98</v>
      </c>
      <c r="U5288" s="14">
        <v>0.98</v>
      </c>
      <c r="V5288" s="14">
        <v>0.98</v>
      </c>
      <c r="W5288" s="14">
        <v>0.97</v>
      </c>
      <c r="X5288" s="14">
        <v>0.97</v>
      </c>
    </row>
    <row r="5289" spans="1:24" hidden="1" x14ac:dyDescent="0.3">
      <c r="A5289" s="14" t="s">
        <v>529</v>
      </c>
      <c r="B5289" s="14" t="s">
        <v>232</v>
      </c>
      <c r="C5289" s="14" t="s">
        <v>361</v>
      </c>
      <c r="D5289" s="14" t="s">
        <v>362</v>
      </c>
      <c r="E5289" s="14" t="s">
        <v>344</v>
      </c>
      <c r="F5289" s="14" t="s">
        <v>343</v>
      </c>
      <c r="G5289" s="14" t="s">
        <v>343</v>
      </c>
      <c r="H5289" s="14" t="s">
        <v>343</v>
      </c>
      <c r="J5289" s="14">
        <v>54</v>
      </c>
      <c r="K5289" s="14">
        <v>55</v>
      </c>
      <c r="L5289" s="14">
        <v>58</v>
      </c>
      <c r="M5289" s="14">
        <v>121</v>
      </c>
      <c r="N5289" s="14">
        <v>122</v>
      </c>
      <c r="O5289" s="14">
        <v>122</v>
      </c>
      <c r="P5289" s="14">
        <v>123</v>
      </c>
      <c r="Q5289" s="14">
        <v>121</v>
      </c>
      <c r="R5289" s="14">
        <v>127</v>
      </c>
      <c r="S5289" s="14">
        <v>126</v>
      </c>
      <c r="T5289" s="14">
        <v>67</v>
      </c>
      <c r="U5289" s="14">
        <v>74</v>
      </c>
      <c r="V5289" s="14">
        <v>72</v>
      </c>
      <c r="W5289" s="14">
        <v>88</v>
      </c>
      <c r="X5289" s="14">
        <v>84</v>
      </c>
    </row>
    <row r="5290" spans="1:24" hidden="1" x14ac:dyDescent="0.3">
      <c r="A5290" s="14" t="s">
        <v>529</v>
      </c>
      <c r="B5290" s="14" t="s">
        <v>232</v>
      </c>
      <c r="C5290" s="14" t="s">
        <v>363</v>
      </c>
      <c r="D5290" s="14" t="s">
        <v>364</v>
      </c>
      <c r="E5290" s="14" t="s">
        <v>342</v>
      </c>
      <c r="F5290" s="14" t="s">
        <v>343</v>
      </c>
      <c r="G5290" s="14" t="s">
        <v>343</v>
      </c>
      <c r="H5290" s="14" t="s">
        <v>343</v>
      </c>
      <c r="U5290" s="14">
        <v>1.06</v>
      </c>
      <c r="V5290" s="14">
        <v>1.06</v>
      </c>
      <c r="W5290" s="14">
        <v>1.04</v>
      </c>
      <c r="X5290" s="14">
        <v>1.04</v>
      </c>
    </row>
    <row r="5291" spans="1:24" hidden="1" x14ac:dyDescent="0.3">
      <c r="A5291" s="14" t="s">
        <v>529</v>
      </c>
      <c r="B5291" s="14" t="s">
        <v>232</v>
      </c>
      <c r="C5291" s="14" t="s">
        <v>363</v>
      </c>
      <c r="D5291" s="14" t="s">
        <v>364</v>
      </c>
      <c r="E5291" s="14" t="s">
        <v>344</v>
      </c>
      <c r="F5291" s="14" t="s">
        <v>343</v>
      </c>
      <c r="G5291" s="14" t="s">
        <v>343</v>
      </c>
      <c r="H5291" s="14" t="s">
        <v>343</v>
      </c>
      <c r="U5291" s="14">
        <v>58</v>
      </c>
      <c r="V5291" s="14">
        <v>60</v>
      </c>
      <c r="W5291" s="14">
        <v>78</v>
      </c>
      <c r="X5291" s="14">
        <v>75</v>
      </c>
    </row>
    <row r="5292" spans="1:24" hidden="1" x14ac:dyDescent="0.3">
      <c r="A5292" s="14" t="s">
        <v>529</v>
      </c>
      <c r="B5292" s="14" t="s">
        <v>232</v>
      </c>
      <c r="C5292" s="14" t="s">
        <v>365</v>
      </c>
      <c r="D5292" s="14" t="s">
        <v>366</v>
      </c>
      <c r="E5292" s="14" t="s">
        <v>342</v>
      </c>
      <c r="F5292" s="14" t="s">
        <v>343</v>
      </c>
      <c r="G5292" s="14" t="s">
        <v>343</v>
      </c>
      <c r="H5292" s="14" t="s">
        <v>343</v>
      </c>
      <c r="U5292" s="14">
        <v>0.94</v>
      </c>
      <c r="V5292" s="14">
        <v>0.94</v>
      </c>
      <c r="W5292" s="14">
        <v>0.94</v>
      </c>
      <c r="X5292" s="14">
        <v>0.94</v>
      </c>
    </row>
    <row r="5293" spans="1:24" hidden="1" x14ac:dyDescent="0.3">
      <c r="A5293" s="14" t="s">
        <v>529</v>
      </c>
      <c r="B5293" s="14" t="s">
        <v>232</v>
      </c>
      <c r="C5293" s="14" t="s">
        <v>365</v>
      </c>
      <c r="D5293" s="14" t="s">
        <v>366</v>
      </c>
      <c r="E5293" s="14" t="s">
        <v>344</v>
      </c>
      <c r="F5293" s="14" t="s">
        <v>343</v>
      </c>
      <c r="G5293" s="14" t="s">
        <v>343</v>
      </c>
      <c r="H5293" s="14" t="s">
        <v>343</v>
      </c>
      <c r="U5293" s="14">
        <v>133</v>
      </c>
      <c r="V5293" s="14">
        <v>130</v>
      </c>
      <c r="W5293" s="14">
        <v>136</v>
      </c>
      <c r="X5293" s="14">
        <v>131</v>
      </c>
    </row>
    <row r="5294" spans="1:24" hidden="1" x14ac:dyDescent="0.3">
      <c r="A5294" s="14" t="s">
        <v>529</v>
      </c>
      <c r="B5294" s="14" t="s">
        <v>232</v>
      </c>
      <c r="C5294" s="14" t="s">
        <v>367</v>
      </c>
      <c r="D5294" s="14" t="s">
        <v>368</v>
      </c>
      <c r="E5294" s="14" t="s">
        <v>342</v>
      </c>
      <c r="F5294" s="14" t="s">
        <v>343</v>
      </c>
      <c r="G5294" s="14" t="s">
        <v>343</v>
      </c>
      <c r="H5294" s="14" t="s">
        <v>343</v>
      </c>
      <c r="J5294" s="14">
        <v>0.66</v>
      </c>
      <c r="K5294" s="14">
        <v>0.65</v>
      </c>
      <c r="L5294" s="14">
        <v>0.67</v>
      </c>
      <c r="M5294" s="14">
        <v>0.66</v>
      </c>
      <c r="N5294" s="14">
        <v>0.65</v>
      </c>
      <c r="O5294" s="14">
        <v>0.66</v>
      </c>
      <c r="P5294" s="14">
        <v>0.67</v>
      </c>
      <c r="Q5294" s="14">
        <v>0.67</v>
      </c>
      <c r="R5294" s="14">
        <v>0.68</v>
      </c>
      <c r="S5294" s="14">
        <v>0.68</v>
      </c>
      <c r="T5294" s="14">
        <v>0.68</v>
      </c>
      <c r="U5294" s="14">
        <v>0.64</v>
      </c>
      <c r="V5294" s="14">
        <v>0.63</v>
      </c>
      <c r="W5294" s="14">
        <v>0.65</v>
      </c>
      <c r="X5294" s="14">
        <v>0.66</v>
      </c>
    </row>
    <row r="5295" spans="1:24" hidden="1" x14ac:dyDescent="0.3">
      <c r="A5295" s="14" t="s">
        <v>529</v>
      </c>
      <c r="B5295" s="14" t="s">
        <v>232</v>
      </c>
      <c r="C5295" s="14" t="s">
        <v>367</v>
      </c>
      <c r="D5295" s="14" t="s">
        <v>368</v>
      </c>
      <c r="E5295" s="14" t="s">
        <v>344</v>
      </c>
      <c r="F5295" s="14" t="s">
        <v>343</v>
      </c>
      <c r="G5295" s="14" t="s">
        <v>343</v>
      </c>
      <c r="H5295" s="14" t="s">
        <v>343</v>
      </c>
      <c r="J5295" s="14">
        <v>79</v>
      </c>
      <c r="K5295" s="14">
        <v>89</v>
      </c>
      <c r="L5295" s="14">
        <v>86</v>
      </c>
      <c r="M5295" s="14">
        <v>89</v>
      </c>
      <c r="N5295" s="14">
        <v>96</v>
      </c>
      <c r="O5295" s="14">
        <v>96</v>
      </c>
      <c r="P5295" s="14">
        <v>90</v>
      </c>
      <c r="Q5295" s="14">
        <v>102</v>
      </c>
      <c r="R5295" s="14">
        <v>95</v>
      </c>
      <c r="S5295" s="14">
        <v>93</v>
      </c>
      <c r="T5295" s="14">
        <v>95</v>
      </c>
      <c r="U5295" s="14">
        <v>123</v>
      </c>
      <c r="V5295" s="14">
        <v>137</v>
      </c>
      <c r="W5295" s="14">
        <v>125</v>
      </c>
      <c r="X5295" s="14">
        <v>114</v>
      </c>
    </row>
    <row r="5296" spans="1:24" hidden="1" x14ac:dyDescent="0.3">
      <c r="A5296" s="14" t="s">
        <v>529</v>
      </c>
      <c r="B5296" s="14" t="s">
        <v>232</v>
      </c>
      <c r="C5296" s="14" t="s">
        <v>369</v>
      </c>
      <c r="D5296" s="14" t="s">
        <v>370</v>
      </c>
      <c r="E5296" s="14" t="s">
        <v>342</v>
      </c>
      <c r="F5296" s="14" t="s">
        <v>343</v>
      </c>
      <c r="G5296" s="14" t="s">
        <v>343</v>
      </c>
      <c r="H5296" s="14" t="s">
        <v>343</v>
      </c>
      <c r="J5296" s="14">
        <v>7.0000000000000007E-2</v>
      </c>
      <c r="K5296" s="14">
        <v>0.08</v>
      </c>
      <c r="L5296" s="14">
        <v>0.08</v>
      </c>
      <c r="M5296" s="14">
        <v>0.09</v>
      </c>
      <c r="N5296" s="14">
        <v>0.09</v>
      </c>
      <c r="O5296" s="14">
        <v>0.09</v>
      </c>
      <c r="P5296" s="14">
        <v>0.09</v>
      </c>
      <c r="Q5296" s="14">
        <v>0.09</v>
      </c>
      <c r="R5296" s="14">
        <v>0.1</v>
      </c>
      <c r="S5296" s="14">
        <v>0.1</v>
      </c>
      <c r="T5296" s="14">
        <v>0.09</v>
      </c>
      <c r="U5296" s="14">
        <v>0.09</v>
      </c>
      <c r="V5296" s="14">
        <v>0.09</v>
      </c>
      <c r="W5296" s="14">
        <v>0.11</v>
      </c>
      <c r="X5296" s="14">
        <v>0.13</v>
      </c>
    </row>
    <row r="5297" spans="1:24" hidden="1" x14ac:dyDescent="0.3">
      <c r="A5297" s="14" t="s">
        <v>529</v>
      </c>
      <c r="B5297" s="14" t="s">
        <v>232</v>
      </c>
      <c r="C5297" s="14" t="s">
        <v>369</v>
      </c>
      <c r="D5297" s="14" t="s">
        <v>370</v>
      </c>
      <c r="E5297" s="14" t="s">
        <v>344</v>
      </c>
      <c r="F5297" s="14" t="s">
        <v>343</v>
      </c>
      <c r="G5297" s="14" t="s">
        <v>343</v>
      </c>
      <c r="H5297" s="14" t="s">
        <v>343</v>
      </c>
      <c r="J5297" s="14">
        <v>90</v>
      </c>
      <c r="K5297" s="14">
        <v>98</v>
      </c>
      <c r="L5297" s="14">
        <v>96</v>
      </c>
      <c r="M5297" s="14">
        <v>90</v>
      </c>
      <c r="N5297" s="14">
        <v>94</v>
      </c>
      <c r="O5297" s="14">
        <v>95</v>
      </c>
      <c r="P5297" s="14">
        <v>100</v>
      </c>
      <c r="Q5297" s="14">
        <v>111</v>
      </c>
      <c r="R5297" s="14">
        <v>103</v>
      </c>
      <c r="S5297" s="14">
        <v>102</v>
      </c>
      <c r="T5297" s="14">
        <v>117</v>
      </c>
      <c r="U5297" s="14">
        <v>121</v>
      </c>
      <c r="V5297" s="14">
        <v>128</v>
      </c>
      <c r="W5297" s="14">
        <v>123</v>
      </c>
      <c r="X5297" s="14">
        <v>109</v>
      </c>
    </row>
    <row r="5298" spans="1:24" hidden="1" x14ac:dyDescent="0.3">
      <c r="A5298" s="14" t="s">
        <v>529</v>
      </c>
      <c r="B5298" s="14" t="s">
        <v>232</v>
      </c>
      <c r="C5298" s="14" t="s">
        <v>371</v>
      </c>
      <c r="D5298" s="14" t="s">
        <v>372</v>
      </c>
      <c r="E5298" s="14" t="s">
        <v>342</v>
      </c>
      <c r="F5298" s="14" t="s">
        <v>343</v>
      </c>
      <c r="G5298" s="14" t="s">
        <v>343</v>
      </c>
      <c r="H5298" s="14" t="s">
        <v>343</v>
      </c>
      <c r="U5298" s="14">
        <v>0</v>
      </c>
      <c r="V5298" s="14">
        <v>0</v>
      </c>
      <c r="W5298" s="14">
        <v>0</v>
      </c>
      <c r="X5298" s="14">
        <v>0</v>
      </c>
    </row>
    <row r="5299" spans="1:24" hidden="1" x14ac:dyDescent="0.3">
      <c r="A5299" s="14" t="s">
        <v>529</v>
      </c>
      <c r="B5299" s="14" t="s">
        <v>232</v>
      </c>
      <c r="C5299" s="14" t="s">
        <v>371</v>
      </c>
      <c r="D5299" s="14" t="s">
        <v>372</v>
      </c>
      <c r="E5299" s="14" t="s">
        <v>344</v>
      </c>
      <c r="F5299" s="14" t="s">
        <v>343</v>
      </c>
      <c r="G5299" s="14" t="s">
        <v>343</v>
      </c>
      <c r="H5299" s="14" t="s">
        <v>343</v>
      </c>
      <c r="U5299" s="14">
        <v>71</v>
      </c>
      <c r="V5299" s="14">
        <v>73</v>
      </c>
      <c r="W5299" s="14">
        <v>76</v>
      </c>
      <c r="X5299" s="14">
        <v>78</v>
      </c>
    </row>
    <row r="5300" spans="1:24" hidden="1" x14ac:dyDescent="0.3">
      <c r="A5300" s="14" t="s">
        <v>529</v>
      </c>
      <c r="B5300" s="14" t="s">
        <v>232</v>
      </c>
      <c r="C5300" s="14" t="s">
        <v>373</v>
      </c>
      <c r="D5300" s="14" t="s">
        <v>374</v>
      </c>
      <c r="E5300" s="14" t="s">
        <v>342</v>
      </c>
      <c r="F5300" s="14" t="s">
        <v>343</v>
      </c>
      <c r="G5300" s="14" t="s">
        <v>343</v>
      </c>
      <c r="H5300" s="14" t="s">
        <v>343</v>
      </c>
      <c r="U5300" s="14">
        <v>0.06</v>
      </c>
      <c r="V5300" s="14">
        <v>0.06</v>
      </c>
      <c r="W5300" s="14">
        <v>0.06</v>
      </c>
      <c r="X5300" s="14">
        <v>0.06</v>
      </c>
    </row>
    <row r="5301" spans="1:24" hidden="1" x14ac:dyDescent="0.3">
      <c r="A5301" s="14" t="s">
        <v>529</v>
      </c>
      <c r="B5301" s="14" t="s">
        <v>232</v>
      </c>
      <c r="C5301" s="14" t="s">
        <v>373</v>
      </c>
      <c r="D5301" s="14" t="s">
        <v>374</v>
      </c>
      <c r="E5301" s="14" t="s">
        <v>344</v>
      </c>
      <c r="F5301" s="14" t="s">
        <v>343</v>
      </c>
      <c r="G5301" s="14" t="s">
        <v>343</v>
      </c>
      <c r="H5301" s="14" t="s">
        <v>343</v>
      </c>
      <c r="U5301" s="14">
        <v>131</v>
      </c>
      <c r="V5301" s="14">
        <v>135</v>
      </c>
      <c r="W5301" s="14">
        <v>140</v>
      </c>
      <c r="X5301" s="14">
        <v>132</v>
      </c>
    </row>
    <row r="5302" spans="1:24" hidden="1" x14ac:dyDescent="0.3">
      <c r="A5302" s="14" t="s">
        <v>529</v>
      </c>
      <c r="B5302" s="14" t="s">
        <v>232</v>
      </c>
      <c r="C5302" s="14" t="s">
        <v>375</v>
      </c>
      <c r="D5302" s="14" t="s">
        <v>376</v>
      </c>
      <c r="E5302" s="14" t="s">
        <v>342</v>
      </c>
      <c r="F5302" s="14" t="s">
        <v>343</v>
      </c>
      <c r="G5302" s="14" t="s">
        <v>343</v>
      </c>
      <c r="H5302" s="14" t="s">
        <v>343</v>
      </c>
      <c r="U5302" s="14">
        <v>0.24</v>
      </c>
      <c r="V5302" s="14">
        <v>0.24</v>
      </c>
      <c r="W5302" s="14">
        <v>0.31</v>
      </c>
      <c r="X5302" s="14">
        <v>0.37</v>
      </c>
    </row>
    <row r="5303" spans="1:24" hidden="1" x14ac:dyDescent="0.3">
      <c r="A5303" s="14" t="s">
        <v>529</v>
      </c>
      <c r="B5303" s="14" t="s">
        <v>232</v>
      </c>
      <c r="C5303" s="14" t="s">
        <v>375</v>
      </c>
      <c r="D5303" s="14" t="s">
        <v>376</v>
      </c>
      <c r="E5303" s="14" t="s">
        <v>344</v>
      </c>
      <c r="F5303" s="14" t="s">
        <v>343</v>
      </c>
      <c r="G5303" s="14" t="s">
        <v>343</v>
      </c>
      <c r="H5303" s="14" t="s">
        <v>343</v>
      </c>
      <c r="U5303" s="14">
        <v>91</v>
      </c>
      <c r="V5303" s="14">
        <v>99</v>
      </c>
      <c r="W5303" s="14">
        <v>80</v>
      </c>
      <c r="X5303" s="14">
        <v>69</v>
      </c>
    </row>
    <row r="5304" spans="1:24" hidden="1" x14ac:dyDescent="0.3">
      <c r="A5304" s="14" t="s">
        <v>530</v>
      </c>
      <c r="B5304" s="14" t="s">
        <v>234</v>
      </c>
      <c r="C5304" s="14" t="s">
        <v>340</v>
      </c>
      <c r="D5304" s="14" t="s">
        <v>341</v>
      </c>
      <c r="E5304" s="14" t="s">
        <v>342</v>
      </c>
      <c r="F5304" s="14" t="s">
        <v>343</v>
      </c>
      <c r="G5304" s="14" t="s">
        <v>343</v>
      </c>
      <c r="H5304" s="14" t="s">
        <v>343</v>
      </c>
      <c r="O5304" s="14">
        <v>0.93</v>
      </c>
      <c r="S5304" s="14">
        <v>0.94</v>
      </c>
      <c r="T5304" s="14">
        <v>0.93</v>
      </c>
      <c r="U5304" s="14">
        <v>0.94</v>
      </c>
      <c r="V5304" s="14">
        <v>0.95</v>
      </c>
      <c r="W5304" s="14">
        <v>0.95</v>
      </c>
      <c r="X5304" s="14">
        <v>0.98</v>
      </c>
    </row>
    <row r="5305" spans="1:24" hidden="1" x14ac:dyDescent="0.3">
      <c r="A5305" s="14" t="s">
        <v>530</v>
      </c>
      <c r="B5305" s="14" t="s">
        <v>234</v>
      </c>
      <c r="C5305" s="14" t="s">
        <v>340</v>
      </c>
      <c r="D5305" s="14" t="s">
        <v>341</v>
      </c>
      <c r="E5305" s="14" t="s">
        <v>344</v>
      </c>
      <c r="F5305" s="14" t="s">
        <v>343</v>
      </c>
      <c r="G5305" s="14" t="s">
        <v>343</v>
      </c>
      <c r="H5305" s="14" t="s">
        <v>343</v>
      </c>
      <c r="O5305" s="14">
        <v>109</v>
      </c>
      <c r="S5305" s="14">
        <v>117</v>
      </c>
      <c r="T5305" s="14">
        <v>117</v>
      </c>
      <c r="U5305" s="14">
        <v>121</v>
      </c>
      <c r="V5305" s="14">
        <v>122</v>
      </c>
      <c r="W5305" s="14">
        <v>123</v>
      </c>
      <c r="X5305" s="14">
        <v>95</v>
      </c>
    </row>
    <row r="5306" spans="1:24" hidden="1" x14ac:dyDescent="0.3">
      <c r="A5306" s="14" t="s">
        <v>530</v>
      </c>
      <c r="B5306" s="14" t="s">
        <v>234</v>
      </c>
      <c r="C5306" s="14" t="s">
        <v>345</v>
      </c>
      <c r="D5306" s="14" t="s">
        <v>346</v>
      </c>
      <c r="E5306" s="14" t="s">
        <v>342</v>
      </c>
      <c r="F5306" s="14" t="s">
        <v>343</v>
      </c>
      <c r="G5306" s="14" t="s">
        <v>343</v>
      </c>
      <c r="H5306" s="14" t="s">
        <v>343</v>
      </c>
      <c r="U5306" s="14">
        <v>0.32</v>
      </c>
      <c r="V5306" s="14">
        <v>0.56999999999999995</v>
      </c>
      <c r="W5306" s="14">
        <v>1</v>
      </c>
      <c r="X5306" s="14">
        <v>1</v>
      </c>
    </row>
    <row r="5307" spans="1:24" hidden="1" x14ac:dyDescent="0.3">
      <c r="A5307" s="14" t="s">
        <v>530</v>
      </c>
      <c r="B5307" s="14" t="s">
        <v>234</v>
      </c>
      <c r="C5307" s="14" t="s">
        <v>345</v>
      </c>
      <c r="D5307" s="14" t="s">
        <v>346</v>
      </c>
      <c r="E5307" s="14" t="s">
        <v>344</v>
      </c>
      <c r="F5307" s="14" t="s">
        <v>343</v>
      </c>
      <c r="G5307" s="14" t="s">
        <v>343</v>
      </c>
      <c r="H5307" s="14" t="s">
        <v>343</v>
      </c>
      <c r="U5307" s="14">
        <v>129</v>
      </c>
      <c r="V5307" s="14">
        <v>99</v>
      </c>
      <c r="W5307" s="14">
        <v>1</v>
      </c>
      <c r="X5307" s="14">
        <v>1</v>
      </c>
    </row>
    <row r="5308" spans="1:24" hidden="1" x14ac:dyDescent="0.3">
      <c r="A5308" s="14" t="s">
        <v>530</v>
      </c>
      <c r="B5308" s="14" t="s">
        <v>234</v>
      </c>
      <c r="C5308" s="14" t="s">
        <v>347</v>
      </c>
      <c r="D5308" s="14" t="s">
        <v>348</v>
      </c>
      <c r="E5308" s="14" t="s">
        <v>342</v>
      </c>
      <c r="F5308" s="14" t="s">
        <v>343</v>
      </c>
      <c r="G5308" s="14" t="s">
        <v>343</v>
      </c>
      <c r="H5308" s="14" t="s">
        <v>343</v>
      </c>
      <c r="U5308" s="14">
        <v>0.48</v>
      </c>
      <c r="V5308" s="14">
        <v>0.48</v>
      </c>
      <c r="W5308" s="14">
        <v>0.85</v>
      </c>
      <c r="X5308" s="14">
        <v>0.84</v>
      </c>
    </row>
    <row r="5309" spans="1:24" hidden="1" x14ac:dyDescent="0.3">
      <c r="A5309" s="14" t="s">
        <v>530</v>
      </c>
      <c r="B5309" s="14" t="s">
        <v>234</v>
      </c>
      <c r="C5309" s="14" t="s">
        <v>347</v>
      </c>
      <c r="D5309" s="14" t="s">
        <v>348</v>
      </c>
      <c r="E5309" s="14" t="s">
        <v>344</v>
      </c>
      <c r="F5309" s="14" t="s">
        <v>343</v>
      </c>
      <c r="G5309" s="14" t="s">
        <v>343</v>
      </c>
      <c r="H5309" s="14" t="s">
        <v>343</v>
      </c>
      <c r="U5309" s="14">
        <v>131</v>
      </c>
      <c r="V5309" s="14">
        <v>136</v>
      </c>
      <c r="W5309" s="14">
        <v>63</v>
      </c>
      <c r="X5309" s="14">
        <v>48</v>
      </c>
    </row>
    <row r="5310" spans="1:24" hidden="1" x14ac:dyDescent="0.3">
      <c r="A5310" s="14" t="s">
        <v>530</v>
      </c>
      <c r="B5310" s="14" t="s">
        <v>234</v>
      </c>
      <c r="C5310" s="14" t="s">
        <v>349</v>
      </c>
      <c r="D5310" s="14" t="s">
        <v>350</v>
      </c>
      <c r="E5310" s="14" t="s">
        <v>342</v>
      </c>
      <c r="F5310" s="14" t="s">
        <v>343</v>
      </c>
      <c r="G5310" s="14" t="s">
        <v>343</v>
      </c>
      <c r="H5310" s="14" t="s">
        <v>343</v>
      </c>
      <c r="U5310" s="14">
        <v>0.49</v>
      </c>
      <c r="V5310" s="14">
        <v>0.32</v>
      </c>
      <c r="W5310" s="14">
        <v>0.32</v>
      </c>
      <c r="X5310" s="14">
        <v>0.32</v>
      </c>
    </row>
    <row r="5311" spans="1:24" hidden="1" x14ac:dyDescent="0.3">
      <c r="A5311" s="14" t="s">
        <v>530</v>
      </c>
      <c r="B5311" s="14" t="s">
        <v>234</v>
      </c>
      <c r="C5311" s="14" t="s">
        <v>349</v>
      </c>
      <c r="D5311" s="14" t="s">
        <v>350</v>
      </c>
      <c r="E5311" s="14" t="s">
        <v>344</v>
      </c>
      <c r="F5311" s="14" t="s">
        <v>343</v>
      </c>
      <c r="G5311" s="14" t="s">
        <v>343</v>
      </c>
      <c r="H5311" s="14" t="s">
        <v>343</v>
      </c>
      <c r="U5311" s="14">
        <v>64</v>
      </c>
      <c r="V5311" s="14">
        <v>108</v>
      </c>
      <c r="W5311" s="14">
        <v>110</v>
      </c>
      <c r="X5311" s="14">
        <v>107</v>
      </c>
    </row>
    <row r="5312" spans="1:24" hidden="1" x14ac:dyDescent="0.3">
      <c r="A5312" s="14" t="s">
        <v>530</v>
      </c>
      <c r="B5312" s="14" t="s">
        <v>234</v>
      </c>
      <c r="C5312" s="14" t="s">
        <v>351</v>
      </c>
      <c r="D5312" s="14" t="s">
        <v>352</v>
      </c>
      <c r="E5312" s="14" t="s">
        <v>342</v>
      </c>
      <c r="F5312" s="14" t="s">
        <v>343</v>
      </c>
      <c r="G5312" s="14" t="s">
        <v>343</v>
      </c>
      <c r="H5312" s="14" t="s">
        <v>343</v>
      </c>
      <c r="U5312" s="14">
        <v>0.43</v>
      </c>
      <c r="V5312" s="14">
        <v>0.5</v>
      </c>
      <c r="W5312" s="14">
        <v>0.5</v>
      </c>
      <c r="X5312" s="14">
        <v>0.5</v>
      </c>
    </row>
    <row r="5313" spans="1:24" hidden="1" x14ac:dyDescent="0.3">
      <c r="A5313" s="14" t="s">
        <v>530</v>
      </c>
      <c r="B5313" s="14" t="s">
        <v>234</v>
      </c>
      <c r="C5313" s="14" t="s">
        <v>351</v>
      </c>
      <c r="D5313" s="14" t="s">
        <v>352</v>
      </c>
      <c r="E5313" s="14" t="s">
        <v>344</v>
      </c>
      <c r="F5313" s="14" t="s">
        <v>343</v>
      </c>
      <c r="G5313" s="14" t="s">
        <v>343</v>
      </c>
      <c r="H5313" s="14" t="s">
        <v>343</v>
      </c>
      <c r="U5313" s="14">
        <v>127</v>
      </c>
      <c r="V5313" s="14">
        <v>126</v>
      </c>
      <c r="W5313" s="14">
        <v>128</v>
      </c>
      <c r="X5313" s="14">
        <v>117</v>
      </c>
    </row>
    <row r="5314" spans="1:24" hidden="1" x14ac:dyDescent="0.3">
      <c r="A5314" s="14" t="s">
        <v>530</v>
      </c>
      <c r="B5314" s="14" t="s">
        <v>234</v>
      </c>
      <c r="C5314" s="14" t="s">
        <v>353</v>
      </c>
      <c r="D5314" s="14" t="s">
        <v>354</v>
      </c>
      <c r="E5314" s="14" t="s">
        <v>342</v>
      </c>
      <c r="F5314" s="14" t="s">
        <v>343</v>
      </c>
      <c r="G5314" s="14" t="s">
        <v>343</v>
      </c>
      <c r="H5314" s="14" t="s">
        <v>343</v>
      </c>
      <c r="U5314" s="14">
        <v>0.83</v>
      </c>
      <c r="V5314" s="14">
        <v>0.89</v>
      </c>
      <c r="W5314" s="14">
        <v>0.89</v>
      </c>
      <c r="X5314" s="14">
        <v>0.89</v>
      </c>
    </row>
    <row r="5315" spans="1:24" hidden="1" x14ac:dyDescent="0.3">
      <c r="A5315" s="14" t="s">
        <v>530</v>
      </c>
      <c r="B5315" s="14" t="s">
        <v>234</v>
      </c>
      <c r="C5315" s="14" t="s">
        <v>353</v>
      </c>
      <c r="D5315" s="14" t="s">
        <v>354</v>
      </c>
      <c r="E5315" s="14" t="s">
        <v>344</v>
      </c>
      <c r="F5315" s="14" t="s">
        <v>343</v>
      </c>
      <c r="G5315" s="14" t="s">
        <v>343</v>
      </c>
      <c r="H5315" s="14" t="s">
        <v>343</v>
      </c>
      <c r="U5315" s="14">
        <v>115</v>
      </c>
      <c r="V5315" s="14">
        <v>113</v>
      </c>
      <c r="W5315" s="14">
        <v>114</v>
      </c>
      <c r="X5315" s="14">
        <v>109</v>
      </c>
    </row>
    <row r="5316" spans="1:24" hidden="1" x14ac:dyDescent="0.3">
      <c r="A5316" s="14" t="s">
        <v>530</v>
      </c>
      <c r="B5316" s="14" t="s">
        <v>234</v>
      </c>
      <c r="C5316" s="14" t="s">
        <v>380</v>
      </c>
      <c r="D5316" s="14" t="s">
        <v>381</v>
      </c>
      <c r="E5316" s="14" t="s">
        <v>342</v>
      </c>
      <c r="F5316" s="14" t="s">
        <v>343</v>
      </c>
      <c r="G5316" s="14" t="s">
        <v>343</v>
      </c>
      <c r="H5316" s="14" t="s">
        <v>343</v>
      </c>
      <c r="U5316" s="14">
        <v>1</v>
      </c>
      <c r="V5316" s="14">
        <v>1</v>
      </c>
      <c r="W5316" s="14">
        <v>1</v>
      </c>
      <c r="X5316" s="14">
        <v>1</v>
      </c>
    </row>
    <row r="5317" spans="1:24" hidden="1" x14ac:dyDescent="0.3">
      <c r="A5317" s="14" t="s">
        <v>530</v>
      </c>
      <c r="B5317" s="14" t="s">
        <v>234</v>
      </c>
      <c r="C5317" s="14" t="s">
        <v>380</v>
      </c>
      <c r="D5317" s="14" t="s">
        <v>381</v>
      </c>
      <c r="E5317" s="14" t="s">
        <v>344</v>
      </c>
      <c r="F5317" s="14" t="s">
        <v>343</v>
      </c>
      <c r="G5317" s="14" t="s">
        <v>343</v>
      </c>
      <c r="H5317" s="14" t="s">
        <v>343</v>
      </c>
      <c r="U5317" s="14">
        <v>1</v>
      </c>
      <c r="V5317" s="14">
        <v>1</v>
      </c>
      <c r="W5317" s="14">
        <v>1</v>
      </c>
      <c r="X5317" s="14">
        <v>1</v>
      </c>
    </row>
    <row r="5318" spans="1:24" hidden="1" x14ac:dyDescent="0.3">
      <c r="A5318" s="14" t="s">
        <v>530</v>
      </c>
      <c r="B5318" s="14" t="s">
        <v>234</v>
      </c>
      <c r="C5318" s="14" t="s">
        <v>355</v>
      </c>
      <c r="D5318" s="14" t="s">
        <v>356</v>
      </c>
      <c r="E5318" s="14" t="s">
        <v>342</v>
      </c>
      <c r="F5318" s="14" t="s">
        <v>343</v>
      </c>
      <c r="G5318" s="14" t="s">
        <v>343</v>
      </c>
      <c r="H5318" s="14" t="s">
        <v>343</v>
      </c>
      <c r="U5318" s="14">
        <v>1</v>
      </c>
      <c r="V5318" s="14">
        <v>1</v>
      </c>
      <c r="W5318" s="14">
        <v>1</v>
      </c>
      <c r="X5318" s="14">
        <v>1</v>
      </c>
    </row>
    <row r="5319" spans="1:24" hidden="1" x14ac:dyDescent="0.3">
      <c r="A5319" s="14" t="s">
        <v>530</v>
      </c>
      <c r="B5319" s="14" t="s">
        <v>234</v>
      </c>
      <c r="C5319" s="14" t="s">
        <v>355</v>
      </c>
      <c r="D5319" s="14" t="s">
        <v>356</v>
      </c>
      <c r="E5319" s="14" t="s">
        <v>344</v>
      </c>
      <c r="F5319" s="14" t="s">
        <v>343</v>
      </c>
      <c r="G5319" s="14" t="s">
        <v>343</v>
      </c>
      <c r="H5319" s="14" t="s">
        <v>343</v>
      </c>
      <c r="U5319" s="14">
        <v>1</v>
      </c>
      <c r="V5319" s="14">
        <v>1</v>
      </c>
      <c r="W5319" s="14">
        <v>1</v>
      </c>
      <c r="X5319" s="14">
        <v>1</v>
      </c>
    </row>
    <row r="5320" spans="1:24" hidden="1" x14ac:dyDescent="0.3">
      <c r="A5320" s="14" t="s">
        <v>530</v>
      </c>
      <c r="B5320" s="14" t="s">
        <v>234</v>
      </c>
      <c r="C5320" s="14" t="s">
        <v>357</v>
      </c>
      <c r="D5320" s="14" t="s">
        <v>358</v>
      </c>
      <c r="E5320" s="14" t="s">
        <v>342</v>
      </c>
      <c r="F5320" s="14" t="s">
        <v>343</v>
      </c>
      <c r="G5320" s="14" t="s">
        <v>343</v>
      </c>
      <c r="H5320" s="14" t="s">
        <v>343</v>
      </c>
      <c r="U5320" s="14">
        <v>0.72</v>
      </c>
      <c r="V5320" s="14">
        <v>0.72</v>
      </c>
      <c r="W5320" s="14">
        <v>0.72</v>
      </c>
    </row>
    <row r="5321" spans="1:24" hidden="1" x14ac:dyDescent="0.3">
      <c r="A5321" s="14" t="s">
        <v>530</v>
      </c>
      <c r="B5321" s="14" t="s">
        <v>234</v>
      </c>
      <c r="C5321" s="14" t="s">
        <v>357</v>
      </c>
      <c r="D5321" s="14" t="s">
        <v>358</v>
      </c>
      <c r="E5321" s="14" t="s">
        <v>344</v>
      </c>
      <c r="F5321" s="14" t="s">
        <v>343</v>
      </c>
      <c r="G5321" s="14" t="s">
        <v>343</v>
      </c>
      <c r="H5321" s="14" t="s">
        <v>343</v>
      </c>
      <c r="U5321" s="14">
        <v>119</v>
      </c>
      <c r="V5321" s="14">
        <v>126</v>
      </c>
      <c r="W5321" s="14">
        <v>127</v>
      </c>
    </row>
    <row r="5322" spans="1:24" hidden="1" x14ac:dyDescent="0.3">
      <c r="A5322" s="14" t="s">
        <v>530</v>
      </c>
      <c r="B5322" s="14" t="s">
        <v>234</v>
      </c>
      <c r="C5322" s="14" t="s">
        <v>359</v>
      </c>
      <c r="D5322" s="14" t="s">
        <v>360</v>
      </c>
      <c r="E5322" s="14" t="s">
        <v>342</v>
      </c>
      <c r="F5322" s="14" t="s">
        <v>343</v>
      </c>
      <c r="G5322" s="14" t="s">
        <v>343</v>
      </c>
      <c r="H5322" s="14" t="s">
        <v>343</v>
      </c>
      <c r="O5322" s="14">
        <v>0.61</v>
      </c>
      <c r="S5322" s="14">
        <v>0.41</v>
      </c>
      <c r="T5322" s="14">
        <v>0.39</v>
      </c>
      <c r="U5322" s="14">
        <v>0.42</v>
      </c>
      <c r="V5322" s="14">
        <v>0.48</v>
      </c>
      <c r="W5322" s="14">
        <v>0.72</v>
      </c>
      <c r="X5322" s="14">
        <v>0.72</v>
      </c>
    </row>
    <row r="5323" spans="1:24" hidden="1" x14ac:dyDescent="0.3">
      <c r="A5323" s="14" t="s">
        <v>530</v>
      </c>
      <c r="B5323" s="14" t="s">
        <v>234</v>
      </c>
      <c r="C5323" s="14" t="s">
        <v>359</v>
      </c>
      <c r="D5323" s="14" t="s">
        <v>360</v>
      </c>
      <c r="E5323" s="14" t="s">
        <v>344</v>
      </c>
      <c r="F5323" s="14" t="s">
        <v>343</v>
      </c>
      <c r="G5323" s="14" t="s">
        <v>343</v>
      </c>
      <c r="H5323" s="14" t="s">
        <v>343</v>
      </c>
      <c r="O5323" s="14">
        <v>90</v>
      </c>
      <c r="S5323" s="14">
        <v>137</v>
      </c>
      <c r="T5323" s="14">
        <v>136</v>
      </c>
      <c r="U5323" s="14">
        <v>138</v>
      </c>
      <c r="V5323" s="14">
        <v>135</v>
      </c>
      <c r="W5323" s="14">
        <v>49</v>
      </c>
      <c r="X5323" s="14">
        <v>55</v>
      </c>
    </row>
    <row r="5324" spans="1:24" x14ac:dyDescent="0.3">
      <c r="A5324" s="14" t="s">
        <v>530</v>
      </c>
      <c r="B5324" s="14" t="s">
        <v>234</v>
      </c>
      <c r="C5324" s="14" t="s">
        <v>361</v>
      </c>
      <c r="D5324" s="14" t="s">
        <v>362</v>
      </c>
      <c r="E5324" s="14" t="s">
        <v>342</v>
      </c>
      <c r="F5324" s="14" t="s">
        <v>343</v>
      </c>
      <c r="G5324" s="14" t="s">
        <v>343</v>
      </c>
      <c r="H5324" s="14" t="s">
        <v>343</v>
      </c>
      <c r="O5324" s="14">
        <v>0.98</v>
      </c>
      <c r="S5324" s="14">
        <v>0.97</v>
      </c>
      <c r="T5324" s="14">
        <v>0.98</v>
      </c>
      <c r="U5324" s="14">
        <v>0.98</v>
      </c>
      <c r="V5324" s="14">
        <v>0.98</v>
      </c>
      <c r="W5324" s="14">
        <v>0.97</v>
      </c>
      <c r="X5324" s="14">
        <v>0.97</v>
      </c>
    </row>
    <row r="5325" spans="1:24" hidden="1" x14ac:dyDescent="0.3">
      <c r="A5325" s="14" t="s">
        <v>530</v>
      </c>
      <c r="B5325" s="14" t="s">
        <v>234</v>
      </c>
      <c r="C5325" s="14" t="s">
        <v>361</v>
      </c>
      <c r="D5325" s="14" t="s">
        <v>362</v>
      </c>
      <c r="E5325" s="14" t="s">
        <v>344</v>
      </c>
      <c r="F5325" s="14" t="s">
        <v>343</v>
      </c>
      <c r="G5325" s="14" t="s">
        <v>343</v>
      </c>
      <c r="H5325" s="14" t="s">
        <v>343</v>
      </c>
      <c r="O5325" s="14">
        <v>47</v>
      </c>
      <c r="S5325" s="14">
        <v>96</v>
      </c>
      <c r="T5325" s="14">
        <v>43</v>
      </c>
      <c r="U5325" s="14">
        <v>64</v>
      </c>
      <c r="V5325" s="14">
        <v>61</v>
      </c>
      <c r="W5325" s="14">
        <v>71</v>
      </c>
      <c r="X5325" s="14">
        <v>66</v>
      </c>
    </row>
    <row r="5326" spans="1:24" hidden="1" x14ac:dyDescent="0.3">
      <c r="A5326" s="14" t="s">
        <v>530</v>
      </c>
      <c r="B5326" s="14" t="s">
        <v>234</v>
      </c>
      <c r="C5326" s="14" t="s">
        <v>363</v>
      </c>
      <c r="D5326" s="14" t="s">
        <v>364</v>
      </c>
      <c r="E5326" s="14" t="s">
        <v>342</v>
      </c>
      <c r="F5326" s="14" t="s">
        <v>343</v>
      </c>
      <c r="G5326" s="14" t="s">
        <v>343</v>
      </c>
      <c r="H5326" s="14" t="s">
        <v>343</v>
      </c>
      <c r="U5326" s="14">
        <v>1.05</v>
      </c>
      <c r="V5326" s="14">
        <v>1.05</v>
      </c>
      <c r="W5326" s="14">
        <v>1.04</v>
      </c>
      <c r="X5326" s="14">
        <v>1.04</v>
      </c>
    </row>
    <row r="5327" spans="1:24" hidden="1" x14ac:dyDescent="0.3">
      <c r="A5327" s="14" t="s">
        <v>530</v>
      </c>
      <c r="B5327" s="14" t="s">
        <v>234</v>
      </c>
      <c r="C5327" s="14" t="s">
        <v>363</v>
      </c>
      <c r="D5327" s="14" t="s">
        <v>364</v>
      </c>
      <c r="E5327" s="14" t="s">
        <v>344</v>
      </c>
      <c r="F5327" s="14" t="s">
        <v>343</v>
      </c>
      <c r="G5327" s="14" t="s">
        <v>343</v>
      </c>
      <c r="H5327" s="14" t="s">
        <v>343</v>
      </c>
      <c r="U5327" s="14">
        <v>72</v>
      </c>
      <c r="V5327" s="14">
        <v>74</v>
      </c>
      <c r="W5327" s="14">
        <v>82</v>
      </c>
      <c r="X5327" s="14">
        <v>76</v>
      </c>
    </row>
    <row r="5328" spans="1:24" hidden="1" x14ac:dyDescent="0.3">
      <c r="A5328" s="14" t="s">
        <v>530</v>
      </c>
      <c r="B5328" s="14" t="s">
        <v>234</v>
      </c>
      <c r="C5328" s="14" t="s">
        <v>365</v>
      </c>
      <c r="D5328" s="14" t="s">
        <v>366</v>
      </c>
      <c r="E5328" s="14" t="s">
        <v>342</v>
      </c>
      <c r="F5328" s="14" t="s">
        <v>343</v>
      </c>
      <c r="G5328" s="14" t="s">
        <v>343</v>
      </c>
      <c r="H5328" s="14" t="s">
        <v>343</v>
      </c>
      <c r="U5328" s="14">
        <v>0.94</v>
      </c>
      <c r="V5328" s="14">
        <v>0.94</v>
      </c>
      <c r="W5328" s="14">
        <v>0.94</v>
      </c>
      <c r="X5328" s="14">
        <v>0.94</v>
      </c>
    </row>
    <row r="5329" spans="1:24" hidden="1" x14ac:dyDescent="0.3">
      <c r="A5329" s="14" t="s">
        <v>530</v>
      </c>
      <c r="B5329" s="14" t="s">
        <v>234</v>
      </c>
      <c r="C5329" s="14" t="s">
        <v>365</v>
      </c>
      <c r="D5329" s="14" t="s">
        <v>366</v>
      </c>
      <c r="E5329" s="14" t="s">
        <v>344</v>
      </c>
      <c r="F5329" s="14" t="s">
        <v>343</v>
      </c>
      <c r="G5329" s="14" t="s">
        <v>343</v>
      </c>
      <c r="H5329" s="14" t="s">
        <v>343</v>
      </c>
      <c r="U5329" s="14">
        <v>1</v>
      </c>
      <c r="V5329" s="14">
        <v>1</v>
      </c>
      <c r="W5329" s="14">
        <v>1</v>
      </c>
      <c r="X5329" s="14">
        <v>1</v>
      </c>
    </row>
    <row r="5330" spans="1:24" hidden="1" x14ac:dyDescent="0.3">
      <c r="A5330" s="14" t="s">
        <v>530</v>
      </c>
      <c r="B5330" s="14" t="s">
        <v>234</v>
      </c>
      <c r="C5330" s="14" t="s">
        <v>367</v>
      </c>
      <c r="D5330" s="14" t="s">
        <v>368</v>
      </c>
      <c r="E5330" s="14" t="s">
        <v>342</v>
      </c>
      <c r="F5330" s="14" t="s">
        <v>343</v>
      </c>
      <c r="G5330" s="14" t="s">
        <v>343</v>
      </c>
      <c r="H5330" s="14" t="s">
        <v>343</v>
      </c>
      <c r="O5330" s="14">
        <v>0.69</v>
      </c>
      <c r="S5330" s="14">
        <v>0.64</v>
      </c>
      <c r="T5330" s="14">
        <v>0.63</v>
      </c>
      <c r="U5330" s="14">
        <v>0.64</v>
      </c>
      <c r="V5330" s="14">
        <v>0.66</v>
      </c>
      <c r="W5330" s="14">
        <v>0.72</v>
      </c>
      <c r="X5330" s="14">
        <v>0.73</v>
      </c>
    </row>
    <row r="5331" spans="1:24" hidden="1" x14ac:dyDescent="0.3">
      <c r="A5331" s="14" t="s">
        <v>530</v>
      </c>
      <c r="B5331" s="14" t="s">
        <v>234</v>
      </c>
      <c r="C5331" s="14" t="s">
        <v>367</v>
      </c>
      <c r="D5331" s="14" t="s">
        <v>368</v>
      </c>
      <c r="E5331" s="14" t="s">
        <v>344</v>
      </c>
      <c r="F5331" s="14" t="s">
        <v>343</v>
      </c>
      <c r="G5331" s="14" t="s">
        <v>343</v>
      </c>
      <c r="H5331" s="14" t="s">
        <v>343</v>
      </c>
      <c r="O5331" s="14">
        <v>68</v>
      </c>
      <c r="S5331" s="14">
        <v>125</v>
      </c>
      <c r="T5331" s="14">
        <v>128</v>
      </c>
      <c r="U5331" s="14">
        <v>124</v>
      </c>
      <c r="V5331" s="14">
        <v>117</v>
      </c>
      <c r="W5331" s="14">
        <v>64</v>
      </c>
      <c r="X5331" s="14">
        <v>56</v>
      </c>
    </row>
    <row r="5332" spans="1:24" hidden="1" x14ac:dyDescent="0.3">
      <c r="A5332" s="14" t="s">
        <v>530</v>
      </c>
      <c r="B5332" s="14" t="s">
        <v>234</v>
      </c>
      <c r="C5332" s="14" t="s">
        <v>369</v>
      </c>
      <c r="D5332" s="14" t="s">
        <v>370</v>
      </c>
      <c r="E5332" s="14" t="s">
        <v>342</v>
      </c>
      <c r="F5332" s="14" t="s">
        <v>343</v>
      </c>
      <c r="G5332" s="14" t="s">
        <v>343</v>
      </c>
      <c r="H5332" s="14" t="s">
        <v>343</v>
      </c>
      <c r="O5332" s="14">
        <v>0.22</v>
      </c>
      <c r="S5332" s="14">
        <v>0.23</v>
      </c>
      <c r="T5332" s="14">
        <v>0.2</v>
      </c>
      <c r="U5332" s="14">
        <v>0.22</v>
      </c>
      <c r="V5332" s="14">
        <v>0.25</v>
      </c>
      <c r="W5332" s="14">
        <v>0.24</v>
      </c>
      <c r="X5332" s="14">
        <v>0.25</v>
      </c>
    </row>
    <row r="5333" spans="1:24" hidden="1" x14ac:dyDescent="0.3">
      <c r="A5333" s="14" t="s">
        <v>530</v>
      </c>
      <c r="B5333" s="14" t="s">
        <v>234</v>
      </c>
      <c r="C5333" s="14" t="s">
        <v>369</v>
      </c>
      <c r="D5333" s="14" t="s">
        <v>370</v>
      </c>
      <c r="E5333" s="14" t="s">
        <v>344</v>
      </c>
      <c r="F5333" s="14" t="s">
        <v>343</v>
      </c>
      <c r="G5333" s="14" t="s">
        <v>343</v>
      </c>
      <c r="H5333" s="14" t="s">
        <v>343</v>
      </c>
      <c r="O5333" s="14">
        <v>34</v>
      </c>
      <c r="S5333" s="14">
        <v>47</v>
      </c>
      <c r="T5333" s="14">
        <v>60</v>
      </c>
      <c r="U5333" s="14">
        <v>56</v>
      </c>
      <c r="V5333" s="14">
        <v>51</v>
      </c>
      <c r="W5333" s="14">
        <v>62</v>
      </c>
      <c r="X5333" s="14">
        <v>55</v>
      </c>
    </row>
    <row r="5334" spans="1:24" hidden="1" x14ac:dyDescent="0.3">
      <c r="A5334" s="14" t="s">
        <v>530</v>
      </c>
      <c r="B5334" s="14" t="s">
        <v>234</v>
      </c>
      <c r="C5334" s="14" t="s">
        <v>371</v>
      </c>
      <c r="D5334" s="14" t="s">
        <v>372</v>
      </c>
      <c r="E5334" s="14" t="s">
        <v>342</v>
      </c>
      <c r="F5334" s="14" t="s">
        <v>343</v>
      </c>
      <c r="G5334" s="14" t="s">
        <v>343</v>
      </c>
      <c r="H5334" s="14" t="s">
        <v>343</v>
      </c>
      <c r="U5334" s="14">
        <v>0</v>
      </c>
      <c r="V5334" s="14">
        <v>0</v>
      </c>
      <c r="W5334" s="14">
        <v>0</v>
      </c>
      <c r="X5334" s="14">
        <v>0</v>
      </c>
    </row>
    <row r="5335" spans="1:24" hidden="1" x14ac:dyDescent="0.3">
      <c r="A5335" s="14" t="s">
        <v>530</v>
      </c>
      <c r="B5335" s="14" t="s">
        <v>234</v>
      </c>
      <c r="C5335" s="14" t="s">
        <v>371</v>
      </c>
      <c r="D5335" s="14" t="s">
        <v>372</v>
      </c>
      <c r="E5335" s="14" t="s">
        <v>344</v>
      </c>
      <c r="F5335" s="14" t="s">
        <v>343</v>
      </c>
      <c r="G5335" s="14" t="s">
        <v>343</v>
      </c>
      <c r="H5335" s="14" t="s">
        <v>343</v>
      </c>
      <c r="U5335" s="14">
        <v>71</v>
      </c>
      <c r="V5335" s="14">
        <v>73</v>
      </c>
      <c r="W5335" s="14">
        <v>76</v>
      </c>
      <c r="X5335" s="14">
        <v>78</v>
      </c>
    </row>
    <row r="5336" spans="1:24" hidden="1" x14ac:dyDescent="0.3">
      <c r="A5336" s="14" t="s">
        <v>530</v>
      </c>
      <c r="B5336" s="14" t="s">
        <v>234</v>
      </c>
      <c r="C5336" s="14" t="s">
        <v>373</v>
      </c>
      <c r="D5336" s="14" t="s">
        <v>374</v>
      </c>
      <c r="E5336" s="14" t="s">
        <v>342</v>
      </c>
      <c r="F5336" s="14" t="s">
        <v>343</v>
      </c>
      <c r="G5336" s="14" t="s">
        <v>343</v>
      </c>
      <c r="H5336" s="14" t="s">
        <v>343</v>
      </c>
      <c r="U5336" s="14">
        <v>0.23</v>
      </c>
      <c r="V5336" s="14">
        <v>0.22</v>
      </c>
      <c r="W5336" s="14">
        <v>0.18</v>
      </c>
      <c r="X5336" s="14">
        <v>0.18</v>
      </c>
    </row>
    <row r="5337" spans="1:24" hidden="1" x14ac:dyDescent="0.3">
      <c r="A5337" s="14" t="s">
        <v>530</v>
      </c>
      <c r="B5337" s="14" t="s">
        <v>234</v>
      </c>
      <c r="C5337" s="14" t="s">
        <v>373</v>
      </c>
      <c r="D5337" s="14" t="s">
        <v>374</v>
      </c>
      <c r="E5337" s="14" t="s">
        <v>344</v>
      </c>
      <c r="F5337" s="14" t="s">
        <v>343</v>
      </c>
      <c r="G5337" s="14" t="s">
        <v>343</v>
      </c>
      <c r="H5337" s="14" t="s">
        <v>343</v>
      </c>
      <c r="U5337" s="14">
        <v>75</v>
      </c>
      <c r="V5337" s="14">
        <v>90</v>
      </c>
      <c r="W5337" s="14">
        <v>102</v>
      </c>
      <c r="X5337" s="14">
        <v>97</v>
      </c>
    </row>
    <row r="5338" spans="1:24" hidden="1" x14ac:dyDescent="0.3">
      <c r="A5338" s="14" t="s">
        <v>530</v>
      </c>
      <c r="B5338" s="14" t="s">
        <v>234</v>
      </c>
      <c r="C5338" s="14" t="s">
        <v>375</v>
      </c>
      <c r="D5338" s="14" t="s">
        <v>376</v>
      </c>
      <c r="E5338" s="14" t="s">
        <v>342</v>
      </c>
      <c r="F5338" s="14" t="s">
        <v>343</v>
      </c>
      <c r="G5338" s="14" t="s">
        <v>343</v>
      </c>
      <c r="H5338" s="14" t="s">
        <v>343</v>
      </c>
      <c r="U5338" s="14">
        <v>0.51</v>
      </c>
      <c r="V5338" s="14">
        <v>0.62</v>
      </c>
      <c r="W5338" s="14">
        <v>0.63</v>
      </c>
      <c r="X5338" s="14">
        <v>0.67</v>
      </c>
    </row>
    <row r="5339" spans="1:24" hidden="1" x14ac:dyDescent="0.3">
      <c r="A5339" s="14" t="s">
        <v>530</v>
      </c>
      <c r="B5339" s="14" t="s">
        <v>234</v>
      </c>
      <c r="C5339" s="14" t="s">
        <v>375</v>
      </c>
      <c r="D5339" s="14" t="s">
        <v>376</v>
      </c>
      <c r="E5339" s="14" t="s">
        <v>344</v>
      </c>
      <c r="F5339" s="14" t="s">
        <v>343</v>
      </c>
      <c r="G5339" s="14" t="s">
        <v>343</v>
      </c>
      <c r="H5339" s="14" t="s">
        <v>343</v>
      </c>
      <c r="U5339" s="14">
        <v>33</v>
      </c>
      <c r="V5339" s="14">
        <v>22</v>
      </c>
      <c r="W5339" s="14">
        <v>30</v>
      </c>
      <c r="X5339" s="14">
        <v>25</v>
      </c>
    </row>
    <row r="5340" spans="1:24" hidden="1" x14ac:dyDescent="0.3">
      <c r="A5340" s="14" t="s">
        <v>531</v>
      </c>
      <c r="B5340" s="14" t="s">
        <v>238</v>
      </c>
      <c r="C5340" s="14" t="s">
        <v>340</v>
      </c>
      <c r="D5340" s="14" t="s">
        <v>341</v>
      </c>
      <c r="E5340" s="14" t="s">
        <v>342</v>
      </c>
      <c r="F5340" s="14" t="s">
        <v>343</v>
      </c>
      <c r="G5340" s="14" t="s">
        <v>343</v>
      </c>
      <c r="H5340" s="14" t="s">
        <v>343</v>
      </c>
      <c r="I5340" s="14">
        <v>1</v>
      </c>
      <c r="J5340" s="14">
        <v>1</v>
      </c>
      <c r="K5340" s="14">
        <v>1</v>
      </c>
      <c r="L5340" s="14">
        <v>0.99</v>
      </c>
      <c r="M5340" s="14">
        <v>0.99</v>
      </c>
      <c r="N5340" s="14">
        <v>0.99</v>
      </c>
      <c r="O5340" s="14">
        <v>0.99</v>
      </c>
      <c r="P5340" s="14">
        <v>0.99</v>
      </c>
      <c r="Q5340" s="14">
        <v>0.99</v>
      </c>
      <c r="R5340" s="14">
        <v>1</v>
      </c>
      <c r="S5340" s="14">
        <v>0.99</v>
      </c>
      <c r="V5340" s="14">
        <v>0.99</v>
      </c>
      <c r="W5340" s="14">
        <v>0.99</v>
      </c>
    </row>
    <row r="5341" spans="1:24" hidden="1" x14ac:dyDescent="0.3">
      <c r="A5341" s="14" t="s">
        <v>531</v>
      </c>
      <c r="B5341" s="14" t="s">
        <v>238</v>
      </c>
      <c r="C5341" s="14" t="s">
        <v>340</v>
      </c>
      <c r="D5341" s="14" t="s">
        <v>341</v>
      </c>
      <c r="E5341" s="14" t="s">
        <v>344</v>
      </c>
      <c r="F5341" s="14" t="s">
        <v>343</v>
      </c>
      <c r="G5341" s="14" t="s">
        <v>343</v>
      </c>
      <c r="H5341" s="14" t="s">
        <v>343</v>
      </c>
      <c r="I5341" s="14">
        <v>29</v>
      </c>
      <c r="J5341" s="14">
        <v>34</v>
      </c>
      <c r="K5341" s="14">
        <v>39</v>
      </c>
      <c r="L5341" s="14">
        <v>58</v>
      </c>
      <c r="M5341" s="14">
        <v>50</v>
      </c>
      <c r="N5341" s="14">
        <v>49</v>
      </c>
      <c r="O5341" s="14">
        <v>53</v>
      </c>
      <c r="P5341" s="14">
        <v>51</v>
      </c>
      <c r="Q5341" s="14">
        <v>57</v>
      </c>
      <c r="R5341" s="14">
        <v>59</v>
      </c>
      <c r="S5341" s="14">
        <v>69</v>
      </c>
      <c r="V5341" s="14">
        <v>66</v>
      </c>
      <c r="W5341" s="14">
        <v>68</v>
      </c>
    </row>
    <row r="5342" spans="1:24" hidden="1" x14ac:dyDescent="0.3">
      <c r="A5342" s="14" t="s">
        <v>531</v>
      </c>
      <c r="B5342" s="14" t="s">
        <v>238</v>
      </c>
      <c r="C5342" s="14" t="s">
        <v>345</v>
      </c>
      <c r="D5342" s="14" t="s">
        <v>346</v>
      </c>
      <c r="E5342" s="14" t="s">
        <v>342</v>
      </c>
      <c r="F5342" s="14" t="s">
        <v>343</v>
      </c>
      <c r="G5342" s="14" t="s">
        <v>343</v>
      </c>
      <c r="H5342" s="14" t="s">
        <v>343</v>
      </c>
      <c r="V5342" s="14">
        <v>0.64</v>
      </c>
      <c r="W5342" s="14">
        <v>0.54</v>
      </c>
    </row>
    <row r="5343" spans="1:24" hidden="1" x14ac:dyDescent="0.3">
      <c r="A5343" s="14" t="s">
        <v>531</v>
      </c>
      <c r="B5343" s="14" t="s">
        <v>238</v>
      </c>
      <c r="C5343" s="14" t="s">
        <v>345</v>
      </c>
      <c r="D5343" s="14" t="s">
        <v>346</v>
      </c>
      <c r="E5343" s="14" t="s">
        <v>344</v>
      </c>
      <c r="F5343" s="14" t="s">
        <v>343</v>
      </c>
      <c r="G5343" s="14" t="s">
        <v>343</v>
      </c>
      <c r="H5343" s="14" t="s">
        <v>343</v>
      </c>
      <c r="V5343" s="14">
        <v>63</v>
      </c>
      <c r="W5343" s="14">
        <v>110</v>
      </c>
    </row>
    <row r="5344" spans="1:24" hidden="1" x14ac:dyDescent="0.3">
      <c r="A5344" s="14" t="s">
        <v>531</v>
      </c>
      <c r="B5344" s="14" t="s">
        <v>238</v>
      </c>
      <c r="C5344" s="14" t="s">
        <v>347</v>
      </c>
      <c r="D5344" s="14" t="s">
        <v>348</v>
      </c>
      <c r="E5344" s="14" t="s">
        <v>342</v>
      </c>
      <c r="F5344" s="14" t="s">
        <v>343</v>
      </c>
      <c r="G5344" s="14" t="s">
        <v>343</v>
      </c>
      <c r="H5344" s="14" t="s">
        <v>343</v>
      </c>
      <c r="V5344" s="14">
        <v>0.73</v>
      </c>
      <c r="W5344" s="14">
        <v>0.73</v>
      </c>
    </row>
    <row r="5345" spans="1:23" hidden="1" x14ac:dyDescent="0.3">
      <c r="A5345" s="14" t="s">
        <v>531</v>
      </c>
      <c r="B5345" s="14" t="s">
        <v>238</v>
      </c>
      <c r="C5345" s="14" t="s">
        <v>347</v>
      </c>
      <c r="D5345" s="14" t="s">
        <v>348</v>
      </c>
      <c r="E5345" s="14" t="s">
        <v>344</v>
      </c>
      <c r="F5345" s="14" t="s">
        <v>343</v>
      </c>
      <c r="G5345" s="14" t="s">
        <v>343</v>
      </c>
      <c r="H5345" s="14" t="s">
        <v>343</v>
      </c>
      <c r="V5345" s="14">
        <v>100</v>
      </c>
      <c r="W5345" s="14">
        <v>102</v>
      </c>
    </row>
    <row r="5346" spans="1:23" hidden="1" x14ac:dyDescent="0.3">
      <c r="A5346" s="14" t="s">
        <v>531</v>
      </c>
      <c r="B5346" s="14" t="s">
        <v>238</v>
      </c>
      <c r="C5346" s="14" t="s">
        <v>349</v>
      </c>
      <c r="D5346" s="14" t="s">
        <v>350</v>
      </c>
      <c r="E5346" s="14" t="s">
        <v>342</v>
      </c>
      <c r="F5346" s="14" t="s">
        <v>343</v>
      </c>
      <c r="G5346" s="14" t="s">
        <v>343</v>
      </c>
      <c r="H5346" s="14" t="s">
        <v>343</v>
      </c>
      <c r="V5346" s="14">
        <v>0.8</v>
      </c>
      <c r="W5346" s="14">
        <v>0.8</v>
      </c>
    </row>
    <row r="5347" spans="1:23" hidden="1" x14ac:dyDescent="0.3">
      <c r="A5347" s="14" t="s">
        <v>531</v>
      </c>
      <c r="B5347" s="14" t="s">
        <v>238</v>
      </c>
      <c r="C5347" s="14" t="s">
        <v>349</v>
      </c>
      <c r="D5347" s="14" t="s">
        <v>350</v>
      </c>
      <c r="E5347" s="14" t="s">
        <v>344</v>
      </c>
      <c r="F5347" s="14" t="s">
        <v>343</v>
      </c>
      <c r="G5347" s="14" t="s">
        <v>343</v>
      </c>
      <c r="H5347" s="14" t="s">
        <v>343</v>
      </c>
      <c r="V5347" s="14">
        <v>13</v>
      </c>
      <c r="W5347" s="14">
        <v>22</v>
      </c>
    </row>
    <row r="5348" spans="1:23" hidden="1" x14ac:dyDescent="0.3">
      <c r="A5348" s="14" t="s">
        <v>531</v>
      </c>
      <c r="B5348" s="14" t="s">
        <v>238</v>
      </c>
      <c r="C5348" s="14" t="s">
        <v>351</v>
      </c>
      <c r="D5348" s="14" t="s">
        <v>352</v>
      </c>
      <c r="E5348" s="14" t="s">
        <v>342</v>
      </c>
      <c r="F5348" s="14" t="s">
        <v>343</v>
      </c>
      <c r="G5348" s="14" t="s">
        <v>343</v>
      </c>
      <c r="H5348" s="14" t="s">
        <v>343</v>
      </c>
      <c r="V5348" s="14">
        <v>1</v>
      </c>
      <c r="W5348" s="14">
        <v>1</v>
      </c>
    </row>
    <row r="5349" spans="1:23" hidden="1" x14ac:dyDescent="0.3">
      <c r="A5349" s="14" t="s">
        <v>531</v>
      </c>
      <c r="B5349" s="14" t="s">
        <v>238</v>
      </c>
      <c r="C5349" s="14" t="s">
        <v>351</v>
      </c>
      <c r="D5349" s="14" t="s">
        <v>352</v>
      </c>
      <c r="E5349" s="14" t="s">
        <v>344</v>
      </c>
      <c r="F5349" s="14" t="s">
        <v>343</v>
      </c>
      <c r="G5349" s="14" t="s">
        <v>343</v>
      </c>
      <c r="H5349" s="14" t="s">
        <v>343</v>
      </c>
      <c r="V5349" s="14">
        <v>1</v>
      </c>
      <c r="W5349" s="14">
        <v>1</v>
      </c>
    </row>
    <row r="5350" spans="1:23" hidden="1" x14ac:dyDescent="0.3">
      <c r="A5350" s="14" t="s">
        <v>531</v>
      </c>
      <c r="B5350" s="14" t="s">
        <v>238</v>
      </c>
      <c r="C5350" s="14" t="s">
        <v>378</v>
      </c>
      <c r="D5350" s="14" t="s">
        <v>379</v>
      </c>
      <c r="E5350" s="14" t="s">
        <v>342</v>
      </c>
      <c r="F5350" s="14" t="s">
        <v>343</v>
      </c>
      <c r="G5350" s="14" t="s">
        <v>343</v>
      </c>
      <c r="H5350" s="14" t="s">
        <v>343</v>
      </c>
      <c r="S5350" s="14">
        <v>0.64</v>
      </c>
      <c r="V5350" s="14">
        <v>0.62</v>
      </c>
      <c r="W5350" s="14">
        <v>0.64</v>
      </c>
    </row>
    <row r="5351" spans="1:23" hidden="1" x14ac:dyDescent="0.3">
      <c r="A5351" s="14" t="s">
        <v>531</v>
      </c>
      <c r="B5351" s="14" t="s">
        <v>238</v>
      </c>
      <c r="C5351" s="14" t="s">
        <v>378</v>
      </c>
      <c r="D5351" s="14" t="s">
        <v>379</v>
      </c>
      <c r="E5351" s="14" t="s">
        <v>344</v>
      </c>
      <c r="F5351" s="14" t="s">
        <v>343</v>
      </c>
      <c r="G5351" s="14" t="s">
        <v>343</v>
      </c>
      <c r="H5351" s="14" t="s">
        <v>343</v>
      </c>
      <c r="S5351" s="14">
        <v>76</v>
      </c>
      <c r="V5351" s="14">
        <v>88</v>
      </c>
      <c r="W5351" s="14">
        <v>87</v>
      </c>
    </row>
    <row r="5352" spans="1:23" hidden="1" x14ac:dyDescent="0.3">
      <c r="A5352" s="14" t="s">
        <v>531</v>
      </c>
      <c r="B5352" s="14" t="s">
        <v>238</v>
      </c>
      <c r="C5352" s="14" t="s">
        <v>353</v>
      </c>
      <c r="D5352" s="14" t="s">
        <v>354</v>
      </c>
      <c r="E5352" s="14" t="s">
        <v>342</v>
      </c>
      <c r="F5352" s="14" t="s">
        <v>343</v>
      </c>
      <c r="G5352" s="14" t="s">
        <v>343</v>
      </c>
      <c r="H5352" s="14" t="s">
        <v>343</v>
      </c>
      <c r="V5352" s="14">
        <v>0.99</v>
      </c>
      <c r="W5352" s="14">
        <v>0.99</v>
      </c>
    </row>
    <row r="5353" spans="1:23" hidden="1" x14ac:dyDescent="0.3">
      <c r="A5353" s="14" t="s">
        <v>531</v>
      </c>
      <c r="B5353" s="14" t="s">
        <v>238</v>
      </c>
      <c r="C5353" s="14" t="s">
        <v>353</v>
      </c>
      <c r="D5353" s="14" t="s">
        <v>354</v>
      </c>
      <c r="E5353" s="14" t="s">
        <v>344</v>
      </c>
      <c r="F5353" s="14" t="s">
        <v>343</v>
      </c>
      <c r="G5353" s="14" t="s">
        <v>343</v>
      </c>
      <c r="H5353" s="14" t="s">
        <v>343</v>
      </c>
      <c r="V5353" s="14">
        <v>68</v>
      </c>
      <c r="W5353" s="14">
        <v>68</v>
      </c>
    </row>
    <row r="5354" spans="1:23" hidden="1" x14ac:dyDescent="0.3">
      <c r="A5354" s="14" t="s">
        <v>531</v>
      </c>
      <c r="B5354" s="14" t="s">
        <v>238</v>
      </c>
      <c r="C5354" s="14" t="s">
        <v>380</v>
      </c>
      <c r="D5354" s="14" t="s">
        <v>381</v>
      </c>
      <c r="E5354" s="14" t="s">
        <v>342</v>
      </c>
      <c r="F5354" s="14" t="s">
        <v>343</v>
      </c>
      <c r="G5354" s="14" t="s">
        <v>343</v>
      </c>
      <c r="H5354" s="14" t="s">
        <v>343</v>
      </c>
      <c r="V5354" s="14">
        <v>0.99</v>
      </c>
      <c r="W5354" s="14">
        <v>0.99</v>
      </c>
    </row>
    <row r="5355" spans="1:23" hidden="1" x14ac:dyDescent="0.3">
      <c r="A5355" s="14" t="s">
        <v>531</v>
      </c>
      <c r="B5355" s="14" t="s">
        <v>238</v>
      </c>
      <c r="C5355" s="14" t="s">
        <v>380</v>
      </c>
      <c r="D5355" s="14" t="s">
        <v>381</v>
      </c>
      <c r="E5355" s="14" t="s">
        <v>344</v>
      </c>
      <c r="F5355" s="14" t="s">
        <v>343</v>
      </c>
      <c r="G5355" s="14" t="s">
        <v>343</v>
      </c>
      <c r="H5355" s="14" t="s">
        <v>343</v>
      </c>
      <c r="V5355" s="14">
        <v>110</v>
      </c>
      <c r="W5355" s="14">
        <v>111</v>
      </c>
    </row>
    <row r="5356" spans="1:23" hidden="1" x14ac:dyDescent="0.3">
      <c r="A5356" s="14" t="s">
        <v>531</v>
      </c>
      <c r="B5356" s="14" t="s">
        <v>238</v>
      </c>
      <c r="C5356" s="14" t="s">
        <v>355</v>
      </c>
      <c r="D5356" s="14" t="s">
        <v>356</v>
      </c>
      <c r="E5356" s="14" t="s">
        <v>342</v>
      </c>
      <c r="F5356" s="14" t="s">
        <v>343</v>
      </c>
      <c r="G5356" s="14" t="s">
        <v>343</v>
      </c>
      <c r="H5356" s="14" t="s">
        <v>343</v>
      </c>
      <c r="V5356" s="14">
        <v>1</v>
      </c>
      <c r="W5356" s="14">
        <v>1</v>
      </c>
    </row>
    <row r="5357" spans="1:23" hidden="1" x14ac:dyDescent="0.3">
      <c r="A5357" s="14" t="s">
        <v>531</v>
      </c>
      <c r="B5357" s="14" t="s">
        <v>238</v>
      </c>
      <c r="C5357" s="14" t="s">
        <v>355</v>
      </c>
      <c r="D5357" s="14" t="s">
        <v>356</v>
      </c>
      <c r="E5357" s="14" t="s">
        <v>344</v>
      </c>
      <c r="F5357" s="14" t="s">
        <v>343</v>
      </c>
      <c r="G5357" s="14" t="s">
        <v>343</v>
      </c>
      <c r="H5357" s="14" t="s">
        <v>343</v>
      </c>
      <c r="V5357" s="14">
        <v>1</v>
      </c>
      <c r="W5357" s="14">
        <v>1</v>
      </c>
    </row>
    <row r="5358" spans="1:23" hidden="1" x14ac:dyDescent="0.3">
      <c r="A5358" s="14" t="s">
        <v>531</v>
      </c>
      <c r="B5358" s="14" t="s">
        <v>238</v>
      </c>
      <c r="C5358" s="14" t="s">
        <v>357</v>
      </c>
      <c r="D5358" s="14" t="s">
        <v>358</v>
      </c>
      <c r="E5358" s="14" t="s">
        <v>342</v>
      </c>
      <c r="F5358" s="14" t="s">
        <v>343</v>
      </c>
      <c r="G5358" s="14" t="s">
        <v>343</v>
      </c>
      <c r="H5358" s="14" t="s">
        <v>343</v>
      </c>
      <c r="V5358" s="14">
        <v>1</v>
      </c>
      <c r="W5358" s="14">
        <v>1</v>
      </c>
    </row>
    <row r="5359" spans="1:23" hidden="1" x14ac:dyDescent="0.3">
      <c r="A5359" s="14" t="s">
        <v>531</v>
      </c>
      <c r="B5359" s="14" t="s">
        <v>238</v>
      </c>
      <c r="C5359" s="14" t="s">
        <v>357</v>
      </c>
      <c r="D5359" s="14" t="s">
        <v>358</v>
      </c>
      <c r="E5359" s="14" t="s">
        <v>344</v>
      </c>
      <c r="F5359" s="14" t="s">
        <v>343</v>
      </c>
      <c r="G5359" s="14" t="s">
        <v>343</v>
      </c>
      <c r="H5359" s="14" t="s">
        <v>343</v>
      </c>
      <c r="V5359" s="14">
        <v>1</v>
      </c>
      <c r="W5359" s="14">
        <v>1</v>
      </c>
    </row>
    <row r="5360" spans="1:23" hidden="1" x14ac:dyDescent="0.3">
      <c r="A5360" s="14" t="s">
        <v>531</v>
      </c>
      <c r="B5360" s="14" t="s">
        <v>238</v>
      </c>
      <c r="C5360" s="14" t="s">
        <v>359</v>
      </c>
      <c r="D5360" s="14" t="s">
        <v>360</v>
      </c>
      <c r="E5360" s="14" t="s">
        <v>342</v>
      </c>
      <c r="F5360" s="14" t="s">
        <v>343</v>
      </c>
      <c r="G5360" s="14" t="s">
        <v>343</v>
      </c>
      <c r="H5360" s="14" t="s">
        <v>343</v>
      </c>
      <c r="I5360" s="14">
        <v>0.61</v>
      </c>
      <c r="J5360" s="14">
        <v>0.64</v>
      </c>
      <c r="K5360" s="14">
        <v>0.67</v>
      </c>
      <c r="L5360" s="14">
        <v>0.69</v>
      </c>
      <c r="M5360" s="14">
        <v>0.71</v>
      </c>
      <c r="N5360" s="14">
        <v>0.71</v>
      </c>
      <c r="O5360" s="14">
        <v>0.7</v>
      </c>
      <c r="P5360" s="14">
        <v>0.71</v>
      </c>
      <c r="Q5360" s="14">
        <v>0.71</v>
      </c>
      <c r="R5360" s="14">
        <v>0.7</v>
      </c>
      <c r="S5360" s="14">
        <v>0.7</v>
      </c>
      <c r="V5360" s="14">
        <v>0.72</v>
      </c>
      <c r="W5360" s="14">
        <v>0.7</v>
      </c>
    </row>
    <row r="5361" spans="1:23" hidden="1" x14ac:dyDescent="0.3">
      <c r="A5361" s="14" t="s">
        <v>531</v>
      </c>
      <c r="B5361" s="14" t="s">
        <v>238</v>
      </c>
      <c r="C5361" s="14" t="s">
        <v>359</v>
      </c>
      <c r="D5361" s="14" t="s">
        <v>360</v>
      </c>
      <c r="E5361" s="14" t="s">
        <v>344</v>
      </c>
      <c r="F5361" s="14" t="s">
        <v>343</v>
      </c>
      <c r="G5361" s="14" t="s">
        <v>343</v>
      </c>
      <c r="H5361" s="14" t="s">
        <v>343</v>
      </c>
      <c r="I5361" s="14">
        <v>56</v>
      </c>
      <c r="J5361" s="14">
        <v>64</v>
      </c>
      <c r="K5361" s="14">
        <v>52</v>
      </c>
      <c r="L5361" s="14">
        <v>44</v>
      </c>
      <c r="M5361" s="14">
        <v>38</v>
      </c>
      <c r="N5361" s="14">
        <v>39</v>
      </c>
      <c r="O5361" s="14">
        <v>47</v>
      </c>
      <c r="P5361" s="14">
        <v>47</v>
      </c>
      <c r="Q5361" s="14">
        <v>54</v>
      </c>
      <c r="R5361" s="14">
        <v>53</v>
      </c>
      <c r="S5361" s="14">
        <v>51</v>
      </c>
      <c r="V5361" s="14">
        <v>51</v>
      </c>
      <c r="W5361" s="14">
        <v>68</v>
      </c>
    </row>
    <row r="5362" spans="1:23" x14ac:dyDescent="0.3">
      <c r="A5362" s="14" t="s">
        <v>531</v>
      </c>
      <c r="B5362" s="14" t="s">
        <v>238</v>
      </c>
      <c r="C5362" s="14" t="s">
        <v>361</v>
      </c>
      <c r="D5362" s="14" t="s">
        <v>362</v>
      </c>
      <c r="E5362" s="14" t="s">
        <v>342</v>
      </c>
      <c r="F5362" s="14" t="s">
        <v>343</v>
      </c>
      <c r="G5362" s="14" t="s">
        <v>343</v>
      </c>
      <c r="H5362" s="14" t="s">
        <v>343</v>
      </c>
      <c r="I5362" s="14">
        <v>0.98</v>
      </c>
      <c r="J5362" s="14">
        <v>0.98</v>
      </c>
      <c r="K5362" s="14">
        <v>0.98</v>
      </c>
      <c r="L5362" s="14">
        <v>0.98</v>
      </c>
      <c r="M5362" s="14">
        <v>0.98</v>
      </c>
      <c r="N5362" s="14">
        <v>0.98</v>
      </c>
      <c r="O5362" s="14">
        <v>0.95</v>
      </c>
      <c r="P5362" s="14">
        <v>0.95</v>
      </c>
      <c r="Q5362" s="14">
        <v>0.98</v>
      </c>
      <c r="R5362" s="14">
        <v>0.98</v>
      </c>
      <c r="S5362" s="14">
        <v>0.98</v>
      </c>
      <c r="V5362" s="14">
        <v>0.98</v>
      </c>
      <c r="W5362" s="14">
        <v>0.98</v>
      </c>
    </row>
    <row r="5363" spans="1:23" hidden="1" x14ac:dyDescent="0.3">
      <c r="A5363" s="14" t="s">
        <v>531</v>
      </c>
      <c r="B5363" s="14" t="s">
        <v>238</v>
      </c>
      <c r="C5363" s="14" t="s">
        <v>361</v>
      </c>
      <c r="D5363" s="14" t="s">
        <v>362</v>
      </c>
      <c r="E5363" s="14" t="s">
        <v>344</v>
      </c>
      <c r="F5363" s="14" t="s">
        <v>343</v>
      </c>
      <c r="G5363" s="14" t="s">
        <v>343</v>
      </c>
      <c r="H5363" s="14" t="s">
        <v>343</v>
      </c>
      <c r="I5363" s="14">
        <v>1</v>
      </c>
      <c r="J5363" s="14">
        <v>1</v>
      </c>
      <c r="K5363" s="14">
        <v>1</v>
      </c>
      <c r="L5363" s="14">
        <v>1</v>
      </c>
      <c r="M5363" s="14">
        <v>1</v>
      </c>
      <c r="N5363" s="14">
        <v>1</v>
      </c>
      <c r="O5363" s="14">
        <v>128</v>
      </c>
      <c r="P5363" s="14">
        <v>130</v>
      </c>
      <c r="Q5363" s="14">
        <v>1</v>
      </c>
      <c r="R5363" s="14">
        <v>1</v>
      </c>
      <c r="S5363" s="14">
        <v>1</v>
      </c>
      <c r="V5363" s="14">
        <v>1</v>
      </c>
      <c r="W5363" s="14">
        <v>1</v>
      </c>
    </row>
    <row r="5364" spans="1:23" hidden="1" x14ac:dyDescent="0.3">
      <c r="A5364" s="14" t="s">
        <v>531</v>
      </c>
      <c r="B5364" s="14" t="s">
        <v>238</v>
      </c>
      <c r="C5364" s="14" t="s">
        <v>363</v>
      </c>
      <c r="D5364" s="14" t="s">
        <v>364</v>
      </c>
      <c r="E5364" s="14" t="s">
        <v>342</v>
      </c>
      <c r="F5364" s="14" t="s">
        <v>343</v>
      </c>
      <c r="G5364" s="14" t="s">
        <v>343</v>
      </c>
      <c r="H5364" s="14" t="s">
        <v>343</v>
      </c>
      <c r="V5364" s="14">
        <v>1.06</v>
      </c>
      <c r="W5364" s="14">
        <v>1.06</v>
      </c>
    </row>
    <row r="5365" spans="1:23" hidden="1" x14ac:dyDescent="0.3">
      <c r="A5365" s="14" t="s">
        <v>531</v>
      </c>
      <c r="B5365" s="14" t="s">
        <v>238</v>
      </c>
      <c r="C5365" s="14" t="s">
        <v>363</v>
      </c>
      <c r="D5365" s="14" t="s">
        <v>364</v>
      </c>
      <c r="E5365" s="14" t="s">
        <v>344</v>
      </c>
      <c r="F5365" s="14" t="s">
        <v>343</v>
      </c>
      <c r="G5365" s="14" t="s">
        <v>343</v>
      </c>
      <c r="H5365" s="14" t="s">
        <v>343</v>
      </c>
      <c r="V5365" s="14">
        <v>1</v>
      </c>
      <c r="W5365" s="14">
        <v>1</v>
      </c>
    </row>
    <row r="5366" spans="1:23" hidden="1" x14ac:dyDescent="0.3">
      <c r="A5366" s="14" t="s">
        <v>531</v>
      </c>
      <c r="B5366" s="14" t="s">
        <v>238</v>
      </c>
      <c r="C5366" s="14" t="s">
        <v>365</v>
      </c>
      <c r="D5366" s="14" t="s">
        <v>366</v>
      </c>
      <c r="E5366" s="14" t="s">
        <v>342</v>
      </c>
      <c r="F5366" s="14" t="s">
        <v>343</v>
      </c>
      <c r="G5366" s="14" t="s">
        <v>343</v>
      </c>
      <c r="H5366" s="14" t="s">
        <v>343</v>
      </c>
      <c r="V5366" s="14">
        <v>0.94</v>
      </c>
      <c r="W5366" s="14">
        <v>0.94</v>
      </c>
    </row>
    <row r="5367" spans="1:23" hidden="1" x14ac:dyDescent="0.3">
      <c r="A5367" s="14" t="s">
        <v>531</v>
      </c>
      <c r="B5367" s="14" t="s">
        <v>238</v>
      </c>
      <c r="C5367" s="14" t="s">
        <v>365</v>
      </c>
      <c r="D5367" s="14" t="s">
        <v>366</v>
      </c>
      <c r="E5367" s="14" t="s">
        <v>344</v>
      </c>
      <c r="F5367" s="14" t="s">
        <v>343</v>
      </c>
      <c r="G5367" s="14" t="s">
        <v>343</v>
      </c>
      <c r="H5367" s="14" t="s">
        <v>343</v>
      </c>
      <c r="V5367" s="14">
        <v>1</v>
      </c>
      <c r="W5367" s="14">
        <v>1</v>
      </c>
    </row>
    <row r="5368" spans="1:23" hidden="1" x14ac:dyDescent="0.3">
      <c r="A5368" s="14" t="s">
        <v>531</v>
      </c>
      <c r="B5368" s="14" t="s">
        <v>238</v>
      </c>
      <c r="C5368" s="14" t="s">
        <v>367</v>
      </c>
      <c r="D5368" s="14" t="s">
        <v>368</v>
      </c>
      <c r="E5368" s="14" t="s">
        <v>342</v>
      </c>
      <c r="F5368" s="14" t="s">
        <v>343</v>
      </c>
      <c r="G5368" s="14" t="s">
        <v>343</v>
      </c>
      <c r="H5368" s="14" t="s">
        <v>343</v>
      </c>
      <c r="I5368" s="14">
        <v>0.68</v>
      </c>
      <c r="J5368" s="14">
        <v>0.69</v>
      </c>
      <c r="K5368" s="14">
        <v>0.72</v>
      </c>
      <c r="L5368" s="14">
        <v>0.73</v>
      </c>
      <c r="M5368" s="14">
        <v>0.74</v>
      </c>
      <c r="N5368" s="14">
        <v>0.74</v>
      </c>
      <c r="O5368" s="14">
        <v>0.71</v>
      </c>
      <c r="P5368" s="14">
        <v>0.72</v>
      </c>
      <c r="Q5368" s="14">
        <v>0.72</v>
      </c>
      <c r="R5368" s="14">
        <v>0.72</v>
      </c>
      <c r="S5368" s="14">
        <v>0.72</v>
      </c>
      <c r="V5368" s="14">
        <v>0.76</v>
      </c>
      <c r="W5368" s="14">
        <v>0.75</v>
      </c>
    </row>
    <row r="5369" spans="1:23" hidden="1" x14ac:dyDescent="0.3">
      <c r="A5369" s="14" t="s">
        <v>531</v>
      </c>
      <c r="B5369" s="14" t="s">
        <v>238</v>
      </c>
      <c r="C5369" s="14" t="s">
        <v>367</v>
      </c>
      <c r="D5369" s="14" t="s">
        <v>368</v>
      </c>
      <c r="E5369" s="14" t="s">
        <v>344</v>
      </c>
      <c r="F5369" s="14" t="s">
        <v>343</v>
      </c>
      <c r="G5369" s="14" t="s">
        <v>343</v>
      </c>
      <c r="H5369" s="14" t="s">
        <v>343</v>
      </c>
      <c r="I5369" s="14">
        <v>45</v>
      </c>
      <c r="J5369" s="14">
        <v>46</v>
      </c>
      <c r="K5369" s="14">
        <v>19</v>
      </c>
      <c r="L5369" s="14">
        <v>19</v>
      </c>
      <c r="M5369" s="14">
        <v>21</v>
      </c>
      <c r="N5369" s="14">
        <v>21</v>
      </c>
      <c r="O5369" s="14">
        <v>43</v>
      </c>
      <c r="P5369" s="14">
        <v>36</v>
      </c>
      <c r="Q5369" s="14">
        <v>49</v>
      </c>
      <c r="R5369" s="14">
        <v>46</v>
      </c>
      <c r="S5369" s="14">
        <v>44</v>
      </c>
      <c r="V5369" s="14">
        <v>24</v>
      </c>
      <c r="W5369" s="14">
        <v>37</v>
      </c>
    </row>
    <row r="5370" spans="1:23" hidden="1" x14ac:dyDescent="0.3">
      <c r="A5370" s="14" t="s">
        <v>531</v>
      </c>
      <c r="B5370" s="14" t="s">
        <v>238</v>
      </c>
      <c r="C5370" s="14" t="s">
        <v>369</v>
      </c>
      <c r="D5370" s="14" t="s">
        <v>370</v>
      </c>
      <c r="E5370" s="14" t="s">
        <v>342</v>
      </c>
      <c r="F5370" s="14" t="s">
        <v>343</v>
      </c>
      <c r="G5370" s="14" t="s">
        <v>343</v>
      </c>
      <c r="H5370" s="14" t="s">
        <v>343</v>
      </c>
      <c r="I5370" s="14">
        <v>0.13</v>
      </c>
      <c r="J5370" s="14">
        <v>0.13</v>
      </c>
      <c r="K5370" s="14">
        <v>0.25</v>
      </c>
      <c r="L5370" s="14">
        <v>0.25</v>
      </c>
      <c r="M5370" s="14">
        <v>0.25</v>
      </c>
      <c r="N5370" s="14">
        <v>0.26</v>
      </c>
      <c r="O5370" s="14">
        <v>0.2</v>
      </c>
      <c r="P5370" s="14">
        <v>0.21</v>
      </c>
      <c r="Q5370" s="14">
        <v>0.18</v>
      </c>
      <c r="R5370" s="14">
        <v>0.2</v>
      </c>
      <c r="S5370" s="14">
        <v>0.22</v>
      </c>
      <c r="V5370" s="14">
        <v>0.33</v>
      </c>
      <c r="W5370" s="14">
        <v>0.32</v>
      </c>
    </row>
    <row r="5371" spans="1:23" hidden="1" x14ac:dyDescent="0.3">
      <c r="A5371" s="14" t="s">
        <v>531</v>
      </c>
      <c r="B5371" s="14" t="s">
        <v>238</v>
      </c>
      <c r="C5371" s="14" t="s">
        <v>369</v>
      </c>
      <c r="D5371" s="14" t="s">
        <v>370</v>
      </c>
      <c r="E5371" s="14" t="s">
        <v>344</v>
      </c>
      <c r="F5371" s="14" t="s">
        <v>343</v>
      </c>
      <c r="G5371" s="14" t="s">
        <v>343</v>
      </c>
      <c r="H5371" s="14" t="s">
        <v>343</v>
      </c>
      <c r="I5371" s="14">
        <v>46</v>
      </c>
      <c r="J5371" s="14">
        <v>52</v>
      </c>
      <c r="K5371" s="14">
        <v>24</v>
      </c>
      <c r="L5371" s="14">
        <v>27</v>
      </c>
      <c r="M5371" s="14">
        <v>30</v>
      </c>
      <c r="N5371" s="14">
        <v>31</v>
      </c>
      <c r="O5371" s="14">
        <v>36</v>
      </c>
      <c r="P5371" s="14">
        <v>38</v>
      </c>
      <c r="Q5371" s="14">
        <v>58</v>
      </c>
      <c r="R5371" s="14">
        <v>56</v>
      </c>
      <c r="S5371" s="14">
        <v>50</v>
      </c>
      <c r="V5371" s="14">
        <v>31</v>
      </c>
      <c r="W5371" s="14">
        <v>39</v>
      </c>
    </row>
    <row r="5372" spans="1:23" hidden="1" x14ac:dyDescent="0.3">
      <c r="A5372" s="14" t="s">
        <v>531</v>
      </c>
      <c r="B5372" s="14" t="s">
        <v>238</v>
      </c>
      <c r="C5372" s="14" t="s">
        <v>371</v>
      </c>
      <c r="D5372" s="14" t="s">
        <v>372</v>
      </c>
      <c r="E5372" s="14" t="s">
        <v>342</v>
      </c>
      <c r="F5372" s="14" t="s">
        <v>343</v>
      </c>
      <c r="G5372" s="14" t="s">
        <v>343</v>
      </c>
      <c r="H5372" s="14" t="s">
        <v>343</v>
      </c>
      <c r="V5372" s="14">
        <v>0.15</v>
      </c>
      <c r="W5372" s="14">
        <v>0.19</v>
      </c>
    </row>
    <row r="5373" spans="1:23" hidden="1" x14ac:dyDescent="0.3">
      <c r="A5373" s="14" t="s">
        <v>531</v>
      </c>
      <c r="B5373" s="14" t="s">
        <v>238</v>
      </c>
      <c r="C5373" s="14" t="s">
        <v>371</v>
      </c>
      <c r="D5373" s="14" t="s">
        <v>372</v>
      </c>
      <c r="E5373" s="14" t="s">
        <v>344</v>
      </c>
      <c r="F5373" s="14" t="s">
        <v>343</v>
      </c>
      <c r="G5373" s="14" t="s">
        <v>343</v>
      </c>
      <c r="H5373" s="14" t="s">
        <v>343</v>
      </c>
      <c r="V5373" s="14">
        <v>23</v>
      </c>
      <c r="W5373" s="14">
        <v>19</v>
      </c>
    </row>
    <row r="5374" spans="1:23" hidden="1" x14ac:dyDescent="0.3">
      <c r="A5374" s="14" t="s">
        <v>531</v>
      </c>
      <c r="B5374" s="14" t="s">
        <v>238</v>
      </c>
      <c r="C5374" s="14" t="s">
        <v>373</v>
      </c>
      <c r="D5374" s="14" t="s">
        <v>374</v>
      </c>
      <c r="E5374" s="14" t="s">
        <v>342</v>
      </c>
      <c r="F5374" s="14" t="s">
        <v>343</v>
      </c>
      <c r="G5374" s="14" t="s">
        <v>343</v>
      </c>
      <c r="H5374" s="14" t="s">
        <v>343</v>
      </c>
      <c r="V5374" s="14">
        <v>0.5</v>
      </c>
      <c r="W5374" s="14">
        <v>0.5</v>
      </c>
    </row>
    <row r="5375" spans="1:23" hidden="1" x14ac:dyDescent="0.3">
      <c r="A5375" s="14" t="s">
        <v>531</v>
      </c>
      <c r="B5375" s="14" t="s">
        <v>238</v>
      </c>
      <c r="C5375" s="14" t="s">
        <v>373</v>
      </c>
      <c r="D5375" s="14" t="s">
        <v>374</v>
      </c>
      <c r="E5375" s="14" t="s">
        <v>344</v>
      </c>
      <c r="F5375" s="14" t="s">
        <v>343</v>
      </c>
      <c r="G5375" s="14" t="s">
        <v>343</v>
      </c>
      <c r="H5375" s="14" t="s">
        <v>343</v>
      </c>
      <c r="V5375" s="14">
        <v>29</v>
      </c>
      <c r="W5375" s="14">
        <v>37</v>
      </c>
    </row>
    <row r="5376" spans="1:23" hidden="1" x14ac:dyDescent="0.3">
      <c r="A5376" s="14" t="s">
        <v>531</v>
      </c>
      <c r="B5376" s="14" t="s">
        <v>238</v>
      </c>
      <c r="C5376" s="14" t="s">
        <v>375</v>
      </c>
      <c r="D5376" s="14" t="s">
        <v>376</v>
      </c>
      <c r="E5376" s="14" t="s">
        <v>342</v>
      </c>
      <c r="F5376" s="14" t="s">
        <v>343</v>
      </c>
      <c r="G5376" s="14" t="s">
        <v>343</v>
      </c>
      <c r="H5376" s="14" t="s">
        <v>343</v>
      </c>
      <c r="V5376" s="14">
        <v>0.45</v>
      </c>
      <c r="W5376" s="14">
        <v>0.36</v>
      </c>
    </row>
    <row r="5377" spans="1:24" hidden="1" x14ac:dyDescent="0.3">
      <c r="A5377" s="14" t="s">
        <v>531</v>
      </c>
      <c r="B5377" s="14" t="s">
        <v>238</v>
      </c>
      <c r="C5377" s="14" t="s">
        <v>375</v>
      </c>
      <c r="D5377" s="14" t="s">
        <v>376</v>
      </c>
      <c r="E5377" s="14" t="s">
        <v>344</v>
      </c>
      <c r="F5377" s="14" t="s">
        <v>343</v>
      </c>
      <c r="G5377" s="14" t="s">
        <v>343</v>
      </c>
      <c r="H5377" s="14" t="s">
        <v>343</v>
      </c>
      <c r="V5377" s="14">
        <v>40</v>
      </c>
      <c r="W5377" s="14">
        <v>71</v>
      </c>
    </row>
    <row r="5378" spans="1:24" hidden="1" x14ac:dyDescent="0.3">
      <c r="A5378" s="14" t="s">
        <v>532</v>
      </c>
      <c r="B5378" s="14" t="s">
        <v>239</v>
      </c>
      <c r="C5378" s="14" t="s">
        <v>340</v>
      </c>
      <c r="D5378" s="14" t="s">
        <v>341</v>
      </c>
      <c r="E5378" s="14" t="s">
        <v>342</v>
      </c>
      <c r="F5378" s="14" t="s">
        <v>343</v>
      </c>
      <c r="G5378" s="14" t="s">
        <v>343</v>
      </c>
      <c r="H5378" s="14" t="s">
        <v>343</v>
      </c>
      <c r="I5378" s="14">
        <v>0.96</v>
      </c>
      <c r="J5378" s="14">
        <v>0.96</v>
      </c>
      <c r="K5378" s="14">
        <v>0.96</v>
      </c>
      <c r="L5378" s="14">
        <v>0.96</v>
      </c>
      <c r="M5378" s="14">
        <v>0.97</v>
      </c>
      <c r="N5378" s="14">
        <v>0.97</v>
      </c>
      <c r="Q5378" s="14">
        <v>0.95</v>
      </c>
      <c r="R5378" s="14">
        <v>0.95</v>
      </c>
      <c r="S5378" s="14">
        <v>0.96</v>
      </c>
      <c r="T5378" s="14">
        <v>0.97</v>
      </c>
      <c r="U5378" s="14">
        <v>0.97</v>
      </c>
      <c r="V5378" s="14">
        <v>0.97</v>
      </c>
      <c r="W5378" s="14">
        <v>0.97</v>
      </c>
      <c r="X5378" s="14">
        <v>0.94</v>
      </c>
    </row>
    <row r="5379" spans="1:24" hidden="1" x14ac:dyDescent="0.3">
      <c r="A5379" s="14" t="s">
        <v>532</v>
      </c>
      <c r="B5379" s="14" t="s">
        <v>239</v>
      </c>
      <c r="C5379" s="14" t="s">
        <v>340</v>
      </c>
      <c r="D5379" s="14" t="s">
        <v>341</v>
      </c>
      <c r="E5379" s="14" t="s">
        <v>344</v>
      </c>
      <c r="F5379" s="14" t="s">
        <v>343</v>
      </c>
      <c r="G5379" s="14" t="s">
        <v>343</v>
      </c>
      <c r="H5379" s="14" t="s">
        <v>343</v>
      </c>
      <c r="I5379" s="14">
        <v>76</v>
      </c>
      <c r="J5379" s="14">
        <v>88</v>
      </c>
      <c r="K5379" s="14">
        <v>93</v>
      </c>
      <c r="L5379" s="14">
        <v>97</v>
      </c>
      <c r="M5379" s="14">
        <v>94</v>
      </c>
      <c r="N5379" s="14">
        <v>94</v>
      </c>
      <c r="Q5379" s="14">
        <v>107</v>
      </c>
      <c r="R5379" s="14">
        <v>107</v>
      </c>
      <c r="S5379" s="14">
        <v>106</v>
      </c>
      <c r="T5379" s="14">
        <v>99</v>
      </c>
      <c r="U5379" s="14">
        <v>108</v>
      </c>
      <c r="V5379" s="14">
        <v>106</v>
      </c>
      <c r="W5379" s="14">
        <v>108</v>
      </c>
      <c r="X5379" s="14">
        <v>115</v>
      </c>
    </row>
    <row r="5380" spans="1:24" hidden="1" x14ac:dyDescent="0.3">
      <c r="A5380" s="14" t="s">
        <v>532</v>
      </c>
      <c r="B5380" s="14" t="s">
        <v>239</v>
      </c>
      <c r="C5380" s="14" t="s">
        <v>345</v>
      </c>
      <c r="D5380" s="14" t="s">
        <v>346</v>
      </c>
      <c r="E5380" s="14" t="s">
        <v>342</v>
      </c>
      <c r="F5380" s="14" t="s">
        <v>343</v>
      </c>
      <c r="G5380" s="14" t="s">
        <v>343</v>
      </c>
      <c r="H5380" s="14" t="s">
        <v>343</v>
      </c>
      <c r="U5380" s="14">
        <v>0.27</v>
      </c>
      <c r="V5380" s="14">
        <v>0.27</v>
      </c>
      <c r="W5380" s="14">
        <v>0.28000000000000003</v>
      </c>
      <c r="X5380" s="14">
        <v>0.28999999999999998</v>
      </c>
    </row>
    <row r="5381" spans="1:24" hidden="1" x14ac:dyDescent="0.3">
      <c r="A5381" s="14" t="s">
        <v>532</v>
      </c>
      <c r="B5381" s="14" t="s">
        <v>239</v>
      </c>
      <c r="C5381" s="14" t="s">
        <v>345</v>
      </c>
      <c r="D5381" s="14" t="s">
        <v>346</v>
      </c>
      <c r="E5381" s="14" t="s">
        <v>344</v>
      </c>
      <c r="F5381" s="14" t="s">
        <v>343</v>
      </c>
      <c r="G5381" s="14" t="s">
        <v>343</v>
      </c>
      <c r="H5381" s="14" t="s">
        <v>343</v>
      </c>
      <c r="U5381" s="14">
        <v>133</v>
      </c>
      <c r="V5381" s="14">
        <v>138</v>
      </c>
      <c r="W5381" s="14">
        <v>142</v>
      </c>
      <c r="X5381" s="14">
        <v>137</v>
      </c>
    </row>
    <row r="5382" spans="1:24" hidden="1" x14ac:dyDescent="0.3">
      <c r="A5382" s="14" t="s">
        <v>532</v>
      </c>
      <c r="B5382" s="14" t="s">
        <v>239</v>
      </c>
      <c r="C5382" s="14" t="s">
        <v>347</v>
      </c>
      <c r="D5382" s="14" t="s">
        <v>348</v>
      </c>
      <c r="E5382" s="14" t="s">
        <v>342</v>
      </c>
      <c r="F5382" s="14" t="s">
        <v>343</v>
      </c>
      <c r="G5382" s="14" t="s">
        <v>343</v>
      </c>
      <c r="H5382" s="14" t="s">
        <v>343</v>
      </c>
      <c r="U5382" s="14">
        <v>0.35</v>
      </c>
      <c r="V5382" s="14">
        <v>0.36</v>
      </c>
      <c r="W5382" s="14">
        <v>0.37</v>
      </c>
      <c r="X5382" s="14">
        <v>0.38</v>
      </c>
    </row>
    <row r="5383" spans="1:24" hidden="1" x14ac:dyDescent="0.3">
      <c r="A5383" s="14" t="s">
        <v>532</v>
      </c>
      <c r="B5383" s="14" t="s">
        <v>239</v>
      </c>
      <c r="C5383" s="14" t="s">
        <v>347</v>
      </c>
      <c r="D5383" s="14" t="s">
        <v>348</v>
      </c>
      <c r="E5383" s="14" t="s">
        <v>344</v>
      </c>
      <c r="F5383" s="14" t="s">
        <v>343</v>
      </c>
      <c r="G5383" s="14" t="s">
        <v>343</v>
      </c>
      <c r="H5383" s="14" t="s">
        <v>343</v>
      </c>
      <c r="U5383" s="14">
        <v>137</v>
      </c>
      <c r="V5383" s="14">
        <v>141</v>
      </c>
      <c r="W5383" s="14">
        <v>143</v>
      </c>
      <c r="X5383" s="14">
        <v>136</v>
      </c>
    </row>
    <row r="5384" spans="1:24" hidden="1" x14ac:dyDescent="0.3">
      <c r="A5384" s="14" t="s">
        <v>532</v>
      </c>
      <c r="B5384" s="14" t="s">
        <v>239</v>
      </c>
      <c r="C5384" s="14" t="s">
        <v>349</v>
      </c>
      <c r="D5384" s="14" t="s">
        <v>350</v>
      </c>
      <c r="E5384" s="14" t="s">
        <v>342</v>
      </c>
      <c r="F5384" s="14" t="s">
        <v>343</v>
      </c>
      <c r="G5384" s="14" t="s">
        <v>343</v>
      </c>
      <c r="H5384" s="14" t="s">
        <v>343</v>
      </c>
      <c r="U5384" s="14">
        <v>0.17</v>
      </c>
      <c r="V5384" s="14">
        <v>0.17</v>
      </c>
      <c r="W5384" s="14">
        <v>0.17</v>
      </c>
      <c r="X5384" s="14">
        <v>0.12</v>
      </c>
    </row>
    <row r="5385" spans="1:24" hidden="1" x14ac:dyDescent="0.3">
      <c r="A5385" s="14" t="s">
        <v>532</v>
      </c>
      <c r="B5385" s="14" t="s">
        <v>239</v>
      </c>
      <c r="C5385" s="14" t="s">
        <v>349</v>
      </c>
      <c r="D5385" s="14" t="s">
        <v>350</v>
      </c>
      <c r="E5385" s="14" t="s">
        <v>344</v>
      </c>
      <c r="F5385" s="14" t="s">
        <v>343</v>
      </c>
      <c r="G5385" s="14" t="s">
        <v>343</v>
      </c>
      <c r="H5385" s="14" t="s">
        <v>343</v>
      </c>
      <c r="U5385" s="14">
        <v>127</v>
      </c>
      <c r="V5385" s="14">
        <v>134</v>
      </c>
      <c r="W5385" s="14">
        <v>138</v>
      </c>
      <c r="X5385" s="14">
        <v>134</v>
      </c>
    </row>
    <row r="5386" spans="1:24" hidden="1" x14ac:dyDescent="0.3">
      <c r="A5386" s="14" t="s">
        <v>532</v>
      </c>
      <c r="B5386" s="14" t="s">
        <v>239</v>
      </c>
      <c r="C5386" s="14" t="s">
        <v>351</v>
      </c>
      <c r="D5386" s="14" t="s">
        <v>352</v>
      </c>
      <c r="E5386" s="14" t="s">
        <v>342</v>
      </c>
      <c r="F5386" s="14" t="s">
        <v>343</v>
      </c>
      <c r="G5386" s="14" t="s">
        <v>343</v>
      </c>
      <c r="H5386" s="14" t="s">
        <v>343</v>
      </c>
      <c r="U5386" s="14">
        <v>0.71</v>
      </c>
      <c r="V5386" s="14">
        <v>0.71</v>
      </c>
      <c r="W5386" s="14">
        <v>0.68</v>
      </c>
      <c r="X5386" s="14">
        <v>0.66</v>
      </c>
    </row>
    <row r="5387" spans="1:24" hidden="1" x14ac:dyDescent="0.3">
      <c r="A5387" s="14" t="s">
        <v>532</v>
      </c>
      <c r="B5387" s="14" t="s">
        <v>239</v>
      </c>
      <c r="C5387" s="14" t="s">
        <v>351</v>
      </c>
      <c r="D5387" s="14" t="s">
        <v>352</v>
      </c>
      <c r="E5387" s="14" t="s">
        <v>344</v>
      </c>
      <c r="F5387" s="14" t="s">
        <v>343</v>
      </c>
      <c r="G5387" s="14" t="s">
        <v>343</v>
      </c>
      <c r="H5387" s="14" t="s">
        <v>343</v>
      </c>
      <c r="U5387" s="14">
        <v>104</v>
      </c>
      <c r="V5387" s="14">
        <v>107</v>
      </c>
      <c r="W5387" s="14">
        <v>108</v>
      </c>
      <c r="X5387" s="14">
        <v>103</v>
      </c>
    </row>
    <row r="5388" spans="1:24" hidden="1" x14ac:dyDescent="0.3">
      <c r="A5388" s="14" t="s">
        <v>532</v>
      </c>
      <c r="B5388" s="14" t="s">
        <v>239</v>
      </c>
      <c r="C5388" s="14" t="s">
        <v>378</v>
      </c>
      <c r="D5388" s="14" t="s">
        <v>379</v>
      </c>
      <c r="E5388" s="14" t="s">
        <v>342</v>
      </c>
      <c r="F5388" s="14" t="s">
        <v>343</v>
      </c>
      <c r="G5388" s="14" t="s">
        <v>343</v>
      </c>
      <c r="H5388" s="14" t="s">
        <v>343</v>
      </c>
      <c r="S5388" s="14">
        <v>0.65</v>
      </c>
      <c r="U5388" s="14">
        <v>0.64</v>
      </c>
      <c r="V5388" s="14">
        <v>0.62</v>
      </c>
      <c r="W5388" s="14">
        <v>0.65</v>
      </c>
      <c r="X5388" s="14">
        <v>0.67</v>
      </c>
    </row>
    <row r="5389" spans="1:24" hidden="1" x14ac:dyDescent="0.3">
      <c r="A5389" s="14" t="s">
        <v>532</v>
      </c>
      <c r="B5389" s="14" t="s">
        <v>239</v>
      </c>
      <c r="C5389" s="14" t="s">
        <v>378</v>
      </c>
      <c r="D5389" s="14" t="s">
        <v>379</v>
      </c>
      <c r="E5389" s="14" t="s">
        <v>344</v>
      </c>
      <c r="F5389" s="14" t="s">
        <v>343</v>
      </c>
      <c r="G5389" s="14" t="s">
        <v>343</v>
      </c>
      <c r="H5389" s="14" t="s">
        <v>343</v>
      </c>
      <c r="S5389" s="14">
        <v>71</v>
      </c>
      <c r="U5389" s="14">
        <v>78</v>
      </c>
      <c r="V5389" s="14">
        <v>85</v>
      </c>
      <c r="W5389" s="14">
        <v>85</v>
      </c>
      <c r="X5389" s="14">
        <v>67</v>
      </c>
    </row>
    <row r="5390" spans="1:24" hidden="1" x14ac:dyDescent="0.3">
      <c r="A5390" s="14" t="s">
        <v>532</v>
      </c>
      <c r="B5390" s="14" t="s">
        <v>239</v>
      </c>
      <c r="C5390" s="14" t="s">
        <v>353</v>
      </c>
      <c r="D5390" s="14" t="s">
        <v>354</v>
      </c>
      <c r="E5390" s="14" t="s">
        <v>342</v>
      </c>
      <c r="F5390" s="14" t="s">
        <v>343</v>
      </c>
      <c r="G5390" s="14" t="s">
        <v>343</v>
      </c>
      <c r="H5390" s="14" t="s">
        <v>343</v>
      </c>
      <c r="U5390" s="14">
        <v>0.84</v>
      </c>
      <c r="V5390" s="14">
        <v>0.84</v>
      </c>
      <c r="W5390" s="14">
        <v>0.84</v>
      </c>
      <c r="X5390" s="14">
        <v>0.84</v>
      </c>
    </row>
    <row r="5391" spans="1:24" hidden="1" x14ac:dyDescent="0.3">
      <c r="A5391" s="14" t="s">
        <v>532</v>
      </c>
      <c r="B5391" s="14" t="s">
        <v>239</v>
      </c>
      <c r="C5391" s="14" t="s">
        <v>353</v>
      </c>
      <c r="D5391" s="14" t="s">
        <v>354</v>
      </c>
      <c r="E5391" s="14" t="s">
        <v>344</v>
      </c>
      <c r="F5391" s="14" t="s">
        <v>343</v>
      </c>
      <c r="G5391" s="14" t="s">
        <v>343</v>
      </c>
      <c r="H5391" s="14" t="s">
        <v>343</v>
      </c>
      <c r="U5391" s="14">
        <v>112</v>
      </c>
      <c r="V5391" s="14">
        <v>124</v>
      </c>
      <c r="W5391" s="14">
        <v>126</v>
      </c>
      <c r="X5391" s="14">
        <v>118</v>
      </c>
    </row>
    <row r="5392" spans="1:24" hidden="1" x14ac:dyDescent="0.3">
      <c r="A5392" s="14" t="s">
        <v>532</v>
      </c>
      <c r="B5392" s="14" t="s">
        <v>239</v>
      </c>
      <c r="C5392" s="14" t="s">
        <v>380</v>
      </c>
      <c r="D5392" s="14" t="s">
        <v>381</v>
      </c>
      <c r="E5392" s="14" t="s">
        <v>342</v>
      </c>
      <c r="F5392" s="14" t="s">
        <v>343</v>
      </c>
      <c r="G5392" s="14" t="s">
        <v>343</v>
      </c>
      <c r="H5392" s="14" t="s">
        <v>343</v>
      </c>
      <c r="U5392" s="14">
        <v>0.99</v>
      </c>
      <c r="V5392" s="14">
        <v>1</v>
      </c>
      <c r="W5392" s="14">
        <v>1</v>
      </c>
    </row>
    <row r="5393" spans="1:24" hidden="1" x14ac:dyDescent="0.3">
      <c r="A5393" s="14" t="s">
        <v>532</v>
      </c>
      <c r="B5393" s="14" t="s">
        <v>239</v>
      </c>
      <c r="C5393" s="14" t="s">
        <v>380</v>
      </c>
      <c r="D5393" s="14" t="s">
        <v>381</v>
      </c>
      <c r="E5393" s="14" t="s">
        <v>344</v>
      </c>
      <c r="F5393" s="14" t="s">
        <v>343</v>
      </c>
      <c r="G5393" s="14" t="s">
        <v>343</v>
      </c>
      <c r="H5393" s="14" t="s">
        <v>343</v>
      </c>
      <c r="U5393" s="14">
        <v>97</v>
      </c>
      <c r="V5393" s="14">
        <v>1</v>
      </c>
      <c r="W5393" s="14">
        <v>1</v>
      </c>
    </row>
    <row r="5394" spans="1:24" hidden="1" x14ac:dyDescent="0.3">
      <c r="A5394" s="14" t="s">
        <v>532</v>
      </c>
      <c r="B5394" s="14" t="s">
        <v>239</v>
      </c>
      <c r="C5394" s="14" t="s">
        <v>355</v>
      </c>
      <c r="D5394" s="14" t="s">
        <v>356</v>
      </c>
      <c r="E5394" s="14" t="s">
        <v>342</v>
      </c>
      <c r="F5394" s="14" t="s">
        <v>343</v>
      </c>
      <c r="G5394" s="14" t="s">
        <v>343</v>
      </c>
      <c r="H5394" s="14" t="s">
        <v>343</v>
      </c>
      <c r="U5394" s="14">
        <v>1</v>
      </c>
      <c r="V5394" s="14">
        <v>1</v>
      </c>
      <c r="W5394" s="14">
        <v>1</v>
      </c>
      <c r="X5394" s="14">
        <v>1</v>
      </c>
    </row>
    <row r="5395" spans="1:24" hidden="1" x14ac:dyDescent="0.3">
      <c r="A5395" s="14" t="s">
        <v>532</v>
      </c>
      <c r="B5395" s="14" t="s">
        <v>239</v>
      </c>
      <c r="C5395" s="14" t="s">
        <v>355</v>
      </c>
      <c r="D5395" s="14" t="s">
        <v>356</v>
      </c>
      <c r="E5395" s="14" t="s">
        <v>344</v>
      </c>
      <c r="F5395" s="14" t="s">
        <v>343</v>
      </c>
      <c r="G5395" s="14" t="s">
        <v>343</v>
      </c>
      <c r="H5395" s="14" t="s">
        <v>343</v>
      </c>
      <c r="U5395" s="14">
        <v>1</v>
      </c>
      <c r="V5395" s="14">
        <v>1</v>
      </c>
      <c r="W5395" s="14">
        <v>1</v>
      </c>
      <c r="X5395" s="14">
        <v>1</v>
      </c>
    </row>
    <row r="5396" spans="1:24" hidden="1" x14ac:dyDescent="0.3">
      <c r="A5396" s="14" t="s">
        <v>532</v>
      </c>
      <c r="B5396" s="14" t="s">
        <v>239</v>
      </c>
      <c r="C5396" s="14" t="s">
        <v>357</v>
      </c>
      <c r="D5396" s="14" t="s">
        <v>358</v>
      </c>
      <c r="E5396" s="14" t="s">
        <v>342</v>
      </c>
      <c r="F5396" s="14" t="s">
        <v>343</v>
      </c>
      <c r="G5396" s="14" t="s">
        <v>343</v>
      </c>
      <c r="H5396" s="14" t="s">
        <v>343</v>
      </c>
      <c r="U5396" s="14">
        <v>1</v>
      </c>
      <c r="V5396" s="14">
        <v>1</v>
      </c>
      <c r="W5396" s="14">
        <v>1</v>
      </c>
      <c r="X5396" s="14">
        <v>1</v>
      </c>
    </row>
    <row r="5397" spans="1:24" hidden="1" x14ac:dyDescent="0.3">
      <c r="A5397" s="14" t="s">
        <v>532</v>
      </c>
      <c r="B5397" s="14" t="s">
        <v>239</v>
      </c>
      <c r="C5397" s="14" t="s">
        <v>357</v>
      </c>
      <c r="D5397" s="14" t="s">
        <v>358</v>
      </c>
      <c r="E5397" s="14" t="s">
        <v>344</v>
      </c>
      <c r="F5397" s="14" t="s">
        <v>343</v>
      </c>
      <c r="G5397" s="14" t="s">
        <v>343</v>
      </c>
      <c r="H5397" s="14" t="s">
        <v>343</v>
      </c>
      <c r="U5397" s="14">
        <v>1</v>
      </c>
      <c r="V5397" s="14">
        <v>1</v>
      </c>
      <c r="W5397" s="14">
        <v>1</v>
      </c>
      <c r="X5397" s="14">
        <v>1</v>
      </c>
    </row>
    <row r="5398" spans="1:24" hidden="1" x14ac:dyDescent="0.3">
      <c r="A5398" s="14" t="s">
        <v>532</v>
      </c>
      <c r="B5398" s="14" t="s">
        <v>239</v>
      </c>
      <c r="C5398" s="14" t="s">
        <v>359</v>
      </c>
      <c r="D5398" s="14" t="s">
        <v>360</v>
      </c>
      <c r="E5398" s="14" t="s">
        <v>342</v>
      </c>
      <c r="F5398" s="14" t="s">
        <v>343</v>
      </c>
      <c r="G5398" s="14" t="s">
        <v>343</v>
      </c>
      <c r="H5398" s="14" t="s">
        <v>343</v>
      </c>
      <c r="I5398" s="14">
        <v>0.48</v>
      </c>
      <c r="J5398" s="14">
        <v>0.47</v>
      </c>
      <c r="K5398" s="14">
        <v>0.48</v>
      </c>
      <c r="L5398" s="14">
        <v>0.45</v>
      </c>
      <c r="M5398" s="14">
        <v>0.45</v>
      </c>
      <c r="N5398" s="14">
        <v>0.44</v>
      </c>
      <c r="Q5398" s="14">
        <v>0.46</v>
      </c>
      <c r="R5398" s="14">
        <v>0.44</v>
      </c>
      <c r="S5398" s="14">
        <v>0.44</v>
      </c>
      <c r="T5398" s="14">
        <v>0.45</v>
      </c>
      <c r="U5398" s="14">
        <v>0.44</v>
      </c>
      <c r="V5398" s="14">
        <v>0.43</v>
      </c>
      <c r="W5398" s="14">
        <v>0.44</v>
      </c>
      <c r="X5398" s="14">
        <v>0.44</v>
      </c>
    </row>
    <row r="5399" spans="1:24" hidden="1" x14ac:dyDescent="0.3">
      <c r="A5399" s="14" t="s">
        <v>532</v>
      </c>
      <c r="B5399" s="14" t="s">
        <v>239</v>
      </c>
      <c r="C5399" s="14" t="s">
        <v>359</v>
      </c>
      <c r="D5399" s="14" t="s">
        <v>360</v>
      </c>
      <c r="E5399" s="14" t="s">
        <v>344</v>
      </c>
      <c r="F5399" s="14" t="s">
        <v>343</v>
      </c>
      <c r="G5399" s="14" t="s">
        <v>343</v>
      </c>
      <c r="H5399" s="14" t="s">
        <v>343</v>
      </c>
      <c r="I5399" s="14">
        <v>97</v>
      </c>
      <c r="J5399" s="14">
        <v>111</v>
      </c>
      <c r="K5399" s="14">
        <v>113</v>
      </c>
      <c r="L5399" s="14">
        <v>123</v>
      </c>
      <c r="M5399" s="14">
        <v>122</v>
      </c>
      <c r="N5399" s="14">
        <v>126</v>
      </c>
      <c r="Q5399" s="14">
        <v>130</v>
      </c>
      <c r="R5399" s="14">
        <v>133</v>
      </c>
      <c r="S5399" s="14">
        <v>131</v>
      </c>
      <c r="T5399" s="14">
        <v>131</v>
      </c>
      <c r="U5399" s="14">
        <v>135</v>
      </c>
      <c r="V5399" s="14">
        <v>142</v>
      </c>
      <c r="W5399" s="14">
        <v>144</v>
      </c>
      <c r="X5399" s="14">
        <v>140</v>
      </c>
    </row>
    <row r="5400" spans="1:24" x14ac:dyDescent="0.3">
      <c r="A5400" s="14" t="s">
        <v>532</v>
      </c>
      <c r="B5400" s="14" t="s">
        <v>239</v>
      </c>
      <c r="C5400" s="14" t="s">
        <v>361</v>
      </c>
      <c r="D5400" s="14" t="s">
        <v>362</v>
      </c>
      <c r="E5400" s="14" t="s">
        <v>342</v>
      </c>
      <c r="F5400" s="14" t="s">
        <v>343</v>
      </c>
      <c r="G5400" s="14" t="s">
        <v>343</v>
      </c>
      <c r="H5400" s="14" t="s">
        <v>343</v>
      </c>
      <c r="I5400" s="14">
        <v>0.97</v>
      </c>
      <c r="J5400" s="14">
        <v>0.97</v>
      </c>
      <c r="K5400" s="14">
        <v>0.97</v>
      </c>
      <c r="L5400" s="14">
        <v>0.97</v>
      </c>
      <c r="M5400" s="14">
        <v>0.96</v>
      </c>
      <c r="N5400" s="14">
        <v>0.96</v>
      </c>
      <c r="Q5400" s="14">
        <v>0.96</v>
      </c>
      <c r="R5400" s="14">
        <v>0.97</v>
      </c>
      <c r="S5400" s="14">
        <v>0.97</v>
      </c>
      <c r="T5400" s="14">
        <v>0.98</v>
      </c>
      <c r="U5400" s="14">
        <v>0.97</v>
      </c>
      <c r="V5400" s="14">
        <v>0.97</v>
      </c>
      <c r="W5400" s="14">
        <v>0.97</v>
      </c>
      <c r="X5400" s="14">
        <v>0.97</v>
      </c>
    </row>
    <row r="5401" spans="1:24" hidden="1" x14ac:dyDescent="0.3">
      <c r="A5401" s="14" t="s">
        <v>532</v>
      </c>
      <c r="B5401" s="14" t="s">
        <v>239</v>
      </c>
      <c r="C5401" s="14" t="s">
        <v>361</v>
      </c>
      <c r="D5401" s="14" t="s">
        <v>362</v>
      </c>
      <c r="E5401" s="14" t="s">
        <v>344</v>
      </c>
      <c r="F5401" s="14" t="s">
        <v>343</v>
      </c>
      <c r="G5401" s="14" t="s">
        <v>343</v>
      </c>
      <c r="H5401" s="14" t="s">
        <v>343</v>
      </c>
      <c r="I5401" s="14">
        <v>98</v>
      </c>
      <c r="J5401" s="14">
        <v>94</v>
      </c>
      <c r="K5401" s="14">
        <v>95</v>
      </c>
      <c r="L5401" s="14">
        <v>100</v>
      </c>
      <c r="M5401" s="14">
        <v>109</v>
      </c>
      <c r="N5401" s="14">
        <v>110</v>
      </c>
      <c r="Q5401" s="14">
        <v>129</v>
      </c>
      <c r="R5401" s="14">
        <v>111</v>
      </c>
      <c r="S5401" s="14">
        <v>110</v>
      </c>
      <c r="T5401" s="14">
        <v>71</v>
      </c>
      <c r="U5401" s="14">
        <v>105</v>
      </c>
      <c r="V5401" s="14">
        <v>107</v>
      </c>
      <c r="W5401" s="14">
        <v>91</v>
      </c>
      <c r="X5401" s="14">
        <v>85</v>
      </c>
    </row>
    <row r="5402" spans="1:24" hidden="1" x14ac:dyDescent="0.3">
      <c r="A5402" s="14" t="s">
        <v>532</v>
      </c>
      <c r="B5402" s="14" t="s">
        <v>239</v>
      </c>
      <c r="C5402" s="14" t="s">
        <v>363</v>
      </c>
      <c r="D5402" s="14" t="s">
        <v>364</v>
      </c>
      <c r="E5402" s="14" t="s">
        <v>342</v>
      </c>
      <c r="F5402" s="14" t="s">
        <v>343</v>
      </c>
      <c r="G5402" s="14" t="s">
        <v>343</v>
      </c>
      <c r="H5402" s="14" t="s">
        <v>343</v>
      </c>
      <c r="U5402" s="14">
        <v>1.03</v>
      </c>
      <c r="V5402" s="14">
        <v>1.03</v>
      </c>
      <c r="W5402" s="14">
        <v>1.02</v>
      </c>
      <c r="X5402" s="14">
        <v>1.02</v>
      </c>
    </row>
    <row r="5403" spans="1:24" hidden="1" x14ac:dyDescent="0.3">
      <c r="A5403" s="14" t="s">
        <v>532</v>
      </c>
      <c r="B5403" s="14" t="s">
        <v>239</v>
      </c>
      <c r="C5403" s="14" t="s">
        <v>363</v>
      </c>
      <c r="D5403" s="14" t="s">
        <v>364</v>
      </c>
      <c r="E5403" s="14" t="s">
        <v>344</v>
      </c>
      <c r="F5403" s="14" t="s">
        <v>343</v>
      </c>
      <c r="G5403" s="14" t="s">
        <v>343</v>
      </c>
      <c r="H5403" s="14" t="s">
        <v>343</v>
      </c>
      <c r="U5403" s="14">
        <v>113</v>
      </c>
      <c r="V5403" s="14">
        <v>116</v>
      </c>
      <c r="W5403" s="14">
        <v>101</v>
      </c>
      <c r="X5403" s="14">
        <v>92</v>
      </c>
    </row>
    <row r="5404" spans="1:24" hidden="1" x14ac:dyDescent="0.3">
      <c r="A5404" s="14" t="s">
        <v>532</v>
      </c>
      <c r="B5404" s="14" t="s">
        <v>239</v>
      </c>
      <c r="C5404" s="14" t="s">
        <v>365</v>
      </c>
      <c r="D5404" s="14" t="s">
        <v>366</v>
      </c>
      <c r="E5404" s="14" t="s">
        <v>342</v>
      </c>
      <c r="F5404" s="14" t="s">
        <v>343</v>
      </c>
      <c r="G5404" s="14" t="s">
        <v>343</v>
      </c>
      <c r="H5404" s="14" t="s">
        <v>343</v>
      </c>
      <c r="U5404" s="14">
        <v>0.94</v>
      </c>
      <c r="V5404" s="14">
        <v>0.94</v>
      </c>
      <c r="W5404" s="14">
        <v>0.94</v>
      </c>
      <c r="X5404" s="14">
        <v>0.94</v>
      </c>
    </row>
    <row r="5405" spans="1:24" hidden="1" x14ac:dyDescent="0.3">
      <c r="A5405" s="14" t="s">
        <v>532</v>
      </c>
      <c r="B5405" s="14" t="s">
        <v>239</v>
      </c>
      <c r="C5405" s="14" t="s">
        <v>365</v>
      </c>
      <c r="D5405" s="14" t="s">
        <v>366</v>
      </c>
      <c r="E5405" s="14" t="s">
        <v>344</v>
      </c>
      <c r="F5405" s="14" t="s">
        <v>343</v>
      </c>
      <c r="G5405" s="14" t="s">
        <v>343</v>
      </c>
      <c r="H5405" s="14" t="s">
        <v>343</v>
      </c>
      <c r="U5405" s="14">
        <v>1</v>
      </c>
      <c r="V5405" s="14">
        <v>1</v>
      </c>
      <c r="W5405" s="14">
        <v>1</v>
      </c>
      <c r="X5405" s="14">
        <v>1</v>
      </c>
    </row>
    <row r="5406" spans="1:24" hidden="1" x14ac:dyDescent="0.3">
      <c r="A5406" s="14" t="s">
        <v>532</v>
      </c>
      <c r="B5406" s="14" t="s">
        <v>239</v>
      </c>
      <c r="C5406" s="14" t="s">
        <v>367</v>
      </c>
      <c r="D5406" s="14" t="s">
        <v>368</v>
      </c>
      <c r="E5406" s="14" t="s">
        <v>342</v>
      </c>
      <c r="F5406" s="14" t="s">
        <v>343</v>
      </c>
      <c r="G5406" s="14" t="s">
        <v>343</v>
      </c>
      <c r="H5406" s="14" t="s">
        <v>343</v>
      </c>
      <c r="I5406" s="14">
        <v>0.63</v>
      </c>
      <c r="J5406" s="14">
        <v>0.63</v>
      </c>
      <c r="K5406" s="14">
        <v>0.63</v>
      </c>
      <c r="L5406" s="14">
        <v>0.62</v>
      </c>
      <c r="M5406" s="14">
        <v>0.63</v>
      </c>
      <c r="N5406" s="14">
        <v>0.63</v>
      </c>
      <c r="Q5406" s="14">
        <v>0.63</v>
      </c>
      <c r="R5406" s="14">
        <v>0.63</v>
      </c>
      <c r="S5406" s="14">
        <v>0.64</v>
      </c>
      <c r="T5406" s="14">
        <v>0.65</v>
      </c>
      <c r="U5406" s="14">
        <v>0.65</v>
      </c>
      <c r="V5406" s="14">
        <v>0.64</v>
      </c>
      <c r="W5406" s="14">
        <v>0.65</v>
      </c>
      <c r="X5406" s="14">
        <v>0.64</v>
      </c>
    </row>
    <row r="5407" spans="1:24" hidden="1" x14ac:dyDescent="0.3">
      <c r="A5407" s="14" t="s">
        <v>532</v>
      </c>
      <c r="B5407" s="14" t="s">
        <v>239</v>
      </c>
      <c r="C5407" s="14" t="s">
        <v>367</v>
      </c>
      <c r="D5407" s="14" t="s">
        <v>368</v>
      </c>
      <c r="E5407" s="14" t="s">
        <v>344</v>
      </c>
      <c r="F5407" s="14" t="s">
        <v>343</v>
      </c>
      <c r="G5407" s="14" t="s">
        <v>343</v>
      </c>
      <c r="H5407" s="14" t="s">
        <v>343</v>
      </c>
      <c r="I5407" s="14">
        <v>90</v>
      </c>
      <c r="J5407" s="14">
        <v>102</v>
      </c>
      <c r="K5407" s="14">
        <v>103</v>
      </c>
      <c r="L5407" s="14">
        <v>109</v>
      </c>
      <c r="M5407" s="14">
        <v>107</v>
      </c>
      <c r="N5407" s="14">
        <v>108</v>
      </c>
      <c r="Q5407" s="14">
        <v>123</v>
      </c>
      <c r="R5407" s="14">
        <v>127</v>
      </c>
      <c r="S5407" s="14">
        <v>126</v>
      </c>
      <c r="T5407" s="14">
        <v>117</v>
      </c>
      <c r="U5407" s="14">
        <v>119</v>
      </c>
      <c r="V5407" s="14">
        <v>124</v>
      </c>
      <c r="W5407" s="14">
        <v>126</v>
      </c>
      <c r="X5407" s="14">
        <v>120</v>
      </c>
    </row>
    <row r="5408" spans="1:24" hidden="1" x14ac:dyDescent="0.3">
      <c r="A5408" s="14" t="s">
        <v>532</v>
      </c>
      <c r="B5408" s="14" t="s">
        <v>239</v>
      </c>
      <c r="C5408" s="14" t="s">
        <v>369</v>
      </c>
      <c r="D5408" s="14" t="s">
        <v>370</v>
      </c>
      <c r="E5408" s="14" t="s">
        <v>342</v>
      </c>
      <c r="F5408" s="14" t="s">
        <v>343</v>
      </c>
      <c r="G5408" s="14" t="s">
        <v>343</v>
      </c>
      <c r="H5408" s="14" t="s">
        <v>343</v>
      </c>
      <c r="I5408" s="14">
        <v>0.11</v>
      </c>
      <c r="J5408" s="14">
        <v>0.11</v>
      </c>
      <c r="K5408" s="14">
        <v>0.11</v>
      </c>
      <c r="L5408" s="14">
        <v>0.11</v>
      </c>
      <c r="M5408" s="14">
        <v>0.13</v>
      </c>
      <c r="N5408" s="14">
        <v>0.13</v>
      </c>
      <c r="Q5408" s="14">
        <v>0.13</v>
      </c>
      <c r="R5408" s="14">
        <v>0.17</v>
      </c>
      <c r="S5408" s="14">
        <v>0.17</v>
      </c>
      <c r="T5408" s="14">
        <v>0.22</v>
      </c>
      <c r="U5408" s="14">
        <v>0.22</v>
      </c>
      <c r="V5408" s="14">
        <v>0.2</v>
      </c>
      <c r="W5408" s="14">
        <v>0.21</v>
      </c>
      <c r="X5408" s="14">
        <v>0.22</v>
      </c>
    </row>
    <row r="5409" spans="1:24" hidden="1" x14ac:dyDescent="0.3">
      <c r="A5409" s="14" t="s">
        <v>532</v>
      </c>
      <c r="B5409" s="14" t="s">
        <v>239</v>
      </c>
      <c r="C5409" s="14" t="s">
        <v>369</v>
      </c>
      <c r="D5409" s="14" t="s">
        <v>370</v>
      </c>
      <c r="E5409" s="14" t="s">
        <v>344</v>
      </c>
      <c r="F5409" s="14" t="s">
        <v>343</v>
      </c>
      <c r="G5409" s="14" t="s">
        <v>343</v>
      </c>
      <c r="H5409" s="14" t="s">
        <v>343</v>
      </c>
      <c r="I5409" s="14">
        <v>53</v>
      </c>
      <c r="J5409" s="14">
        <v>60</v>
      </c>
      <c r="K5409" s="14">
        <v>73</v>
      </c>
      <c r="L5409" s="14">
        <v>77</v>
      </c>
      <c r="M5409" s="14">
        <v>67</v>
      </c>
      <c r="N5409" s="14">
        <v>69</v>
      </c>
      <c r="Q5409" s="14">
        <v>82</v>
      </c>
      <c r="R5409" s="14">
        <v>69</v>
      </c>
      <c r="S5409" s="14">
        <v>71</v>
      </c>
      <c r="T5409" s="14">
        <v>55</v>
      </c>
      <c r="U5409" s="14">
        <v>55</v>
      </c>
      <c r="V5409" s="14">
        <v>67</v>
      </c>
      <c r="W5409" s="14">
        <v>69</v>
      </c>
      <c r="X5409" s="14">
        <v>68</v>
      </c>
    </row>
    <row r="5410" spans="1:24" hidden="1" x14ac:dyDescent="0.3">
      <c r="A5410" s="14" t="s">
        <v>532</v>
      </c>
      <c r="B5410" s="14" t="s">
        <v>239</v>
      </c>
      <c r="C5410" s="14" t="s">
        <v>371</v>
      </c>
      <c r="D5410" s="14" t="s">
        <v>372</v>
      </c>
      <c r="E5410" s="14" t="s">
        <v>342</v>
      </c>
      <c r="F5410" s="14" t="s">
        <v>343</v>
      </c>
      <c r="G5410" s="14" t="s">
        <v>343</v>
      </c>
      <c r="H5410" s="14" t="s">
        <v>343</v>
      </c>
      <c r="U5410" s="14">
        <v>0</v>
      </c>
      <c r="V5410" s="14">
        <v>0</v>
      </c>
      <c r="W5410" s="14">
        <v>0</v>
      </c>
      <c r="X5410" s="14">
        <v>0.01</v>
      </c>
    </row>
    <row r="5411" spans="1:24" hidden="1" x14ac:dyDescent="0.3">
      <c r="A5411" s="14" t="s">
        <v>532</v>
      </c>
      <c r="B5411" s="14" t="s">
        <v>239</v>
      </c>
      <c r="C5411" s="14" t="s">
        <v>371</v>
      </c>
      <c r="D5411" s="14" t="s">
        <v>372</v>
      </c>
      <c r="E5411" s="14" t="s">
        <v>344</v>
      </c>
      <c r="F5411" s="14" t="s">
        <v>343</v>
      </c>
      <c r="G5411" s="14" t="s">
        <v>343</v>
      </c>
      <c r="H5411" s="14" t="s">
        <v>343</v>
      </c>
      <c r="U5411" s="14">
        <v>71</v>
      </c>
      <c r="V5411" s="14">
        <v>73</v>
      </c>
      <c r="W5411" s="14">
        <v>76</v>
      </c>
      <c r="X5411" s="14">
        <v>67</v>
      </c>
    </row>
    <row r="5412" spans="1:24" hidden="1" x14ac:dyDescent="0.3">
      <c r="A5412" s="14" t="s">
        <v>532</v>
      </c>
      <c r="B5412" s="14" t="s">
        <v>239</v>
      </c>
      <c r="C5412" s="14" t="s">
        <v>373</v>
      </c>
      <c r="D5412" s="14" t="s">
        <v>374</v>
      </c>
      <c r="E5412" s="14" t="s">
        <v>342</v>
      </c>
      <c r="F5412" s="14" t="s">
        <v>343</v>
      </c>
      <c r="G5412" s="14" t="s">
        <v>343</v>
      </c>
      <c r="H5412" s="14" t="s">
        <v>343</v>
      </c>
      <c r="U5412" s="14">
        <v>0.3</v>
      </c>
      <c r="V5412" s="14">
        <v>0.11</v>
      </c>
      <c r="W5412" s="14">
        <v>0.41</v>
      </c>
      <c r="X5412" s="14">
        <v>0.41</v>
      </c>
    </row>
    <row r="5413" spans="1:24" hidden="1" x14ac:dyDescent="0.3">
      <c r="A5413" s="14" t="s">
        <v>532</v>
      </c>
      <c r="B5413" s="14" t="s">
        <v>239</v>
      </c>
      <c r="C5413" s="14" t="s">
        <v>373</v>
      </c>
      <c r="D5413" s="14" t="s">
        <v>374</v>
      </c>
      <c r="E5413" s="14" t="s">
        <v>344</v>
      </c>
      <c r="F5413" s="14" t="s">
        <v>343</v>
      </c>
      <c r="G5413" s="14" t="s">
        <v>343</v>
      </c>
      <c r="H5413" s="14" t="s">
        <v>343</v>
      </c>
      <c r="U5413" s="14">
        <v>49</v>
      </c>
      <c r="V5413" s="14">
        <v>119</v>
      </c>
      <c r="W5413" s="14">
        <v>57</v>
      </c>
      <c r="X5413" s="14">
        <v>55</v>
      </c>
    </row>
    <row r="5414" spans="1:24" hidden="1" x14ac:dyDescent="0.3">
      <c r="A5414" s="14" t="s">
        <v>532</v>
      </c>
      <c r="B5414" s="14" t="s">
        <v>239</v>
      </c>
      <c r="C5414" s="14" t="s">
        <v>375</v>
      </c>
      <c r="D5414" s="14" t="s">
        <v>376</v>
      </c>
      <c r="E5414" s="14" t="s">
        <v>342</v>
      </c>
      <c r="F5414" s="14" t="s">
        <v>343</v>
      </c>
      <c r="G5414" s="14" t="s">
        <v>343</v>
      </c>
      <c r="H5414" s="14" t="s">
        <v>343</v>
      </c>
      <c r="U5414" s="14">
        <v>0.46</v>
      </c>
      <c r="V5414" s="14">
        <v>0.56000000000000005</v>
      </c>
      <c r="W5414" s="14">
        <v>0.36</v>
      </c>
      <c r="X5414" s="14">
        <v>0.36</v>
      </c>
    </row>
    <row r="5415" spans="1:24" hidden="1" x14ac:dyDescent="0.3">
      <c r="A5415" s="14" t="s">
        <v>532</v>
      </c>
      <c r="B5415" s="14" t="s">
        <v>239</v>
      </c>
      <c r="C5415" s="14" t="s">
        <v>375</v>
      </c>
      <c r="D5415" s="14" t="s">
        <v>376</v>
      </c>
      <c r="E5415" s="14" t="s">
        <v>344</v>
      </c>
      <c r="F5415" s="14" t="s">
        <v>343</v>
      </c>
      <c r="G5415" s="14" t="s">
        <v>343</v>
      </c>
      <c r="H5415" s="14" t="s">
        <v>343</v>
      </c>
      <c r="U5415" s="14">
        <v>38</v>
      </c>
      <c r="V5415" s="14">
        <v>29</v>
      </c>
      <c r="W5415" s="14">
        <v>70</v>
      </c>
      <c r="X5415" s="14">
        <v>74</v>
      </c>
    </row>
    <row r="5416" spans="1:24" hidden="1" x14ac:dyDescent="0.3">
      <c r="A5416" s="14" t="s">
        <v>533</v>
      </c>
      <c r="B5416" s="14" t="s">
        <v>534</v>
      </c>
      <c r="C5416" s="14" t="s">
        <v>340</v>
      </c>
      <c r="D5416" s="14" t="s">
        <v>341</v>
      </c>
      <c r="E5416" s="14" t="s">
        <v>342</v>
      </c>
      <c r="F5416" s="14" t="s">
        <v>343</v>
      </c>
      <c r="G5416" s="14" t="s">
        <v>343</v>
      </c>
      <c r="H5416" s="14" t="s">
        <v>343</v>
      </c>
      <c r="I5416" s="14">
        <v>0.88</v>
      </c>
      <c r="J5416" s="14">
        <v>0.85</v>
      </c>
      <c r="K5416" s="14">
        <v>0.89</v>
      </c>
      <c r="L5416" s="14">
        <v>0.89</v>
      </c>
      <c r="M5416" s="14">
        <v>0.91</v>
      </c>
      <c r="N5416" s="14">
        <v>0.92</v>
      </c>
      <c r="O5416" s="14">
        <v>0.93</v>
      </c>
      <c r="P5416" s="14">
        <v>0.94</v>
      </c>
      <c r="Q5416" s="14">
        <v>0.95</v>
      </c>
      <c r="R5416" s="14">
        <v>0.96</v>
      </c>
      <c r="S5416" s="14">
        <v>0.96</v>
      </c>
      <c r="T5416" s="14">
        <v>0.96</v>
      </c>
      <c r="U5416" s="14">
        <v>0.97</v>
      </c>
      <c r="V5416" s="14">
        <v>0.96</v>
      </c>
      <c r="W5416" s="14">
        <v>0.98</v>
      </c>
      <c r="X5416" s="14">
        <v>0.97</v>
      </c>
    </row>
    <row r="5417" spans="1:24" hidden="1" x14ac:dyDescent="0.3">
      <c r="A5417" s="14" t="s">
        <v>533</v>
      </c>
      <c r="B5417" s="14" t="s">
        <v>534</v>
      </c>
      <c r="C5417" s="14" t="s">
        <v>340</v>
      </c>
      <c r="D5417" s="14" t="s">
        <v>341</v>
      </c>
      <c r="E5417" s="14" t="s">
        <v>344</v>
      </c>
      <c r="F5417" s="14" t="s">
        <v>343</v>
      </c>
      <c r="G5417" s="14" t="s">
        <v>343</v>
      </c>
      <c r="H5417" s="14" t="s">
        <v>343</v>
      </c>
      <c r="I5417" s="14">
        <v>92</v>
      </c>
      <c r="J5417" s="14">
        <v>110</v>
      </c>
      <c r="K5417" s="14">
        <v>108</v>
      </c>
      <c r="L5417" s="14">
        <v>110</v>
      </c>
      <c r="M5417" s="14">
        <v>109</v>
      </c>
      <c r="N5417" s="14">
        <v>106</v>
      </c>
      <c r="O5417" s="14">
        <v>108</v>
      </c>
      <c r="P5417" s="14">
        <v>104</v>
      </c>
      <c r="Q5417" s="14">
        <v>105</v>
      </c>
      <c r="R5417" s="14">
        <v>105</v>
      </c>
      <c r="S5417" s="14">
        <v>109</v>
      </c>
      <c r="T5417" s="14">
        <v>101</v>
      </c>
      <c r="U5417" s="14">
        <v>106</v>
      </c>
      <c r="V5417" s="14">
        <v>113</v>
      </c>
      <c r="W5417" s="14">
        <v>101</v>
      </c>
      <c r="X5417" s="14">
        <v>101</v>
      </c>
    </row>
    <row r="5418" spans="1:24" hidden="1" x14ac:dyDescent="0.3">
      <c r="A5418" s="14" t="s">
        <v>533</v>
      </c>
      <c r="B5418" s="14" t="s">
        <v>534</v>
      </c>
      <c r="C5418" s="14" t="s">
        <v>345</v>
      </c>
      <c r="D5418" s="14" t="s">
        <v>346</v>
      </c>
      <c r="E5418" s="14" t="s">
        <v>342</v>
      </c>
      <c r="F5418" s="14" t="s">
        <v>343</v>
      </c>
      <c r="G5418" s="14" t="s">
        <v>343</v>
      </c>
      <c r="H5418" s="14" t="s">
        <v>343</v>
      </c>
      <c r="U5418" s="14">
        <v>0.43</v>
      </c>
      <c r="V5418" s="14">
        <v>0.43</v>
      </c>
      <c r="W5418" s="14">
        <v>0.45</v>
      </c>
      <c r="X5418" s="14">
        <v>0.43</v>
      </c>
    </row>
    <row r="5419" spans="1:24" hidden="1" x14ac:dyDescent="0.3">
      <c r="A5419" s="14" t="s">
        <v>533</v>
      </c>
      <c r="B5419" s="14" t="s">
        <v>534</v>
      </c>
      <c r="C5419" s="14" t="s">
        <v>345</v>
      </c>
      <c r="D5419" s="14" t="s">
        <v>346</v>
      </c>
      <c r="E5419" s="14" t="s">
        <v>344</v>
      </c>
      <c r="F5419" s="14" t="s">
        <v>343</v>
      </c>
      <c r="G5419" s="14" t="s">
        <v>343</v>
      </c>
      <c r="H5419" s="14" t="s">
        <v>343</v>
      </c>
      <c r="U5419" s="14">
        <v>123</v>
      </c>
      <c r="V5419" s="14">
        <v>130</v>
      </c>
      <c r="W5419" s="14">
        <v>127</v>
      </c>
      <c r="X5419" s="14">
        <v>127</v>
      </c>
    </row>
    <row r="5420" spans="1:24" hidden="1" x14ac:dyDescent="0.3">
      <c r="A5420" s="14" t="s">
        <v>533</v>
      </c>
      <c r="B5420" s="14" t="s">
        <v>534</v>
      </c>
      <c r="C5420" s="14" t="s">
        <v>347</v>
      </c>
      <c r="D5420" s="14" t="s">
        <v>348</v>
      </c>
      <c r="E5420" s="14" t="s">
        <v>342</v>
      </c>
      <c r="F5420" s="14" t="s">
        <v>343</v>
      </c>
      <c r="G5420" s="14" t="s">
        <v>343</v>
      </c>
      <c r="H5420" s="14" t="s">
        <v>343</v>
      </c>
      <c r="U5420" s="14">
        <v>0.47</v>
      </c>
      <c r="V5420" s="14">
        <v>0.48</v>
      </c>
      <c r="W5420" s="14">
        <v>0.49</v>
      </c>
      <c r="X5420" s="14">
        <v>0.46</v>
      </c>
    </row>
    <row r="5421" spans="1:24" hidden="1" x14ac:dyDescent="0.3">
      <c r="A5421" s="14" t="s">
        <v>533</v>
      </c>
      <c r="B5421" s="14" t="s">
        <v>534</v>
      </c>
      <c r="C5421" s="14" t="s">
        <v>347</v>
      </c>
      <c r="D5421" s="14" t="s">
        <v>348</v>
      </c>
      <c r="E5421" s="14" t="s">
        <v>344</v>
      </c>
      <c r="F5421" s="14" t="s">
        <v>343</v>
      </c>
      <c r="G5421" s="14" t="s">
        <v>343</v>
      </c>
      <c r="H5421" s="14" t="s">
        <v>343</v>
      </c>
      <c r="U5421" s="14">
        <v>133</v>
      </c>
      <c r="V5421" s="14">
        <v>135</v>
      </c>
      <c r="W5421" s="14">
        <v>137</v>
      </c>
      <c r="X5421" s="14">
        <v>132</v>
      </c>
    </row>
    <row r="5422" spans="1:24" hidden="1" x14ac:dyDescent="0.3">
      <c r="A5422" s="14" t="s">
        <v>533</v>
      </c>
      <c r="B5422" s="14" t="s">
        <v>534</v>
      </c>
      <c r="C5422" s="14" t="s">
        <v>349</v>
      </c>
      <c r="D5422" s="14" t="s">
        <v>350</v>
      </c>
      <c r="E5422" s="14" t="s">
        <v>342</v>
      </c>
      <c r="F5422" s="14" t="s">
        <v>343</v>
      </c>
      <c r="G5422" s="14" t="s">
        <v>343</v>
      </c>
      <c r="H5422" s="14" t="s">
        <v>343</v>
      </c>
      <c r="U5422" s="14">
        <v>0.18</v>
      </c>
      <c r="V5422" s="14">
        <v>0.17</v>
      </c>
      <c r="W5422" s="14">
        <v>0.19</v>
      </c>
      <c r="X5422" s="14">
        <v>0.22</v>
      </c>
    </row>
    <row r="5423" spans="1:24" hidden="1" x14ac:dyDescent="0.3">
      <c r="A5423" s="14" t="s">
        <v>533</v>
      </c>
      <c r="B5423" s="14" t="s">
        <v>534</v>
      </c>
      <c r="C5423" s="14" t="s">
        <v>349</v>
      </c>
      <c r="D5423" s="14" t="s">
        <v>350</v>
      </c>
      <c r="E5423" s="14" t="s">
        <v>344</v>
      </c>
      <c r="F5423" s="14" t="s">
        <v>343</v>
      </c>
      <c r="G5423" s="14" t="s">
        <v>343</v>
      </c>
      <c r="H5423" s="14" t="s">
        <v>343</v>
      </c>
      <c r="U5423" s="14">
        <v>125</v>
      </c>
      <c r="V5423" s="14">
        <v>132</v>
      </c>
      <c r="W5423" s="14">
        <v>133</v>
      </c>
      <c r="X5423" s="14">
        <v>120</v>
      </c>
    </row>
    <row r="5424" spans="1:24" hidden="1" x14ac:dyDescent="0.3">
      <c r="A5424" s="14" t="s">
        <v>533</v>
      </c>
      <c r="B5424" s="14" t="s">
        <v>534</v>
      </c>
      <c r="C5424" s="14" t="s">
        <v>351</v>
      </c>
      <c r="D5424" s="14" t="s">
        <v>352</v>
      </c>
      <c r="E5424" s="14" t="s">
        <v>342</v>
      </c>
      <c r="F5424" s="14" t="s">
        <v>343</v>
      </c>
      <c r="G5424" s="14" t="s">
        <v>343</v>
      </c>
      <c r="H5424" s="14" t="s">
        <v>343</v>
      </c>
      <c r="U5424" s="14">
        <v>0.65</v>
      </c>
      <c r="V5424" s="14">
        <v>0.67</v>
      </c>
      <c r="W5424" s="14">
        <v>0.56999999999999995</v>
      </c>
      <c r="X5424" s="14">
        <v>0.69</v>
      </c>
    </row>
    <row r="5425" spans="1:24" hidden="1" x14ac:dyDescent="0.3">
      <c r="A5425" s="14" t="s">
        <v>533</v>
      </c>
      <c r="B5425" s="14" t="s">
        <v>534</v>
      </c>
      <c r="C5425" s="14" t="s">
        <v>351</v>
      </c>
      <c r="D5425" s="14" t="s">
        <v>352</v>
      </c>
      <c r="E5425" s="14" t="s">
        <v>344</v>
      </c>
      <c r="F5425" s="14" t="s">
        <v>343</v>
      </c>
      <c r="G5425" s="14" t="s">
        <v>343</v>
      </c>
      <c r="H5425" s="14" t="s">
        <v>343</v>
      </c>
      <c r="U5425" s="14">
        <v>109</v>
      </c>
      <c r="V5425" s="14">
        <v>111</v>
      </c>
      <c r="W5425" s="14">
        <v>117</v>
      </c>
      <c r="X5425" s="14">
        <v>100</v>
      </c>
    </row>
    <row r="5426" spans="1:24" hidden="1" x14ac:dyDescent="0.3">
      <c r="A5426" s="14" t="s">
        <v>533</v>
      </c>
      <c r="B5426" s="14" t="s">
        <v>534</v>
      </c>
      <c r="C5426" s="14" t="s">
        <v>378</v>
      </c>
      <c r="D5426" s="14" t="s">
        <v>379</v>
      </c>
      <c r="E5426" s="14" t="s">
        <v>342</v>
      </c>
      <c r="F5426" s="14" t="s">
        <v>343</v>
      </c>
      <c r="G5426" s="14" t="s">
        <v>343</v>
      </c>
      <c r="H5426" s="14" t="s">
        <v>343</v>
      </c>
      <c r="S5426" s="14">
        <v>0.59</v>
      </c>
      <c r="U5426" s="14">
        <v>0.56000000000000005</v>
      </c>
      <c r="V5426" s="14">
        <v>0.57999999999999996</v>
      </c>
      <c r="W5426" s="14">
        <v>0.62</v>
      </c>
      <c r="X5426" s="14">
        <v>0.61</v>
      </c>
    </row>
    <row r="5427" spans="1:24" hidden="1" x14ac:dyDescent="0.3">
      <c r="A5427" s="14" t="s">
        <v>533</v>
      </c>
      <c r="B5427" s="14" t="s">
        <v>534</v>
      </c>
      <c r="C5427" s="14" t="s">
        <v>378</v>
      </c>
      <c r="D5427" s="14" t="s">
        <v>379</v>
      </c>
      <c r="E5427" s="14" t="s">
        <v>344</v>
      </c>
      <c r="F5427" s="14" t="s">
        <v>343</v>
      </c>
      <c r="G5427" s="14" t="s">
        <v>343</v>
      </c>
      <c r="H5427" s="14" t="s">
        <v>343</v>
      </c>
      <c r="S5427" s="14">
        <v>98</v>
      </c>
      <c r="U5427" s="14">
        <v>114</v>
      </c>
      <c r="V5427" s="14">
        <v>106</v>
      </c>
      <c r="W5427" s="14">
        <v>95</v>
      </c>
      <c r="X5427" s="14">
        <v>94</v>
      </c>
    </row>
    <row r="5428" spans="1:24" hidden="1" x14ac:dyDescent="0.3">
      <c r="A5428" s="14" t="s">
        <v>533</v>
      </c>
      <c r="B5428" s="14" t="s">
        <v>534</v>
      </c>
      <c r="C5428" s="14" t="s">
        <v>353</v>
      </c>
      <c r="D5428" s="14" t="s">
        <v>354</v>
      </c>
      <c r="E5428" s="14" t="s">
        <v>342</v>
      </c>
      <c r="F5428" s="14" t="s">
        <v>343</v>
      </c>
      <c r="G5428" s="14" t="s">
        <v>343</v>
      </c>
      <c r="H5428" s="14" t="s">
        <v>343</v>
      </c>
      <c r="U5428" s="14">
        <v>0.95</v>
      </c>
      <c r="V5428" s="14">
        <v>0.95</v>
      </c>
      <c r="W5428" s="14">
        <v>0.95</v>
      </c>
      <c r="X5428" s="14">
        <v>0.95</v>
      </c>
    </row>
    <row r="5429" spans="1:24" hidden="1" x14ac:dyDescent="0.3">
      <c r="A5429" s="14" t="s">
        <v>533</v>
      </c>
      <c r="B5429" s="14" t="s">
        <v>534</v>
      </c>
      <c r="C5429" s="14" t="s">
        <v>353</v>
      </c>
      <c r="D5429" s="14" t="s">
        <v>354</v>
      </c>
      <c r="E5429" s="14" t="s">
        <v>344</v>
      </c>
      <c r="F5429" s="14" t="s">
        <v>343</v>
      </c>
      <c r="G5429" s="14" t="s">
        <v>343</v>
      </c>
      <c r="H5429" s="14" t="s">
        <v>343</v>
      </c>
      <c r="U5429" s="14">
        <v>95</v>
      </c>
      <c r="V5429" s="14">
        <v>101</v>
      </c>
      <c r="W5429" s="14">
        <v>103</v>
      </c>
      <c r="X5429" s="14">
        <v>97</v>
      </c>
    </row>
    <row r="5430" spans="1:24" hidden="1" x14ac:dyDescent="0.3">
      <c r="A5430" s="14" t="s">
        <v>533</v>
      </c>
      <c r="B5430" s="14" t="s">
        <v>534</v>
      </c>
      <c r="C5430" s="14" t="s">
        <v>380</v>
      </c>
      <c r="D5430" s="14" t="s">
        <v>381</v>
      </c>
      <c r="E5430" s="14" t="s">
        <v>342</v>
      </c>
      <c r="F5430" s="14" t="s">
        <v>343</v>
      </c>
      <c r="G5430" s="14" t="s">
        <v>343</v>
      </c>
      <c r="H5430" s="14" t="s">
        <v>343</v>
      </c>
      <c r="U5430" s="14">
        <v>0.99</v>
      </c>
      <c r="V5430" s="14">
        <v>0.98</v>
      </c>
      <c r="W5430" s="14">
        <v>0.98</v>
      </c>
      <c r="X5430" s="14">
        <v>1</v>
      </c>
    </row>
    <row r="5431" spans="1:24" hidden="1" x14ac:dyDescent="0.3">
      <c r="A5431" s="14" t="s">
        <v>533</v>
      </c>
      <c r="B5431" s="14" t="s">
        <v>534</v>
      </c>
      <c r="C5431" s="14" t="s">
        <v>380</v>
      </c>
      <c r="D5431" s="14" t="s">
        <v>381</v>
      </c>
      <c r="E5431" s="14" t="s">
        <v>344</v>
      </c>
      <c r="F5431" s="14" t="s">
        <v>343</v>
      </c>
      <c r="G5431" s="14" t="s">
        <v>343</v>
      </c>
      <c r="H5431" s="14" t="s">
        <v>343</v>
      </c>
      <c r="U5431" s="14">
        <v>96</v>
      </c>
      <c r="V5431" s="14">
        <v>118</v>
      </c>
      <c r="W5431" s="14">
        <v>118</v>
      </c>
      <c r="X5431" s="14">
        <v>85</v>
      </c>
    </row>
    <row r="5432" spans="1:24" hidden="1" x14ac:dyDescent="0.3">
      <c r="A5432" s="14" t="s">
        <v>533</v>
      </c>
      <c r="B5432" s="14" t="s">
        <v>534</v>
      </c>
      <c r="C5432" s="14" t="s">
        <v>355</v>
      </c>
      <c r="D5432" s="14" t="s">
        <v>356</v>
      </c>
      <c r="E5432" s="14" t="s">
        <v>342</v>
      </c>
      <c r="F5432" s="14" t="s">
        <v>343</v>
      </c>
      <c r="G5432" s="14" t="s">
        <v>343</v>
      </c>
      <c r="H5432" s="14" t="s">
        <v>343</v>
      </c>
      <c r="U5432" s="14">
        <v>0.99</v>
      </c>
      <c r="V5432" s="14">
        <v>0.97</v>
      </c>
      <c r="W5432" s="14">
        <v>0.97</v>
      </c>
      <c r="X5432" s="14">
        <v>0.96</v>
      </c>
    </row>
    <row r="5433" spans="1:24" hidden="1" x14ac:dyDescent="0.3">
      <c r="A5433" s="14" t="s">
        <v>533</v>
      </c>
      <c r="B5433" s="14" t="s">
        <v>534</v>
      </c>
      <c r="C5433" s="14" t="s">
        <v>355</v>
      </c>
      <c r="D5433" s="14" t="s">
        <v>356</v>
      </c>
      <c r="E5433" s="14" t="s">
        <v>344</v>
      </c>
      <c r="F5433" s="14" t="s">
        <v>343</v>
      </c>
      <c r="G5433" s="14" t="s">
        <v>343</v>
      </c>
      <c r="H5433" s="14" t="s">
        <v>343</v>
      </c>
      <c r="U5433" s="14">
        <v>115</v>
      </c>
      <c r="V5433" s="14">
        <v>118</v>
      </c>
      <c r="W5433" s="14">
        <v>120</v>
      </c>
      <c r="X5433" s="14">
        <v>105</v>
      </c>
    </row>
    <row r="5434" spans="1:24" hidden="1" x14ac:dyDescent="0.3">
      <c r="A5434" s="14" t="s">
        <v>533</v>
      </c>
      <c r="B5434" s="14" t="s">
        <v>534</v>
      </c>
      <c r="C5434" s="14" t="s">
        <v>357</v>
      </c>
      <c r="D5434" s="14" t="s">
        <v>358</v>
      </c>
      <c r="E5434" s="14" t="s">
        <v>342</v>
      </c>
      <c r="F5434" s="14" t="s">
        <v>343</v>
      </c>
      <c r="G5434" s="14" t="s">
        <v>343</v>
      </c>
      <c r="H5434" s="14" t="s">
        <v>343</v>
      </c>
      <c r="U5434" s="14">
        <v>0.87</v>
      </c>
      <c r="V5434" s="14">
        <v>0.87</v>
      </c>
      <c r="W5434" s="14">
        <v>0.99</v>
      </c>
      <c r="X5434" s="14">
        <v>0.94</v>
      </c>
    </row>
    <row r="5435" spans="1:24" hidden="1" x14ac:dyDescent="0.3">
      <c r="A5435" s="14" t="s">
        <v>533</v>
      </c>
      <c r="B5435" s="14" t="s">
        <v>534</v>
      </c>
      <c r="C5435" s="14" t="s">
        <v>357</v>
      </c>
      <c r="D5435" s="14" t="s">
        <v>358</v>
      </c>
      <c r="E5435" s="14" t="s">
        <v>344</v>
      </c>
      <c r="F5435" s="14" t="s">
        <v>343</v>
      </c>
      <c r="G5435" s="14" t="s">
        <v>343</v>
      </c>
      <c r="H5435" s="14" t="s">
        <v>343</v>
      </c>
      <c r="U5435" s="14">
        <v>108</v>
      </c>
      <c r="V5435" s="14">
        <v>112</v>
      </c>
      <c r="W5435" s="14">
        <v>108</v>
      </c>
      <c r="X5435" s="14">
        <v>107</v>
      </c>
    </row>
    <row r="5436" spans="1:24" hidden="1" x14ac:dyDescent="0.3">
      <c r="A5436" s="14" t="s">
        <v>533</v>
      </c>
      <c r="B5436" s="14" t="s">
        <v>534</v>
      </c>
      <c r="C5436" s="14" t="s">
        <v>359</v>
      </c>
      <c r="D5436" s="14" t="s">
        <v>360</v>
      </c>
      <c r="E5436" s="14" t="s">
        <v>342</v>
      </c>
      <c r="F5436" s="14" t="s">
        <v>343</v>
      </c>
      <c r="G5436" s="14" t="s">
        <v>343</v>
      </c>
      <c r="H5436" s="14" t="s">
        <v>343</v>
      </c>
      <c r="I5436" s="14">
        <v>0.43</v>
      </c>
      <c r="J5436" s="14">
        <v>0.43</v>
      </c>
      <c r="K5436" s="14">
        <v>0.41</v>
      </c>
      <c r="L5436" s="14">
        <v>0.4</v>
      </c>
      <c r="M5436" s="14">
        <v>0.39</v>
      </c>
      <c r="N5436" s="14">
        <v>0.39</v>
      </c>
      <c r="O5436" s="14">
        <v>0.41</v>
      </c>
      <c r="P5436" s="14">
        <v>0.43</v>
      </c>
      <c r="Q5436" s="14">
        <v>0.45</v>
      </c>
      <c r="R5436" s="14">
        <v>0.46</v>
      </c>
      <c r="S5436" s="14">
        <v>0.46</v>
      </c>
      <c r="T5436" s="14">
        <v>0.47</v>
      </c>
      <c r="U5436" s="14">
        <v>0.47</v>
      </c>
      <c r="V5436" s="14">
        <v>0.48</v>
      </c>
      <c r="W5436" s="14">
        <v>0.49</v>
      </c>
      <c r="X5436" s="14">
        <v>0.49</v>
      </c>
    </row>
    <row r="5437" spans="1:24" hidden="1" x14ac:dyDescent="0.3">
      <c r="A5437" s="14" t="s">
        <v>533</v>
      </c>
      <c r="B5437" s="14" t="s">
        <v>534</v>
      </c>
      <c r="C5437" s="14" t="s">
        <v>359</v>
      </c>
      <c r="D5437" s="14" t="s">
        <v>360</v>
      </c>
      <c r="E5437" s="14" t="s">
        <v>344</v>
      </c>
      <c r="F5437" s="14" t="s">
        <v>343</v>
      </c>
      <c r="G5437" s="14" t="s">
        <v>343</v>
      </c>
      <c r="H5437" s="14" t="s">
        <v>343</v>
      </c>
      <c r="I5437" s="14">
        <v>106</v>
      </c>
      <c r="J5437" s="14">
        <v>118</v>
      </c>
      <c r="K5437" s="14">
        <v>124</v>
      </c>
      <c r="L5437" s="14">
        <v>130</v>
      </c>
      <c r="M5437" s="14">
        <v>131</v>
      </c>
      <c r="N5437" s="14">
        <v>132</v>
      </c>
      <c r="O5437" s="14">
        <v>129</v>
      </c>
      <c r="P5437" s="14">
        <v>127</v>
      </c>
      <c r="Q5437" s="14">
        <v>132</v>
      </c>
      <c r="R5437" s="14">
        <v>131</v>
      </c>
      <c r="S5437" s="14">
        <v>129</v>
      </c>
      <c r="T5437" s="14">
        <v>128</v>
      </c>
      <c r="U5437" s="14">
        <v>131</v>
      </c>
      <c r="V5437" s="14">
        <v>136</v>
      </c>
      <c r="W5437" s="14">
        <v>140</v>
      </c>
      <c r="X5437" s="14">
        <v>134</v>
      </c>
    </row>
    <row r="5438" spans="1:24" x14ac:dyDescent="0.3">
      <c r="A5438" s="14" t="s">
        <v>533</v>
      </c>
      <c r="B5438" s="14" t="s">
        <v>534</v>
      </c>
      <c r="C5438" s="14" t="s">
        <v>361</v>
      </c>
      <c r="D5438" s="14" t="s">
        <v>362</v>
      </c>
      <c r="E5438" s="14" t="s">
        <v>342</v>
      </c>
      <c r="F5438" s="14" t="s">
        <v>343</v>
      </c>
      <c r="G5438" s="14" t="s">
        <v>343</v>
      </c>
      <c r="H5438" s="14" t="s">
        <v>343</v>
      </c>
      <c r="I5438" s="14">
        <v>0.97</v>
      </c>
      <c r="J5438" s="14">
        <v>0.97</v>
      </c>
      <c r="K5438" s="14">
        <v>0.97</v>
      </c>
      <c r="L5438" s="14">
        <v>0.97</v>
      </c>
      <c r="M5438" s="14">
        <v>0.98</v>
      </c>
      <c r="N5438" s="14">
        <v>0.98</v>
      </c>
      <c r="O5438" s="14">
        <v>0.98</v>
      </c>
      <c r="P5438" s="14">
        <v>0.98</v>
      </c>
      <c r="Q5438" s="14">
        <v>0.98</v>
      </c>
      <c r="R5438" s="14">
        <v>0.98</v>
      </c>
      <c r="S5438" s="14">
        <v>0.98</v>
      </c>
      <c r="T5438" s="14">
        <v>0.98</v>
      </c>
      <c r="U5438" s="14">
        <v>0.98</v>
      </c>
      <c r="V5438" s="14">
        <v>0.98</v>
      </c>
      <c r="W5438" s="14">
        <v>0.97</v>
      </c>
      <c r="X5438" s="14">
        <v>0.97</v>
      </c>
    </row>
    <row r="5439" spans="1:24" hidden="1" x14ac:dyDescent="0.3">
      <c r="A5439" s="14" t="s">
        <v>533</v>
      </c>
      <c r="B5439" s="14" t="s">
        <v>534</v>
      </c>
      <c r="C5439" s="14" t="s">
        <v>361</v>
      </c>
      <c r="D5439" s="14" t="s">
        <v>362</v>
      </c>
      <c r="E5439" s="14" t="s">
        <v>344</v>
      </c>
      <c r="F5439" s="14" t="s">
        <v>343</v>
      </c>
      <c r="G5439" s="14" t="s">
        <v>343</v>
      </c>
      <c r="H5439" s="14" t="s">
        <v>343</v>
      </c>
      <c r="I5439" s="14">
        <v>85</v>
      </c>
      <c r="J5439" s="14">
        <v>87</v>
      </c>
      <c r="K5439" s="14">
        <v>88</v>
      </c>
      <c r="L5439" s="14">
        <v>93</v>
      </c>
      <c r="M5439" s="14">
        <v>61</v>
      </c>
      <c r="N5439" s="14">
        <v>62</v>
      </c>
      <c r="P5439" s="14">
        <v>59</v>
      </c>
      <c r="Q5439" s="14">
        <v>1</v>
      </c>
      <c r="R5439" s="14">
        <v>1</v>
      </c>
      <c r="S5439" s="14">
        <v>1</v>
      </c>
      <c r="T5439" s="14">
        <v>59</v>
      </c>
      <c r="U5439" s="14">
        <v>67</v>
      </c>
      <c r="V5439" s="14">
        <v>64</v>
      </c>
      <c r="W5439" s="14">
        <v>105</v>
      </c>
      <c r="X5439" s="14">
        <v>99</v>
      </c>
    </row>
    <row r="5440" spans="1:24" hidden="1" x14ac:dyDescent="0.3">
      <c r="A5440" s="14" t="s">
        <v>533</v>
      </c>
      <c r="B5440" s="14" t="s">
        <v>534</v>
      </c>
      <c r="C5440" s="14" t="s">
        <v>363</v>
      </c>
      <c r="D5440" s="14" t="s">
        <v>364</v>
      </c>
      <c r="E5440" s="14" t="s">
        <v>342</v>
      </c>
      <c r="F5440" s="14" t="s">
        <v>343</v>
      </c>
      <c r="G5440" s="14" t="s">
        <v>343</v>
      </c>
      <c r="H5440" s="14" t="s">
        <v>343</v>
      </c>
      <c r="U5440" s="14">
        <v>1.05</v>
      </c>
      <c r="V5440" s="14">
        <v>1.05</v>
      </c>
      <c r="W5440" s="14">
        <v>1.02</v>
      </c>
      <c r="X5440" s="14">
        <v>1.02</v>
      </c>
    </row>
    <row r="5441" spans="1:24" hidden="1" x14ac:dyDescent="0.3">
      <c r="A5441" s="14" t="s">
        <v>533</v>
      </c>
      <c r="B5441" s="14" t="s">
        <v>534</v>
      </c>
      <c r="C5441" s="14" t="s">
        <v>363</v>
      </c>
      <c r="D5441" s="14" t="s">
        <v>364</v>
      </c>
      <c r="E5441" s="14" t="s">
        <v>344</v>
      </c>
      <c r="F5441" s="14" t="s">
        <v>343</v>
      </c>
      <c r="G5441" s="14" t="s">
        <v>343</v>
      </c>
      <c r="H5441" s="14" t="s">
        <v>343</v>
      </c>
      <c r="U5441" s="14">
        <v>75</v>
      </c>
      <c r="V5441" s="14">
        <v>77</v>
      </c>
      <c r="W5441" s="14">
        <v>116</v>
      </c>
      <c r="X5441" s="14">
        <v>108</v>
      </c>
    </row>
    <row r="5442" spans="1:24" hidden="1" x14ac:dyDescent="0.3">
      <c r="A5442" s="14" t="s">
        <v>533</v>
      </c>
      <c r="B5442" s="14" t="s">
        <v>534</v>
      </c>
      <c r="C5442" s="14" t="s">
        <v>365</v>
      </c>
      <c r="D5442" s="14" t="s">
        <v>366</v>
      </c>
      <c r="E5442" s="14" t="s">
        <v>342</v>
      </c>
      <c r="F5442" s="14" t="s">
        <v>343</v>
      </c>
      <c r="G5442" s="14" t="s">
        <v>343</v>
      </c>
      <c r="H5442" s="14" t="s">
        <v>343</v>
      </c>
      <c r="U5442" s="14">
        <v>0.94</v>
      </c>
      <c r="V5442" s="14">
        <v>0.94</v>
      </c>
      <c r="W5442" s="14">
        <v>0.94</v>
      </c>
      <c r="X5442" s="14">
        <v>0.94</v>
      </c>
    </row>
    <row r="5443" spans="1:24" hidden="1" x14ac:dyDescent="0.3">
      <c r="A5443" s="14" t="s">
        <v>533</v>
      </c>
      <c r="B5443" s="14" t="s">
        <v>534</v>
      </c>
      <c r="C5443" s="14" t="s">
        <v>365</v>
      </c>
      <c r="D5443" s="14" t="s">
        <v>366</v>
      </c>
      <c r="E5443" s="14" t="s">
        <v>344</v>
      </c>
      <c r="F5443" s="14" t="s">
        <v>343</v>
      </c>
      <c r="G5443" s="14" t="s">
        <v>343</v>
      </c>
      <c r="H5443" s="14" t="s">
        <v>343</v>
      </c>
      <c r="U5443" s="14">
        <v>1</v>
      </c>
      <c r="V5443" s="14">
        <v>1</v>
      </c>
      <c r="W5443" s="14">
        <v>1</v>
      </c>
      <c r="X5443" s="14">
        <v>1</v>
      </c>
    </row>
    <row r="5444" spans="1:24" hidden="1" x14ac:dyDescent="0.3">
      <c r="A5444" s="14" t="s">
        <v>533</v>
      </c>
      <c r="B5444" s="14" t="s">
        <v>534</v>
      </c>
      <c r="C5444" s="14" t="s">
        <v>367</v>
      </c>
      <c r="D5444" s="14" t="s">
        <v>368</v>
      </c>
      <c r="E5444" s="14" t="s">
        <v>342</v>
      </c>
      <c r="F5444" s="14" t="s">
        <v>343</v>
      </c>
      <c r="G5444" s="14" t="s">
        <v>343</v>
      </c>
      <c r="H5444" s="14" t="s">
        <v>343</v>
      </c>
      <c r="I5444" s="14">
        <v>0.57999999999999996</v>
      </c>
      <c r="J5444" s="14">
        <v>0.57999999999999996</v>
      </c>
      <c r="K5444" s="14">
        <v>0.59</v>
      </c>
      <c r="L5444" s="14">
        <v>0.57999999999999996</v>
      </c>
      <c r="M5444" s="14">
        <v>0.59</v>
      </c>
      <c r="N5444" s="14">
        <v>0.6</v>
      </c>
      <c r="O5444" s="14">
        <v>0.6</v>
      </c>
      <c r="P5444" s="14">
        <v>0.61</v>
      </c>
      <c r="Q5444" s="14">
        <v>0.62</v>
      </c>
      <c r="R5444" s="14">
        <v>0.62</v>
      </c>
      <c r="S5444" s="14">
        <v>0.62</v>
      </c>
      <c r="T5444" s="14">
        <v>0.62</v>
      </c>
      <c r="U5444" s="14">
        <v>0.63</v>
      </c>
      <c r="V5444" s="14">
        <v>0.64</v>
      </c>
      <c r="W5444" s="14">
        <v>0.64</v>
      </c>
      <c r="X5444" s="14">
        <v>0.64</v>
      </c>
    </row>
    <row r="5445" spans="1:24" hidden="1" x14ac:dyDescent="0.3">
      <c r="A5445" s="14" t="s">
        <v>533</v>
      </c>
      <c r="B5445" s="14" t="s">
        <v>534</v>
      </c>
      <c r="C5445" s="14" t="s">
        <v>367</v>
      </c>
      <c r="D5445" s="14" t="s">
        <v>368</v>
      </c>
      <c r="E5445" s="14" t="s">
        <v>344</v>
      </c>
      <c r="F5445" s="14" t="s">
        <v>343</v>
      </c>
      <c r="G5445" s="14" t="s">
        <v>343</v>
      </c>
      <c r="H5445" s="14" t="s">
        <v>343</v>
      </c>
      <c r="I5445" s="14">
        <v>105</v>
      </c>
      <c r="J5445" s="14">
        <v>121</v>
      </c>
      <c r="K5445" s="14">
        <v>123</v>
      </c>
      <c r="L5445" s="14">
        <v>129</v>
      </c>
      <c r="M5445" s="14">
        <v>126</v>
      </c>
      <c r="N5445" s="14">
        <v>122</v>
      </c>
      <c r="O5445" s="14">
        <v>124</v>
      </c>
      <c r="P5445" s="14">
        <v>120</v>
      </c>
      <c r="Q5445" s="14">
        <v>125</v>
      </c>
      <c r="R5445" s="14">
        <v>130</v>
      </c>
      <c r="S5445" s="14">
        <v>130</v>
      </c>
      <c r="T5445" s="14">
        <v>131</v>
      </c>
      <c r="U5445" s="14">
        <v>130</v>
      </c>
      <c r="V5445" s="14">
        <v>130</v>
      </c>
      <c r="W5445" s="14">
        <v>133</v>
      </c>
      <c r="X5445" s="14">
        <v>124</v>
      </c>
    </row>
    <row r="5446" spans="1:24" hidden="1" x14ac:dyDescent="0.3">
      <c r="A5446" s="14" t="s">
        <v>533</v>
      </c>
      <c r="B5446" s="14" t="s">
        <v>534</v>
      </c>
      <c r="C5446" s="14" t="s">
        <v>369</v>
      </c>
      <c r="D5446" s="14" t="s">
        <v>370</v>
      </c>
      <c r="E5446" s="14" t="s">
        <v>342</v>
      </c>
      <c r="F5446" s="14" t="s">
        <v>343</v>
      </c>
      <c r="G5446" s="14" t="s">
        <v>343</v>
      </c>
      <c r="H5446" s="14" t="s">
        <v>343</v>
      </c>
      <c r="I5446" s="14">
        <v>0.05</v>
      </c>
      <c r="J5446" s="14">
        <v>0.05</v>
      </c>
      <c r="K5446" s="14">
        <v>7.0000000000000007E-2</v>
      </c>
      <c r="L5446" s="14">
        <v>7.0000000000000007E-2</v>
      </c>
      <c r="M5446" s="14">
        <v>0.08</v>
      </c>
      <c r="N5446" s="14">
        <v>0.1</v>
      </c>
      <c r="O5446" s="14">
        <v>0.09</v>
      </c>
      <c r="P5446" s="14">
        <v>0.09</v>
      </c>
      <c r="Q5446" s="14">
        <v>0.09</v>
      </c>
      <c r="R5446" s="14">
        <v>0.1</v>
      </c>
      <c r="S5446" s="14">
        <v>0.09</v>
      </c>
      <c r="T5446" s="14">
        <v>0.09</v>
      </c>
      <c r="U5446" s="14">
        <v>0.1</v>
      </c>
      <c r="V5446" s="14">
        <v>0.12</v>
      </c>
      <c r="W5446" s="14">
        <v>0.12</v>
      </c>
      <c r="X5446" s="14">
        <v>0.12</v>
      </c>
    </row>
    <row r="5447" spans="1:24" hidden="1" x14ac:dyDescent="0.3">
      <c r="A5447" s="14" t="s">
        <v>533</v>
      </c>
      <c r="B5447" s="14" t="s">
        <v>534</v>
      </c>
      <c r="C5447" s="14" t="s">
        <v>369</v>
      </c>
      <c r="D5447" s="14" t="s">
        <v>370</v>
      </c>
      <c r="E5447" s="14" t="s">
        <v>344</v>
      </c>
      <c r="F5447" s="14" t="s">
        <v>343</v>
      </c>
      <c r="G5447" s="14" t="s">
        <v>343</v>
      </c>
      <c r="H5447" s="14" t="s">
        <v>343</v>
      </c>
      <c r="I5447" s="14">
        <v>96</v>
      </c>
      <c r="J5447" s="14">
        <v>108</v>
      </c>
      <c r="K5447" s="14">
        <v>106</v>
      </c>
      <c r="L5447" s="14">
        <v>107</v>
      </c>
      <c r="M5447" s="14">
        <v>99</v>
      </c>
      <c r="N5447" s="14">
        <v>89</v>
      </c>
      <c r="O5447" s="14">
        <v>98</v>
      </c>
      <c r="P5447" s="14">
        <v>103</v>
      </c>
      <c r="Q5447" s="14">
        <v>113</v>
      </c>
      <c r="R5447" s="14">
        <v>105</v>
      </c>
      <c r="S5447" s="14">
        <v>113</v>
      </c>
      <c r="T5447" s="14">
        <v>118</v>
      </c>
      <c r="U5447" s="14">
        <v>113</v>
      </c>
      <c r="V5447" s="14">
        <v>109</v>
      </c>
      <c r="W5447" s="14">
        <v>114</v>
      </c>
      <c r="X5447" s="14">
        <v>112</v>
      </c>
    </row>
    <row r="5448" spans="1:24" hidden="1" x14ac:dyDescent="0.3">
      <c r="A5448" s="14" t="s">
        <v>533</v>
      </c>
      <c r="B5448" s="14" t="s">
        <v>534</v>
      </c>
      <c r="C5448" s="14" t="s">
        <v>371</v>
      </c>
      <c r="D5448" s="14" t="s">
        <v>372</v>
      </c>
      <c r="E5448" s="14" t="s">
        <v>342</v>
      </c>
      <c r="F5448" s="14" t="s">
        <v>343</v>
      </c>
      <c r="G5448" s="14" t="s">
        <v>343</v>
      </c>
      <c r="H5448" s="14" t="s">
        <v>343</v>
      </c>
      <c r="U5448" s="14">
        <v>0.06</v>
      </c>
      <c r="V5448" s="14">
        <v>0.06</v>
      </c>
      <c r="W5448" s="14">
        <v>0.06</v>
      </c>
      <c r="X5448" s="14">
        <v>0.06</v>
      </c>
    </row>
    <row r="5449" spans="1:24" hidden="1" x14ac:dyDescent="0.3">
      <c r="A5449" s="14" t="s">
        <v>533</v>
      </c>
      <c r="B5449" s="14" t="s">
        <v>534</v>
      </c>
      <c r="C5449" s="14" t="s">
        <v>371</v>
      </c>
      <c r="D5449" s="14" t="s">
        <v>372</v>
      </c>
      <c r="E5449" s="14" t="s">
        <v>344</v>
      </c>
      <c r="F5449" s="14" t="s">
        <v>343</v>
      </c>
      <c r="G5449" s="14" t="s">
        <v>343</v>
      </c>
      <c r="H5449" s="14" t="s">
        <v>343</v>
      </c>
      <c r="U5449" s="14">
        <v>40</v>
      </c>
      <c r="V5449" s="14">
        <v>45</v>
      </c>
      <c r="W5449" s="14">
        <v>46</v>
      </c>
      <c r="X5449" s="14">
        <v>48</v>
      </c>
    </row>
    <row r="5450" spans="1:24" hidden="1" x14ac:dyDescent="0.3">
      <c r="A5450" s="14" t="s">
        <v>533</v>
      </c>
      <c r="B5450" s="14" t="s">
        <v>534</v>
      </c>
      <c r="C5450" s="14" t="s">
        <v>373</v>
      </c>
      <c r="D5450" s="14" t="s">
        <v>374</v>
      </c>
      <c r="E5450" s="14" t="s">
        <v>342</v>
      </c>
      <c r="F5450" s="14" t="s">
        <v>343</v>
      </c>
      <c r="G5450" s="14" t="s">
        <v>343</v>
      </c>
      <c r="H5450" s="14" t="s">
        <v>343</v>
      </c>
      <c r="U5450" s="14">
        <v>0.04</v>
      </c>
      <c r="V5450" s="14">
        <v>0.13</v>
      </c>
      <c r="W5450" s="14">
        <v>0.13</v>
      </c>
      <c r="X5450" s="14">
        <v>0.13</v>
      </c>
    </row>
    <row r="5451" spans="1:24" hidden="1" x14ac:dyDescent="0.3">
      <c r="A5451" s="14" t="s">
        <v>533</v>
      </c>
      <c r="B5451" s="14" t="s">
        <v>534</v>
      </c>
      <c r="C5451" s="14" t="s">
        <v>373</v>
      </c>
      <c r="D5451" s="14" t="s">
        <v>374</v>
      </c>
      <c r="E5451" s="14" t="s">
        <v>344</v>
      </c>
      <c r="F5451" s="14" t="s">
        <v>343</v>
      </c>
      <c r="G5451" s="14" t="s">
        <v>343</v>
      </c>
      <c r="H5451" s="14" t="s">
        <v>343</v>
      </c>
      <c r="U5451" s="14">
        <v>140</v>
      </c>
      <c r="V5451" s="14">
        <v>113</v>
      </c>
      <c r="W5451" s="14">
        <v>117</v>
      </c>
      <c r="X5451" s="14">
        <v>112</v>
      </c>
    </row>
    <row r="5452" spans="1:24" hidden="1" x14ac:dyDescent="0.3">
      <c r="A5452" s="14" t="s">
        <v>533</v>
      </c>
      <c r="B5452" s="14" t="s">
        <v>534</v>
      </c>
      <c r="C5452" s="14" t="s">
        <v>375</v>
      </c>
      <c r="D5452" s="14" t="s">
        <v>376</v>
      </c>
      <c r="E5452" s="14" t="s">
        <v>342</v>
      </c>
      <c r="F5452" s="14" t="s">
        <v>343</v>
      </c>
      <c r="G5452" s="14" t="s">
        <v>343</v>
      </c>
      <c r="H5452" s="14" t="s">
        <v>343</v>
      </c>
      <c r="U5452" s="14">
        <v>0.21</v>
      </c>
      <c r="V5452" s="14">
        <v>0.21</v>
      </c>
      <c r="W5452" s="14">
        <v>0.21</v>
      </c>
      <c r="X5452" s="14">
        <v>0.21</v>
      </c>
    </row>
    <row r="5453" spans="1:24" hidden="1" x14ac:dyDescent="0.3">
      <c r="A5453" s="14" t="s">
        <v>533</v>
      </c>
      <c r="B5453" s="14" t="s">
        <v>534</v>
      </c>
      <c r="C5453" s="14" t="s">
        <v>375</v>
      </c>
      <c r="D5453" s="14" t="s">
        <v>376</v>
      </c>
      <c r="E5453" s="14" t="s">
        <v>344</v>
      </c>
      <c r="F5453" s="14" t="s">
        <v>343</v>
      </c>
      <c r="G5453" s="14" t="s">
        <v>343</v>
      </c>
      <c r="H5453" s="14" t="s">
        <v>343</v>
      </c>
      <c r="U5453" s="14">
        <v>100</v>
      </c>
      <c r="V5453" s="14">
        <v>104</v>
      </c>
      <c r="W5453" s="14">
        <v>113</v>
      </c>
      <c r="X5453" s="14">
        <v>109</v>
      </c>
    </row>
    <row r="5454" spans="1:24" hidden="1" x14ac:dyDescent="0.3">
      <c r="A5454" s="14" t="s">
        <v>535</v>
      </c>
      <c r="B5454" s="14" t="s">
        <v>325</v>
      </c>
      <c r="C5454" s="14" t="s">
        <v>340</v>
      </c>
      <c r="D5454" s="14" t="s">
        <v>341</v>
      </c>
      <c r="E5454" s="14" t="s">
        <v>342</v>
      </c>
      <c r="F5454" s="14" t="s">
        <v>343</v>
      </c>
      <c r="G5454" s="14" t="s">
        <v>343</v>
      </c>
      <c r="H5454" s="14" t="s">
        <v>343</v>
      </c>
      <c r="I5454" s="14">
        <v>0.86</v>
      </c>
      <c r="J5454" s="14">
        <v>0.86</v>
      </c>
      <c r="K5454" s="14">
        <v>0.87</v>
      </c>
      <c r="L5454" s="14">
        <v>0.87</v>
      </c>
      <c r="M5454" s="14">
        <v>0.87</v>
      </c>
      <c r="N5454" s="14">
        <v>0.88</v>
      </c>
      <c r="O5454" s="14">
        <v>0.94</v>
      </c>
      <c r="P5454" s="14">
        <v>0.88</v>
      </c>
      <c r="Q5454" s="14">
        <v>0.87</v>
      </c>
      <c r="R5454" s="14">
        <v>0.89</v>
      </c>
      <c r="S5454" s="14">
        <v>0.91</v>
      </c>
      <c r="T5454" s="14">
        <v>0.91</v>
      </c>
      <c r="U5454" s="14">
        <v>0.92</v>
      </c>
      <c r="V5454" s="14">
        <v>0.92</v>
      </c>
      <c r="W5454" s="14">
        <v>0.92</v>
      </c>
      <c r="X5454" s="14">
        <v>0.96</v>
      </c>
    </row>
    <row r="5455" spans="1:24" hidden="1" x14ac:dyDescent="0.3">
      <c r="A5455" s="14" t="s">
        <v>535</v>
      </c>
      <c r="B5455" s="14" t="s">
        <v>325</v>
      </c>
      <c r="C5455" s="14" t="s">
        <v>340</v>
      </c>
      <c r="D5455" s="14" t="s">
        <v>341</v>
      </c>
      <c r="E5455" s="14" t="s">
        <v>344</v>
      </c>
      <c r="F5455" s="14" t="s">
        <v>343</v>
      </c>
      <c r="G5455" s="14" t="s">
        <v>343</v>
      </c>
      <c r="H5455" s="14" t="s">
        <v>343</v>
      </c>
      <c r="I5455" s="14">
        <v>97</v>
      </c>
      <c r="J5455" s="14">
        <v>109</v>
      </c>
      <c r="K5455" s="14">
        <v>111</v>
      </c>
      <c r="L5455" s="14">
        <v>115</v>
      </c>
      <c r="M5455" s="14">
        <v>114</v>
      </c>
      <c r="N5455" s="14">
        <v>114</v>
      </c>
      <c r="O5455" s="14">
        <v>105</v>
      </c>
      <c r="P5455" s="14">
        <v>118</v>
      </c>
      <c r="Q5455" s="14">
        <v>125</v>
      </c>
      <c r="R5455" s="14">
        <v>126</v>
      </c>
      <c r="S5455" s="14">
        <v>126</v>
      </c>
      <c r="T5455" s="14">
        <v>125</v>
      </c>
      <c r="U5455" s="14">
        <v>124</v>
      </c>
      <c r="V5455" s="14">
        <v>127</v>
      </c>
      <c r="W5455" s="14">
        <v>127</v>
      </c>
      <c r="X5455" s="14">
        <v>110</v>
      </c>
    </row>
    <row r="5456" spans="1:24" hidden="1" x14ac:dyDescent="0.3">
      <c r="A5456" s="14" t="s">
        <v>535</v>
      </c>
      <c r="B5456" s="14" t="s">
        <v>325</v>
      </c>
      <c r="C5456" s="14" t="s">
        <v>345</v>
      </c>
      <c r="D5456" s="14" t="s">
        <v>346</v>
      </c>
      <c r="E5456" s="14" t="s">
        <v>342</v>
      </c>
      <c r="F5456" s="14" t="s">
        <v>343</v>
      </c>
      <c r="G5456" s="14" t="s">
        <v>343</v>
      </c>
      <c r="H5456" s="14" t="s">
        <v>343</v>
      </c>
      <c r="U5456" s="14">
        <v>0.72</v>
      </c>
      <c r="V5456" s="14">
        <v>0.76</v>
      </c>
      <c r="W5456" s="14">
        <v>0.74</v>
      </c>
      <c r="X5456" s="14">
        <v>0.75</v>
      </c>
    </row>
    <row r="5457" spans="1:24" hidden="1" x14ac:dyDescent="0.3">
      <c r="A5457" s="14" t="s">
        <v>535</v>
      </c>
      <c r="B5457" s="14" t="s">
        <v>325</v>
      </c>
      <c r="C5457" s="14" t="s">
        <v>345</v>
      </c>
      <c r="D5457" s="14" t="s">
        <v>346</v>
      </c>
      <c r="E5457" s="14" t="s">
        <v>344</v>
      </c>
      <c r="F5457" s="14" t="s">
        <v>343</v>
      </c>
      <c r="G5457" s="14" t="s">
        <v>343</v>
      </c>
      <c r="H5457" s="14" t="s">
        <v>343</v>
      </c>
      <c r="U5457" s="14">
        <v>29</v>
      </c>
      <c r="V5457" s="14">
        <v>18</v>
      </c>
      <c r="W5457" s="14">
        <v>23</v>
      </c>
      <c r="X5457" s="14">
        <v>27</v>
      </c>
    </row>
    <row r="5458" spans="1:24" hidden="1" x14ac:dyDescent="0.3">
      <c r="A5458" s="14" t="s">
        <v>535</v>
      </c>
      <c r="B5458" s="14" t="s">
        <v>325</v>
      </c>
      <c r="C5458" s="14" t="s">
        <v>347</v>
      </c>
      <c r="D5458" s="14" t="s">
        <v>348</v>
      </c>
      <c r="E5458" s="14" t="s">
        <v>342</v>
      </c>
      <c r="F5458" s="14" t="s">
        <v>343</v>
      </c>
      <c r="G5458" s="14" t="s">
        <v>343</v>
      </c>
      <c r="H5458" s="14" t="s">
        <v>343</v>
      </c>
      <c r="U5458" s="14">
        <v>0.92</v>
      </c>
      <c r="V5458" s="14">
        <v>0.92</v>
      </c>
      <c r="W5458" s="14">
        <v>0.92</v>
      </c>
      <c r="X5458" s="14">
        <v>0.91</v>
      </c>
    </row>
    <row r="5459" spans="1:24" hidden="1" x14ac:dyDescent="0.3">
      <c r="A5459" s="14" t="s">
        <v>535</v>
      </c>
      <c r="B5459" s="14" t="s">
        <v>325</v>
      </c>
      <c r="C5459" s="14" t="s">
        <v>347</v>
      </c>
      <c r="D5459" s="14" t="s">
        <v>348</v>
      </c>
      <c r="E5459" s="14" t="s">
        <v>344</v>
      </c>
      <c r="F5459" s="14" t="s">
        <v>343</v>
      </c>
      <c r="G5459" s="14" t="s">
        <v>343</v>
      </c>
      <c r="H5459" s="14" t="s">
        <v>343</v>
      </c>
      <c r="U5459" s="14">
        <v>27</v>
      </c>
      <c r="V5459" s="14">
        <v>27</v>
      </c>
      <c r="W5459" s="14">
        <v>29</v>
      </c>
      <c r="X5459" s="14">
        <v>13</v>
      </c>
    </row>
    <row r="5460" spans="1:24" hidden="1" x14ac:dyDescent="0.3">
      <c r="A5460" s="14" t="s">
        <v>535</v>
      </c>
      <c r="B5460" s="14" t="s">
        <v>325</v>
      </c>
      <c r="C5460" s="14" t="s">
        <v>349</v>
      </c>
      <c r="D5460" s="14" t="s">
        <v>350</v>
      </c>
      <c r="E5460" s="14" t="s">
        <v>342</v>
      </c>
      <c r="F5460" s="14" t="s">
        <v>343</v>
      </c>
      <c r="G5460" s="14" t="s">
        <v>343</v>
      </c>
      <c r="H5460" s="14" t="s">
        <v>343</v>
      </c>
      <c r="U5460" s="14">
        <v>0.3</v>
      </c>
      <c r="V5460" s="14">
        <v>0.3</v>
      </c>
      <c r="W5460" s="14">
        <v>0.3</v>
      </c>
      <c r="X5460" s="14">
        <v>0.3</v>
      </c>
    </row>
    <row r="5461" spans="1:24" hidden="1" x14ac:dyDescent="0.3">
      <c r="A5461" s="14" t="s">
        <v>535</v>
      </c>
      <c r="B5461" s="14" t="s">
        <v>325</v>
      </c>
      <c r="C5461" s="14" t="s">
        <v>349</v>
      </c>
      <c r="D5461" s="14" t="s">
        <v>350</v>
      </c>
      <c r="E5461" s="14" t="s">
        <v>344</v>
      </c>
      <c r="F5461" s="14" t="s">
        <v>343</v>
      </c>
      <c r="G5461" s="14" t="s">
        <v>343</v>
      </c>
      <c r="H5461" s="14" t="s">
        <v>343</v>
      </c>
      <c r="U5461" s="14">
        <v>103</v>
      </c>
      <c r="V5461" s="14">
        <v>111</v>
      </c>
      <c r="W5461" s="14">
        <v>115</v>
      </c>
      <c r="X5461" s="14">
        <v>111</v>
      </c>
    </row>
    <row r="5462" spans="1:24" hidden="1" x14ac:dyDescent="0.3">
      <c r="A5462" s="14" t="s">
        <v>535</v>
      </c>
      <c r="B5462" s="14" t="s">
        <v>325</v>
      </c>
      <c r="C5462" s="14" t="s">
        <v>351</v>
      </c>
      <c r="D5462" s="14" t="s">
        <v>352</v>
      </c>
      <c r="E5462" s="14" t="s">
        <v>342</v>
      </c>
      <c r="F5462" s="14" t="s">
        <v>343</v>
      </c>
      <c r="G5462" s="14" t="s">
        <v>343</v>
      </c>
      <c r="H5462" s="14" t="s">
        <v>343</v>
      </c>
      <c r="U5462" s="14">
        <v>0.76</v>
      </c>
      <c r="V5462" s="14">
        <v>0.76</v>
      </c>
      <c r="W5462" s="14">
        <v>0.76</v>
      </c>
      <c r="X5462" s="14">
        <v>0.76</v>
      </c>
    </row>
    <row r="5463" spans="1:24" hidden="1" x14ac:dyDescent="0.3">
      <c r="A5463" s="14" t="s">
        <v>535</v>
      </c>
      <c r="B5463" s="14" t="s">
        <v>325</v>
      </c>
      <c r="C5463" s="14" t="s">
        <v>351</v>
      </c>
      <c r="D5463" s="14" t="s">
        <v>352</v>
      </c>
      <c r="E5463" s="14" t="s">
        <v>344</v>
      </c>
      <c r="F5463" s="14" t="s">
        <v>343</v>
      </c>
      <c r="G5463" s="14" t="s">
        <v>343</v>
      </c>
      <c r="H5463" s="14" t="s">
        <v>343</v>
      </c>
      <c r="U5463" s="14">
        <v>101</v>
      </c>
      <c r="V5463" s="14">
        <v>105</v>
      </c>
      <c r="W5463" s="14">
        <v>102</v>
      </c>
      <c r="X5463" s="14">
        <v>96</v>
      </c>
    </row>
    <row r="5464" spans="1:24" hidden="1" x14ac:dyDescent="0.3">
      <c r="A5464" s="14" t="s">
        <v>535</v>
      </c>
      <c r="B5464" s="14" t="s">
        <v>325</v>
      </c>
      <c r="C5464" s="14" t="s">
        <v>378</v>
      </c>
      <c r="D5464" s="14" t="s">
        <v>379</v>
      </c>
      <c r="E5464" s="14" t="s">
        <v>342</v>
      </c>
      <c r="F5464" s="14" t="s">
        <v>343</v>
      </c>
      <c r="G5464" s="14" t="s">
        <v>343</v>
      </c>
      <c r="H5464" s="14" t="s">
        <v>343</v>
      </c>
      <c r="S5464" s="14">
        <v>0.66</v>
      </c>
      <c r="U5464" s="14">
        <v>0.64</v>
      </c>
      <c r="V5464" s="14">
        <v>0.68</v>
      </c>
      <c r="W5464" s="14">
        <v>0.7</v>
      </c>
      <c r="X5464" s="14">
        <v>0.72</v>
      </c>
    </row>
    <row r="5465" spans="1:24" hidden="1" x14ac:dyDescent="0.3">
      <c r="A5465" s="14" t="s">
        <v>535</v>
      </c>
      <c r="B5465" s="14" t="s">
        <v>325</v>
      </c>
      <c r="C5465" s="14" t="s">
        <v>378</v>
      </c>
      <c r="D5465" s="14" t="s">
        <v>379</v>
      </c>
      <c r="E5465" s="14" t="s">
        <v>344</v>
      </c>
      <c r="F5465" s="14" t="s">
        <v>343</v>
      </c>
      <c r="G5465" s="14" t="s">
        <v>343</v>
      </c>
      <c r="H5465" s="14" t="s">
        <v>343</v>
      </c>
      <c r="S5465" s="14">
        <v>62</v>
      </c>
      <c r="U5465" s="14">
        <v>75</v>
      </c>
      <c r="V5465" s="14">
        <v>65</v>
      </c>
      <c r="W5465" s="14">
        <v>50</v>
      </c>
      <c r="X5465" s="14">
        <v>39</v>
      </c>
    </row>
    <row r="5466" spans="1:24" hidden="1" x14ac:dyDescent="0.3">
      <c r="A5466" s="14" t="s">
        <v>535</v>
      </c>
      <c r="B5466" s="14" t="s">
        <v>325</v>
      </c>
      <c r="C5466" s="14" t="s">
        <v>353</v>
      </c>
      <c r="D5466" s="14" t="s">
        <v>354</v>
      </c>
      <c r="E5466" s="14" t="s">
        <v>342</v>
      </c>
      <c r="F5466" s="14" t="s">
        <v>343</v>
      </c>
      <c r="G5466" s="14" t="s">
        <v>343</v>
      </c>
      <c r="H5466" s="14" t="s">
        <v>343</v>
      </c>
      <c r="U5466" s="14">
        <v>0.88</v>
      </c>
      <c r="V5466" s="14">
        <v>0.88</v>
      </c>
      <c r="W5466" s="14">
        <v>0.88</v>
      </c>
      <c r="X5466" s="14">
        <v>0.88</v>
      </c>
    </row>
    <row r="5467" spans="1:24" hidden="1" x14ac:dyDescent="0.3">
      <c r="A5467" s="14" t="s">
        <v>535</v>
      </c>
      <c r="B5467" s="14" t="s">
        <v>325</v>
      </c>
      <c r="C5467" s="14" t="s">
        <v>353</v>
      </c>
      <c r="D5467" s="14" t="s">
        <v>354</v>
      </c>
      <c r="E5467" s="14" t="s">
        <v>344</v>
      </c>
      <c r="F5467" s="14" t="s">
        <v>343</v>
      </c>
      <c r="G5467" s="14" t="s">
        <v>343</v>
      </c>
      <c r="H5467" s="14" t="s">
        <v>343</v>
      </c>
      <c r="U5467" s="14">
        <v>108</v>
      </c>
      <c r="V5467" s="14">
        <v>118</v>
      </c>
      <c r="W5467" s="14">
        <v>119</v>
      </c>
      <c r="X5467" s="14">
        <v>112</v>
      </c>
    </row>
    <row r="5468" spans="1:24" hidden="1" x14ac:dyDescent="0.3">
      <c r="A5468" s="14" t="s">
        <v>535</v>
      </c>
      <c r="B5468" s="14" t="s">
        <v>325</v>
      </c>
      <c r="C5468" s="14" t="s">
        <v>380</v>
      </c>
      <c r="D5468" s="14" t="s">
        <v>381</v>
      </c>
      <c r="E5468" s="14" t="s">
        <v>342</v>
      </c>
      <c r="F5468" s="14" t="s">
        <v>343</v>
      </c>
      <c r="G5468" s="14" t="s">
        <v>343</v>
      </c>
      <c r="H5468" s="14" t="s">
        <v>343</v>
      </c>
      <c r="U5468" s="14">
        <v>1</v>
      </c>
      <c r="V5468" s="14">
        <v>1</v>
      </c>
      <c r="W5468" s="14">
        <v>1</v>
      </c>
      <c r="X5468" s="14">
        <v>1</v>
      </c>
    </row>
    <row r="5469" spans="1:24" hidden="1" x14ac:dyDescent="0.3">
      <c r="A5469" s="14" t="s">
        <v>535</v>
      </c>
      <c r="B5469" s="14" t="s">
        <v>325</v>
      </c>
      <c r="C5469" s="14" t="s">
        <v>380</v>
      </c>
      <c r="D5469" s="14" t="s">
        <v>381</v>
      </c>
      <c r="E5469" s="14" t="s">
        <v>344</v>
      </c>
      <c r="F5469" s="14" t="s">
        <v>343</v>
      </c>
      <c r="G5469" s="14" t="s">
        <v>343</v>
      </c>
      <c r="H5469" s="14" t="s">
        <v>343</v>
      </c>
      <c r="U5469" s="14">
        <v>1</v>
      </c>
      <c r="V5469" s="14">
        <v>1</v>
      </c>
      <c r="W5469" s="14">
        <v>1</v>
      </c>
      <c r="X5469" s="14">
        <v>1</v>
      </c>
    </row>
    <row r="5470" spans="1:24" hidden="1" x14ac:dyDescent="0.3">
      <c r="A5470" s="14" t="s">
        <v>535</v>
      </c>
      <c r="B5470" s="14" t="s">
        <v>325</v>
      </c>
      <c r="C5470" s="14" t="s">
        <v>355</v>
      </c>
      <c r="D5470" s="14" t="s">
        <v>356</v>
      </c>
      <c r="E5470" s="14" t="s">
        <v>342</v>
      </c>
      <c r="F5470" s="14" t="s">
        <v>343</v>
      </c>
      <c r="G5470" s="14" t="s">
        <v>343</v>
      </c>
      <c r="H5470" s="14" t="s">
        <v>343</v>
      </c>
      <c r="U5470" s="14">
        <v>1</v>
      </c>
      <c r="V5470" s="14">
        <v>1</v>
      </c>
      <c r="W5470" s="14">
        <v>1</v>
      </c>
      <c r="X5470" s="14">
        <v>1</v>
      </c>
    </row>
    <row r="5471" spans="1:24" hidden="1" x14ac:dyDescent="0.3">
      <c r="A5471" s="14" t="s">
        <v>535</v>
      </c>
      <c r="B5471" s="14" t="s">
        <v>325</v>
      </c>
      <c r="C5471" s="14" t="s">
        <v>355</v>
      </c>
      <c r="D5471" s="14" t="s">
        <v>356</v>
      </c>
      <c r="E5471" s="14" t="s">
        <v>344</v>
      </c>
      <c r="F5471" s="14" t="s">
        <v>343</v>
      </c>
      <c r="G5471" s="14" t="s">
        <v>343</v>
      </c>
      <c r="H5471" s="14" t="s">
        <v>343</v>
      </c>
      <c r="U5471" s="14">
        <v>1</v>
      </c>
      <c r="V5471" s="14">
        <v>1</v>
      </c>
      <c r="W5471" s="14">
        <v>1</v>
      </c>
      <c r="X5471" s="14">
        <v>1</v>
      </c>
    </row>
    <row r="5472" spans="1:24" hidden="1" x14ac:dyDescent="0.3">
      <c r="A5472" s="14" t="s">
        <v>535</v>
      </c>
      <c r="B5472" s="14" t="s">
        <v>325</v>
      </c>
      <c r="C5472" s="14" t="s">
        <v>357</v>
      </c>
      <c r="D5472" s="14" t="s">
        <v>358</v>
      </c>
      <c r="E5472" s="14" t="s">
        <v>342</v>
      </c>
      <c r="F5472" s="14" t="s">
        <v>343</v>
      </c>
      <c r="G5472" s="14" t="s">
        <v>343</v>
      </c>
      <c r="H5472" s="14" t="s">
        <v>343</v>
      </c>
      <c r="U5472" s="14">
        <v>0.51</v>
      </c>
      <c r="V5472" s="14">
        <v>0.54</v>
      </c>
      <c r="W5472" s="14">
        <v>0.54</v>
      </c>
      <c r="X5472" s="14">
        <v>0.84</v>
      </c>
    </row>
    <row r="5473" spans="1:24" hidden="1" x14ac:dyDescent="0.3">
      <c r="A5473" s="14" t="s">
        <v>535</v>
      </c>
      <c r="B5473" s="14" t="s">
        <v>325</v>
      </c>
      <c r="C5473" s="14" t="s">
        <v>357</v>
      </c>
      <c r="D5473" s="14" t="s">
        <v>358</v>
      </c>
      <c r="E5473" s="14" t="s">
        <v>344</v>
      </c>
      <c r="F5473" s="14" t="s">
        <v>343</v>
      </c>
      <c r="G5473" s="14" t="s">
        <v>343</v>
      </c>
      <c r="H5473" s="14" t="s">
        <v>343</v>
      </c>
      <c r="U5473" s="14">
        <v>130</v>
      </c>
      <c r="V5473" s="14">
        <v>138</v>
      </c>
      <c r="W5473" s="14">
        <v>139</v>
      </c>
      <c r="X5473" s="14">
        <v>110</v>
      </c>
    </row>
    <row r="5474" spans="1:24" hidden="1" x14ac:dyDescent="0.3">
      <c r="A5474" s="14" t="s">
        <v>535</v>
      </c>
      <c r="B5474" s="14" t="s">
        <v>325</v>
      </c>
      <c r="C5474" s="14" t="s">
        <v>359</v>
      </c>
      <c r="D5474" s="14" t="s">
        <v>360</v>
      </c>
      <c r="E5474" s="14" t="s">
        <v>342</v>
      </c>
      <c r="F5474" s="14" t="s">
        <v>343</v>
      </c>
      <c r="G5474" s="14" t="s">
        <v>343</v>
      </c>
      <c r="H5474" s="14" t="s">
        <v>343</v>
      </c>
      <c r="I5474" s="14">
        <v>0.81</v>
      </c>
      <c r="J5474" s="14">
        <v>0.78</v>
      </c>
      <c r="K5474" s="14">
        <v>0.79</v>
      </c>
      <c r="L5474" s="14">
        <v>0.68</v>
      </c>
      <c r="M5474" s="14">
        <v>0.67</v>
      </c>
      <c r="N5474" s="14">
        <v>0.66</v>
      </c>
      <c r="O5474" s="14">
        <v>0.67</v>
      </c>
      <c r="P5474" s="14">
        <v>0.66</v>
      </c>
      <c r="Q5474" s="14">
        <v>0.71</v>
      </c>
      <c r="R5474" s="14">
        <v>0.71</v>
      </c>
      <c r="S5474" s="14">
        <v>0.67</v>
      </c>
      <c r="T5474" s="14">
        <v>0.67</v>
      </c>
      <c r="U5474" s="14">
        <v>0.68</v>
      </c>
      <c r="V5474" s="14">
        <v>0.7</v>
      </c>
      <c r="W5474" s="14">
        <v>0.7</v>
      </c>
      <c r="X5474" s="14">
        <v>0.7</v>
      </c>
    </row>
    <row r="5475" spans="1:24" hidden="1" x14ac:dyDescent="0.3">
      <c r="A5475" s="14" t="s">
        <v>535</v>
      </c>
      <c r="B5475" s="14" t="s">
        <v>325</v>
      </c>
      <c r="C5475" s="14" t="s">
        <v>359</v>
      </c>
      <c r="D5475" s="14" t="s">
        <v>360</v>
      </c>
      <c r="E5475" s="14" t="s">
        <v>344</v>
      </c>
      <c r="F5475" s="14" t="s">
        <v>343</v>
      </c>
      <c r="G5475" s="14" t="s">
        <v>343</v>
      </c>
      <c r="H5475" s="14" t="s">
        <v>343</v>
      </c>
      <c r="I5475" s="14">
        <v>1</v>
      </c>
      <c r="J5475" s="14">
        <v>4</v>
      </c>
      <c r="K5475" s="14">
        <v>3</v>
      </c>
      <c r="L5475" s="14">
        <v>52</v>
      </c>
      <c r="M5475" s="14">
        <v>57</v>
      </c>
      <c r="N5475" s="14">
        <v>63</v>
      </c>
      <c r="O5475" s="14">
        <v>60</v>
      </c>
      <c r="P5475" s="14">
        <v>70</v>
      </c>
      <c r="Q5475" s="14">
        <v>53</v>
      </c>
      <c r="R5475" s="14">
        <v>49</v>
      </c>
      <c r="S5475" s="14">
        <v>65</v>
      </c>
      <c r="T5475" s="14">
        <v>69</v>
      </c>
      <c r="U5475" s="14">
        <v>72</v>
      </c>
      <c r="V5475" s="14">
        <v>63</v>
      </c>
      <c r="W5475" s="14">
        <v>66</v>
      </c>
      <c r="X5475" s="14">
        <v>65</v>
      </c>
    </row>
    <row r="5476" spans="1:24" x14ac:dyDescent="0.3">
      <c r="A5476" s="14" t="s">
        <v>535</v>
      </c>
      <c r="B5476" s="14" t="s">
        <v>325</v>
      </c>
      <c r="C5476" s="14" t="s">
        <v>361</v>
      </c>
      <c r="D5476" s="14" t="s">
        <v>362</v>
      </c>
      <c r="E5476" s="14" t="s">
        <v>342</v>
      </c>
      <c r="F5476" s="14" t="s">
        <v>343</v>
      </c>
      <c r="G5476" s="14" t="s">
        <v>343</v>
      </c>
      <c r="H5476" s="14" t="s">
        <v>343</v>
      </c>
      <c r="I5476" s="14">
        <v>0.97</v>
      </c>
      <c r="J5476" s="14">
        <v>0.97</v>
      </c>
      <c r="K5476" s="14">
        <v>0.97</v>
      </c>
      <c r="L5476" s="14">
        <v>0.97</v>
      </c>
      <c r="M5476" s="14">
        <v>0.96</v>
      </c>
      <c r="N5476" s="14">
        <v>0.96</v>
      </c>
      <c r="O5476" s="14">
        <v>0.96</v>
      </c>
      <c r="P5476" s="14">
        <v>0.96</v>
      </c>
      <c r="Q5476" s="14">
        <v>0.97</v>
      </c>
      <c r="R5476" s="14">
        <v>0.98</v>
      </c>
      <c r="S5476" s="14">
        <v>0.98</v>
      </c>
      <c r="T5476" s="14">
        <v>0.98</v>
      </c>
      <c r="U5476" s="14">
        <v>0.98</v>
      </c>
      <c r="V5476" s="14">
        <v>0.98</v>
      </c>
      <c r="W5476" s="14">
        <v>0.97</v>
      </c>
      <c r="X5476" s="14">
        <v>0.97</v>
      </c>
    </row>
    <row r="5477" spans="1:24" hidden="1" x14ac:dyDescent="0.3">
      <c r="A5477" s="14" t="s">
        <v>535</v>
      </c>
      <c r="B5477" s="14" t="s">
        <v>325</v>
      </c>
      <c r="C5477" s="14" t="s">
        <v>361</v>
      </c>
      <c r="D5477" s="14" t="s">
        <v>362</v>
      </c>
      <c r="E5477" s="14" t="s">
        <v>344</v>
      </c>
      <c r="F5477" s="14" t="s">
        <v>343</v>
      </c>
      <c r="G5477" s="14" t="s">
        <v>343</v>
      </c>
      <c r="H5477" s="14" t="s">
        <v>343</v>
      </c>
      <c r="I5477" s="14">
        <v>95</v>
      </c>
      <c r="J5477" s="14">
        <v>99</v>
      </c>
      <c r="K5477" s="14">
        <v>100</v>
      </c>
      <c r="L5477" s="14">
        <v>105</v>
      </c>
      <c r="M5477" s="14">
        <v>110</v>
      </c>
      <c r="N5477" s="14">
        <v>111</v>
      </c>
      <c r="O5477" s="14">
        <v>111</v>
      </c>
      <c r="P5477" s="14">
        <v>112</v>
      </c>
      <c r="Q5477" s="14">
        <v>73</v>
      </c>
      <c r="R5477" s="14">
        <v>55</v>
      </c>
      <c r="S5477" s="14">
        <v>53</v>
      </c>
      <c r="T5477" s="14">
        <v>62</v>
      </c>
      <c r="U5477" s="14">
        <v>53</v>
      </c>
      <c r="V5477" s="14">
        <v>49</v>
      </c>
      <c r="W5477" s="14">
        <v>80</v>
      </c>
      <c r="X5477" s="14">
        <v>80</v>
      </c>
    </row>
    <row r="5478" spans="1:24" hidden="1" x14ac:dyDescent="0.3">
      <c r="A5478" s="14" t="s">
        <v>535</v>
      </c>
      <c r="B5478" s="14" t="s">
        <v>325</v>
      </c>
      <c r="C5478" s="14" t="s">
        <v>363</v>
      </c>
      <c r="D5478" s="14" t="s">
        <v>364</v>
      </c>
      <c r="E5478" s="14" t="s">
        <v>342</v>
      </c>
      <c r="F5478" s="14" t="s">
        <v>343</v>
      </c>
      <c r="G5478" s="14" t="s">
        <v>343</v>
      </c>
      <c r="H5478" s="14" t="s">
        <v>343</v>
      </c>
      <c r="U5478" s="14">
        <v>1.06</v>
      </c>
      <c r="V5478" s="14">
        <v>1.06</v>
      </c>
      <c r="W5478" s="14">
        <v>1.03</v>
      </c>
      <c r="X5478" s="14">
        <v>1.03</v>
      </c>
    </row>
    <row r="5479" spans="1:24" hidden="1" x14ac:dyDescent="0.3">
      <c r="A5479" s="14" t="s">
        <v>535</v>
      </c>
      <c r="B5479" s="14" t="s">
        <v>325</v>
      </c>
      <c r="C5479" s="14" t="s">
        <v>363</v>
      </c>
      <c r="D5479" s="14" t="s">
        <v>364</v>
      </c>
      <c r="E5479" s="14" t="s">
        <v>344</v>
      </c>
      <c r="F5479" s="14" t="s">
        <v>343</v>
      </c>
      <c r="G5479" s="14" t="s">
        <v>343</v>
      </c>
      <c r="H5479" s="14" t="s">
        <v>343</v>
      </c>
      <c r="U5479" s="14">
        <v>63</v>
      </c>
      <c r="V5479" s="14">
        <v>65</v>
      </c>
      <c r="W5479" s="14">
        <v>93</v>
      </c>
      <c r="X5479" s="14">
        <v>88</v>
      </c>
    </row>
    <row r="5480" spans="1:24" hidden="1" x14ac:dyDescent="0.3">
      <c r="A5480" s="14" t="s">
        <v>535</v>
      </c>
      <c r="B5480" s="14" t="s">
        <v>325</v>
      </c>
      <c r="C5480" s="14" t="s">
        <v>365</v>
      </c>
      <c r="D5480" s="14" t="s">
        <v>366</v>
      </c>
      <c r="E5480" s="14" t="s">
        <v>342</v>
      </c>
      <c r="F5480" s="14" t="s">
        <v>343</v>
      </c>
      <c r="G5480" s="14" t="s">
        <v>343</v>
      </c>
      <c r="H5480" s="14" t="s">
        <v>343</v>
      </c>
      <c r="U5480" s="14">
        <v>0.94</v>
      </c>
      <c r="V5480" s="14">
        <v>0.94</v>
      </c>
      <c r="W5480" s="14">
        <v>0.94</v>
      </c>
      <c r="X5480" s="14">
        <v>0.94</v>
      </c>
    </row>
    <row r="5481" spans="1:24" hidden="1" x14ac:dyDescent="0.3">
      <c r="A5481" s="14" t="s">
        <v>535</v>
      </c>
      <c r="B5481" s="14" t="s">
        <v>325</v>
      </c>
      <c r="C5481" s="14" t="s">
        <v>365</v>
      </c>
      <c r="D5481" s="14" t="s">
        <v>366</v>
      </c>
      <c r="E5481" s="14" t="s">
        <v>344</v>
      </c>
      <c r="F5481" s="14" t="s">
        <v>343</v>
      </c>
      <c r="G5481" s="14" t="s">
        <v>343</v>
      </c>
      <c r="H5481" s="14" t="s">
        <v>343</v>
      </c>
      <c r="U5481" s="14">
        <v>1</v>
      </c>
      <c r="V5481" s="14">
        <v>1</v>
      </c>
      <c r="W5481" s="14">
        <v>1</v>
      </c>
      <c r="X5481" s="14">
        <v>1</v>
      </c>
    </row>
    <row r="5482" spans="1:24" hidden="1" x14ac:dyDescent="0.3">
      <c r="A5482" s="14" t="s">
        <v>535</v>
      </c>
      <c r="B5482" s="14" t="s">
        <v>325</v>
      </c>
      <c r="C5482" s="14" t="s">
        <v>367</v>
      </c>
      <c r="D5482" s="14" t="s">
        <v>368</v>
      </c>
      <c r="E5482" s="14" t="s">
        <v>342</v>
      </c>
      <c r="F5482" s="14" t="s">
        <v>343</v>
      </c>
      <c r="G5482" s="14" t="s">
        <v>343</v>
      </c>
      <c r="H5482" s="14" t="s">
        <v>343</v>
      </c>
      <c r="I5482" s="14">
        <v>0.7</v>
      </c>
      <c r="J5482" s="14">
        <v>0.7</v>
      </c>
      <c r="K5482" s="14">
        <v>0.71</v>
      </c>
      <c r="L5482" s="14">
        <v>0.68</v>
      </c>
      <c r="M5482" s="14">
        <v>0.68</v>
      </c>
      <c r="N5482" s="14">
        <v>0.69</v>
      </c>
      <c r="O5482" s="14">
        <v>0.71</v>
      </c>
      <c r="P5482" s="14">
        <v>0.69</v>
      </c>
      <c r="Q5482" s="14">
        <v>0.72</v>
      </c>
      <c r="R5482" s="14">
        <v>0.72</v>
      </c>
      <c r="S5482" s="14">
        <v>0.72</v>
      </c>
      <c r="T5482" s="14">
        <v>0.7</v>
      </c>
      <c r="U5482" s="14">
        <v>0.7</v>
      </c>
      <c r="V5482" s="14">
        <v>0.71</v>
      </c>
      <c r="W5482" s="14">
        <v>0.71</v>
      </c>
      <c r="X5482" s="14">
        <v>0.72</v>
      </c>
    </row>
    <row r="5483" spans="1:24" hidden="1" x14ac:dyDescent="0.3">
      <c r="A5483" s="14" t="s">
        <v>535</v>
      </c>
      <c r="B5483" s="14" t="s">
        <v>325</v>
      </c>
      <c r="C5483" s="14" t="s">
        <v>367</v>
      </c>
      <c r="D5483" s="14" t="s">
        <v>368</v>
      </c>
      <c r="E5483" s="14" t="s">
        <v>344</v>
      </c>
      <c r="F5483" s="14" t="s">
        <v>343</v>
      </c>
      <c r="G5483" s="14" t="s">
        <v>343</v>
      </c>
      <c r="H5483" s="14" t="s">
        <v>343</v>
      </c>
      <c r="I5483" s="14">
        <v>24</v>
      </c>
      <c r="J5483" s="14">
        <v>34</v>
      </c>
      <c r="K5483" s="14">
        <v>38</v>
      </c>
      <c r="L5483" s="14">
        <v>73</v>
      </c>
      <c r="M5483" s="14">
        <v>66</v>
      </c>
      <c r="N5483" s="14">
        <v>59</v>
      </c>
      <c r="O5483" s="14">
        <v>46</v>
      </c>
      <c r="P5483" s="14">
        <v>66</v>
      </c>
      <c r="Q5483" s="14">
        <v>47</v>
      </c>
      <c r="R5483" s="14">
        <v>49</v>
      </c>
      <c r="S5483" s="14">
        <v>53</v>
      </c>
      <c r="T5483" s="14">
        <v>68</v>
      </c>
      <c r="U5483" s="14">
        <v>71</v>
      </c>
      <c r="V5483" s="14">
        <v>68</v>
      </c>
      <c r="W5483" s="14">
        <v>82</v>
      </c>
      <c r="X5483" s="14">
        <v>64</v>
      </c>
    </row>
    <row r="5484" spans="1:24" hidden="1" x14ac:dyDescent="0.3">
      <c r="A5484" s="14" t="s">
        <v>535</v>
      </c>
      <c r="B5484" s="14" t="s">
        <v>325</v>
      </c>
      <c r="C5484" s="14" t="s">
        <v>369</v>
      </c>
      <c r="D5484" s="14" t="s">
        <v>370</v>
      </c>
      <c r="E5484" s="14" t="s">
        <v>342</v>
      </c>
      <c r="F5484" s="14" t="s">
        <v>343</v>
      </c>
      <c r="G5484" s="14" t="s">
        <v>343</v>
      </c>
      <c r="H5484" s="14" t="s">
        <v>343</v>
      </c>
      <c r="I5484" s="14">
        <v>0.18</v>
      </c>
      <c r="J5484" s="14">
        <v>0.18</v>
      </c>
      <c r="K5484" s="14">
        <v>0.2</v>
      </c>
      <c r="L5484" s="14">
        <v>0.2</v>
      </c>
      <c r="M5484" s="14">
        <v>0.23</v>
      </c>
      <c r="N5484" s="14">
        <v>0.27</v>
      </c>
      <c r="O5484" s="14">
        <v>0.27</v>
      </c>
      <c r="P5484" s="14">
        <v>0.27</v>
      </c>
      <c r="Q5484" s="14">
        <v>0.32</v>
      </c>
      <c r="R5484" s="14">
        <v>0.28999999999999998</v>
      </c>
      <c r="S5484" s="14">
        <v>0.3</v>
      </c>
      <c r="T5484" s="14">
        <v>0.24</v>
      </c>
      <c r="U5484" s="14">
        <v>0.24</v>
      </c>
      <c r="V5484" s="14">
        <v>0.25</v>
      </c>
      <c r="W5484" s="14">
        <v>0.24</v>
      </c>
      <c r="X5484" s="14">
        <v>0.24</v>
      </c>
    </row>
    <row r="5485" spans="1:24" hidden="1" x14ac:dyDescent="0.3">
      <c r="A5485" s="14" t="s">
        <v>535</v>
      </c>
      <c r="B5485" s="14" t="s">
        <v>325</v>
      </c>
      <c r="C5485" s="14" t="s">
        <v>369</v>
      </c>
      <c r="D5485" s="14" t="s">
        <v>370</v>
      </c>
      <c r="E5485" s="14" t="s">
        <v>344</v>
      </c>
      <c r="F5485" s="14" t="s">
        <v>343</v>
      </c>
      <c r="G5485" s="14" t="s">
        <v>343</v>
      </c>
      <c r="H5485" s="14" t="s">
        <v>343</v>
      </c>
      <c r="I5485" s="14">
        <v>26</v>
      </c>
      <c r="J5485" s="14">
        <v>29</v>
      </c>
      <c r="K5485" s="14">
        <v>35</v>
      </c>
      <c r="L5485" s="14">
        <v>37</v>
      </c>
      <c r="M5485" s="14">
        <v>33</v>
      </c>
      <c r="N5485" s="14">
        <v>30</v>
      </c>
      <c r="O5485" s="14">
        <v>31</v>
      </c>
      <c r="P5485" s="14">
        <v>32</v>
      </c>
      <c r="Q5485" s="14">
        <v>22</v>
      </c>
      <c r="R5485" s="14">
        <v>32</v>
      </c>
      <c r="S5485" s="14">
        <v>33</v>
      </c>
      <c r="T5485" s="14">
        <v>44</v>
      </c>
      <c r="U5485" s="14">
        <v>43</v>
      </c>
      <c r="V5485" s="14">
        <v>50</v>
      </c>
      <c r="W5485" s="14">
        <v>63</v>
      </c>
      <c r="X5485" s="14">
        <v>60</v>
      </c>
    </row>
    <row r="5486" spans="1:24" hidden="1" x14ac:dyDescent="0.3">
      <c r="A5486" s="14" t="s">
        <v>535</v>
      </c>
      <c r="B5486" s="14" t="s">
        <v>325</v>
      </c>
      <c r="C5486" s="14" t="s">
        <v>371</v>
      </c>
      <c r="D5486" s="14" t="s">
        <v>372</v>
      </c>
      <c r="E5486" s="14" t="s">
        <v>342</v>
      </c>
      <c r="F5486" s="14" t="s">
        <v>343</v>
      </c>
      <c r="G5486" s="14" t="s">
        <v>343</v>
      </c>
      <c r="H5486" s="14" t="s">
        <v>343</v>
      </c>
      <c r="U5486" s="14">
        <v>0</v>
      </c>
      <c r="V5486" s="14">
        <v>0</v>
      </c>
      <c r="W5486" s="14">
        <v>0</v>
      </c>
      <c r="X5486" s="14">
        <v>0.02</v>
      </c>
    </row>
    <row r="5487" spans="1:24" hidden="1" x14ac:dyDescent="0.3">
      <c r="A5487" s="14" t="s">
        <v>535</v>
      </c>
      <c r="B5487" s="14" t="s">
        <v>325</v>
      </c>
      <c r="C5487" s="14" t="s">
        <v>371</v>
      </c>
      <c r="D5487" s="14" t="s">
        <v>372</v>
      </c>
      <c r="E5487" s="14" t="s">
        <v>344</v>
      </c>
      <c r="F5487" s="14" t="s">
        <v>343</v>
      </c>
      <c r="G5487" s="14" t="s">
        <v>343</v>
      </c>
      <c r="H5487" s="14" t="s">
        <v>343</v>
      </c>
      <c r="U5487" s="14">
        <v>71</v>
      </c>
      <c r="V5487" s="14">
        <v>73</v>
      </c>
      <c r="W5487" s="14">
        <v>76</v>
      </c>
      <c r="X5487" s="14">
        <v>60</v>
      </c>
    </row>
    <row r="5488" spans="1:24" hidden="1" x14ac:dyDescent="0.3">
      <c r="A5488" s="14" t="s">
        <v>535</v>
      </c>
      <c r="B5488" s="14" t="s">
        <v>325</v>
      </c>
      <c r="C5488" s="14" t="s">
        <v>373</v>
      </c>
      <c r="D5488" s="14" t="s">
        <v>374</v>
      </c>
      <c r="E5488" s="14" t="s">
        <v>342</v>
      </c>
      <c r="F5488" s="14" t="s">
        <v>343</v>
      </c>
      <c r="G5488" s="14" t="s">
        <v>343</v>
      </c>
      <c r="H5488" s="14" t="s">
        <v>343</v>
      </c>
      <c r="U5488" s="14">
        <v>0.25</v>
      </c>
      <c r="V5488" s="14">
        <v>0.28999999999999998</v>
      </c>
      <c r="W5488" s="14">
        <v>0.22</v>
      </c>
      <c r="X5488" s="14">
        <v>0.22</v>
      </c>
    </row>
    <row r="5489" spans="1:24" hidden="1" x14ac:dyDescent="0.3">
      <c r="A5489" s="14" t="s">
        <v>535</v>
      </c>
      <c r="B5489" s="14" t="s">
        <v>325</v>
      </c>
      <c r="C5489" s="14" t="s">
        <v>373</v>
      </c>
      <c r="D5489" s="14" t="s">
        <v>374</v>
      </c>
      <c r="E5489" s="14" t="s">
        <v>344</v>
      </c>
      <c r="F5489" s="14" t="s">
        <v>343</v>
      </c>
      <c r="G5489" s="14" t="s">
        <v>343</v>
      </c>
      <c r="H5489" s="14" t="s">
        <v>343</v>
      </c>
      <c r="U5489" s="14">
        <v>68</v>
      </c>
      <c r="V5489" s="14">
        <v>72</v>
      </c>
      <c r="W5489" s="14">
        <v>88</v>
      </c>
      <c r="X5489" s="14">
        <v>83</v>
      </c>
    </row>
    <row r="5490" spans="1:24" hidden="1" x14ac:dyDescent="0.3">
      <c r="A5490" s="14" t="s">
        <v>535</v>
      </c>
      <c r="B5490" s="14" t="s">
        <v>325</v>
      </c>
      <c r="C5490" s="14" t="s">
        <v>375</v>
      </c>
      <c r="D5490" s="14" t="s">
        <v>376</v>
      </c>
      <c r="E5490" s="14" t="s">
        <v>342</v>
      </c>
      <c r="F5490" s="14" t="s">
        <v>343</v>
      </c>
      <c r="G5490" s="14" t="s">
        <v>343</v>
      </c>
      <c r="H5490" s="14" t="s">
        <v>343</v>
      </c>
      <c r="U5490" s="14">
        <v>0.59</v>
      </c>
      <c r="V5490" s="14">
        <v>0.57999999999999996</v>
      </c>
      <c r="W5490" s="14">
        <v>0.57999999999999996</v>
      </c>
      <c r="X5490" s="14">
        <v>0.57999999999999996</v>
      </c>
    </row>
    <row r="5491" spans="1:24" hidden="1" x14ac:dyDescent="0.3">
      <c r="A5491" s="14" t="s">
        <v>535</v>
      </c>
      <c r="B5491" s="14" t="s">
        <v>325</v>
      </c>
      <c r="C5491" s="14" t="s">
        <v>375</v>
      </c>
      <c r="D5491" s="14" t="s">
        <v>376</v>
      </c>
      <c r="E5491" s="14" t="s">
        <v>344</v>
      </c>
      <c r="F5491" s="14" t="s">
        <v>343</v>
      </c>
      <c r="G5491" s="14" t="s">
        <v>343</v>
      </c>
      <c r="H5491" s="14" t="s">
        <v>343</v>
      </c>
      <c r="U5491" s="14">
        <v>24</v>
      </c>
      <c r="V5491" s="14">
        <v>27</v>
      </c>
      <c r="W5491" s="14">
        <v>32</v>
      </c>
      <c r="X5491" s="14">
        <v>34</v>
      </c>
    </row>
    <row r="5492" spans="1:24" hidden="1" x14ac:dyDescent="0.3">
      <c r="A5492" s="14" t="s">
        <v>536</v>
      </c>
      <c r="B5492" s="14" t="s">
        <v>244</v>
      </c>
      <c r="C5492" s="14" t="s">
        <v>340</v>
      </c>
      <c r="D5492" s="14" t="s">
        <v>341</v>
      </c>
      <c r="E5492" s="14" t="s">
        <v>342</v>
      </c>
      <c r="F5492" s="14" t="s">
        <v>343</v>
      </c>
      <c r="G5492" s="14" t="s">
        <v>343</v>
      </c>
      <c r="H5492" s="14" t="s">
        <v>343</v>
      </c>
      <c r="I5492" s="14">
        <v>0.86</v>
      </c>
      <c r="J5492" s="14">
        <v>0.87</v>
      </c>
      <c r="K5492" s="14">
        <v>0.89</v>
      </c>
      <c r="L5492" s="14">
        <v>0.89</v>
      </c>
      <c r="M5492" s="14">
        <v>0.92</v>
      </c>
      <c r="N5492" s="14">
        <v>0.92</v>
      </c>
      <c r="O5492" s="14">
        <v>0.91</v>
      </c>
      <c r="P5492" s="14">
        <v>0.84</v>
      </c>
      <c r="Q5492" s="14">
        <v>0.85</v>
      </c>
      <c r="R5492" s="14">
        <v>0.93</v>
      </c>
      <c r="S5492" s="14">
        <v>0.93</v>
      </c>
      <c r="T5492" s="14">
        <v>0.91</v>
      </c>
      <c r="U5492" s="14">
        <v>0.91</v>
      </c>
      <c r="V5492" s="14">
        <v>0.91</v>
      </c>
      <c r="W5492" s="14">
        <v>0.9</v>
      </c>
      <c r="X5492" s="14">
        <v>0.92</v>
      </c>
    </row>
    <row r="5493" spans="1:24" hidden="1" x14ac:dyDescent="0.3">
      <c r="A5493" s="14" t="s">
        <v>536</v>
      </c>
      <c r="B5493" s="14" t="s">
        <v>244</v>
      </c>
      <c r="C5493" s="14" t="s">
        <v>340</v>
      </c>
      <c r="D5493" s="14" t="s">
        <v>341</v>
      </c>
      <c r="E5493" s="14" t="s">
        <v>344</v>
      </c>
      <c r="F5493" s="14" t="s">
        <v>343</v>
      </c>
      <c r="G5493" s="14" t="s">
        <v>343</v>
      </c>
      <c r="H5493" s="14" t="s">
        <v>343</v>
      </c>
      <c r="I5493" s="14">
        <v>98</v>
      </c>
      <c r="J5493" s="14">
        <v>104</v>
      </c>
      <c r="K5493" s="14">
        <v>109</v>
      </c>
      <c r="L5493" s="14">
        <v>111</v>
      </c>
      <c r="M5493" s="14">
        <v>107</v>
      </c>
      <c r="N5493" s="14">
        <v>107</v>
      </c>
      <c r="O5493" s="14">
        <v>112</v>
      </c>
      <c r="P5493" s="14">
        <v>123</v>
      </c>
      <c r="Q5493" s="14">
        <v>128</v>
      </c>
      <c r="R5493" s="14">
        <v>117</v>
      </c>
      <c r="S5493" s="14">
        <v>120</v>
      </c>
      <c r="T5493" s="14">
        <v>124</v>
      </c>
      <c r="U5493" s="14">
        <v>126</v>
      </c>
      <c r="V5493" s="14">
        <v>129</v>
      </c>
      <c r="W5493" s="14">
        <v>131</v>
      </c>
      <c r="X5493" s="14">
        <v>122</v>
      </c>
    </row>
    <row r="5494" spans="1:24" hidden="1" x14ac:dyDescent="0.3">
      <c r="A5494" s="14" t="s">
        <v>536</v>
      </c>
      <c r="B5494" s="14" t="s">
        <v>244</v>
      </c>
      <c r="C5494" s="14" t="s">
        <v>345</v>
      </c>
      <c r="D5494" s="14" t="s">
        <v>346</v>
      </c>
      <c r="E5494" s="14" t="s">
        <v>342</v>
      </c>
      <c r="F5494" s="14" t="s">
        <v>343</v>
      </c>
      <c r="G5494" s="14" t="s">
        <v>343</v>
      </c>
      <c r="H5494" s="14" t="s">
        <v>343</v>
      </c>
      <c r="U5494" s="14">
        <v>0.56999999999999995</v>
      </c>
      <c r="V5494" s="14">
        <v>0.54</v>
      </c>
      <c r="W5494" s="14">
        <v>0.6</v>
      </c>
      <c r="X5494" s="14">
        <v>0.56000000000000005</v>
      </c>
    </row>
    <row r="5495" spans="1:24" hidden="1" x14ac:dyDescent="0.3">
      <c r="A5495" s="14" t="s">
        <v>536</v>
      </c>
      <c r="B5495" s="14" t="s">
        <v>244</v>
      </c>
      <c r="C5495" s="14" t="s">
        <v>345</v>
      </c>
      <c r="D5495" s="14" t="s">
        <v>346</v>
      </c>
      <c r="E5495" s="14" t="s">
        <v>344</v>
      </c>
      <c r="F5495" s="14" t="s">
        <v>343</v>
      </c>
      <c r="G5495" s="14" t="s">
        <v>343</v>
      </c>
      <c r="H5495" s="14" t="s">
        <v>343</v>
      </c>
      <c r="U5495" s="14">
        <v>95</v>
      </c>
      <c r="V5495" s="14">
        <v>109</v>
      </c>
      <c r="W5495" s="14">
        <v>83</v>
      </c>
      <c r="X5495" s="14">
        <v>101</v>
      </c>
    </row>
    <row r="5496" spans="1:24" hidden="1" x14ac:dyDescent="0.3">
      <c r="A5496" s="14" t="s">
        <v>536</v>
      </c>
      <c r="B5496" s="14" t="s">
        <v>244</v>
      </c>
      <c r="C5496" s="14" t="s">
        <v>347</v>
      </c>
      <c r="D5496" s="14" t="s">
        <v>348</v>
      </c>
      <c r="E5496" s="14" t="s">
        <v>342</v>
      </c>
      <c r="F5496" s="14" t="s">
        <v>343</v>
      </c>
      <c r="G5496" s="14" t="s">
        <v>343</v>
      </c>
      <c r="H5496" s="14" t="s">
        <v>343</v>
      </c>
      <c r="U5496" s="14">
        <v>0.9</v>
      </c>
      <c r="V5496" s="14">
        <v>0.91</v>
      </c>
      <c r="W5496" s="14">
        <v>0.92</v>
      </c>
      <c r="X5496" s="14">
        <v>0.9</v>
      </c>
    </row>
    <row r="5497" spans="1:24" hidden="1" x14ac:dyDescent="0.3">
      <c r="A5497" s="14" t="s">
        <v>536</v>
      </c>
      <c r="B5497" s="14" t="s">
        <v>244</v>
      </c>
      <c r="C5497" s="14" t="s">
        <v>347</v>
      </c>
      <c r="D5497" s="14" t="s">
        <v>348</v>
      </c>
      <c r="E5497" s="14" t="s">
        <v>344</v>
      </c>
      <c r="F5497" s="14" t="s">
        <v>343</v>
      </c>
      <c r="G5497" s="14" t="s">
        <v>343</v>
      </c>
      <c r="H5497" s="14" t="s">
        <v>343</v>
      </c>
      <c r="U5497" s="14">
        <v>37</v>
      </c>
      <c r="V5497" s="14">
        <v>34</v>
      </c>
      <c r="W5497" s="14">
        <v>28</v>
      </c>
      <c r="X5497" s="14">
        <v>15</v>
      </c>
    </row>
    <row r="5498" spans="1:24" hidden="1" x14ac:dyDescent="0.3">
      <c r="A5498" s="14" t="s">
        <v>536</v>
      </c>
      <c r="B5498" s="14" t="s">
        <v>244</v>
      </c>
      <c r="C5498" s="14" t="s">
        <v>349</v>
      </c>
      <c r="D5498" s="14" t="s">
        <v>350</v>
      </c>
      <c r="E5498" s="14" t="s">
        <v>342</v>
      </c>
      <c r="F5498" s="14" t="s">
        <v>343</v>
      </c>
      <c r="G5498" s="14" t="s">
        <v>343</v>
      </c>
      <c r="H5498" s="14" t="s">
        <v>343</v>
      </c>
      <c r="U5498" s="14">
        <v>0.47</v>
      </c>
      <c r="V5498" s="14">
        <v>0.34</v>
      </c>
      <c r="W5498" s="14">
        <v>0.46</v>
      </c>
      <c r="X5498" s="14">
        <v>0.54</v>
      </c>
    </row>
    <row r="5499" spans="1:24" hidden="1" x14ac:dyDescent="0.3">
      <c r="A5499" s="14" t="s">
        <v>536</v>
      </c>
      <c r="B5499" s="14" t="s">
        <v>244</v>
      </c>
      <c r="C5499" s="14" t="s">
        <v>349</v>
      </c>
      <c r="D5499" s="14" t="s">
        <v>350</v>
      </c>
      <c r="E5499" s="14" t="s">
        <v>344</v>
      </c>
      <c r="F5499" s="14" t="s">
        <v>343</v>
      </c>
      <c r="G5499" s="14" t="s">
        <v>343</v>
      </c>
      <c r="H5499" s="14" t="s">
        <v>343</v>
      </c>
      <c r="U5499" s="14">
        <v>75</v>
      </c>
      <c r="V5499" s="14">
        <v>106</v>
      </c>
      <c r="W5499" s="14">
        <v>83</v>
      </c>
      <c r="X5499" s="14">
        <v>65</v>
      </c>
    </row>
    <row r="5500" spans="1:24" hidden="1" x14ac:dyDescent="0.3">
      <c r="A5500" s="14" t="s">
        <v>536</v>
      </c>
      <c r="B5500" s="14" t="s">
        <v>244</v>
      </c>
      <c r="C5500" s="14" t="s">
        <v>351</v>
      </c>
      <c r="D5500" s="14" t="s">
        <v>352</v>
      </c>
      <c r="E5500" s="14" t="s">
        <v>342</v>
      </c>
      <c r="F5500" s="14" t="s">
        <v>343</v>
      </c>
      <c r="G5500" s="14" t="s">
        <v>343</v>
      </c>
      <c r="H5500" s="14" t="s">
        <v>343</v>
      </c>
      <c r="U5500" s="14">
        <v>0.7</v>
      </c>
      <c r="V5500" s="14">
        <v>0.7</v>
      </c>
      <c r="W5500" s="14">
        <v>0.7</v>
      </c>
      <c r="X5500" s="14">
        <v>0.73</v>
      </c>
    </row>
    <row r="5501" spans="1:24" hidden="1" x14ac:dyDescent="0.3">
      <c r="A5501" s="14" t="s">
        <v>536</v>
      </c>
      <c r="B5501" s="14" t="s">
        <v>244</v>
      </c>
      <c r="C5501" s="14" t="s">
        <v>351</v>
      </c>
      <c r="D5501" s="14" t="s">
        <v>352</v>
      </c>
      <c r="E5501" s="14" t="s">
        <v>344</v>
      </c>
      <c r="F5501" s="14" t="s">
        <v>343</v>
      </c>
      <c r="G5501" s="14" t="s">
        <v>343</v>
      </c>
      <c r="H5501" s="14" t="s">
        <v>343</v>
      </c>
      <c r="U5501" s="14">
        <v>106</v>
      </c>
      <c r="W5501" s="14">
        <v>107</v>
      </c>
      <c r="X5501" s="14">
        <v>97</v>
      </c>
    </row>
    <row r="5502" spans="1:24" hidden="1" x14ac:dyDescent="0.3">
      <c r="A5502" s="14" t="s">
        <v>536</v>
      </c>
      <c r="B5502" s="14" t="s">
        <v>244</v>
      </c>
      <c r="C5502" s="14" t="s">
        <v>378</v>
      </c>
      <c r="D5502" s="14" t="s">
        <v>379</v>
      </c>
      <c r="E5502" s="14" t="s">
        <v>342</v>
      </c>
      <c r="F5502" s="14" t="s">
        <v>343</v>
      </c>
      <c r="G5502" s="14" t="s">
        <v>343</v>
      </c>
      <c r="H5502" s="14" t="s">
        <v>343</v>
      </c>
      <c r="S5502" s="14">
        <v>0.77</v>
      </c>
      <c r="U5502" s="14">
        <v>0.78</v>
      </c>
      <c r="V5502" s="14">
        <v>0.74</v>
      </c>
      <c r="W5502" s="14">
        <v>0.72</v>
      </c>
      <c r="X5502" s="14">
        <v>0.72</v>
      </c>
    </row>
    <row r="5503" spans="1:24" hidden="1" x14ac:dyDescent="0.3">
      <c r="A5503" s="14" t="s">
        <v>536</v>
      </c>
      <c r="B5503" s="14" t="s">
        <v>244</v>
      </c>
      <c r="C5503" s="14" t="s">
        <v>378</v>
      </c>
      <c r="D5503" s="14" t="s">
        <v>379</v>
      </c>
      <c r="E5503" s="14" t="s">
        <v>344</v>
      </c>
      <c r="F5503" s="14" t="s">
        <v>343</v>
      </c>
      <c r="G5503" s="14" t="s">
        <v>343</v>
      </c>
      <c r="H5503" s="14" t="s">
        <v>343</v>
      </c>
      <c r="S5503" s="14">
        <v>17</v>
      </c>
      <c r="U5503" s="14">
        <v>14</v>
      </c>
      <c r="V5503" s="14">
        <v>23</v>
      </c>
      <c r="W5503" s="14">
        <v>38</v>
      </c>
      <c r="X5503" s="14">
        <v>37</v>
      </c>
    </row>
    <row r="5504" spans="1:24" hidden="1" x14ac:dyDescent="0.3">
      <c r="A5504" s="14" t="s">
        <v>536</v>
      </c>
      <c r="B5504" s="14" t="s">
        <v>244</v>
      </c>
      <c r="C5504" s="14" t="s">
        <v>353</v>
      </c>
      <c r="D5504" s="14" t="s">
        <v>354</v>
      </c>
      <c r="E5504" s="14" t="s">
        <v>342</v>
      </c>
      <c r="F5504" s="14" t="s">
        <v>343</v>
      </c>
      <c r="G5504" s="14" t="s">
        <v>343</v>
      </c>
      <c r="H5504" s="14" t="s">
        <v>343</v>
      </c>
      <c r="U5504" s="14">
        <v>0.78</v>
      </c>
      <c r="V5504" s="14">
        <v>0.86</v>
      </c>
      <c r="W5504" s="14">
        <v>0.86</v>
      </c>
      <c r="X5504" s="14">
        <v>0.86</v>
      </c>
    </row>
    <row r="5505" spans="1:24" hidden="1" x14ac:dyDescent="0.3">
      <c r="A5505" s="14" t="s">
        <v>536</v>
      </c>
      <c r="B5505" s="14" t="s">
        <v>244</v>
      </c>
      <c r="C5505" s="14" t="s">
        <v>353</v>
      </c>
      <c r="D5505" s="14" t="s">
        <v>354</v>
      </c>
      <c r="E5505" s="14" t="s">
        <v>344</v>
      </c>
      <c r="F5505" s="14" t="s">
        <v>343</v>
      </c>
      <c r="G5505" s="14" t="s">
        <v>343</v>
      </c>
      <c r="H5505" s="14" t="s">
        <v>343</v>
      </c>
      <c r="U5505" s="14">
        <v>120</v>
      </c>
      <c r="V5505" s="14">
        <v>122</v>
      </c>
      <c r="W5505" s="14">
        <v>124</v>
      </c>
      <c r="X5505" s="14">
        <v>116</v>
      </c>
    </row>
    <row r="5506" spans="1:24" hidden="1" x14ac:dyDescent="0.3">
      <c r="A5506" s="14" t="s">
        <v>536</v>
      </c>
      <c r="B5506" s="14" t="s">
        <v>244</v>
      </c>
      <c r="C5506" s="14" t="s">
        <v>380</v>
      </c>
      <c r="D5506" s="14" t="s">
        <v>381</v>
      </c>
      <c r="E5506" s="14" t="s">
        <v>342</v>
      </c>
      <c r="F5506" s="14" t="s">
        <v>343</v>
      </c>
      <c r="G5506" s="14" t="s">
        <v>343</v>
      </c>
      <c r="H5506" s="14" t="s">
        <v>343</v>
      </c>
      <c r="U5506" s="14">
        <v>1</v>
      </c>
      <c r="V5506" s="14">
        <v>1</v>
      </c>
      <c r="W5506" s="14">
        <v>1</v>
      </c>
      <c r="X5506" s="14">
        <v>1</v>
      </c>
    </row>
    <row r="5507" spans="1:24" hidden="1" x14ac:dyDescent="0.3">
      <c r="A5507" s="14" t="s">
        <v>536</v>
      </c>
      <c r="B5507" s="14" t="s">
        <v>244</v>
      </c>
      <c r="C5507" s="14" t="s">
        <v>380</v>
      </c>
      <c r="D5507" s="14" t="s">
        <v>381</v>
      </c>
      <c r="E5507" s="14" t="s">
        <v>344</v>
      </c>
      <c r="F5507" s="14" t="s">
        <v>343</v>
      </c>
      <c r="G5507" s="14" t="s">
        <v>343</v>
      </c>
      <c r="H5507" s="14" t="s">
        <v>343</v>
      </c>
      <c r="U5507" s="14">
        <v>1</v>
      </c>
      <c r="V5507" s="14">
        <v>1</v>
      </c>
      <c r="W5507" s="14">
        <v>1</v>
      </c>
      <c r="X5507" s="14">
        <v>1</v>
      </c>
    </row>
    <row r="5508" spans="1:24" hidden="1" x14ac:dyDescent="0.3">
      <c r="A5508" s="14" t="s">
        <v>536</v>
      </c>
      <c r="B5508" s="14" t="s">
        <v>244</v>
      </c>
      <c r="C5508" s="14" t="s">
        <v>355</v>
      </c>
      <c r="D5508" s="14" t="s">
        <v>356</v>
      </c>
      <c r="E5508" s="14" t="s">
        <v>342</v>
      </c>
      <c r="F5508" s="14" t="s">
        <v>343</v>
      </c>
      <c r="G5508" s="14" t="s">
        <v>343</v>
      </c>
      <c r="H5508" s="14" t="s">
        <v>343</v>
      </c>
      <c r="U5508" s="14">
        <v>0.92</v>
      </c>
      <c r="V5508" s="14">
        <v>0.89</v>
      </c>
      <c r="W5508" s="14">
        <v>0.81</v>
      </c>
    </row>
    <row r="5509" spans="1:24" hidden="1" x14ac:dyDescent="0.3">
      <c r="A5509" s="14" t="s">
        <v>536</v>
      </c>
      <c r="B5509" s="14" t="s">
        <v>244</v>
      </c>
      <c r="C5509" s="14" t="s">
        <v>355</v>
      </c>
      <c r="D5509" s="14" t="s">
        <v>356</v>
      </c>
      <c r="E5509" s="14" t="s">
        <v>344</v>
      </c>
      <c r="F5509" s="14" t="s">
        <v>343</v>
      </c>
      <c r="G5509" s="14" t="s">
        <v>343</v>
      </c>
      <c r="H5509" s="14" t="s">
        <v>343</v>
      </c>
      <c r="U5509" s="14">
        <v>133</v>
      </c>
      <c r="V5509" s="14">
        <v>136</v>
      </c>
      <c r="W5509" s="14">
        <v>142</v>
      </c>
    </row>
    <row r="5510" spans="1:24" hidden="1" x14ac:dyDescent="0.3">
      <c r="A5510" s="14" t="s">
        <v>536</v>
      </c>
      <c r="B5510" s="14" t="s">
        <v>244</v>
      </c>
      <c r="C5510" s="14" t="s">
        <v>357</v>
      </c>
      <c r="D5510" s="14" t="s">
        <v>358</v>
      </c>
      <c r="E5510" s="14" t="s">
        <v>342</v>
      </c>
      <c r="F5510" s="14" t="s">
        <v>343</v>
      </c>
      <c r="G5510" s="14" t="s">
        <v>343</v>
      </c>
      <c r="H5510" s="14" t="s">
        <v>343</v>
      </c>
      <c r="U5510" s="14">
        <v>0.78</v>
      </c>
      <c r="V5510" s="14">
        <v>0.73</v>
      </c>
      <c r="W5510" s="14">
        <v>0.73</v>
      </c>
      <c r="X5510" s="14">
        <v>0.74</v>
      </c>
    </row>
    <row r="5511" spans="1:24" hidden="1" x14ac:dyDescent="0.3">
      <c r="A5511" s="14" t="s">
        <v>536</v>
      </c>
      <c r="B5511" s="14" t="s">
        <v>244</v>
      </c>
      <c r="C5511" s="14" t="s">
        <v>357</v>
      </c>
      <c r="D5511" s="14" t="s">
        <v>358</v>
      </c>
      <c r="E5511" s="14" t="s">
        <v>344</v>
      </c>
      <c r="F5511" s="14" t="s">
        <v>343</v>
      </c>
      <c r="G5511" s="14" t="s">
        <v>343</v>
      </c>
      <c r="H5511" s="14" t="s">
        <v>343</v>
      </c>
      <c r="U5511" s="14">
        <v>114</v>
      </c>
      <c r="V5511" s="14">
        <v>125</v>
      </c>
      <c r="W5511" s="14">
        <v>126</v>
      </c>
      <c r="X5511" s="14">
        <v>120</v>
      </c>
    </row>
    <row r="5512" spans="1:24" hidden="1" x14ac:dyDescent="0.3">
      <c r="A5512" s="14" t="s">
        <v>536</v>
      </c>
      <c r="B5512" s="14" t="s">
        <v>244</v>
      </c>
      <c r="C5512" s="14" t="s">
        <v>359</v>
      </c>
      <c r="D5512" s="14" t="s">
        <v>360</v>
      </c>
      <c r="E5512" s="14" t="s">
        <v>342</v>
      </c>
      <c r="F5512" s="14" t="s">
        <v>343</v>
      </c>
      <c r="G5512" s="14" t="s">
        <v>343</v>
      </c>
      <c r="H5512" s="14" t="s">
        <v>343</v>
      </c>
      <c r="I5512" s="14">
        <v>0.68</v>
      </c>
      <c r="J5512" s="14">
        <v>0.68</v>
      </c>
      <c r="K5512" s="14">
        <v>0.69</v>
      </c>
      <c r="L5512" s="14">
        <v>0.73</v>
      </c>
      <c r="M5512" s="14">
        <v>0.71</v>
      </c>
      <c r="N5512" s="14">
        <v>0.71</v>
      </c>
      <c r="O5512" s="14">
        <v>0.72</v>
      </c>
      <c r="P5512" s="14">
        <v>0.73</v>
      </c>
      <c r="Q5512" s="14">
        <v>0.63</v>
      </c>
      <c r="R5512" s="14">
        <v>0.65</v>
      </c>
      <c r="S5512" s="14">
        <v>0.65</v>
      </c>
      <c r="T5512" s="14">
        <v>0.69</v>
      </c>
      <c r="U5512" s="14">
        <v>0.7</v>
      </c>
      <c r="V5512" s="14">
        <v>0.66</v>
      </c>
      <c r="W5512" s="14">
        <v>0.69</v>
      </c>
      <c r="X5512" s="14">
        <v>0.7</v>
      </c>
    </row>
    <row r="5513" spans="1:24" hidden="1" x14ac:dyDescent="0.3">
      <c r="A5513" s="14" t="s">
        <v>536</v>
      </c>
      <c r="B5513" s="14" t="s">
        <v>244</v>
      </c>
      <c r="C5513" s="14" t="s">
        <v>359</v>
      </c>
      <c r="D5513" s="14" t="s">
        <v>360</v>
      </c>
      <c r="E5513" s="14" t="s">
        <v>344</v>
      </c>
      <c r="F5513" s="14" t="s">
        <v>343</v>
      </c>
      <c r="G5513" s="14" t="s">
        <v>343</v>
      </c>
      <c r="H5513" s="14" t="s">
        <v>343</v>
      </c>
      <c r="I5513" s="14">
        <v>28</v>
      </c>
      <c r="J5513" s="14">
        <v>41</v>
      </c>
      <c r="K5513" s="14">
        <v>40</v>
      </c>
      <c r="L5513" s="14">
        <v>28</v>
      </c>
      <c r="M5513" s="14">
        <v>42</v>
      </c>
      <c r="N5513" s="14">
        <v>42</v>
      </c>
      <c r="O5513" s="14">
        <v>37</v>
      </c>
      <c r="P5513" s="14">
        <v>37</v>
      </c>
      <c r="Q5513" s="14">
        <v>97</v>
      </c>
      <c r="R5513" s="14">
        <v>84</v>
      </c>
      <c r="S5513" s="14">
        <v>87</v>
      </c>
      <c r="T5513" s="14">
        <v>59</v>
      </c>
      <c r="U5513" s="14">
        <v>55</v>
      </c>
      <c r="V5513" s="14">
        <v>82</v>
      </c>
      <c r="W5513" s="14">
        <v>74</v>
      </c>
      <c r="X5513" s="14">
        <v>73</v>
      </c>
    </row>
    <row r="5514" spans="1:24" x14ac:dyDescent="0.3">
      <c r="A5514" s="14" t="s">
        <v>536</v>
      </c>
      <c r="B5514" s="14" t="s">
        <v>244</v>
      </c>
      <c r="C5514" s="14" t="s">
        <v>361</v>
      </c>
      <c r="D5514" s="14" t="s">
        <v>362</v>
      </c>
      <c r="E5514" s="14" t="s">
        <v>342</v>
      </c>
      <c r="F5514" s="14" t="s">
        <v>343</v>
      </c>
      <c r="G5514" s="14" t="s">
        <v>343</v>
      </c>
      <c r="H5514" s="14" t="s">
        <v>343</v>
      </c>
      <c r="I5514" s="14">
        <v>0.98</v>
      </c>
      <c r="J5514" s="14">
        <v>0.98</v>
      </c>
      <c r="K5514" s="14">
        <v>0.98</v>
      </c>
      <c r="L5514" s="14">
        <v>0.98</v>
      </c>
      <c r="M5514" s="14">
        <v>0.98</v>
      </c>
      <c r="N5514" s="14">
        <v>0.98</v>
      </c>
      <c r="O5514" s="14">
        <v>0.98</v>
      </c>
      <c r="P5514" s="14">
        <v>0.98</v>
      </c>
      <c r="Q5514" s="14">
        <v>0.97</v>
      </c>
      <c r="R5514" s="14">
        <v>0.98</v>
      </c>
      <c r="S5514" s="14">
        <v>0.98</v>
      </c>
      <c r="T5514" s="14">
        <v>0.97</v>
      </c>
      <c r="U5514" s="14">
        <v>0.98</v>
      </c>
      <c r="V5514" s="14">
        <v>0.98</v>
      </c>
      <c r="W5514" s="14">
        <v>0.98</v>
      </c>
      <c r="X5514" s="14">
        <v>0.98</v>
      </c>
    </row>
    <row r="5515" spans="1:24" hidden="1" x14ac:dyDescent="0.3">
      <c r="A5515" s="14" t="s">
        <v>536</v>
      </c>
      <c r="B5515" s="14" t="s">
        <v>244</v>
      </c>
      <c r="C5515" s="14" t="s">
        <v>361</v>
      </c>
      <c r="D5515" s="14" t="s">
        <v>362</v>
      </c>
      <c r="E5515" s="14" t="s">
        <v>344</v>
      </c>
      <c r="F5515" s="14" t="s">
        <v>343</v>
      </c>
      <c r="G5515" s="14" t="s">
        <v>343</v>
      </c>
      <c r="H5515" s="14" t="s">
        <v>343</v>
      </c>
      <c r="I5515" s="14">
        <v>60</v>
      </c>
      <c r="J5515" s="14">
        <v>64</v>
      </c>
      <c r="K5515" s="14">
        <v>66</v>
      </c>
      <c r="L5515" s="14">
        <v>69</v>
      </c>
      <c r="M5515" s="14">
        <v>1</v>
      </c>
      <c r="N5515" s="14">
        <v>1</v>
      </c>
      <c r="O5515" s="14">
        <v>1</v>
      </c>
      <c r="P5515" s="14">
        <v>1</v>
      </c>
      <c r="Q5515" s="14">
        <v>107</v>
      </c>
      <c r="R5515" s="14">
        <v>1</v>
      </c>
      <c r="S5515" s="14">
        <v>1</v>
      </c>
      <c r="T5515" s="14">
        <v>88</v>
      </c>
      <c r="U5515" s="14">
        <v>1</v>
      </c>
      <c r="V5515" s="14">
        <v>1</v>
      </c>
      <c r="W5515" s="14">
        <v>1</v>
      </c>
      <c r="X5515" s="14">
        <v>1</v>
      </c>
    </row>
    <row r="5516" spans="1:24" hidden="1" x14ac:dyDescent="0.3">
      <c r="A5516" s="14" t="s">
        <v>536</v>
      </c>
      <c r="B5516" s="14" t="s">
        <v>244</v>
      </c>
      <c r="C5516" s="14" t="s">
        <v>363</v>
      </c>
      <c r="D5516" s="14" t="s">
        <v>364</v>
      </c>
      <c r="E5516" s="14" t="s">
        <v>342</v>
      </c>
      <c r="F5516" s="14" t="s">
        <v>343</v>
      </c>
      <c r="G5516" s="14" t="s">
        <v>343</v>
      </c>
      <c r="H5516" s="14" t="s">
        <v>343</v>
      </c>
      <c r="U5516" s="14">
        <v>1.06</v>
      </c>
      <c r="V5516" s="14">
        <v>1.06</v>
      </c>
      <c r="W5516" s="14">
        <v>1.06</v>
      </c>
      <c r="X5516" s="14">
        <v>1.06</v>
      </c>
    </row>
    <row r="5517" spans="1:24" hidden="1" x14ac:dyDescent="0.3">
      <c r="A5517" s="14" t="s">
        <v>536</v>
      </c>
      <c r="B5517" s="14" t="s">
        <v>244</v>
      </c>
      <c r="C5517" s="14" t="s">
        <v>363</v>
      </c>
      <c r="D5517" s="14" t="s">
        <v>364</v>
      </c>
      <c r="E5517" s="14" t="s">
        <v>344</v>
      </c>
      <c r="F5517" s="14" t="s">
        <v>343</v>
      </c>
      <c r="G5517" s="14" t="s">
        <v>343</v>
      </c>
      <c r="H5517" s="14" t="s">
        <v>343</v>
      </c>
      <c r="U5517" s="14">
        <v>1</v>
      </c>
      <c r="V5517" s="14">
        <v>1</v>
      </c>
      <c r="W5517" s="14">
        <v>1</v>
      </c>
      <c r="X5517" s="14">
        <v>1</v>
      </c>
    </row>
    <row r="5518" spans="1:24" hidden="1" x14ac:dyDescent="0.3">
      <c r="A5518" s="14" t="s">
        <v>536</v>
      </c>
      <c r="B5518" s="14" t="s">
        <v>244</v>
      </c>
      <c r="C5518" s="14" t="s">
        <v>365</v>
      </c>
      <c r="D5518" s="14" t="s">
        <v>366</v>
      </c>
      <c r="E5518" s="14" t="s">
        <v>342</v>
      </c>
      <c r="F5518" s="14" t="s">
        <v>343</v>
      </c>
      <c r="G5518" s="14" t="s">
        <v>343</v>
      </c>
      <c r="H5518" s="14" t="s">
        <v>343</v>
      </c>
      <c r="U5518" s="14">
        <v>0.94</v>
      </c>
      <c r="V5518" s="14">
        <v>0.94</v>
      </c>
      <c r="W5518" s="14">
        <v>0.94</v>
      </c>
      <c r="X5518" s="14">
        <v>0.94</v>
      </c>
    </row>
    <row r="5519" spans="1:24" hidden="1" x14ac:dyDescent="0.3">
      <c r="A5519" s="14" t="s">
        <v>536</v>
      </c>
      <c r="B5519" s="14" t="s">
        <v>244</v>
      </c>
      <c r="C5519" s="14" t="s">
        <v>365</v>
      </c>
      <c r="D5519" s="14" t="s">
        <v>366</v>
      </c>
      <c r="E5519" s="14" t="s">
        <v>344</v>
      </c>
      <c r="F5519" s="14" t="s">
        <v>343</v>
      </c>
      <c r="G5519" s="14" t="s">
        <v>343</v>
      </c>
      <c r="H5519" s="14" t="s">
        <v>343</v>
      </c>
      <c r="U5519" s="14">
        <v>1</v>
      </c>
      <c r="V5519" s="14">
        <v>1</v>
      </c>
      <c r="W5519" s="14">
        <v>1</v>
      </c>
      <c r="X5519" s="14">
        <v>1</v>
      </c>
    </row>
    <row r="5520" spans="1:24" hidden="1" x14ac:dyDescent="0.3">
      <c r="A5520" s="14" t="s">
        <v>536</v>
      </c>
      <c r="B5520" s="14" t="s">
        <v>244</v>
      </c>
      <c r="C5520" s="14" t="s">
        <v>367</v>
      </c>
      <c r="D5520" s="14" t="s">
        <v>368</v>
      </c>
      <c r="E5520" s="14" t="s">
        <v>342</v>
      </c>
      <c r="F5520" s="14" t="s">
        <v>343</v>
      </c>
      <c r="G5520" s="14" t="s">
        <v>343</v>
      </c>
      <c r="H5520" s="14" t="s">
        <v>343</v>
      </c>
      <c r="I5520" s="14">
        <v>0.68</v>
      </c>
      <c r="J5520" s="14">
        <v>0.68</v>
      </c>
      <c r="K5520" s="14">
        <v>0.7</v>
      </c>
      <c r="L5520" s="14">
        <v>0.71</v>
      </c>
      <c r="M5520" s="14">
        <v>0.72</v>
      </c>
      <c r="N5520" s="14">
        <v>0.72</v>
      </c>
      <c r="O5520" s="14">
        <v>0.72</v>
      </c>
      <c r="P5520" s="14">
        <v>0.71</v>
      </c>
      <c r="Q5520" s="14">
        <v>0.68</v>
      </c>
      <c r="R5520" s="14">
        <v>0.71</v>
      </c>
      <c r="S5520" s="14">
        <v>0.7</v>
      </c>
      <c r="T5520" s="14">
        <v>0.72</v>
      </c>
      <c r="U5520" s="14">
        <v>0.72</v>
      </c>
      <c r="V5520" s="14">
        <v>0.72</v>
      </c>
      <c r="W5520" s="14">
        <v>0.72</v>
      </c>
      <c r="X5520" s="14">
        <v>0.72</v>
      </c>
    </row>
    <row r="5521" spans="1:24" hidden="1" x14ac:dyDescent="0.3">
      <c r="A5521" s="14" t="s">
        <v>536</v>
      </c>
      <c r="B5521" s="14" t="s">
        <v>244</v>
      </c>
      <c r="C5521" s="14" t="s">
        <v>367</v>
      </c>
      <c r="D5521" s="14" t="s">
        <v>368</v>
      </c>
      <c r="E5521" s="14" t="s">
        <v>344</v>
      </c>
      <c r="F5521" s="14" t="s">
        <v>343</v>
      </c>
      <c r="G5521" s="14" t="s">
        <v>343</v>
      </c>
      <c r="H5521" s="14" t="s">
        <v>343</v>
      </c>
      <c r="I5521" s="14">
        <v>47</v>
      </c>
      <c r="J5521" s="14">
        <v>50</v>
      </c>
      <c r="K5521" s="14">
        <v>43</v>
      </c>
      <c r="L5521" s="14">
        <v>40</v>
      </c>
      <c r="M5521" s="14">
        <v>33</v>
      </c>
      <c r="N5521" s="14">
        <v>29</v>
      </c>
      <c r="O5521" s="14">
        <v>28</v>
      </c>
      <c r="P5521" s="14">
        <v>46</v>
      </c>
      <c r="Q5521" s="14">
        <v>88</v>
      </c>
      <c r="R5521" s="14">
        <v>58</v>
      </c>
      <c r="S5521" s="14">
        <v>61</v>
      </c>
      <c r="T5521" s="14">
        <v>45</v>
      </c>
      <c r="U5521" s="14">
        <v>43</v>
      </c>
      <c r="V5521" s="14">
        <v>65</v>
      </c>
      <c r="W5521" s="14">
        <v>66</v>
      </c>
      <c r="X5521" s="14">
        <v>61</v>
      </c>
    </row>
    <row r="5522" spans="1:24" hidden="1" x14ac:dyDescent="0.3">
      <c r="A5522" s="14" t="s">
        <v>536</v>
      </c>
      <c r="B5522" s="14" t="s">
        <v>244</v>
      </c>
      <c r="C5522" s="14" t="s">
        <v>369</v>
      </c>
      <c r="D5522" s="14" t="s">
        <v>370</v>
      </c>
      <c r="E5522" s="14" t="s">
        <v>342</v>
      </c>
      <c r="F5522" s="14" t="s">
        <v>343</v>
      </c>
      <c r="G5522" s="14" t="s">
        <v>343</v>
      </c>
      <c r="H5522" s="14" t="s">
        <v>343</v>
      </c>
      <c r="I5522" s="14">
        <v>0.21</v>
      </c>
      <c r="J5522" s="14">
        <v>0.21</v>
      </c>
      <c r="K5522" s="14">
        <v>0.23</v>
      </c>
      <c r="L5522" s="14">
        <v>0.23</v>
      </c>
      <c r="M5522" s="14">
        <v>0.26</v>
      </c>
      <c r="N5522" s="14">
        <v>0.28000000000000003</v>
      </c>
      <c r="O5522" s="14">
        <v>0.28000000000000003</v>
      </c>
      <c r="P5522" s="14">
        <v>0.28000000000000003</v>
      </c>
      <c r="Q5522" s="14">
        <v>0.28000000000000003</v>
      </c>
      <c r="R5522" s="14">
        <v>0.27</v>
      </c>
      <c r="S5522" s="14">
        <v>0.26</v>
      </c>
      <c r="T5522" s="14">
        <v>0.3</v>
      </c>
      <c r="U5522" s="14">
        <v>0.3</v>
      </c>
      <c r="V5522" s="14">
        <v>0.31</v>
      </c>
      <c r="W5522" s="14">
        <v>0.3</v>
      </c>
      <c r="X5522" s="14">
        <v>0.28999999999999998</v>
      </c>
    </row>
    <row r="5523" spans="1:24" hidden="1" x14ac:dyDescent="0.3">
      <c r="A5523" s="14" t="s">
        <v>536</v>
      </c>
      <c r="B5523" s="14" t="s">
        <v>244</v>
      </c>
      <c r="C5523" s="14" t="s">
        <v>369</v>
      </c>
      <c r="D5523" s="14" t="s">
        <v>370</v>
      </c>
      <c r="E5523" s="14" t="s">
        <v>344</v>
      </c>
      <c r="F5523" s="14" t="s">
        <v>343</v>
      </c>
      <c r="G5523" s="14" t="s">
        <v>343</v>
      </c>
      <c r="H5523" s="14" t="s">
        <v>343</v>
      </c>
      <c r="I5523" s="14">
        <v>22</v>
      </c>
      <c r="J5523" s="14">
        <v>24</v>
      </c>
      <c r="K5523" s="14">
        <v>30</v>
      </c>
      <c r="L5523" s="14">
        <v>30</v>
      </c>
      <c r="M5523" s="14">
        <v>29</v>
      </c>
      <c r="N5523" s="14">
        <v>25</v>
      </c>
      <c r="O5523" s="14">
        <v>28</v>
      </c>
      <c r="P5523" s="14">
        <v>28</v>
      </c>
      <c r="Q5523" s="14">
        <v>29</v>
      </c>
      <c r="R5523" s="14">
        <v>36</v>
      </c>
      <c r="S5523" s="14">
        <v>37</v>
      </c>
      <c r="T5523" s="14">
        <v>30</v>
      </c>
      <c r="U5523" s="14">
        <v>32</v>
      </c>
      <c r="V5523" s="14">
        <v>35</v>
      </c>
      <c r="W5523" s="14">
        <v>46</v>
      </c>
      <c r="X5523" s="14">
        <v>46</v>
      </c>
    </row>
    <row r="5524" spans="1:24" hidden="1" x14ac:dyDescent="0.3">
      <c r="A5524" s="14" t="s">
        <v>536</v>
      </c>
      <c r="B5524" s="14" t="s">
        <v>244</v>
      </c>
      <c r="C5524" s="14" t="s">
        <v>371</v>
      </c>
      <c r="D5524" s="14" t="s">
        <v>372</v>
      </c>
      <c r="E5524" s="14" t="s">
        <v>342</v>
      </c>
      <c r="F5524" s="14" t="s">
        <v>343</v>
      </c>
      <c r="G5524" s="14" t="s">
        <v>343</v>
      </c>
      <c r="H5524" s="14" t="s">
        <v>343</v>
      </c>
      <c r="U5524" s="14">
        <v>0</v>
      </c>
      <c r="V5524" s="14">
        <v>0</v>
      </c>
      <c r="W5524" s="14">
        <v>0</v>
      </c>
      <c r="X5524" s="14">
        <v>0.01</v>
      </c>
    </row>
    <row r="5525" spans="1:24" hidden="1" x14ac:dyDescent="0.3">
      <c r="A5525" s="14" t="s">
        <v>536</v>
      </c>
      <c r="B5525" s="14" t="s">
        <v>244</v>
      </c>
      <c r="C5525" s="14" t="s">
        <v>371</v>
      </c>
      <c r="D5525" s="14" t="s">
        <v>372</v>
      </c>
      <c r="E5525" s="14" t="s">
        <v>344</v>
      </c>
      <c r="F5525" s="14" t="s">
        <v>343</v>
      </c>
      <c r="G5525" s="14" t="s">
        <v>343</v>
      </c>
      <c r="H5525" s="14" t="s">
        <v>343</v>
      </c>
      <c r="U5525" s="14">
        <v>71</v>
      </c>
      <c r="V5525" s="14">
        <v>73</v>
      </c>
      <c r="W5525" s="14">
        <v>76</v>
      </c>
      <c r="X5525" s="14">
        <v>64</v>
      </c>
    </row>
    <row r="5526" spans="1:24" hidden="1" x14ac:dyDescent="0.3">
      <c r="A5526" s="14" t="s">
        <v>536</v>
      </c>
      <c r="B5526" s="14" t="s">
        <v>244</v>
      </c>
      <c r="C5526" s="14" t="s">
        <v>373</v>
      </c>
      <c r="D5526" s="14" t="s">
        <v>374</v>
      </c>
      <c r="E5526" s="14" t="s">
        <v>342</v>
      </c>
      <c r="F5526" s="14" t="s">
        <v>343</v>
      </c>
      <c r="G5526" s="14" t="s">
        <v>343</v>
      </c>
      <c r="H5526" s="14" t="s">
        <v>343</v>
      </c>
      <c r="U5526" s="14">
        <v>0.57999999999999996</v>
      </c>
      <c r="V5526" s="14">
        <v>0.57999999999999996</v>
      </c>
      <c r="W5526" s="14">
        <v>0.53</v>
      </c>
      <c r="X5526" s="14">
        <v>0.53</v>
      </c>
    </row>
    <row r="5527" spans="1:24" hidden="1" x14ac:dyDescent="0.3">
      <c r="A5527" s="14" t="s">
        <v>536</v>
      </c>
      <c r="B5527" s="14" t="s">
        <v>244</v>
      </c>
      <c r="C5527" s="14" t="s">
        <v>373</v>
      </c>
      <c r="D5527" s="14" t="s">
        <v>374</v>
      </c>
      <c r="E5527" s="14" t="s">
        <v>344</v>
      </c>
      <c r="F5527" s="14" t="s">
        <v>343</v>
      </c>
      <c r="G5527" s="14" t="s">
        <v>343</v>
      </c>
      <c r="H5527" s="14" t="s">
        <v>343</v>
      </c>
      <c r="U5527" s="14">
        <v>18</v>
      </c>
      <c r="V5527" s="14">
        <v>21</v>
      </c>
      <c r="W5527" s="14">
        <v>36</v>
      </c>
      <c r="X5527" s="14">
        <v>36</v>
      </c>
    </row>
    <row r="5528" spans="1:24" hidden="1" x14ac:dyDescent="0.3">
      <c r="A5528" s="14" t="s">
        <v>536</v>
      </c>
      <c r="B5528" s="14" t="s">
        <v>244</v>
      </c>
      <c r="C5528" s="14" t="s">
        <v>375</v>
      </c>
      <c r="D5528" s="14" t="s">
        <v>376</v>
      </c>
      <c r="E5528" s="14" t="s">
        <v>342</v>
      </c>
      <c r="F5528" s="14" t="s">
        <v>343</v>
      </c>
      <c r="G5528" s="14" t="s">
        <v>343</v>
      </c>
      <c r="H5528" s="14" t="s">
        <v>343</v>
      </c>
      <c r="U5528" s="14">
        <v>0.52</v>
      </c>
      <c r="V5528" s="14">
        <v>0.54</v>
      </c>
      <c r="W5528" s="14">
        <v>0.54</v>
      </c>
      <c r="X5528" s="14">
        <v>0.51</v>
      </c>
    </row>
    <row r="5529" spans="1:24" hidden="1" x14ac:dyDescent="0.3">
      <c r="A5529" s="14" t="s">
        <v>536</v>
      </c>
      <c r="B5529" s="14" t="s">
        <v>244</v>
      </c>
      <c r="C5529" s="14" t="s">
        <v>375</v>
      </c>
      <c r="D5529" s="14" t="s">
        <v>376</v>
      </c>
      <c r="E5529" s="14" t="s">
        <v>344</v>
      </c>
      <c r="F5529" s="14" t="s">
        <v>343</v>
      </c>
      <c r="G5529" s="14" t="s">
        <v>343</v>
      </c>
      <c r="H5529" s="14" t="s">
        <v>343</v>
      </c>
      <c r="U5529" s="14">
        <v>32</v>
      </c>
      <c r="V5529" s="14">
        <v>32</v>
      </c>
      <c r="W5529" s="14">
        <v>35</v>
      </c>
      <c r="X5529" s="14">
        <v>44</v>
      </c>
    </row>
    <row r="5530" spans="1:24" hidden="1" x14ac:dyDescent="0.3">
      <c r="A5530" s="14" t="s">
        <v>537</v>
      </c>
      <c r="B5530" s="14" t="s">
        <v>245</v>
      </c>
      <c r="C5530" s="14" t="s">
        <v>340</v>
      </c>
      <c r="D5530" s="14" t="s">
        <v>341</v>
      </c>
      <c r="E5530" s="14" t="s">
        <v>342</v>
      </c>
      <c r="F5530" s="14" t="s">
        <v>343</v>
      </c>
      <c r="G5530" s="14" t="s">
        <v>343</v>
      </c>
      <c r="H5530" s="14" t="s">
        <v>343</v>
      </c>
      <c r="I5530" s="14">
        <v>1</v>
      </c>
      <c r="J5530" s="14">
        <v>0.98</v>
      </c>
      <c r="K5530" s="14">
        <v>1</v>
      </c>
      <c r="L5530" s="14">
        <v>1</v>
      </c>
      <c r="M5530" s="14">
        <v>1</v>
      </c>
      <c r="N5530" s="14">
        <v>1</v>
      </c>
      <c r="O5530" s="14">
        <v>1</v>
      </c>
      <c r="P5530" s="14">
        <v>1</v>
      </c>
      <c r="Q5530" s="14">
        <v>1</v>
      </c>
      <c r="R5530" s="14">
        <v>1</v>
      </c>
      <c r="S5530" s="14">
        <v>1</v>
      </c>
      <c r="T5530" s="14">
        <v>1</v>
      </c>
      <c r="U5530" s="14">
        <v>1</v>
      </c>
      <c r="V5530" s="14">
        <v>1</v>
      </c>
      <c r="W5530" s="14">
        <v>1</v>
      </c>
      <c r="X5530" s="14">
        <v>1</v>
      </c>
    </row>
    <row r="5531" spans="1:24" hidden="1" x14ac:dyDescent="0.3">
      <c r="A5531" s="14" t="s">
        <v>537</v>
      </c>
      <c r="B5531" s="14" t="s">
        <v>245</v>
      </c>
      <c r="C5531" s="14" t="s">
        <v>340</v>
      </c>
      <c r="D5531" s="14" t="s">
        <v>341</v>
      </c>
      <c r="E5531" s="14" t="s">
        <v>344</v>
      </c>
      <c r="F5531" s="14" t="s">
        <v>343</v>
      </c>
      <c r="G5531" s="14" t="s">
        <v>343</v>
      </c>
      <c r="H5531" s="14" t="s">
        <v>343</v>
      </c>
      <c r="I5531" s="14">
        <v>25</v>
      </c>
      <c r="J5531" s="14">
        <v>73</v>
      </c>
      <c r="K5531" s="14">
        <v>34</v>
      </c>
      <c r="L5531" s="14">
        <v>31</v>
      </c>
      <c r="M5531" s="14">
        <v>23</v>
      </c>
      <c r="N5531" s="14">
        <v>24</v>
      </c>
      <c r="O5531" s="14">
        <v>22</v>
      </c>
      <c r="P5531" s="14">
        <v>27</v>
      </c>
      <c r="Q5531" s="14">
        <v>29</v>
      </c>
      <c r="R5531" s="14">
        <v>30</v>
      </c>
      <c r="S5531" s="14">
        <v>26</v>
      </c>
      <c r="T5531" s="14">
        <v>28</v>
      </c>
      <c r="U5531" s="14">
        <v>26</v>
      </c>
      <c r="V5531" s="14">
        <v>26</v>
      </c>
      <c r="W5531" s="14">
        <v>27</v>
      </c>
      <c r="X5531" s="14">
        <v>53</v>
      </c>
    </row>
    <row r="5532" spans="1:24" hidden="1" x14ac:dyDescent="0.3">
      <c r="A5532" s="14" t="s">
        <v>537</v>
      </c>
      <c r="B5532" s="14" t="s">
        <v>245</v>
      </c>
      <c r="C5532" s="14" t="s">
        <v>345</v>
      </c>
      <c r="D5532" s="14" t="s">
        <v>346</v>
      </c>
      <c r="E5532" s="14" t="s">
        <v>342</v>
      </c>
      <c r="F5532" s="14" t="s">
        <v>343</v>
      </c>
      <c r="G5532" s="14" t="s">
        <v>343</v>
      </c>
      <c r="H5532" s="14" t="s">
        <v>343</v>
      </c>
      <c r="U5532" s="14">
        <v>0.63</v>
      </c>
      <c r="V5532" s="14">
        <v>0.61</v>
      </c>
      <c r="W5532" s="14">
        <v>0.6</v>
      </c>
      <c r="X5532" s="14">
        <v>0.63</v>
      </c>
    </row>
    <row r="5533" spans="1:24" hidden="1" x14ac:dyDescent="0.3">
      <c r="A5533" s="14" t="s">
        <v>537</v>
      </c>
      <c r="B5533" s="14" t="s">
        <v>245</v>
      </c>
      <c r="C5533" s="14" t="s">
        <v>345</v>
      </c>
      <c r="D5533" s="14" t="s">
        <v>346</v>
      </c>
      <c r="E5533" s="14" t="s">
        <v>344</v>
      </c>
      <c r="F5533" s="14" t="s">
        <v>343</v>
      </c>
      <c r="G5533" s="14" t="s">
        <v>343</v>
      </c>
      <c r="H5533" s="14" t="s">
        <v>343</v>
      </c>
      <c r="U5533" s="14">
        <v>66</v>
      </c>
      <c r="V5533" s="14">
        <v>78</v>
      </c>
      <c r="W5533" s="14">
        <v>82</v>
      </c>
      <c r="X5533" s="14">
        <v>80</v>
      </c>
    </row>
    <row r="5534" spans="1:24" hidden="1" x14ac:dyDescent="0.3">
      <c r="A5534" s="14" t="s">
        <v>537</v>
      </c>
      <c r="B5534" s="14" t="s">
        <v>245</v>
      </c>
      <c r="C5534" s="14" t="s">
        <v>347</v>
      </c>
      <c r="D5534" s="14" t="s">
        <v>348</v>
      </c>
      <c r="E5534" s="14" t="s">
        <v>342</v>
      </c>
      <c r="F5534" s="14" t="s">
        <v>343</v>
      </c>
      <c r="G5534" s="14" t="s">
        <v>343</v>
      </c>
      <c r="H5534" s="14" t="s">
        <v>343</v>
      </c>
      <c r="U5534" s="14">
        <v>0.83</v>
      </c>
      <c r="V5534" s="14">
        <v>0.83</v>
      </c>
      <c r="W5534" s="14">
        <v>0.84</v>
      </c>
      <c r="X5534" s="14">
        <v>0.76</v>
      </c>
    </row>
    <row r="5535" spans="1:24" hidden="1" x14ac:dyDescent="0.3">
      <c r="A5535" s="14" t="s">
        <v>537</v>
      </c>
      <c r="B5535" s="14" t="s">
        <v>245</v>
      </c>
      <c r="C5535" s="14" t="s">
        <v>347</v>
      </c>
      <c r="D5535" s="14" t="s">
        <v>348</v>
      </c>
      <c r="E5535" s="14" t="s">
        <v>344</v>
      </c>
      <c r="F5535" s="14" t="s">
        <v>343</v>
      </c>
      <c r="G5535" s="14" t="s">
        <v>343</v>
      </c>
      <c r="H5535" s="14" t="s">
        <v>343</v>
      </c>
      <c r="U5535" s="14">
        <v>65</v>
      </c>
      <c r="V5535" s="14">
        <v>72</v>
      </c>
      <c r="W5535" s="14">
        <v>71</v>
      </c>
      <c r="X5535" s="14">
        <v>81</v>
      </c>
    </row>
    <row r="5536" spans="1:24" hidden="1" x14ac:dyDescent="0.3">
      <c r="A5536" s="14" t="s">
        <v>537</v>
      </c>
      <c r="B5536" s="14" t="s">
        <v>245</v>
      </c>
      <c r="C5536" s="14" t="s">
        <v>349</v>
      </c>
      <c r="D5536" s="14" t="s">
        <v>350</v>
      </c>
      <c r="E5536" s="14" t="s">
        <v>342</v>
      </c>
      <c r="F5536" s="14" t="s">
        <v>343</v>
      </c>
      <c r="G5536" s="14" t="s">
        <v>343</v>
      </c>
      <c r="H5536" s="14" t="s">
        <v>343</v>
      </c>
      <c r="U5536" s="14">
        <v>0.7</v>
      </c>
      <c r="V5536" s="14">
        <v>0.68</v>
      </c>
      <c r="W5536" s="14">
        <v>0.7</v>
      </c>
      <c r="X5536" s="14">
        <v>0.69</v>
      </c>
    </row>
    <row r="5537" spans="1:24" hidden="1" x14ac:dyDescent="0.3">
      <c r="A5537" s="14" t="s">
        <v>537</v>
      </c>
      <c r="B5537" s="14" t="s">
        <v>245</v>
      </c>
      <c r="C5537" s="14" t="s">
        <v>349</v>
      </c>
      <c r="D5537" s="14" t="s">
        <v>350</v>
      </c>
      <c r="E5537" s="14" t="s">
        <v>344</v>
      </c>
      <c r="F5537" s="14" t="s">
        <v>343</v>
      </c>
      <c r="G5537" s="14" t="s">
        <v>343</v>
      </c>
      <c r="H5537" s="14" t="s">
        <v>343</v>
      </c>
      <c r="U5537" s="14">
        <v>23</v>
      </c>
      <c r="V5537" s="14">
        <v>24</v>
      </c>
      <c r="W5537" s="14">
        <v>31</v>
      </c>
      <c r="X5537" s="14">
        <v>33</v>
      </c>
    </row>
    <row r="5538" spans="1:24" hidden="1" x14ac:dyDescent="0.3">
      <c r="A5538" s="14" t="s">
        <v>537</v>
      </c>
      <c r="B5538" s="14" t="s">
        <v>245</v>
      </c>
      <c r="C5538" s="14" t="s">
        <v>351</v>
      </c>
      <c r="D5538" s="14" t="s">
        <v>352</v>
      </c>
      <c r="E5538" s="14" t="s">
        <v>342</v>
      </c>
      <c r="F5538" s="14" t="s">
        <v>343</v>
      </c>
      <c r="G5538" s="14" t="s">
        <v>343</v>
      </c>
      <c r="H5538" s="14" t="s">
        <v>343</v>
      </c>
      <c r="U5538" s="14">
        <v>1</v>
      </c>
      <c r="V5538" s="14">
        <v>1</v>
      </c>
      <c r="W5538" s="14">
        <v>1</v>
      </c>
      <c r="X5538" s="14">
        <v>1</v>
      </c>
    </row>
    <row r="5539" spans="1:24" hidden="1" x14ac:dyDescent="0.3">
      <c r="A5539" s="14" t="s">
        <v>537</v>
      </c>
      <c r="B5539" s="14" t="s">
        <v>245</v>
      </c>
      <c r="C5539" s="14" t="s">
        <v>351</v>
      </c>
      <c r="D5539" s="14" t="s">
        <v>352</v>
      </c>
      <c r="E5539" s="14" t="s">
        <v>344</v>
      </c>
      <c r="F5539" s="14" t="s">
        <v>343</v>
      </c>
      <c r="G5539" s="14" t="s">
        <v>343</v>
      </c>
      <c r="H5539" s="14" t="s">
        <v>343</v>
      </c>
      <c r="U5539" s="14">
        <v>1</v>
      </c>
      <c r="V5539" s="14">
        <v>1</v>
      </c>
      <c r="W5539" s="14">
        <v>1</v>
      </c>
      <c r="X5539" s="14">
        <v>1</v>
      </c>
    </row>
    <row r="5540" spans="1:24" hidden="1" x14ac:dyDescent="0.3">
      <c r="A5540" s="14" t="s">
        <v>537</v>
      </c>
      <c r="B5540" s="14" t="s">
        <v>245</v>
      </c>
      <c r="C5540" s="14" t="s">
        <v>378</v>
      </c>
      <c r="D5540" s="14" t="s">
        <v>379</v>
      </c>
      <c r="E5540" s="14" t="s">
        <v>342</v>
      </c>
      <c r="F5540" s="14" t="s">
        <v>343</v>
      </c>
      <c r="G5540" s="14" t="s">
        <v>343</v>
      </c>
      <c r="H5540" s="14" t="s">
        <v>343</v>
      </c>
      <c r="S5540" s="14">
        <v>0.66</v>
      </c>
      <c r="U5540" s="14">
        <v>0.7</v>
      </c>
      <c r="V5540" s="14">
        <v>0.69</v>
      </c>
      <c r="W5540" s="14">
        <v>0.67</v>
      </c>
      <c r="X5540" s="14">
        <v>0.64</v>
      </c>
    </row>
    <row r="5541" spans="1:24" hidden="1" x14ac:dyDescent="0.3">
      <c r="A5541" s="14" t="s">
        <v>537</v>
      </c>
      <c r="B5541" s="14" t="s">
        <v>245</v>
      </c>
      <c r="C5541" s="14" t="s">
        <v>378</v>
      </c>
      <c r="D5541" s="14" t="s">
        <v>379</v>
      </c>
      <c r="E5541" s="14" t="s">
        <v>344</v>
      </c>
      <c r="F5541" s="14" t="s">
        <v>343</v>
      </c>
      <c r="G5541" s="14" t="s">
        <v>343</v>
      </c>
      <c r="H5541" s="14" t="s">
        <v>343</v>
      </c>
      <c r="S5541" s="14">
        <v>59</v>
      </c>
      <c r="U5541" s="14">
        <v>39</v>
      </c>
      <c r="V5541" s="14">
        <v>55</v>
      </c>
      <c r="W5541" s="14">
        <v>73</v>
      </c>
      <c r="X5541" s="14">
        <v>78</v>
      </c>
    </row>
    <row r="5542" spans="1:24" hidden="1" x14ac:dyDescent="0.3">
      <c r="A5542" s="14" t="s">
        <v>537</v>
      </c>
      <c r="B5542" s="14" t="s">
        <v>245</v>
      </c>
      <c r="C5542" s="14" t="s">
        <v>353</v>
      </c>
      <c r="D5542" s="14" t="s">
        <v>354</v>
      </c>
      <c r="E5542" s="14" t="s">
        <v>342</v>
      </c>
      <c r="F5542" s="14" t="s">
        <v>343</v>
      </c>
      <c r="G5542" s="14" t="s">
        <v>343</v>
      </c>
      <c r="H5542" s="14" t="s">
        <v>343</v>
      </c>
      <c r="U5542" s="14">
        <v>1</v>
      </c>
      <c r="V5542" s="14">
        <v>1</v>
      </c>
      <c r="W5542" s="14">
        <v>1</v>
      </c>
      <c r="X5542" s="14">
        <v>1</v>
      </c>
    </row>
    <row r="5543" spans="1:24" hidden="1" x14ac:dyDescent="0.3">
      <c r="A5543" s="14" t="s">
        <v>537</v>
      </c>
      <c r="B5543" s="14" t="s">
        <v>245</v>
      </c>
      <c r="C5543" s="14" t="s">
        <v>353</v>
      </c>
      <c r="D5543" s="14" t="s">
        <v>354</v>
      </c>
      <c r="E5543" s="14" t="s">
        <v>344</v>
      </c>
      <c r="F5543" s="14" t="s">
        <v>343</v>
      </c>
      <c r="G5543" s="14" t="s">
        <v>343</v>
      </c>
      <c r="H5543" s="14" t="s">
        <v>343</v>
      </c>
      <c r="U5543" s="14">
        <v>44</v>
      </c>
      <c r="V5543" s="14">
        <v>50</v>
      </c>
      <c r="W5543" s="14">
        <v>50</v>
      </c>
      <c r="X5543" s="14">
        <v>49</v>
      </c>
    </row>
    <row r="5544" spans="1:24" hidden="1" x14ac:dyDescent="0.3">
      <c r="A5544" s="14" t="s">
        <v>537</v>
      </c>
      <c r="B5544" s="14" t="s">
        <v>245</v>
      </c>
      <c r="C5544" s="14" t="s">
        <v>380</v>
      </c>
      <c r="D5544" s="14" t="s">
        <v>381</v>
      </c>
      <c r="E5544" s="14" t="s">
        <v>342</v>
      </c>
      <c r="F5544" s="14" t="s">
        <v>343</v>
      </c>
      <c r="G5544" s="14" t="s">
        <v>343</v>
      </c>
      <c r="H5544" s="14" t="s">
        <v>343</v>
      </c>
      <c r="U5544" s="14">
        <v>1</v>
      </c>
      <c r="V5544" s="14">
        <v>1</v>
      </c>
      <c r="W5544" s="14">
        <v>1</v>
      </c>
      <c r="X5544" s="14">
        <v>1</v>
      </c>
    </row>
    <row r="5545" spans="1:24" hidden="1" x14ac:dyDescent="0.3">
      <c r="A5545" s="14" t="s">
        <v>537</v>
      </c>
      <c r="B5545" s="14" t="s">
        <v>245</v>
      </c>
      <c r="C5545" s="14" t="s">
        <v>380</v>
      </c>
      <c r="D5545" s="14" t="s">
        <v>381</v>
      </c>
      <c r="E5545" s="14" t="s">
        <v>344</v>
      </c>
      <c r="F5545" s="14" t="s">
        <v>343</v>
      </c>
      <c r="G5545" s="14" t="s">
        <v>343</v>
      </c>
      <c r="H5545" s="14" t="s">
        <v>343</v>
      </c>
      <c r="U5545" s="14">
        <v>1</v>
      </c>
      <c r="V5545" s="14">
        <v>1</v>
      </c>
      <c r="W5545" s="14">
        <v>1</v>
      </c>
      <c r="X5545" s="14">
        <v>1</v>
      </c>
    </row>
    <row r="5546" spans="1:24" hidden="1" x14ac:dyDescent="0.3">
      <c r="A5546" s="14" t="s">
        <v>537</v>
      </c>
      <c r="B5546" s="14" t="s">
        <v>245</v>
      </c>
      <c r="C5546" s="14" t="s">
        <v>355</v>
      </c>
      <c r="D5546" s="14" t="s">
        <v>356</v>
      </c>
      <c r="E5546" s="14" t="s">
        <v>342</v>
      </c>
      <c r="F5546" s="14" t="s">
        <v>343</v>
      </c>
      <c r="G5546" s="14" t="s">
        <v>343</v>
      </c>
      <c r="H5546" s="14" t="s">
        <v>343</v>
      </c>
      <c r="U5546" s="14">
        <v>1</v>
      </c>
      <c r="V5546" s="14">
        <v>1</v>
      </c>
      <c r="W5546" s="14">
        <v>1</v>
      </c>
      <c r="X5546" s="14">
        <v>0.98</v>
      </c>
    </row>
    <row r="5547" spans="1:24" hidden="1" x14ac:dyDescent="0.3">
      <c r="A5547" s="14" t="s">
        <v>537</v>
      </c>
      <c r="B5547" s="14" t="s">
        <v>245</v>
      </c>
      <c r="C5547" s="14" t="s">
        <v>355</v>
      </c>
      <c r="D5547" s="14" t="s">
        <v>356</v>
      </c>
      <c r="E5547" s="14" t="s">
        <v>344</v>
      </c>
      <c r="F5547" s="14" t="s">
        <v>343</v>
      </c>
      <c r="G5547" s="14" t="s">
        <v>343</v>
      </c>
      <c r="H5547" s="14" t="s">
        <v>343</v>
      </c>
      <c r="U5547" s="14">
        <v>1</v>
      </c>
      <c r="V5547" s="14">
        <v>1</v>
      </c>
      <c r="W5547" s="14">
        <v>1</v>
      </c>
      <c r="X5547" s="14">
        <v>92</v>
      </c>
    </row>
    <row r="5548" spans="1:24" hidden="1" x14ac:dyDescent="0.3">
      <c r="A5548" s="14" t="s">
        <v>537</v>
      </c>
      <c r="B5548" s="14" t="s">
        <v>245</v>
      </c>
      <c r="C5548" s="14" t="s">
        <v>357</v>
      </c>
      <c r="D5548" s="14" t="s">
        <v>358</v>
      </c>
      <c r="E5548" s="14" t="s">
        <v>342</v>
      </c>
      <c r="F5548" s="14" t="s">
        <v>343</v>
      </c>
      <c r="G5548" s="14" t="s">
        <v>343</v>
      </c>
      <c r="H5548" s="14" t="s">
        <v>343</v>
      </c>
      <c r="U5548" s="14">
        <v>1</v>
      </c>
      <c r="V5548" s="14">
        <v>1</v>
      </c>
      <c r="W5548" s="14">
        <v>1</v>
      </c>
      <c r="X5548" s="14">
        <v>1</v>
      </c>
    </row>
    <row r="5549" spans="1:24" hidden="1" x14ac:dyDescent="0.3">
      <c r="A5549" s="14" t="s">
        <v>537</v>
      </c>
      <c r="B5549" s="14" t="s">
        <v>245</v>
      </c>
      <c r="C5549" s="14" t="s">
        <v>357</v>
      </c>
      <c r="D5549" s="14" t="s">
        <v>358</v>
      </c>
      <c r="E5549" s="14" t="s">
        <v>344</v>
      </c>
      <c r="F5549" s="14" t="s">
        <v>343</v>
      </c>
      <c r="G5549" s="14" t="s">
        <v>343</v>
      </c>
      <c r="H5549" s="14" t="s">
        <v>343</v>
      </c>
      <c r="U5549" s="14">
        <v>1</v>
      </c>
      <c r="V5549" s="14">
        <v>1</v>
      </c>
      <c r="W5549" s="14">
        <v>1</v>
      </c>
      <c r="X5549" s="14">
        <v>1</v>
      </c>
    </row>
    <row r="5550" spans="1:24" hidden="1" x14ac:dyDescent="0.3">
      <c r="A5550" s="14" t="s">
        <v>537</v>
      </c>
      <c r="B5550" s="14" t="s">
        <v>245</v>
      </c>
      <c r="C5550" s="14" t="s">
        <v>359</v>
      </c>
      <c r="D5550" s="14" t="s">
        <v>360</v>
      </c>
      <c r="E5550" s="14" t="s">
        <v>342</v>
      </c>
      <c r="F5550" s="14" t="s">
        <v>343</v>
      </c>
      <c r="G5550" s="14" t="s">
        <v>343</v>
      </c>
      <c r="H5550" s="14" t="s">
        <v>343</v>
      </c>
      <c r="I5550" s="14">
        <v>0.69</v>
      </c>
      <c r="J5550" s="14">
        <v>0.71</v>
      </c>
      <c r="K5550" s="14">
        <v>0.71</v>
      </c>
      <c r="L5550" s="14">
        <v>0.72</v>
      </c>
      <c r="M5550" s="14">
        <v>0.71</v>
      </c>
      <c r="N5550" s="14">
        <v>0.7</v>
      </c>
      <c r="O5550" s="14">
        <v>0.73</v>
      </c>
      <c r="P5550" s="14">
        <v>0.74</v>
      </c>
      <c r="Q5550" s="14">
        <v>0.75</v>
      </c>
      <c r="R5550" s="14">
        <v>0.73</v>
      </c>
      <c r="S5550" s="14">
        <v>0.72</v>
      </c>
      <c r="T5550" s="14">
        <v>0.74</v>
      </c>
      <c r="U5550" s="14">
        <v>0.75</v>
      </c>
      <c r="V5550" s="14">
        <v>0.74</v>
      </c>
      <c r="W5550" s="14">
        <v>0.73</v>
      </c>
      <c r="X5550" s="14">
        <v>0.71</v>
      </c>
    </row>
    <row r="5551" spans="1:24" hidden="1" x14ac:dyDescent="0.3">
      <c r="A5551" s="14" t="s">
        <v>537</v>
      </c>
      <c r="B5551" s="14" t="s">
        <v>245</v>
      </c>
      <c r="C5551" s="14" t="s">
        <v>359</v>
      </c>
      <c r="D5551" s="14" t="s">
        <v>360</v>
      </c>
      <c r="E5551" s="14" t="s">
        <v>344</v>
      </c>
      <c r="F5551" s="14" t="s">
        <v>343</v>
      </c>
      <c r="G5551" s="14" t="s">
        <v>343</v>
      </c>
      <c r="H5551" s="14" t="s">
        <v>343</v>
      </c>
      <c r="I5551" s="14">
        <v>24</v>
      </c>
      <c r="J5551" s="14">
        <v>26</v>
      </c>
      <c r="K5551" s="14">
        <v>27</v>
      </c>
      <c r="L5551" s="14">
        <v>33</v>
      </c>
      <c r="M5551" s="14">
        <v>43</v>
      </c>
      <c r="N5551" s="14">
        <v>44</v>
      </c>
      <c r="O5551" s="14">
        <v>34</v>
      </c>
      <c r="P5551" s="14">
        <v>30</v>
      </c>
      <c r="Q5551" s="14">
        <v>31</v>
      </c>
      <c r="R5551" s="14">
        <v>40</v>
      </c>
      <c r="S5551" s="14">
        <v>40</v>
      </c>
      <c r="T5551" s="14">
        <v>34</v>
      </c>
      <c r="U5551" s="14">
        <v>28</v>
      </c>
      <c r="V5551" s="14">
        <v>39</v>
      </c>
      <c r="W5551" s="14">
        <v>44</v>
      </c>
      <c r="X5551" s="14">
        <v>62</v>
      </c>
    </row>
    <row r="5552" spans="1:24" x14ac:dyDescent="0.3">
      <c r="A5552" s="14" t="s">
        <v>537</v>
      </c>
      <c r="B5552" s="14" t="s">
        <v>245</v>
      </c>
      <c r="C5552" s="14" t="s">
        <v>361</v>
      </c>
      <c r="D5552" s="14" t="s">
        <v>362</v>
      </c>
      <c r="E5552" s="14" t="s">
        <v>342</v>
      </c>
      <c r="F5552" s="14" t="s">
        <v>343</v>
      </c>
      <c r="G5552" s="14" t="s">
        <v>343</v>
      </c>
      <c r="H5552" s="14" t="s">
        <v>343</v>
      </c>
      <c r="I5552" s="14">
        <v>0.98</v>
      </c>
      <c r="J5552" s="14">
        <v>0.97</v>
      </c>
      <c r="K5552" s="14">
        <v>0.98</v>
      </c>
      <c r="L5552" s="14">
        <v>0.98</v>
      </c>
      <c r="M5552" s="14">
        <v>0.98</v>
      </c>
      <c r="N5552" s="14">
        <v>0.98</v>
      </c>
      <c r="O5552" s="14">
        <v>0.98</v>
      </c>
      <c r="P5552" s="14">
        <v>0.97</v>
      </c>
      <c r="Q5552" s="14">
        <v>0.97</v>
      </c>
      <c r="R5552" s="14">
        <v>0.98</v>
      </c>
      <c r="S5552" s="14">
        <v>0.98</v>
      </c>
      <c r="T5552" s="14">
        <v>0.98</v>
      </c>
      <c r="U5552" s="14">
        <v>0.98</v>
      </c>
      <c r="V5552" s="14">
        <v>0.98</v>
      </c>
      <c r="W5552" s="14">
        <v>0.98</v>
      </c>
      <c r="X5552" s="14">
        <v>0.98</v>
      </c>
    </row>
    <row r="5553" spans="1:24" hidden="1" x14ac:dyDescent="0.3">
      <c r="A5553" s="14" t="s">
        <v>537</v>
      </c>
      <c r="B5553" s="14" t="s">
        <v>245</v>
      </c>
      <c r="C5553" s="14" t="s">
        <v>361</v>
      </c>
      <c r="D5553" s="14" t="s">
        <v>362</v>
      </c>
      <c r="E5553" s="14" t="s">
        <v>344</v>
      </c>
      <c r="F5553" s="14" t="s">
        <v>343</v>
      </c>
      <c r="G5553" s="14" t="s">
        <v>343</v>
      </c>
      <c r="H5553" s="14" t="s">
        <v>343</v>
      </c>
      <c r="I5553" s="14">
        <v>1</v>
      </c>
      <c r="J5553" s="14">
        <v>74</v>
      </c>
      <c r="K5553" s="14">
        <v>38</v>
      </c>
      <c r="L5553" s="14">
        <v>41</v>
      </c>
      <c r="M5553" s="14">
        <v>56</v>
      </c>
      <c r="N5553" s="14">
        <v>56</v>
      </c>
      <c r="O5553" s="14">
        <v>34</v>
      </c>
      <c r="P5553" s="14">
        <v>75</v>
      </c>
      <c r="Q5553" s="14">
        <v>74</v>
      </c>
      <c r="R5553" s="14">
        <v>42</v>
      </c>
      <c r="S5553" s="14">
        <v>40</v>
      </c>
      <c r="T5553" s="14">
        <v>51</v>
      </c>
      <c r="U5553" s="14">
        <v>56</v>
      </c>
      <c r="V5553" s="14">
        <v>52</v>
      </c>
      <c r="W5553" s="14">
        <v>41</v>
      </c>
      <c r="X5553" s="14">
        <v>37</v>
      </c>
    </row>
    <row r="5554" spans="1:24" hidden="1" x14ac:dyDescent="0.3">
      <c r="A5554" s="14" t="s">
        <v>537</v>
      </c>
      <c r="B5554" s="14" t="s">
        <v>245</v>
      </c>
      <c r="C5554" s="14" t="s">
        <v>363</v>
      </c>
      <c r="D5554" s="14" t="s">
        <v>364</v>
      </c>
      <c r="E5554" s="14" t="s">
        <v>342</v>
      </c>
      <c r="F5554" s="14" t="s">
        <v>343</v>
      </c>
      <c r="G5554" s="14" t="s">
        <v>343</v>
      </c>
      <c r="H5554" s="14" t="s">
        <v>343</v>
      </c>
      <c r="U5554" s="14">
        <v>1.06</v>
      </c>
      <c r="V5554" s="14">
        <v>1.06</v>
      </c>
      <c r="W5554" s="14">
        <v>1.06</v>
      </c>
      <c r="X5554" s="14">
        <v>1.06</v>
      </c>
    </row>
    <row r="5555" spans="1:24" hidden="1" x14ac:dyDescent="0.3">
      <c r="A5555" s="14" t="s">
        <v>537</v>
      </c>
      <c r="B5555" s="14" t="s">
        <v>245</v>
      </c>
      <c r="C5555" s="14" t="s">
        <v>363</v>
      </c>
      <c r="D5555" s="14" t="s">
        <v>364</v>
      </c>
      <c r="E5555" s="14" t="s">
        <v>344</v>
      </c>
      <c r="F5555" s="14" t="s">
        <v>343</v>
      </c>
      <c r="G5555" s="14" t="s">
        <v>343</v>
      </c>
      <c r="H5555" s="14" t="s">
        <v>343</v>
      </c>
      <c r="U5555" s="14">
        <v>1</v>
      </c>
      <c r="V5555" s="14">
        <v>1</v>
      </c>
      <c r="W5555" s="14">
        <v>1</v>
      </c>
      <c r="X5555" s="14">
        <v>1</v>
      </c>
    </row>
    <row r="5556" spans="1:24" hidden="1" x14ac:dyDescent="0.3">
      <c r="A5556" s="14" t="s">
        <v>537</v>
      </c>
      <c r="B5556" s="14" t="s">
        <v>245</v>
      </c>
      <c r="C5556" s="14" t="s">
        <v>365</v>
      </c>
      <c r="D5556" s="14" t="s">
        <v>366</v>
      </c>
      <c r="E5556" s="14" t="s">
        <v>342</v>
      </c>
      <c r="F5556" s="14" t="s">
        <v>343</v>
      </c>
      <c r="G5556" s="14" t="s">
        <v>343</v>
      </c>
      <c r="H5556" s="14" t="s">
        <v>343</v>
      </c>
      <c r="U5556" s="14">
        <v>0.94</v>
      </c>
      <c r="V5556" s="14">
        <v>0.94</v>
      </c>
      <c r="W5556" s="14">
        <v>0.94</v>
      </c>
      <c r="X5556" s="14">
        <v>0.94</v>
      </c>
    </row>
    <row r="5557" spans="1:24" hidden="1" x14ac:dyDescent="0.3">
      <c r="A5557" s="14" t="s">
        <v>537</v>
      </c>
      <c r="B5557" s="14" t="s">
        <v>245</v>
      </c>
      <c r="C5557" s="14" t="s">
        <v>365</v>
      </c>
      <c r="D5557" s="14" t="s">
        <v>366</v>
      </c>
      <c r="E5557" s="14" t="s">
        <v>344</v>
      </c>
      <c r="F5557" s="14" t="s">
        <v>343</v>
      </c>
      <c r="G5557" s="14" t="s">
        <v>343</v>
      </c>
      <c r="H5557" s="14" t="s">
        <v>343</v>
      </c>
      <c r="U5557" s="14">
        <v>129</v>
      </c>
      <c r="V5557" s="14">
        <v>124</v>
      </c>
      <c r="W5557" s="14">
        <v>127</v>
      </c>
      <c r="X5557" s="14">
        <v>122</v>
      </c>
    </row>
    <row r="5558" spans="1:24" hidden="1" x14ac:dyDescent="0.3">
      <c r="A5558" s="14" t="s">
        <v>537</v>
      </c>
      <c r="B5558" s="14" t="s">
        <v>245</v>
      </c>
      <c r="C5558" s="14" t="s">
        <v>367</v>
      </c>
      <c r="D5558" s="14" t="s">
        <v>368</v>
      </c>
      <c r="E5558" s="14" t="s">
        <v>342</v>
      </c>
      <c r="F5558" s="14" t="s">
        <v>343</v>
      </c>
      <c r="G5558" s="14" t="s">
        <v>343</v>
      </c>
      <c r="H5558" s="14" t="s">
        <v>343</v>
      </c>
      <c r="I5558" s="14">
        <v>0.68</v>
      </c>
      <c r="J5558" s="14">
        <v>0.68</v>
      </c>
      <c r="K5558" s="14">
        <v>0.69</v>
      </c>
      <c r="L5558" s="14">
        <v>0.69</v>
      </c>
      <c r="M5558" s="14">
        <v>0.69</v>
      </c>
      <c r="N5558" s="14">
        <v>0.69</v>
      </c>
      <c r="O5558" s="14">
        <v>0.69</v>
      </c>
      <c r="P5558" s="14">
        <v>0.69</v>
      </c>
      <c r="Q5558" s="14">
        <v>0.71</v>
      </c>
      <c r="R5558" s="14">
        <v>0.7</v>
      </c>
      <c r="S5558" s="14">
        <v>0.7</v>
      </c>
      <c r="T5558" s="14">
        <v>0.7</v>
      </c>
      <c r="U5558" s="14">
        <v>0.71</v>
      </c>
      <c r="V5558" s="14">
        <v>0.72</v>
      </c>
      <c r="W5558" s="14">
        <v>0.71</v>
      </c>
      <c r="X5558" s="14">
        <v>0.71</v>
      </c>
    </row>
    <row r="5559" spans="1:24" hidden="1" x14ac:dyDescent="0.3">
      <c r="A5559" s="14" t="s">
        <v>537</v>
      </c>
      <c r="B5559" s="14" t="s">
        <v>245</v>
      </c>
      <c r="C5559" s="14" t="s">
        <v>367</v>
      </c>
      <c r="D5559" s="14" t="s">
        <v>368</v>
      </c>
      <c r="E5559" s="14" t="s">
        <v>344</v>
      </c>
      <c r="F5559" s="14" t="s">
        <v>343</v>
      </c>
      <c r="G5559" s="14" t="s">
        <v>343</v>
      </c>
      <c r="H5559" s="14" t="s">
        <v>343</v>
      </c>
      <c r="I5559" s="14">
        <v>48</v>
      </c>
      <c r="J5559" s="14">
        <v>57</v>
      </c>
      <c r="K5559" s="14">
        <v>62</v>
      </c>
      <c r="L5559" s="14">
        <v>61</v>
      </c>
      <c r="M5559" s="14">
        <v>63</v>
      </c>
      <c r="N5559" s="14">
        <v>64</v>
      </c>
      <c r="O5559" s="14">
        <v>64</v>
      </c>
      <c r="P5559" s="14">
        <v>64</v>
      </c>
      <c r="Q5559" s="14">
        <v>56</v>
      </c>
      <c r="R5559" s="14">
        <v>67</v>
      </c>
      <c r="S5559" s="14">
        <v>69</v>
      </c>
      <c r="T5559" s="14">
        <v>61</v>
      </c>
      <c r="U5559" s="14">
        <v>65</v>
      </c>
      <c r="V5559" s="14">
        <v>59</v>
      </c>
      <c r="W5559" s="14">
        <v>74</v>
      </c>
      <c r="X5559" s="14">
        <v>81</v>
      </c>
    </row>
    <row r="5560" spans="1:24" hidden="1" x14ac:dyDescent="0.3">
      <c r="A5560" s="14" t="s">
        <v>537</v>
      </c>
      <c r="B5560" s="14" t="s">
        <v>245</v>
      </c>
      <c r="C5560" s="14" t="s">
        <v>369</v>
      </c>
      <c r="D5560" s="14" t="s">
        <v>370</v>
      </c>
      <c r="E5560" s="14" t="s">
        <v>342</v>
      </c>
      <c r="F5560" s="14" t="s">
        <v>343</v>
      </c>
      <c r="G5560" s="14" t="s">
        <v>343</v>
      </c>
      <c r="H5560" s="14" t="s">
        <v>343</v>
      </c>
      <c r="I5560" s="14">
        <v>0.05</v>
      </c>
      <c r="J5560" s="14">
        <v>0.05</v>
      </c>
      <c r="K5560" s="14">
        <v>0.05</v>
      </c>
      <c r="L5560" s="14">
        <v>0.06</v>
      </c>
      <c r="M5560" s="14">
        <v>0.06</v>
      </c>
      <c r="N5560" s="14">
        <v>0.06</v>
      </c>
      <c r="O5560" s="14">
        <v>0.05</v>
      </c>
      <c r="P5560" s="14">
        <v>0.06</v>
      </c>
      <c r="Q5560" s="14">
        <v>0.1</v>
      </c>
      <c r="R5560" s="14">
        <v>0.1</v>
      </c>
      <c r="S5560" s="14">
        <v>0.1</v>
      </c>
      <c r="T5560" s="14">
        <v>0.11</v>
      </c>
      <c r="U5560" s="14">
        <v>0.11</v>
      </c>
      <c r="V5560" s="14">
        <v>0.17</v>
      </c>
      <c r="W5560" s="14">
        <v>0.15</v>
      </c>
      <c r="X5560" s="14">
        <v>0.14000000000000001</v>
      </c>
    </row>
    <row r="5561" spans="1:24" hidden="1" x14ac:dyDescent="0.3">
      <c r="A5561" s="14" t="s">
        <v>537</v>
      </c>
      <c r="B5561" s="14" t="s">
        <v>245</v>
      </c>
      <c r="C5561" s="14" t="s">
        <v>369</v>
      </c>
      <c r="D5561" s="14" t="s">
        <v>370</v>
      </c>
      <c r="E5561" s="14" t="s">
        <v>344</v>
      </c>
      <c r="F5561" s="14" t="s">
        <v>343</v>
      </c>
      <c r="G5561" s="14" t="s">
        <v>343</v>
      </c>
      <c r="H5561" s="14" t="s">
        <v>343</v>
      </c>
      <c r="I5561" s="14">
        <v>97</v>
      </c>
      <c r="J5561" s="14">
        <v>109</v>
      </c>
      <c r="K5561" s="14">
        <v>117</v>
      </c>
      <c r="L5561" s="14">
        <v>117</v>
      </c>
      <c r="M5561" s="14">
        <v>105</v>
      </c>
      <c r="N5561" s="14">
        <v>106</v>
      </c>
      <c r="O5561" s="14">
        <v>119</v>
      </c>
      <c r="P5561" s="14">
        <v>119</v>
      </c>
      <c r="Q5561" s="14">
        <v>105</v>
      </c>
      <c r="R5561" s="14">
        <v>107</v>
      </c>
      <c r="S5561" s="14">
        <v>107</v>
      </c>
      <c r="T5561" s="14">
        <v>103</v>
      </c>
      <c r="U5561" s="14">
        <v>105</v>
      </c>
      <c r="V5561" s="14">
        <v>83</v>
      </c>
      <c r="W5561" s="14">
        <v>103</v>
      </c>
      <c r="X5561" s="14">
        <v>100</v>
      </c>
    </row>
    <row r="5562" spans="1:24" hidden="1" x14ac:dyDescent="0.3">
      <c r="A5562" s="14" t="s">
        <v>537</v>
      </c>
      <c r="B5562" s="14" t="s">
        <v>245</v>
      </c>
      <c r="C5562" s="14" t="s">
        <v>371</v>
      </c>
      <c r="D5562" s="14" t="s">
        <v>372</v>
      </c>
      <c r="E5562" s="14" t="s">
        <v>342</v>
      </c>
      <c r="F5562" s="14" t="s">
        <v>343</v>
      </c>
      <c r="G5562" s="14" t="s">
        <v>343</v>
      </c>
      <c r="H5562" s="14" t="s">
        <v>343</v>
      </c>
      <c r="U5562" s="14">
        <v>0.06</v>
      </c>
      <c r="V5562" s="14">
        <v>0.06</v>
      </c>
      <c r="W5562" s="14">
        <v>0.06</v>
      </c>
      <c r="X5562" s="14">
        <v>0.06</v>
      </c>
    </row>
    <row r="5563" spans="1:24" hidden="1" x14ac:dyDescent="0.3">
      <c r="A5563" s="14" t="s">
        <v>537</v>
      </c>
      <c r="B5563" s="14" t="s">
        <v>245</v>
      </c>
      <c r="C5563" s="14" t="s">
        <v>371</v>
      </c>
      <c r="D5563" s="14" t="s">
        <v>372</v>
      </c>
      <c r="E5563" s="14" t="s">
        <v>344</v>
      </c>
      <c r="F5563" s="14" t="s">
        <v>343</v>
      </c>
      <c r="G5563" s="14" t="s">
        <v>343</v>
      </c>
      <c r="H5563" s="14" t="s">
        <v>343</v>
      </c>
      <c r="U5563" s="14">
        <v>38</v>
      </c>
      <c r="V5563" s="14">
        <v>42</v>
      </c>
      <c r="W5563" s="14">
        <v>44</v>
      </c>
      <c r="X5563" s="14">
        <v>45</v>
      </c>
    </row>
    <row r="5564" spans="1:24" hidden="1" x14ac:dyDescent="0.3">
      <c r="A5564" s="14" t="s">
        <v>537</v>
      </c>
      <c r="B5564" s="14" t="s">
        <v>245</v>
      </c>
      <c r="C5564" s="14" t="s">
        <v>373</v>
      </c>
      <c r="D5564" s="14" t="s">
        <v>374</v>
      </c>
      <c r="E5564" s="14" t="s">
        <v>342</v>
      </c>
      <c r="F5564" s="14" t="s">
        <v>343</v>
      </c>
      <c r="G5564" s="14" t="s">
        <v>343</v>
      </c>
      <c r="H5564" s="14" t="s">
        <v>343</v>
      </c>
      <c r="U5564" s="14">
        <v>0.15</v>
      </c>
      <c r="V5564" s="14">
        <v>0.26</v>
      </c>
      <c r="W5564" s="14">
        <v>0.16</v>
      </c>
      <c r="X5564" s="14">
        <v>0.16</v>
      </c>
    </row>
    <row r="5565" spans="1:24" hidden="1" x14ac:dyDescent="0.3">
      <c r="A5565" s="14" t="s">
        <v>537</v>
      </c>
      <c r="B5565" s="14" t="s">
        <v>245</v>
      </c>
      <c r="C5565" s="14" t="s">
        <v>373</v>
      </c>
      <c r="D5565" s="14" t="s">
        <v>374</v>
      </c>
      <c r="E5565" s="14" t="s">
        <v>344</v>
      </c>
      <c r="F5565" s="14" t="s">
        <v>343</v>
      </c>
      <c r="G5565" s="14" t="s">
        <v>343</v>
      </c>
      <c r="H5565" s="14" t="s">
        <v>343</v>
      </c>
      <c r="U5565" s="14">
        <v>102</v>
      </c>
      <c r="V5565" s="14">
        <v>82</v>
      </c>
      <c r="W5565" s="14">
        <v>110</v>
      </c>
      <c r="X5565" s="14">
        <v>105</v>
      </c>
    </row>
    <row r="5566" spans="1:24" hidden="1" x14ac:dyDescent="0.3">
      <c r="A5566" s="14" t="s">
        <v>537</v>
      </c>
      <c r="B5566" s="14" t="s">
        <v>245</v>
      </c>
      <c r="C5566" s="14" t="s">
        <v>375</v>
      </c>
      <c r="D5566" s="14" t="s">
        <v>376</v>
      </c>
      <c r="E5566" s="14" t="s">
        <v>342</v>
      </c>
      <c r="F5566" s="14" t="s">
        <v>343</v>
      </c>
      <c r="G5566" s="14" t="s">
        <v>343</v>
      </c>
      <c r="H5566" s="14" t="s">
        <v>343</v>
      </c>
      <c r="U5566" s="14">
        <v>0.14000000000000001</v>
      </c>
      <c r="V5566" s="14">
        <v>0.26</v>
      </c>
      <c r="W5566" s="14">
        <v>0.26</v>
      </c>
      <c r="X5566" s="14">
        <v>0.26</v>
      </c>
    </row>
    <row r="5567" spans="1:24" hidden="1" x14ac:dyDescent="0.3">
      <c r="A5567" s="14" t="s">
        <v>537</v>
      </c>
      <c r="B5567" s="14" t="s">
        <v>245</v>
      </c>
      <c r="C5567" s="14" t="s">
        <v>375</v>
      </c>
      <c r="D5567" s="14" t="s">
        <v>376</v>
      </c>
      <c r="E5567" s="14" t="s">
        <v>344</v>
      </c>
      <c r="F5567" s="14" t="s">
        <v>343</v>
      </c>
      <c r="G5567" s="14" t="s">
        <v>343</v>
      </c>
      <c r="H5567" s="14" t="s">
        <v>343</v>
      </c>
      <c r="U5567" s="14">
        <v>121</v>
      </c>
      <c r="V5567" s="14">
        <v>88</v>
      </c>
      <c r="W5567" s="14">
        <v>98</v>
      </c>
      <c r="X5567" s="14">
        <v>96</v>
      </c>
    </row>
    <row r="5568" spans="1:24" hidden="1" x14ac:dyDescent="0.3">
      <c r="A5568" s="14" t="s">
        <v>538</v>
      </c>
      <c r="B5568" s="14" t="s">
        <v>251</v>
      </c>
      <c r="C5568" s="14" t="s">
        <v>340</v>
      </c>
      <c r="D5568" s="14" t="s">
        <v>341</v>
      </c>
      <c r="E5568" s="14" t="s">
        <v>342</v>
      </c>
      <c r="F5568" s="14" t="s">
        <v>343</v>
      </c>
      <c r="G5568" s="14" t="s">
        <v>343</v>
      </c>
      <c r="H5568" s="14" t="s">
        <v>343</v>
      </c>
      <c r="I5568" s="14">
        <v>0.99</v>
      </c>
      <c r="J5568" s="14">
        <v>0.99</v>
      </c>
      <c r="K5568" s="14">
        <v>1</v>
      </c>
      <c r="L5568" s="14">
        <v>1</v>
      </c>
      <c r="M5568" s="14">
        <v>1</v>
      </c>
      <c r="N5568" s="14">
        <v>1</v>
      </c>
      <c r="O5568" s="14">
        <v>1</v>
      </c>
      <c r="P5568" s="14">
        <v>1</v>
      </c>
      <c r="Q5568" s="14">
        <v>1</v>
      </c>
      <c r="R5568" s="14">
        <v>1</v>
      </c>
      <c r="S5568" s="14">
        <v>1</v>
      </c>
      <c r="T5568" s="14">
        <v>1</v>
      </c>
      <c r="U5568" s="14">
        <v>1</v>
      </c>
      <c r="V5568" s="14">
        <v>1</v>
      </c>
      <c r="W5568" s="14">
        <v>1</v>
      </c>
      <c r="X5568" s="14">
        <v>1</v>
      </c>
    </row>
    <row r="5569" spans="1:24" hidden="1" x14ac:dyDescent="0.3">
      <c r="A5569" s="14" t="s">
        <v>538</v>
      </c>
      <c r="B5569" s="14" t="s">
        <v>251</v>
      </c>
      <c r="C5569" s="14" t="s">
        <v>340</v>
      </c>
      <c r="D5569" s="14" t="s">
        <v>341</v>
      </c>
      <c r="E5569" s="14" t="s">
        <v>344</v>
      </c>
      <c r="F5569" s="14" t="s">
        <v>343</v>
      </c>
      <c r="G5569" s="14" t="s">
        <v>343</v>
      </c>
      <c r="H5569" s="14" t="s">
        <v>343</v>
      </c>
      <c r="I5569" s="14">
        <v>46</v>
      </c>
      <c r="J5569" s="14">
        <v>53</v>
      </c>
      <c r="K5569" s="14">
        <v>27</v>
      </c>
      <c r="L5569" s="14">
        <v>1</v>
      </c>
      <c r="M5569" s="14">
        <v>1</v>
      </c>
      <c r="N5569" s="14">
        <v>35</v>
      </c>
      <c r="O5569" s="14">
        <v>40</v>
      </c>
      <c r="P5569" s="14">
        <v>41</v>
      </c>
      <c r="Q5569" s="14">
        <v>46</v>
      </c>
      <c r="R5569" s="14">
        <v>48</v>
      </c>
      <c r="S5569" s="14">
        <v>39</v>
      </c>
      <c r="T5569" s="14">
        <v>32</v>
      </c>
      <c r="U5569" s="14">
        <v>32</v>
      </c>
      <c r="V5569" s="14">
        <v>28</v>
      </c>
      <c r="W5569" s="14">
        <v>29</v>
      </c>
      <c r="X5569" s="14">
        <v>1</v>
      </c>
    </row>
    <row r="5570" spans="1:24" hidden="1" x14ac:dyDescent="0.3">
      <c r="A5570" s="14" t="s">
        <v>538</v>
      </c>
      <c r="B5570" s="14" t="s">
        <v>251</v>
      </c>
      <c r="C5570" s="14" t="s">
        <v>345</v>
      </c>
      <c r="D5570" s="14" t="s">
        <v>346</v>
      </c>
      <c r="E5570" s="14" t="s">
        <v>342</v>
      </c>
      <c r="F5570" s="14" t="s">
        <v>343</v>
      </c>
      <c r="G5570" s="14" t="s">
        <v>343</v>
      </c>
      <c r="H5570" s="14" t="s">
        <v>343</v>
      </c>
      <c r="U5570" s="14">
        <v>0.57999999999999996</v>
      </c>
      <c r="V5570" s="14">
        <v>0.62</v>
      </c>
      <c r="W5570" s="14">
        <v>0.61</v>
      </c>
      <c r="X5570" s="14">
        <v>0.66</v>
      </c>
    </row>
    <row r="5571" spans="1:24" hidden="1" x14ac:dyDescent="0.3">
      <c r="A5571" s="14" t="s">
        <v>538</v>
      </c>
      <c r="B5571" s="14" t="s">
        <v>251</v>
      </c>
      <c r="C5571" s="14" t="s">
        <v>345</v>
      </c>
      <c r="D5571" s="14" t="s">
        <v>346</v>
      </c>
      <c r="E5571" s="14" t="s">
        <v>344</v>
      </c>
      <c r="F5571" s="14" t="s">
        <v>343</v>
      </c>
      <c r="G5571" s="14" t="s">
        <v>343</v>
      </c>
      <c r="H5571" s="14" t="s">
        <v>343</v>
      </c>
      <c r="U5571" s="14">
        <v>90</v>
      </c>
      <c r="V5571" s="14">
        <v>75</v>
      </c>
      <c r="W5571" s="14">
        <v>75</v>
      </c>
      <c r="X5571" s="14">
        <v>63</v>
      </c>
    </row>
    <row r="5572" spans="1:24" hidden="1" x14ac:dyDescent="0.3">
      <c r="A5572" s="14" t="s">
        <v>538</v>
      </c>
      <c r="B5572" s="14" t="s">
        <v>251</v>
      </c>
      <c r="C5572" s="14" t="s">
        <v>347</v>
      </c>
      <c r="D5572" s="14" t="s">
        <v>348</v>
      </c>
      <c r="E5572" s="14" t="s">
        <v>342</v>
      </c>
      <c r="F5572" s="14" t="s">
        <v>343</v>
      </c>
      <c r="G5572" s="14" t="s">
        <v>343</v>
      </c>
      <c r="H5572" s="14" t="s">
        <v>343</v>
      </c>
      <c r="U5572" s="14">
        <v>0.82</v>
      </c>
      <c r="V5572" s="14">
        <v>0.82</v>
      </c>
      <c r="W5572" s="14">
        <v>0.82</v>
      </c>
      <c r="X5572" s="14">
        <v>0.79</v>
      </c>
    </row>
    <row r="5573" spans="1:24" hidden="1" x14ac:dyDescent="0.3">
      <c r="A5573" s="14" t="s">
        <v>538</v>
      </c>
      <c r="B5573" s="14" t="s">
        <v>251</v>
      </c>
      <c r="C5573" s="14" t="s">
        <v>347</v>
      </c>
      <c r="D5573" s="14" t="s">
        <v>348</v>
      </c>
      <c r="E5573" s="14" t="s">
        <v>344</v>
      </c>
      <c r="F5573" s="14" t="s">
        <v>343</v>
      </c>
      <c r="G5573" s="14" t="s">
        <v>343</v>
      </c>
      <c r="H5573" s="14" t="s">
        <v>343</v>
      </c>
      <c r="U5573" s="14">
        <v>71</v>
      </c>
      <c r="V5573" s="14">
        <v>74</v>
      </c>
      <c r="W5573" s="14">
        <v>74</v>
      </c>
      <c r="X5573" s="14">
        <v>65</v>
      </c>
    </row>
    <row r="5574" spans="1:24" hidden="1" x14ac:dyDescent="0.3">
      <c r="A5574" s="14" t="s">
        <v>538</v>
      </c>
      <c r="B5574" s="14" t="s">
        <v>251</v>
      </c>
      <c r="C5574" s="14" t="s">
        <v>349</v>
      </c>
      <c r="D5574" s="14" t="s">
        <v>350</v>
      </c>
      <c r="E5574" s="14" t="s">
        <v>342</v>
      </c>
      <c r="F5574" s="14" t="s">
        <v>343</v>
      </c>
      <c r="G5574" s="14" t="s">
        <v>343</v>
      </c>
      <c r="H5574" s="14" t="s">
        <v>343</v>
      </c>
      <c r="U5574" s="14">
        <v>0.53</v>
      </c>
      <c r="V5574" s="14">
        <v>0.56000000000000005</v>
      </c>
      <c r="W5574" s="14">
        <v>0.53</v>
      </c>
      <c r="X5574" s="14">
        <v>0.63</v>
      </c>
    </row>
    <row r="5575" spans="1:24" hidden="1" x14ac:dyDescent="0.3">
      <c r="A5575" s="14" t="s">
        <v>538</v>
      </c>
      <c r="B5575" s="14" t="s">
        <v>251</v>
      </c>
      <c r="C5575" s="14" t="s">
        <v>349</v>
      </c>
      <c r="D5575" s="14" t="s">
        <v>350</v>
      </c>
      <c r="E5575" s="14" t="s">
        <v>344</v>
      </c>
      <c r="F5575" s="14" t="s">
        <v>343</v>
      </c>
      <c r="G5575" s="14" t="s">
        <v>343</v>
      </c>
      <c r="H5575" s="14" t="s">
        <v>343</v>
      </c>
      <c r="U5575" s="14">
        <v>54</v>
      </c>
      <c r="V5575" s="14">
        <v>52</v>
      </c>
      <c r="W5575" s="14">
        <v>67</v>
      </c>
      <c r="X5575" s="14">
        <v>41</v>
      </c>
    </row>
    <row r="5576" spans="1:24" hidden="1" x14ac:dyDescent="0.3">
      <c r="A5576" s="14" t="s">
        <v>538</v>
      </c>
      <c r="B5576" s="14" t="s">
        <v>251</v>
      </c>
      <c r="C5576" s="14" t="s">
        <v>351</v>
      </c>
      <c r="D5576" s="14" t="s">
        <v>352</v>
      </c>
      <c r="E5576" s="14" t="s">
        <v>342</v>
      </c>
      <c r="F5576" s="14" t="s">
        <v>343</v>
      </c>
      <c r="G5576" s="14" t="s">
        <v>343</v>
      </c>
      <c r="H5576" s="14" t="s">
        <v>343</v>
      </c>
      <c r="U5576" s="14">
        <v>1</v>
      </c>
      <c r="V5576" s="14">
        <v>1</v>
      </c>
      <c r="W5576" s="14">
        <v>1</v>
      </c>
      <c r="X5576" s="14">
        <v>1</v>
      </c>
    </row>
    <row r="5577" spans="1:24" hidden="1" x14ac:dyDescent="0.3">
      <c r="A5577" s="14" t="s">
        <v>538</v>
      </c>
      <c r="B5577" s="14" t="s">
        <v>251</v>
      </c>
      <c r="C5577" s="14" t="s">
        <v>351</v>
      </c>
      <c r="D5577" s="14" t="s">
        <v>352</v>
      </c>
      <c r="E5577" s="14" t="s">
        <v>344</v>
      </c>
      <c r="F5577" s="14" t="s">
        <v>343</v>
      </c>
      <c r="G5577" s="14" t="s">
        <v>343</v>
      </c>
      <c r="H5577" s="14" t="s">
        <v>343</v>
      </c>
      <c r="U5577" s="14">
        <v>1</v>
      </c>
      <c r="V5577" s="14">
        <v>1</v>
      </c>
      <c r="W5577" s="14">
        <v>1</v>
      </c>
      <c r="X5577" s="14">
        <v>1</v>
      </c>
    </row>
    <row r="5578" spans="1:24" hidden="1" x14ac:dyDescent="0.3">
      <c r="A5578" s="14" t="s">
        <v>538</v>
      </c>
      <c r="B5578" s="14" t="s">
        <v>251</v>
      </c>
      <c r="C5578" s="14" t="s">
        <v>378</v>
      </c>
      <c r="D5578" s="14" t="s">
        <v>379</v>
      </c>
      <c r="E5578" s="14" t="s">
        <v>342</v>
      </c>
      <c r="F5578" s="14" t="s">
        <v>343</v>
      </c>
      <c r="G5578" s="14" t="s">
        <v>343</v>
      </c>
      <c r="H5578" s="14" t="s">
        <v>343</v>
      </c>
      <c r="S5578" s="14">
        <v>0.56000000000000005</v>
      </c>
      <c r="U5578" s="14">
        <v>0.56000000000000005</v>
      </c>
      <c r="V5578" s="14">
        <v>0.62</v>
      </c>
      <c r="W5578" s="14">
        <v>0.61</v>
      </c>
      <c r="X5578" s="14">
        <v>0.64</v>
      </c>
    </row>
    <row r="5579" spans="1:24" hidden="1" x14ac:dyDescent="0.3">
      <c r="A5579" s="14" t="s">
        <v>538</v>
      </c>
      <c r="B5579" s="14" t="s">
        <v>251</v>
      </c>
      <c r="C5579" s="14" t="s">
        <v>378</v>
      </c>
      <c r="D5579" s="14" t="s">
        <v>379</v>
      </c>
      <c r="E5579" s="14" t="s">
        <v>344</v>
      </c>
      <c r="F5579" s="14" t="s">
        <v>343</v>
      </c>
      <c r="G5579" s="14" t="s">
        <v>343</v>
      </c>
      <c r="H5579" s="14" t="s">
        <v>343</v>
      </c>
      <c r="S5579" s="14">
        <v>112</v>
      </c>
      <c r="U5579" s="14">
        <v>113</v>
      </c>
      <c r="V5579" s="14">
        <v>92</v>
      </c>
      <c r="W5579" s="14">
        <v>98</v>
      </c>
      <c r="X5579" s="14">
        <v>79</v>
      </c>
    </row>
    <row r="5580" spans="1:24" hidden="1" x14ac:dyDescent="0.3">
      <c r="A5580" s="14" t="s">
        <v>538</v>
      </c>
      <c r="B5580" s="14" t="s">
        <v>251</v>
      </c>
      <c r="C5580" s="14" t="s">
        <v>353</v>
      </c>
      <c r="D5580" s="14" t="s">
        <v>354</v>
      </c>
      <c r="E5580" s="14" t="s">
        <v>342</v>
      </c>
      <c r="F5580" s="14" t="s">
        <v>343</v>
      </c>
      <c r="G5580" s="14" t="s">
        <v>343</v>
      </c>
      <c r="H5580" s="14" t="s">
        <v>343</v>
      </c>
      <c r="U5580" s="14">
        <v>1</v>
      </c>
      <c r="V5580" s="14">
        <v>1</v>
      </c>
      <c r="W5580" s="14">
        <v>1</v>
      </c>
      <c r="X5580" s="14">
        <v>1</v>
      </c>
    </row>
    <row r="5581" spans="1:24" hidden="1" x14ac:dyDescent="0.3">
      <c r="A5581" s="14" t="s">
        <v>538</v>
      </c>
      <c r="B5581" s="14" t="s">
        <v>251</v>
      </c>
      <c r="C5581" s="14" t="s">
        <v>353</v>
      </c>
      <c r="D5581" s="14" t="s">
        <v>354</v>
      </c>
      <c r="E5581" s="14" t="s">
        <v>344</v>
      </c>
      <c r="F5581" s="14" t="s">
        <v>343</v>
      </c>
      <c r="G5581" s="14" t="s">
        <v>343</v>
      </c>
      <c r="H5581" s="14" t="s">
        <v>343</v>
      </c>
      <c r="U5581" s="14">
        <v>1</v>
      </c>
      <c r="V5581" s="14">
        <v>1</v>
      </c>
      <c r="W5581" s="14">
        <v>1</v>
      </c>
      <c r="X5581" s="14">
        <v>1</v>
      </c>
    </row>
    <row r="5582" spans="1:24" hidden="1" x14ac:dyDescent="0.3">
      <c r="A5582" s="14" t="s">
        <v>538</v>
      </c>
      <c r="B5582" s="14" t="s">
        <v>251</v>
      </c>
      <c r="C5582" s="14" t="s">
        <v>380</v>
      </c>
      <c r="D5582" s="14" t="s">
        <v>381</v>
      </c>
      <c r="E5582" s="14" t="s">
        <v>342</v>
      </c>
      <c r="F5582" s="14" t="s">
        <v>343</v>
      </c>
      <c r="G5582" s="14" t="s">
        <v>343</v>
      </c>
      <c r="H5582" s="14" t="s">
        <v>343</v>
      </c>
      <c r="U5582" s="14">
        <v>1</v>
      </c>
      <c r="V5582" s="14">
        <v>1</v>
      </c>
      <c r="W5582" s="14">
        <v>1</v>
      </c>
      <c r="X5582" s="14">
        <v>1</v>
      </c>
    </row>
    <row r="5583" spans="1:24" hidden="1" x14ac:dyDescent="0.3">
      <c r="A5583" s="14" t="s">
        <v>538</v>
      </c>
      <c r="B5583" s="14" t="s">
        <v>251</v>
      </c>
      <c r="C5583" s="14" t="s">
        <v>380</v>
      </c>
      <c r="D5583" s="14" t="s">
        <v>381</v>
      </c>
      <c r="E5583" s="14" t="s">
        <v>344</v>
      </c>
      <c r="F5583" s="14" t="s">
        <v>343</v>
      </c>
      <c r="G5583" s="14" t="s">
        <v>343</v>
      </c>
      <c r="H5583" s="14" t="s">
        <v>343</v>
      </c>
      <c r="U5583" s="14">
        <v>67</v>
      </c>
      <c r="V5583" s="14">
        <v>74</v>
      </c>
      <c r="W5583" s="14">
        <v>74</v>
      </c>
      <c r="X5583" s="14">
        <v>1</v>
      </c>
    </row>
    <row r="5584" spans="1:24" hidden="1" x14ac:dyDescent="0.3">
      <c r="A5584" s="14" t="s">
        <v>538</v>
      </c>
      <c r="B5584" s="14" t="s">
        <v>251</v>
      </c>
      <c r="C5584" s="14" t="s">
        <v>355</v>
      </c>
      <c r="D5584" s="14" t="s">
        <v>356</v>
      </c>
      <c r="E5584" s="14" t="s">
        <v>342</v>
      </c>
      <c r="F5584" s="14" t="s">
        <v>343</v>
      </c>
      <c r="G5584" s="14" t="s">
        <v>343</v>
      </c>
      <c r="H5584" s="14" t="s">
        <v>343</v>
      </c>
      <c r="U5584" s="14">
        <v>1</v>
      </c>
      <c r="V5584" s="14">
        <v>1</v>
      </c>
      <c r="W5584" s="14">
        <v>1</v>
      </c>
      <c r="X5584" s="14">
        <v>1</v>
      </c>
    </row>
    <row r="5585" spans="1:24" hidden="1" x14ac:dyDescent="0.3">
      <c r="A5585" s="14" t="s">
        <v>538</v>
      </c>
      <c r="B5585" s="14" t="s">
        <v>251</v>
      </c>
      <c r="C5585" s="14" t="s">
        <v>355</v>
      </c>
      <c r="D5585" s="14" t="s">
        <v>356</v>
      </c>
      <c r="E5585" s="14" t="s">
        <v>344</v>
      </c>
      <c r="F5585" s="14" t="s">
        <v>343</v>
      </c>
      <c r="G5585" s="14" t="s">
        <v>343</v>
      </c>
      <c r="H5585" s="14" t="s">
        <v>343</v>
      </c>
      <c r="U5585" s="14">
        <v>1</v>
      </c>
      <c r="V5585" s="14">
        <v>1</v>
      </c>
      <c r="W5585" s="14">
        <v>1</v>
      </c>
      <c r="X5585" s="14">
        <v>1</v>
      </c>
    </row>
    <row r="5586" spans="1:24" hidden="1" x14ac:dyDescent="0.3">
      <c r="A5586" s="14" t="s">
        <v>538</v>
      </c>
      <c r="B5586" s="14" t="s">
        <v>251</v>
      </c>
      <c r="C5586" s="14" t="s">
        <v>357</v>
      </c>
      <c r="D5586" s="14" t="s">
        <v>358</v>
      </c>
      <c r="E5586" s="14" t="s">
        <v>342</v>
      </c>
      <c r="F5586" s="14" t="s">
        <v>343</v>
      </c>
      <c r="G5586" s="14" t="s">
        <v>343</v>
      </c>
      <c r="H5586" s="14" t="s">
        <v>343</v>
      </c>
      <c r="V5586" s="14">
        <v>1</v>
      </c>
      <c r="W5586" s="14">
        <v>1</v>
      </c>
      <c r="X5586" s="14">
        <v>1</v>
      </c>
    </row>
    <row r="5587" spans="1:24" hidden="1" x14ac:dyDescent="0.3">
      <c r="A5587" s="14" t="s">
        <v>538</v>
      </c>
      <c r="B5587" s="14" t="s">
        <v>251</v>
      </c>
      <c r="C5587" s="14" t="s">
        <v>357</v>
      </c>
      <c r="D5587" s="14" t="s">
        <v>358</v>
      </c>
      <c r="E5587" s="14" t="s">
        <v>344</v>
      </c>
      <c r="F5587" s="14" t="s">
        <v>343</v>
      </c>
      <c r="G5587" s="14" t="s">
        <v>343</v>
      </c>
      <c r="H5587" s="14" t="s">
        <v>343</v>
      </c>
      <c r="V5587" s="14">
        <v>1</v>
      </c>
      <c r="W5587" s="14">
        <v>1</v>
      </c>
      <c r="X5587" s="14">
        <v>1</v>
      </c>
    </row>
    <row r="5588" spans="1:24" hidden="1" x14ac:dyDescent="0.3">
      <c r="A5588" s="14" t="s">
        <v>538</v>
      </c>
      <c r="B5588" s="14" t="s">
        <v>251</v>
      </c>
      <c r="C5588" s="14" t="s">
        <v>359</v>
      </c>
      <c r="D5588" s="14" t="s">
        <v>360</v>
      </c>
      <c r="E5588" s="14" t="s">
        <v>342</v>
      </c>
      <c r="F5588" s="14" t="s">
        <v>343</v>
      </c>
      <c r="G5588" s="14" t="s">
        <v>343</v>
      </c>
      <c r="H5588" s="14" t="s">
        <v>343</v>
      </c>
      <c r="I5588" s="14">
        <v>0.61</v>
      </c>
      <c r="J5588" s="14">
        <v>0.63</v>
      </c>
      <c r="K5588" s="14">
        <v>0.64</v>
      </c>
      <c r="L5588" s="14">
        <v>0.65</v>
      </c>
      <c r="M5588" s="14">
        <v>0.66</v>
      </c>
      <c r="N5588" s="14">
        <v>0.66</v>
      </c>
      <c r="O5588" s="14">
        <v>0.66</v>
      </c>
      <c r="P5588" s="14">
        <v>0.68</v>
      </c>
      <c r="Q5588" s="14">
        <v>0.68</v>
      </c>
      <c r="R5588" s="14">
        <v>0.64</v>
      </c>
      <c r="S5588" s="14">
        <v>0.64</v>
      </c>
      <c r="T5588" s="14">
        <v>0.64</v>
      </c>
      <c r="U5588" s="14">
        <v>0.66</v>
      </c>
      <c r="V5588" s="14">
        <v>0.7</v>
      </c>
      <c r="W5588" s="14">
        <v>0.69</v>
      </c>
      <c r="X5588" s="14">
        <v>0.72</v>
      </c>
    </row>
    <row r="5589" spans="1:24" hidden="1" x14ac:dyDescent="0.3">
      <c r="A5589" s="14" t="s">
        <v>538</v>
      </c>
      <c r="B5589" s="14" t="s">
        <v>251</v>
      </c>
      <c r="C5589" s="14" t="s">
        <v>359</v>
      </c>
      <c r="D5589" s="14" t="s">
        <v>360</v>
      </c>
      <c r="E5589" s="14" t="s">
        <v>344</v>
      </c>
      <c r="F5589" s="14" t="s">
        <v>343</v>
      </c>
      <c r="G5589" s="14" t="s">
        <v>343</v>
      </c>
      <c r="H5589" s="14" t="s">
        <v>343</v>
      </c>
      <c r="I5589" s="14">
        <v>60</v>
      </c>
      <c r="J5589" s="14">
        <v>66</v>
      </c>
      <c r="K5589" s="14">
        <v>65</v>
      </c>
      <c r="L5589" s="14">
        <v>62</v>
      </c>
      <c r="M5589" s="14">
        <v>62</v>
      </c>
      <c r="N5589" s="14">
        <v>60</v>
      </c>
      <c r="O5589" s="14">
        <v>66</v>
      </c>
      <c r="P5589" s="14">
        <v>58</v>
      </c>
      <c r="Q5589" s="14">
        <v>59</v>
      </c>
      <c r="R5589" s="14">
        <v>91</v>
      </c>
      <c r="S5589" s="14">
        <v>90</v>
      </c>
      <c r="T5589" s="14">
        <v>91</v>
      </c>
      <c r="U5589" s="14">
        <v>77</v>
      </c>
      <c r="V5589" s="14">
        <v>64</v>
      </c>
      <c r="W5589" s="14">
        <v>76</v>
      </c>
      <c r="X5589" s="14">
        <v>58</v>
      </c>
    </row>
    <row r="5590" spans="1:24" x14ac:dyDescent="0.3">
      <c r="A5590" s="14" t="s">
        <v>538</v>
      </c>
      <c r="B5590" s="14" t="s">
        <v>251</v>
      </c>
      <c r="C5590" s="14" t="s">
        <v>361</v>
      </c>
      <c r="D5590" s="14" t="s">
        <v>362</v>
      </c>
      <c r="E5590" s="14" t="s">
        <v>342</v>
      </c>
      <c r="F5590" s="14" t="s">
        <v>343</v>
      </c>
      <c r="G5590" s="14" t="s">
        <v>343</v>
      </c>
      <c r="H5590" s="14" t="s">
        <v>343</v>
      </c>
      <c r="I5590" s="14">
        <v>0.98</v>
      </c>
      <c r="J5590" s="14">
        <v>0.98</v>
      </c>
      <c r="K5590" s="14">
        <v>0.98</v>
      </c>
      <c r="L5590" s="14">
        <v>0.98</v>
      </c>
      <c r="M5590" s="14">
        <v>0.98</v>
      </c>
      <c r="N5590" s="14">
        <v>0.98</v>
      </c>
      <c r="O5590" s="14">
        <v>0.98</v>
      </c>
      <c r="P5590" s="14">
        <v>0.98</v>
      </c>
      <c r="Q5590" s="14">
        <v>0.98</v>
      </c>
      <c r="R5590" s="14">
        <v>0.98</v>
      </c>
      <c r="S5590" s="14">
        <v>0.98</v>
      </c>
      <c r="T5590" s="14">
        <v>0.98</v>
      </c>
      <c r="U5590" s="14">
        <v>0.98</v>
      </c>
      <c r="V5590" s="14">
        <v>0.98</v>
      </c>
      <c r="W5590" s="14">
        <v>0.98</v>
      </c>
      <c r="X5590" s="14">
        <v>0.98</v>
      </c>
    </row>
    <row r="5591" spans="1:24" hidden="1" x14ac:dyDescent="0.3">
      <c r="A5591" s="14" t="s">
        <v>538</v>
      </c>
      <c r="B5591" s="14" t="s">
        <v>251</v>
      </c>
      <c r="C5591" s="14" t="s">
        <v>361</v>
      </c>
      <c r="D5591" s="14" t="s">
        <v>362</v>
      </c>
      <c r="E5591" s="14" t="s">
        <v>344</v>
      </c>
      <c r="F5591" s="14" t="s">
        <v>343</v>
      </c>
      <c r="G5591" s="14" t="s">
        <v>343</v>
      </c>
      <c r="H5591" s="14" t="s">
        <v>343</v>
      </c>
      <c r="I5591" s="14">
        <v>1</v>
      </c>
      <c r="J5591" s="14">
        <v>1</v>
      </c>
      <c r="K5591" s="14">
        <v>1</v>
      </c>
      <c r="L5591" s="14">
        <v>1</v>
      </c>
      <c r="M5591" s="14">
        <v>1</v>
      </c>
      <c r="N5591" s="14">
        <v>1</v>
      </c>
      <c r="O5591" s="14">
        <v>1</v>
      </c>
      <c r="P5591" s="14">
        <v>1</v>
      </c>
      <c r="Q5591" s="14">
        <v>1</v>
      </c>
      <c r="R5591" s="14">
        <v>1</v>
      </c>
      <c r="S5591" s="14">
        <v>1</v>
      </c>
      <c r="T5591" s="14">
        <v>1</v>
      </c>
      <c r="U5591" s="14">
        <v>1</v>
      </c>
      <c r="V5591" s="14">
        <v>1</v>
      </c>
      <c r="W5591" s="14">
        <v>1</v>
      </c>
      <c r="X5591" s="14">
        <v>1</v>
      </c>
    </row>
    <row r="5592" spans="1:24" hidden="1" x14ac:dyDescent="0.3">
      <c r="A5592" s="14" t="s">
        <v>538</v>
      </c>
      <c r="B5592" s="14" t="s">
        <v>251</v>
      </c>
      <c r="C5592" s="14" t="s">
        <v>363</v>
      </c>
      <c r="D5592" s="14" t="s">
        <v>364</v>
      </c>
      <c r="E5592" s="14" t="s">
        <v>342</v>
      </c>
      <c r="F5592" s="14" t="s">
        <v>343</v>
      </c>
      <c r="G5592" s="14" t="s">
        <v>343</v>
      </c>
      <c r="H5592" s="14" t="s">
        <v>343</v>
      </c>
      <c r="U5592" s="14">
        <v>1.06</v>
      </c>
      <c r="V5592" s="14">
        <v>1.06</v>
      </c>
      <c r="W5592" s="14">
        <v>1.06</v>
      </c>
      <c r="X5592" s="14">
        <v>1.06</v>
      </c>
    </row>
    <row r="5593" spans="1:24" hidden="1" x14ac:dyDescent="0.3">
      <c r="A5593" s="14" t="s">
        <v>538</v>
      </c>
      <c r="B5593" s="14" t="s">
        <v>251</v>
      </c>
      <c r="C5593" s="14" t="s">
        <v>363</v>
      </c>
      <c r="D5593" s="14" t="s">
        <v>364</v>
      </c>
      <c r="E5593" s="14" t="s">
        <v>344</v>
      </c>
      <c r="F5593" s="14" t="s">
        <v>343</v>
      </c>
      <c r="G5593" s="14" t="s">
        <v>343</v>
      </c>
      <c r="H5593" s="14" t="s">
        <v>343</v>
      </c>
      <c r="U5593" s="14">
        <v>1</v>
      </c>
      <c r="V5593" s="14">
        <v>1</v>
      </c>
      <c r="W5593" s="14">
        <v>1</v>
      </c>
      <c r="X5593" s="14">
        <v>1</v>
      </c>
    </row>
    <row r="5594" spans="1:24" hidden="1" x14ac:dyDescent="0.3">
      <c r="A5594" s="14" t="s">
        <v>538</v>
      </c>
      <c r="B5594" s="14" t="s">
        <v>251</v>
      </c>
      <c r="C5594" s="14" t="s">
        <v>365</v>
      </c>
      <c r="D5594" s="14" t="s">
        <v>366</v>
      </c>
      <c r="E5594" s="14" t="s">
        <v>342</v>
      </c>
      <c r="F5594" s="14" t="s">
        <v>343</v>
      </c>
      <c r="G5594" s="14" t="s">
        <v>343</v>
      </c>
      <c r="H5594" s="14" t="s">
        <v>343</v>
      </c>
      <c r="U5594" s="14">
        <v>0.94</v>
      </c>
      <c r="V5594" s="14">
        <v>0.94</v>
      </c>
      <c r="W5594" s="14">
        <v>0.94</v>
      </c>
      <c r="X5594" s="14">
        <v>0.94</v>
      </c>
    </row>
    <row r="5595" spans="1:24" hidden="1" x14ac:dyDescent="0.3">
      <c r="A5595" s="14" t="s">
        <v>538</v>
      </c>
      <c r="B5595" s="14" t="s">
        <v>251</v>
      </c>
      <c r="C5595" s="14" t="s">
        <v>365</v>
      </c>
      <c r="D5595" s="14" t="s">
        <v>366</v>
      </c>
      <c r="E5595" s="14" t="s">
        <v>344</v>
      </c>
      <c r="F5595" s="14" t="s">
        <v>343</v>
      </c>
      <c r="G5595" s="14" t="s">
        <v>343</v>
      </c>
      <c r="H5595" s="14" t="s">
        <v>343</v>
      </c>
      <c r="U5595" s="14">
        <v>1</v>
      </c>
      <c r="V5595" s="14">
        <v>1</v>
      </c>
      <c r="W5595" s="14">
        <v>1</v>
      </c>
      <c r="X5595" s="14">
        <v>1</v>
      </c>
    </row>
    <row r="5596" spans="1:24" hidden="1" x14ac:dyDescent="0.3">
      <c r="A5596" s="14" t="s">
        <v>538</v>
      </c>
      <c r="B5596" s="14" t="s">
        <v>251</v>
      </c>
      <c r="C5596" s="14" t="s">
        <v>367</v>
      </c>
      <c r="D5596" s="14" t="s">
        <v>368</v>
      </c>
      <c r="E5596" s="14" t="s">
        <v>342</v>
      </c>
      <c r="F5596" s="14" t="s">
        <v>343</v>
      </c>
      <c r="G5596" s="14" t="s">
        <v>343</v>
      </c>
      <c r="H5596" s="14" t="s">
        <v>343</v>
      </c>
      <c r="I5596" s="14">
        <v>0.66</v>
      </c>
      <c r="J5596" s="14">
        <v>0.66</v>
      </c>
      <c r="K5596" s="14">
        <v>0.69</v>
      </c>
      <c r="L5596" s="14">
        <v>0.69</v>
      </c>
      <c r="M5596" s="14">
        <v>0.69</v>
      </c>
      <c r="N5596" s="14">
        <v>0.69</v>
      </c>
      <c r="O5596" s="14">
        <v>0.67</v>
      </c>
      <c r="P5596" s="14">
        <v>0.68</v>
      </c>
      <c r="Q5596" s="14">
        <v>0.69</v>
      </c>
      <c r="R5596" s="14">
        <v>0.68</v>
      </c>
      <c r="S5596" s="14">
        <v>0.68</v>
      </c>
      <c r="T5596" s="14">
        <v>0.71</v>
      </c>
      <c r="U5596" s="14">
        <v>0.72</v>
      </c>
      <c r="V5596" s="14">
        <v>0.74</v>
      </c>
      <c r="W5596" s="14">
        <v>0.7</v>
      </c>
      <c r="X5596" s="14">
        <v>0.71</v>
      </c>
    </row>
    <row r="5597" spans="1:24" hidden="1" x14ac:dyDescent="0.3">
      <c r="A5597" s="14" t="s">
        <v>538</v>
      </c>
      <c r="B5597" s="14" t="s">
        <v>251</v>
      </c>
      <c r="C5597" s="14" t="s">
        <v>367</v>
      </c>
      <c r="D5597" s="14" t="s">
        <v>368</v>
      </c>
      <c r="E5597" s="14" t="s">
        <v>344</v>
      </c>
      <c r="F5597" s="14" t="s">
        <v>343</v>
      </c>
      <c r="G5597" s="14" t="s">
        <v>343</v>
      </c>
      <c r="H5597" s="14" t="s">
        <v>343</v>
      </c>
      <c r="I5597" s="14">
        <v>66</v>
      </c>
      <c r="J5597" s="14">
        <v>78</v>
      </c>
      <c r="K5597" s="14">
        <v>54</v>
      </c>
      <c r="L5597" s="14">
        <v>57</v>
      </c>
      <c r="M5597" s="14">
        <v>59</v>
      </c>
      <c r="N5597" s="14">
        <v>58</v>
      </c>
      <c r="O5597" s="14">
        <v>76</v>
      </c>
      <c r="P5597" s="14">
        <v>77</v>
      </c>
      <c r="Q5597" s="14">
        <v>82</v>
      </c>
      <c r="R5597" s="14">
        <v>93</v>
      </c>
      <c r="S5597" s="14">
        <v>91</v>
      </c>
      <c r="T5597" s="14">
        <v>56</v>
      </c>
      <c r="U5597" s="14">
        <v>56</v>
      </c>
      <c r="V5597" s="14">
        <v>37</v>
      </c>
      <c r="W5597" s="14">
        <v>85</v>
      </c>
      <c r="X5597" s="14">
        <v>72</v>
      </c>
    </row>
    <row r="5598" spans="1:24" hidden="1" x14ac:dyDescent="0.3">
      <c r="A5598" s="14" t="s">
        <v>538</v>
      </c>
      <c r="B5598" s="14" t="s">
        <v>251</v>
      </c>
      <c r="C5598" s="14" t="s">
        <v>369</v>
      </c>
      <c r="D5598" s="14" t="s">
        <v>370</v>
      </c>
      <c r="E5598" s="14" t="s">
        <v>342</v>
      </c>
      <c r="F5598" s="14" t="s">
        <v>343</v>
      </c>
      <c r="G5598" s="14" t="s">
        <v>343</v>
      </c>
      <c r="H5598" s="14" t="s">
        <v>343</v>
      </c>
      <c r="I5598" s="14">
        <v>0.04</v>
      </c>
      <c r="J5598" s="14">
        <v>0.04</v>
      </c>
      <c r="K5598" s="14">
        <v>0.14000000000000001</v>
      </c>
      <c r="L5598" s="14">
        <v>0.14000000000000001</v>
      </c>
      <c r="M5598" s="14">
        <v>0.12</v>
      </c>
      <c r="N5598" s="14">
        <v>0.12</v>
      </c>
      <c r="O5598" s="14">
        <v>0.06</v>
      </c>
      <c r="P5598" s="14">
        <v>0.06</v>
      </c>
      <c r="Q5598" s="14">
        <v>0.09</v>
      </c>
      <c r="R5598" s="14">
        <v>0.1</v>
      </c>
      <c r="S5598" s="14">
        <v>0.1</v>
      </c>
      <c r="T5598" s="14">
        <v>0.22</v>
      </c>
      <c r="U5598" s="14">
        <v>0.22</v>
      </c>
      <c r="V5598" s="14">
        <v>0.27</v>
      </c>
      <c r="W5598" s="14">
        <v>0.14000000000000001</v>
      </c>
      <c r="X5598" s="14">
        <v>0.15</v>
      </c>
    </row>
    <row r="5599" spans="1:24" hidden="1" x14ac:dyDescent="0.3">
      <c r="A5599" s="14" t="s">
        <v>538</v>
      </c>
      <c r="B5599" s="14" t="s">
        <v>251</v>
      </c>
      <c r="C5599" s="14" t="s">
        <v>369</v>
      </c>
      <c r="D5599" s="14" t="s">
        <v>370</v>
      </c>
      <c r="E5599" s="14" t="s">
        <v>344</v>
      </c>
      <c r="F5599" s="14" t="s">
        <v>343</v>
      </c>
      <c r="G5599" s="14" t="s">
        <v>343</v>
      </c>
      <c r="H5599" s="14" t="s">
        <v>343</v>
      </c>
      <c r="I5599" s="14">
        <v>103</v>
      </c>
      <c r="J5599" s="14">
        <v>115</v>
      </c>
      <c r="K5599" s="14">
        <v>53</v>
      </c>
      <c r="L5599" s="14">
        <v>58</v>
      </c>
      <c r="M5599" s="14">
        <v>71</v>
      </c>
      <c r="N5599" s="14">
        <v>70</v>
      </c>
      <c r="O5599" s="14">
        <v>116</v>
      </c>
      <c r="P5599" s="14">
        <v>116</v>
      </c>
      <c r="Q5599" s="14">
        <v>112</v>
      </c>
      <c r="R5599" s="14">
        <v>106</v>
      </c>
      <c r="S5599" s="14">
        <v>104</v>
      </c>
      <c r="T5599" s="14">
        <v>53</v>
      </c>
      <c r="U5599" s="14">
        <v>54</v>
      </c>
      <c r="V5599" s="14">
        <v>42</v>
      </c>
      <c r="W5599" s="14">
        <v>107</v>
      </c>
      <c r="X5599" s="14">
        <v>98</v>
      </c>
    </row>
    <row r="5600" spans="1:24" hidden="1" x14ac:dyDescent="0.3">
      <c r="A5600" s="14" t="s">
        <v>538</v>
      </c>
      <c r="B5600" s="14" t="s">
        <v>251</v>
      </c>
      <c r="C5600" s="14" t="s">
        <v>371</v>
      </c>
      <c r="D5600" s="14" t="s">
        <v>372</v>
      </c>
      <c r="E5600" s="14" t="s">
        <v>342</v>
      </c>
      <c r="F5600" s="14" t="s">
        <v>343</v>
      </c>
      <c r="G5600" s="14" t="s">
        <v>343</v>
      </c>
      <c r="H5600" s="14" t="s">
        <v>343</v>
      </c>
      <c r="U5600" s="14">
        <v>0</v>
      </c>
      <c r="V5600" s="14">
        <v>0</v>
      </c>
      <c r="W5600" s="14">
        <v>0</v>
      </c>
      <c r="X5600" s="14">
        <v>0</v>
      </c>
    </row>
    <row r="5601" spans="1:24" hidden="1" x14ac:dyDescent="0.3">
      <c r="A5601" s="14" t="s">
        <v>538</v>
      </c>
      <c r="B5601" s="14" t="s">
        <v>251</v>
      </c>
      <c r="C5601" s="14" t="s">
        <v>371</v>
      </c>
      <c r="D5601" s="14" t="s">
        <v>372</v>
      </c>
      <c r="E5601" s="14" t="s">
        <v>344</v>
      </c>
      <c r="F5601" s="14" t="s">
        <v>343</v>
      </c>
      <c r="G5601" s="14" t="s">
        <v>343</v>
      </c>
      <c r="H5601" s="14" t="s">
        <v>343</v>
      </c>
      <c r="U5601" s="14">
        <v>71</v>
      </c>
      <c r="V5601" s="14">
        <v>73</v>
      </c>
      <c r="W5601" s="14">
        <v>76</v>
      </c>
      <c r="X5601" s="14">
        <v>78</v>
      </c>
    </row>
    <row r="5602" spans="1:24" hidden="1" x14ac:dyDescent="0.3">
      <c r="A5602" s="14" t="s">
        <v>538</v>
      </c>
      <c r="B5602" s="14" t="s">
        <v>251</v>
      </c>
      <c r="C5602" s="14" t="s">
        <v>373</v>
      </c>
      <c r="D5602" s="14" t="s">
        <v>374</v>
      </c>
      <c r="E5602" s="14" t="s">
        <v>342</v>
      </c>
      <c r="F5602" s="14" t="s">
        <v>343</v>
      </c>
      <c r="G5602" s="14" t="s">
        <v>343</v>
      </c>
      <c r="H5602" s="14" t="s">
        <v>343</v>
      </c>
      <c r="U5602" s="14">
        <v>0.56000000000000005</v>
      </c>
      <c r="V5602" s="14">
        <v>0.75</v>
      </c>
      <c r="W5602" s="14">
        <v>0.17</v>
      </c>
      <c r="X5602" s="14">
        <v>0.17</v>
      </c>
    </row>
    <row r="5603" spans="1:24" hidden="1" x14ac:dyDescent="0.3">
      <c r="A5603" s="14" t="s">
        <v>538</v>
      </c>
      <c r="B5603" s="14" t="s">
        <v>251</v>
      </c>
      <c r="C5603" s="14" t="s">
        <v>373</v>
      </c>
      <c r="D5603" s="14" t="s">
        <v>374</v>
      </c>
      <c r="E5603" s="14" t="s">
        <v>344</v>
      </c>
      <c r="F5603" s="14" t="s">
        <v>343</v>
      </c>
      <c r="G5603" s="14" t="s">
        <v>343</v>
      </c>
      <c r="H5603" s="14" t="s">
        <v>343</v>
      </c>
      <c r="U5603" s="14">
        <v>19</v>
      </c>
      <c r="V5603" s="14">
        <v>12</v>
      </c>
      <c r="W5603" s="14">
        <v>106</v>
      </c>
      <c r="X5603" s="14">
        <v>101</v>
      </c>
    </row>
    <row r="5604" spans="1:24" hidden="1" x14ac:dyDescent="0.3">
      <c r="A5604" s="14" t="s">
        <v>538</v>
      </c>
      <c r="B5604" s="14" t="s">
        <v>251</v>
      </c>
      <c r="C5604" s="14" t="s">
        <v>375</v>
      </c>
      <c r="D5604" s="14" t="s">
        <v>376</v>
      </c>
      <c r="E5604" s="14" t="s">
        <v>342</v>
      </c>
      <c r="F5604" s="14" t="s">
        <v>343</v>
      </c>
      <c r="G5604" s="14" t="s">
        <v>343</v>
      </c>
      <c r="H5604" s="14" t="s">
        <v>343</v>
      </c>
      <c r="U5604" s="14">
        <v>0.25</v>
      </c>
      <c r="V5604" s="14">
        <v>0.28999999999999998</v>
      </c>
      <c r="W5604" s="14">
        <v>0.32</v>
      </c>
      <c r="X5604" s="14">
        <v>0.34</v>
      </c>
    </row>
    <row r="5605" spans="1:24" hidden="1" x14ac:dyDescent="0.3">
      <c r="A5605" s="14" t="s">
        <v>538</v>
      </c>
      <c r="B5605" s="14" t="s">
        <v>251</v>
      </c>
      <c r="C5605" s="14" t="s">
        <v>375</v>
      </c>
      <c r="D5605" s="14" t="s">
        <v>376</v>
      </c>
      <c r="E5605" s="14" t="s">
        <v>344</v>
      </c>
      <c r="F5605" s="14" t="s">
        <v>343</v>
      </c>
      <c r="G5605" s="14" t="s">
        <v>343</v>
      </c>
      <c r="H5605" s="14" t="s">
        <v>343</v>
      </c>
      <c r="U5605" s="14">
        <v>82</v>
      </c>
      <c r="V5605" s="14">
        <v>76</v>
      </c>
      <c r="W5605" s="14">
        <v>79</v>
      </c>
      <c r="X5605" s="14">
        <v>79</v>
      </c>
    </row>
    <row r="5606" spans="1:24" hidden="1" x14ac:dyDescent="0.3">
      <c r="A5606" s="14" t="s">
        <v>539</v>
      </c>
      <c r="B5606" s="14" t="s">
        <v>328</v>
      </c>
      <c r="C5606" s="14" t="s">
        <v>340</v>
      </c>
      <c r="D5606" s="14" t="s">
        <v>341</v>
      </c>
      <c r="E5606" s="14" t="s">
        <v>342</v>
      </c>
      <c r="F5606" s="14" t="s">
        <v>343</v>
      </c>
      <c r="G5606" s="14" t="s">
        <v>343</v>
      </c>
      <c r="H5606" s="14" t="s">
        <v>343</v>
      </c>
      <c r="I5606" s="14">
        <v>0.98</v>
      </c>
      <c r="J5606" s="14">
        <v>0.98</v>
      </c>
      <c r="K5606" s="14">
        <v>1</v>
      </c>
      <c r="L5606" s="14">
        <v>1</v>
      </c>
      <c r="M5606" s="14">
        <v>1</v>
      </c>
      <c r="N5606" s="14">
        <v>1</v>
      </c>
      <c r="O5606" s="14">
        <v>1</v>
      </c>
      <c r="P5606" s="14">
        <v>1</v>
      </c>
      <c r="Q5606" s="14">
        <v>1</v>
      </c>
      <c r="R5606" s="14">
        <v>1</v>
      </c>
      <c r="S5606" s="14">
        <v>1</v>
      </c>
      <c r="T5606" s="14">
        <v>1</v>
      </c>
      <c r="U5606" s="14">
        <v>1</v>
      </c>
      <c r="V5606" s="14">
        <v>1</v>
      </c>
      <c r="W5606" s="14">
        <v>1</v>
      </c>
      <c r="X5606" s="14">
        <v>1</v>
      </c>
    </row>
    <row r="5607" spans="1:24" hidden="1" x14ac:dyDescent="0.3">
      <c r="A5607" s="14" t="s">
        <v>539</v>
      </c>
      <c r="B5607" s="14" t="s">
        <v>328</v>
      </c>
      <c r="C5607" s="14" t="s">
        <v>340</v>
      </c>
      <c r="D5607" s="14" t="s">
        <v>341</v>
      </c>
      <c r="E5607" s="14" t="s">
        <v>344</v>
      </c>
      <c r="F5607" s="14" t="s">
        <v>343</v>
      </c>
      <c r="G5607" s="14" t="s">
        <v>343</v>
      </c>
      <c r="H5607" s="14" t="s">
        <v>343</v>
      </c>
      <c r="I5607" s="14">
        <v>66</v>
      </c>
      <c r="J5607" s="14">
        <v>76</v>
      </c>
      <c r="K5607" s="14">
        <v>1</v>
      </c>
      <c r="L5607" s="14">
        <v>1</v>
      </c>
      <c r="M5607" s="14">
        <v>1</v>
      </c>
      <c r="N5607" s="14">
        <v>1</v>
      </c>
      <c r="O5607" s="14">
        <v>1</v>
      </c>
      <c r="P5607" s="14">
        <v>1</v>
      </c>
      <c r="Q5607" s="14">
        <v>39</v>
      </c>
      <c r="R5607" s="14">
        <v>40</v>
      </c>
      <c r="S5607" s="14">
        <v>1</v>
      </c>
      <c r="T5607" s="14">
        <v>1</v>
      </c>
      <c r="U5607" s="14">
        <v>46</v>
      </c>
      <c r="V5607" s="14">
        <v>34</v>
      </c>
      <c r="W5607" s="14">
        <v>36</v>
      </c>
      <c r="X5607" s="14">
        <v>51</v>
      </c>
    </row>
    <row r="5608" spans="1:24" hidden="1" x14ac:dyDescent="0.3">
      <c r="A5608" s="14" t="s">
        <v>539</v>
      </c>
      <c r="B5608" s="14" t="s">
        <v>328</v>
      </c>
      <c r="C5608" s="14" t="s">
        <v>345</v>
      </c>
      <c r="D5608" s="14" t="s">
        <v>346</v>
      </c>
      <c r="E5608" s="14" t="s">
        <v>342</v>
      </c>
      <c r="F5608" s="14" t="s">
        <v>343</v>
      </c>
      <c r="G5608" s="14" t="s">
        <v>343</v>
      </c>
      <c r="H5608" s="14" t="s">
        <v>343</v>
      </c>
      <c r="U5608" s="14">
        <v>0.65</v>
      </c>
      <c r="V5608" s="14">
        <v>0.66</v>
      </c>
      <c r="W5608" s="14">
        <v>0.65</v>
      </c>
      <c r="X5608" s="14">
        <v>0.67</v>
      </c>
    </row>
    <row r="5609" spans="1:24" hidden="1" x14ac:dyDescent="0.3">
      <c r="A5609" s="14" t="s">
        <v>539</v>
      </c>
      <c r="B5609" s="14" t="s">
        <v>328</v>
      </c>
      <c r="C5609" s="14" t="s">
        <v>345</v>
      </c>
      <c r="D5609" s="14" t="s">
        <v>346</v>
      </c>
      <c r="E5609" s="14" t="s">
        <v>344</v>
      </c>
      <c r="F5609" s="14" t="s">
        <v>343</v>
      </c>
      <c r="G5609" s="14" t="s">
        <v>343</v>
      </c>
      <c r="H5609" s="14" t="s">
        <v>343</v>
      </c>
      <c r="U5609" s="14">
        <v>60</v>
      </c>
      <c r="V5609" s="14">
        <v>60</v>
      </c>
      <c r="W5609" s="14">
        <v>60</v>
      </c>
      <c r="X5609" s="14">
        <v>61</v>
      </c>
    </row>
    <row r="5610" spans="1:24" hidden="1" x14ac:dyDescent="0.3">
      <c r="A5610" s="14" t="s">
        <v>539</v>
      </c>
      <c r="B5610" s="14" t="s">
        <v>328</v>
      </c>
      <c r="C5610" s="14" t="s">
        <v>347</v>
      </c>
      <c r="D5610" s="14" t="s">
        <v>348</v>
      </c>
      <c r="E5610" s="14" t="s">
        <v>342</v>
      </c>
      <c r="F5610" s="14" t="s">
        <v>343</v>
      </c>
      <c r="G5610" s="14" t="s">
        <v>343</v>
      </c>
      <c r="H5610" s="14" t="s">
        <v>343</v>
      </c>
      <c r="U5610" s="14">
        <v>0.85</v>
      </c>
      <c r="V5610" s="14">
        <v>0.86</v>
      </c>
      <c r="W5610" s="14">
        <v>0.87</v>
      </c>
      <c r="X5610" s="14">
        <v>0.83</v>
      </c>
    </row>
    <row r="5611" spans="1:24" hidden="1" x14ac:dyDescent="0.3">
      <c r="A5611" s="14" t="s">
        <v>539</v>
      </c>
      <c r="B5611" s="14" t="s">
        <v>328</v>
      </c>
      <c r="C5611" s="14" t="s">
        <v>347</v>
      </c>
      <c r="D5611" s="14" t="s">
        <v>348</v>
      </c>
      <c r="E5611" s="14" t="s">
        <v>344</v>
      </c>
      <c r="F5611" s="14" t="s">
        <v>343</v>
      </c>
      <c r="G5611" s="14" t="s">
        <v>343</v>
      </c>
      <c r="H5611" s="14" t="s">
        <v>343</v>
      </c>
      <c r="U5611" s="14">
        <v>59</v>
      </c>
      <c r="V5611" s="14">
        <v>61</v>
      </c>
      <c r="W5611" s="14">
        <v>61</v>
      </c>
      <c r="X5611" s="14">
        <v>53</v>
      </c>
    </row>
    <row r="5612" spans="1:24" hidden="1" x14ac:dyDescent="0.3">
      <c r="A5612" s="14" t="s">
        <v>539</v>
      </c>
      <c r="B5612" s="14" t="s">
        <v>328</v>
      </c>
      <c r="C5612" s="14" t="s">
        <v>349</v>
      </c>
      <c r="D5612" s="14" t="s">
        <v>350</v>
      </c>
      <c r="E5612" s="14" t="s">
        <v>342</v>
      </c>
      <c r="F5612" s="14" t="s">
        <v>343</v>
      </c>
      <c r="G5612" s="14" t="s">
        <v>343</v>
      </c>
      <c r="H5612" s="14" t="s">
        <v>343</v>
      </c>
      <c r="U5612" s="14">
        <v>0.68</v>
      </c>
      <c r="V5612" s="14">
        <v>0.69</v>
      </c>
      <c r="W5612" s="14">
        <v>0.73</v>
      </c>
      <c r="X5612" s="14">
        <v>0.71</v>
      </c>
    </row>
    <row r="5613" spans="1:24" hidden="1" x14ac:dyDescent="0.3">
      <c r="A5613" s="14" t="s">
        <v>539</v>
      </c>
      <c r="B5613" s="14" t="s">
        <v>328</v>
      </c>
      <c r="C5613" s="14" t="s">
        <v>349</v>
      </c>
      <c r="D5613" s="14" t="s">
        <v>350</v>
      </c>
      <c r="E5613" s="14" t="s">
        <v>344</v>
      </c>
      <c r="F5613" s="14" t="s">
        <v>343</v>
      </c>
      <c r="G5613" s="14" t="s">
        <v>343</v>
      </c>
      <c r="H5613" s="14" t="s">
        <v>343</v>
      </c>
      <c r="U5613" s="14">
        <v>24</v>
      </c>
      <c r="V5613" s="14">
        <v>22</v>
      </c>
      <c r="W5613" s="14">
        <v>29</v>
      </c>
      <c r="X5613" s="14">
        <v>29</v>
      </c>
    </row>
    <row r="5614" spans="1:24" hidden="1" x14ac:dyDescent="0.3">
      <c r="A5614" s="14" t="s">
        <v>539</v>
      </c>
      <c r="B5614" s="14" t="s">
        <v>328</v>
      </c>
      <c r="C5614" s="14" t="s">
        <v>351</v>
      </c>
      <c r="D5614" s="14" t="s">
        <v>352</v>
      </c>
      <c r="E5614" s="14" t="s">
        <v>342</v>
      </c>
      <c r="F5614" s="14" t="s">
        <v>343</v>
      </c>
      <c r="G5614" s="14" t="s">
        <v>343</v>
      </c>
      <c r="H5614" s="14" t="s">
        <v>343</v>
      </c>
      <c r="U5614" s="14">
        <v>1</v>
      </c>
      <c r="V5614" s="14">
        <v>1</v>
      </c>
      <c r="W5614" s="14">
        <v>1</v>
      </c>
      <c r="X5614" s="14">
        <v>1</v>
      </c>
    </row>
    <row r="5615" spans="1:24" hidden="1" x14ac:dyDescent="0.3">
      <c r="A5615" s="14" t="s">
        <v>539</v>
      </c>
      <c r="B5615" s="14" t="s">
        <v>328</v>
      </c>
      <c r="C5615" s="14" t="s">
        <v>351</v>
      </c>
      <c r="D5615" s="14" t="s">
        <v>352</v>
      </c>
      <c r="E5615" s="14" t="s">
        <v>344</v>
      </c>
      <c r="F5615" s="14" t="s">
        <v>343</v>
      </c>
      <c r="G5615" s="14" t="s">
        <v>343</v>
      </c>
      <c r="H5615" s="14" t="s">
        <v>343</v>
      </c>
      <c r="U5615" s="14">
        <v>1</v>
      </c>
      <c r="V5615" s="14">
        <v>1</v>
      </c>
      <c r="W5615" s="14">
        <v>1</v>
      </c>
      <c r="X5615" s="14">
        <v>1</v>
      </c>
    </row>
    <row r="5616" spans="1:24" hidden="1" x14ac:dyDescent="0.3">
      <c r="A5616" s="14" t="s">
        <v>539</v>
      </c>
      <c r="B5616" s="14" t="s">
        <v>328</v>
      </c>
      <c r="C5616" s="14" t="s">
        <v>378</v>
      </c>
      <c r="D5616" s="14" t="s">
        <v>379</v>
      </c>
      <c r="E5616" s="14" t="s">
        <v>342</v>
      </c>
      <c r="F5616" s="14" t="s">
        <v>343</v>
      </c>
      <c r="G5616" s="14" t="s">
        <v>343</v>
      </c>
      <c r="H5616" s="14" t="s">
        <v>343</v>
      </c>
      <c r="S5616" s="14">
        <v>0.65</v>
      </c>
      <c r="U5616" s="14">
        <v>0.8</v>
      </c>
      <c r="V5616" s="14">
        <v>0.7</v>
      </c>
      <c r="W5616" s="14">
        <v>0.67</v>
      </c>
      <c r="X5616" s="14">
        <v>0.77</v>
      </c>
    </row>
    <row r="5617" spans="1:24" hidden="1" x14ac:dyDescent="0.3">
      <c r="A5617" s="14" t="s">
        <v>539</v>
      </c>
      <c r="B5617" s="14" t="s">
        <v>328</v>
      </c>
      <c r="C5617" s="14" t="s">
        <v>378</v>
      </c>
      <c r="D5617" s="14" t="s">
        <v>379</v>
      </c>
      <c r="E5617" s="14" t="s">
        <v>344</v>
      </c>
      <c r="F5617" s="14" t="s">
        <v>343</v>
      </c>
      <c r="G5617" s="14" t="s">
        <v>343</v>
      </c>
      <c r="H5617" s="14" t="s">
        <v>343</v>
      </c>
      <c r="S5617" s="14">
        <v>66</v>
      </c>
      <c r="U5617" s="14">
        <v>8</v>
      </c>
      <c r="V5617" s="14">
        <v>47</v>
      </c>
      <c r="W5617" s="14">
        <v>74</v>
      </c>
      <c r="X5617" s="14">
        <v>11</v>
      </c>
    </row>
    <row r="5618" spans="1:24" hidden="1" x14ac:dyDescent="0.3">
      <c r="A5618" s="14" t="s">
        <v>539</v>
      </c>
      <c r="B5618" s="14" t="s">
        <v>328</v>
      </c>
      <c r="C5618" s="14" t="s">
        <v>353</v>
      </c>
      <c r="D5618" s="14" t="s">
        <v>354</v>
      </c>
      <c r="E5618" s="14" t="s">
        <v>342</v>
      </c>
      <c r="F5618" s="14" t="s">
        <v>343</v>
      </c>
      <c r="G5618" s="14" t="s">
        <v>343</v>
      </c>
      <c r="H5618" s="14" t="s">
        <v>343</v>
      </c>
      <c r="U5618" s="14">
        <v>1</v>
      </c>
      <c r="V5618" s="14">
        <v>1</v>
      </c>
      <c r="W5618" s="14">
        <v>1</v>
      </c>
      <c r="X5618" s="14">
        <v>1</v>
      </c>
    </row>
    <row r="5619" spans="1:24" hidden="1" x14ac:dyDescent="0.3">
      <c r="A5619" s="14" t="s">
        <v>539</v>
      </c>
      <c r="B5619" s="14" t="s">
        <v>328</v>
      </c>
      <c r="C5619" s="14" t="s">
        <v>353</v>
      </c>
      <c r="D5619" s="14" t="s">
        <v>354</v>
      </c>
      <c r="E5619" s="14" t="s">
        <v>344</v>
      </c>
      <c r="F5619" s="14" t="s">
        <v>343</v>
      </c>
      <c r="G5619" s="14" t="s">
        <v>343</v>
      </c>
      <c r="H5619" s="14" t="s">
        <v>343</v>
      </c>
      <c r="U5619" s="14">
        <v>1</v>
      </c>
      <c r="V5619" s="14">
        <v>1</v>
      </c>
      <c r="W5619" s="14">
        <v>1</v>
      </c>
      <c r="X5619" s="14">
        <v>1</v>
      </c>
    </row>
    <row r="5620" spans="1:24" hidden="1" x14ac:dyDescent="0.3">
      <c r="A5620" s="14" t="s">
        <v>539</v>
      </c>
      <c r="B5620" s="14" t="s">
        <v>328</v>
      </c>
      <c r="C5620" s="14" t="s">
        <v>380</v>
      </c>
      <c r="D5620" s="14" t="s">
        <v>381</v>
      </c>
      <c r="E5620" s="14" t="s">
        <v>342</v>
      </c>
      <c r="F5620" s="14" t="s">
        <v>343</v>
      </c>
      <c r="G5620" s="14" t="s">
        <v>343</v>
      </c>
      <c r="H5620" s="14" t="s">
        <v>343</v>
      </c>
      <c r="U5620" s="14">
        <v>1</v>
      </c>
      <c r="V5620" s="14">
        <v>1</v>
      </c>
      <c r="W5620" s="14">
        <v>1</v>
      </c>
      <c r="X5620" s="14">
        <v>1</v>
      </c>
    </row>
    <row r="5621" spans="1:24" hidden="1" x14ac:dyDescent="0.3">
      <c r="A5621" s="14" t="s">
        <v>539</v>
      </c>
      <c r="B5621" s="14" t="s">
        <v>328</v>
      </c>
      <c r="C5621" s="14" t="s">
        <v>380</v>
      </c>
      <c r="D5621" s="14" t="s">
        <v>381</v>
      </c>
      <c r="E5621" s="14" t="s">
        <v>344</v>
      </c>
      <c r="F5621" s="14" t="s">
        <v>343</v>
      </c>
      <c r="G5621" s="14" t="s">
        <v>343</v>
      </c>
      <c r="H5621" s="14" t="s">
        <v>343</v>
      </c>
      <c r="U5621" s="14">
        <v>82</v>
      </c>
      <c r="V5621" s="14">
        <v>78</v>
      </c>
      <c r="W5621" s="14">
        <v>79</v>
      </c>
      <c r="X5621" s="14">
        <v>1</v>
      </c>
    </row>
    <row r="5622" spans="1:24" hidden="1" x14ac:dyDescent="0.3">
      <c r="A5622" s="14" t="s">
        <v>539</v>
      </c>
      <c r="B5622" s="14" t="s">
        <v>328</v>
      </c>
      <c r="C5622" s="14" t="s">
        <v>355</v>
      </c>
      <c r="D5622" s="14" t="s">
        <v>356</v>
      </c>
      <c r="E5622" s="14" t="s">
        <v>342</v>
      </c>
      <c r="F5622" s="14" t="s">
        <v>343</v>
      </c>
      <c r="G5622" s="14" t="s">
        <v>343</v>
      </c>
      <c r="H5622" s="14" t="s">
        <v>343</v>
      </c>
      <c r="U5622" s="14">
        <v>1</v>
      </c>
      <c r="V5622" s="14">
        <v>1</v>
      </c>
      <c r="W5622" s="14">
        <v>1</v>
      </c>
      <c r="X5622" s="14">
        <v>0.98</v>
      </c>
    </row>
    <row r="5623" spans="1:24" hidden="1" x14ac:dyDescent="0.3">
      <c r="A5623" s="14" t="s">
        <v>539</v>
      </c>
      <c r="B5623" s="14" t="s">
        <v>328</v>
      </c>
      <c r="C5623" s="14" t="s">
        <v>355</v>
      </c>
      <c r="D5623" s="14" t="s">
        <v>356</v>
      </c>
      <c r="E5623" s="14" t="s">
        <v>344</v>
      </c>
      <c r="F5623" s="14" t="s">
        <v>343</v>
      </c>
      <c r="G5623" s="14" t="s">
        <v>343</v>
      </c>
      <c r="H5623" s="14" t="s">
        <v>343</v>
      </c>
      <c r="U5623" s="14">
        <v>103</v>
      </c>
      <c r="V5623" s="14">
        <v>1</v>
      </c>
      <c r="W5623" s="14">
        <v>1</v>
      </c>
      <c r="X5623" s="14">
        <v>89</v>
      </c>
    </row>
    <row r="5624" spans="1:24" hidden="1" x14ac:dyDescent="0.3">
      <c r="A5624" s="14" t="s">
        <v>539</v>
      </c>
      <c r="B5624" s="14" t="s">
        <v>328</v>
      </c>
      <c r="C5624" s="14" t="s">
        <v>357</v>
      </c>
      <c r="D5624" s="14" t="s">
        <v>358</v>
      </c>
      <c r="E5624" s="14" t="s">
        <v>342</v>
      </c>
      <c r="F5624" s="14" t="s">
        <v>343</v>
      </c>
      <c r="G5624" s="14" t="s">
        <v>343</v>
      </c>
      <c r="H5624" s="14" t="s">
        <v>343</v>
      </c>
      <c r="U5624" s="14">
        <v>1</v>
      </c>
      <c r="V5624" s="14">
        <v>1</v>
      </c>
      <c r="W5624" s="14">
        <v>1</v>
      </c>
      <c r="X5624" s="14">
        <v>1</v>
      </c>
    </row>
    <row r="5625" spans="1:24" hidden="1" x14ac:dyDescent="0.3">
      <c r="A5625" s="14" t="s">
        <v>539</v>
      </c>
      <c r="B5625" s="14" t="s">
        <v>328</v>
      </c>
      <c r="C5625" s="14" t="s">
        <v>357</v>
      </c>
      <c r="D5625" s="14" t="s">
        <v>358</v>
      </c>
      <c r="E5625" s="14" t="s">
        <v>344</v>
      </c>
      <c r="F5625" s="14" t="s">
        <v>343</v>
      </c>
      <c r="G5625" s="14" t="s">
        <v>343</v>
      </c>
      <c r="H5625" s="14" t="s">
        <v>343</v>
      </c>
      <c r="U5625" s="14">
        <v>1</v>
      </c>
      <c r="V5625" s="14">
        <v>1</v>
      </c>
      <c r="W5625" s="14">
        <v>1</v>
      </c>
      <c r="X5625" s="14">
        <v>1</v>
      </c>
    </row>
    <row r="5626" spans="1:24" hidden="1" x14ac:dyDescent="0.3">
      <c r="A5626" s="14" t="s">
        <v>539</v>
      </c>
      <c r="B5626" s="14" t="s">
        <v>328</v>
      </c>
      <c r="C5626" s="14" t="s">
        <v>359</v>
      </c>
      <c r="D5626" s="14" t="s">
        <v>360</v>
      </c>
      <c r="E5626" s="14" t="s">
        <v>342</v>
      </c>
      <c r="F5626" s="14" t="s">
        <v>343</v>
      </c>
      <c r="G5626" s="14" t="s">
        <v>343</v>
      </c>
      <c r="H5626" s="14" t="s">
        <v>343</v>
      </c>
      <c r="I5626" s="14">
        <v>0.76</v>
      </c>
      <c r="J5626" s="14">
        <v>0.74</v>
      </c>
      <c r="K5626" s="14">
        <v>0.75</v>
      </c>
      <c r="L5626" s="14">
        <v>0.75</v>
      </c>
      <c r="M5626" s="14">
        <v>0.8</v>
      </c>
      <c r="N5626" s="14">
        <v>0.8</v>
      </c>
      <c r="O5626" s="14">
        <v>0.81</v>
      </c>
      <c r="P5626" s="14">
        <v>0.82</v>
      </c>
      <c r="Q5626" s="14">
        <v>0.83</v>
      </c>
      <c r="R5626" s="14">
        <v>0.83</v>
      </c>
      <c r="S5626" s="14">
        <v>0.75</v>
      </c>
      <c r="T5626" s="14">
        <v>0.78</v>
      </c>
      <c r="U5626" s="14">
        <v>0.78</v>
      </c>
      <c r="V5626" s="14">
        <v>0.76</v>
      </c>
      <c r="W5626" s="14">
        <v>0.75</v>
      </c>
      <c r="X5626" s="14">
        <v>0.78</v>
      </c>
    </row>
    <row r="5627" spans="1:24" hidden="1" x14ac:dyDescent="0.3">
      <c r="A5627" s="14" t="s">
        <v>539</v>
      </c>
      <c r="B5627" s="14" t="s">
        <v>328</v>
      </c>
      <c r="C5627" s="14" t="s">
        <v>359</v>
      </c>
      <c r="D5627" s="14" t="s">
        <v>360</v>
      </c>
      <c r="E5627" s="14" t="s">
        <v>344</v>
      </c>
      <c r="F5627" s="14" t="s">
        <v>343</v>
      </c>
      <c r="G5627" s="14" t="s">
        <v>343</v>
      </c>
      <c r="H5627" s="14" t="s">
        <v>343</v>
      </c>
      <c r="I5627" s="14">
        <v>3</v>
      </c>
      <c r="J5627" s="14">
        <v>14</v>
      </c>
      <c r="K5627" s="14">
        <v>12</v>
      </c>
      <c r="L5627" s="14">
        <v>17</v>
      </c>
      <c r="M5627" s="14">
        <v>6</v>
      </c>
      <c r="N5627" s="14">
        <v>6</v>
      </c>
      <c r="O5627" s="14">
        <v>8</v>
      </c>
      <c r="P5627" s="14">
        <v>6</v>
      </c>
      <c r="Q5627" s="14">
        <v>4</v>
      </c>
      <c r="R5627" s="14">
        <v>6</v>
      </c>
      <c r="S5627" s="14">
        <v>26</v>
      </c>
      <c r="T5627" s="14">
        <v>19</v>
      </c>
      <c r="U5627" s="14">
        <v>19</v>
      </c>
      <c r="V5627" s="14">
        <v>26</v>
      </c>
      <c r="W5627" s="14">
        <v>30</v>
      </c>
      <c r="X5627" s="14">
        <v>22</v>
      </c>
    </row>
    <row r="5628" spans="1:24" x14ac:dyDescent="0.3">
      <c r="A5628" s="14" t="s">
        <v>539</v>
      </c>
      <c r="B5628" s="14" t="s">
        <v>328</v>
      </c>
      <c r="C5628" s="14" t="s">
        <v>361</v>
      </c>
      <c r="D5628" s="14" t="s">
        <v>362</v>
      </c>
      <c r="E5628" s="14" t="s">
        <v>342</v>
      </c>
      <c r="F5628" s="14" t="s">
        <v>343</v>
      </c>
      <c r="G5628" s="14" t="s">
        <v>343</v>
      </c>
      <c r="H5628" s="14" t="s">
        <v>343</v>
      </c>
      <c r="I5628" s="14">
        <v>0.98</v>
      </c>
      <c r="J5628" s="14">
        <v>0.98</v>
      </c>
      <c r="K5628" s="14">
        <v>0.98</v>
      </c>
      <c r="L5628" s="14">
        <v>0.98</v>
      </c>
      <c r="M5628" s="14">
        <v>0.98</v>
      </c>
      <c r="N5628" s="14">
        <v>0.98</v>
      </c>
      <c r="O5628" s="14">
        <v>0.98</v>
      </c>
      <c r="P5628" s="14">
        <v>0.98</v>
      </c>
      <c r="Q5628" s="14">
        <v>0.97</v>
      </c>
      <c r="R5628" s="14">
        <v>0.98</v>
      </c>
      <c r="S5628" s="14">
        <v>0.98</v>
      </c>
      <c r="T5628" s="14">
        <v>0.97</v>
      </c>
      <c r="U5628" s="14">
        <v>0.98</v>
      </c>
      <c r="V5628" s="14">
        <v>0.98</v>
      </c>
      <c r="W5628" s="14">
        <v>0.97</v>
      </c>
      <c r="X5628" s="14">
        <v>0.97</v>
      </c>
    </row>
    <row r="5629" spans="1:24" hidden="1" x14ac:dyDescent="0.3">
      <c r="A5629" s="14" t="s">
        <v>539</v>
      </c>
      <c r="B5629" s="14" t="s">
        <v>328</v>
      </c>
      <c r="C5629" s="14" t="s">
        <v>361</v>
      </c>
      <c r="D5629" s="14" t="s">
        <v>362</v>
      </c>
      <c r="E5629" s="14" t="s">
        <v>344</v>
      </c>
      <c r="F5629" s="14" t="s">
        <v>343</v>
      </c>
      <c r="G5629" s="14" t="s">
        <v>343</v>
      </c>
      <c r="H5629" s="14" t="s">
        <v>343</v>
      </c>
      <c r="I5629" s="14">
        <v>1</v>
      </c>
      <c r="J5629" s="14">
        <v>36</v>
      </c>
      <c r="K5629" s="14">
        <v>37</v>
      </c>
      <c r="L5629" s="14">
        <v>40</v>
      </c>
      <c r="M5629" s="14">
        <v>38</v>
      </c>
      <c r="N5629" s="14">
        <v>39</v>
      </c>
      <c r="O5629" s="14">
        <v>33</v>
      </c>
      <c r="P5629" s="14">
        <v>33</v>
      </c>
      <c r="Q5629" s="14">
        <v>62</v>
      </c>
      <c r="R5629" s="14">
        <v>64</v>
      </c>
      <c r="S5629" s="14">
        <v>62</v>
      </c>
      <c r="T5629" s="14">
        <v>82</v>
      </c>
      <c r="U5629" s="14">
        <v>71</v>
      </c>
      <c r="V5629" s="14">
        <v>70</v>
      </c>
      <c r="W5629" s="14">
        <v>87</v>
      </c>
      <c r="X5629" s="14">
        <v>83</v>
      </c>
    </row>
    <row r="5630" spans="1:24" hidden="1" x14ac:dyDescent="0.3">
      <c r="A5630" s="14" t="s">
        <v>539</v>
      </c>
      <c r="B5630" s="14" t="s">
        <v>328</v>
      </c>
      <c r="C5630" s="14" t="s">
        <v>363</v>
      </c>
      <c r="D5630" s="14" t="s">
        <v>364</v>
      </c>
      <c r="E5630" s="14" t="s">
        <v>342</v>
      </c>
      <c r="F5630" s="14" t="s">
        <v>343</v>
      </c>
      <c r="G5630" s="14" t="s">
        <v>343</v>
      </c>
      <c r="H5630" s="14" t="s">
        <v>343</v>
      </c>
      <c r="U5630" s="14">
        <v>1.05</v>
      </c>
      <c r="V5630" s="14">
        <v>1.05</v>
      </c>
      <c r="W5630" s="14">
        <v>1.03</v>
      </c>
      <c r="X5630" s="14">
        <v>1.03</v>
      </c>
    </row>
    <row r="5631" spans="1:24" hidden="1" x14ac:dyDescent="0.3">
      <c r="A5631" s="14" t="s">
        <v>539</v>
      </c>
      <c r="B5631" s="14" t="s">
        <v>328</v>
      </c>
      <c r="C5631" s="14" t="s">
        <v>363</v>
      </c>
      <c r="D5631" s="14" t="s">
        <v>364</v>
      </c>
      <c r="E5631" s="14" t="s">
        <v>344</v>
      </c>
      <c r="F5631" s="14" t="s">
        <v>343</v>
      </c>
      <c r="G5631" s="14" t="s">
        <v>343</v>
      </c>
      <c r="H5631" s="14" t="s">
        <v>343</v>
      </c>
      <c r="U5631" s="14">
        <v>79</v>
      </c>
      <c r="V5631" s="14">
        <v>82</v>
      </c>
      <c r="W5631" s="14">
        <v>99</v>
      </c>
      <c r="X5631" s="14">
        <v>91</v>
      </c>
    </row>
    <row r="5632" spans="1:24" hidden="1" x14ac:dyDescent="0.3">
      <c r="A5632" s="14" t="s">
        <v>539</v>
      </c>
      <c r="B5632" s="14" t="s">
        <v>328</v>
      </c>
      <c r="C5632" s="14" t="s">
        <v>365</v>
      </c>
      <c r="D5632" s="14" t="s">
        <v>366</v>
      </c>
      <c r="E5632" s="14" t="s">
        <v>342</v>
      </c>
      <c r="F5632" s="14" t="s">
        <v>343</v>
      </c>
      <c r="G5632" s="14" t="s">
        <v>343</v>
      </c>
      <c r="H5632" s="14" t="s">
        <v>343</v>
      </c>
      <c r="U5632" s="14">
        <v>0.94</v>
      </c>
      <c r="V5632" s="14">
        <v>0.94</v>
      </c>
      <c r="W5632" s="14">
        <v>0.94</v>
      </c>
      <c r="X5632" s="14">
        <v>0.94</v>
      </c>
    </row>
    <row r="5633" spans="1:24" hidden="1" x14ac:dyDescent="0.3">
      <c r="A5633" s="14" t="s">
        <v>539</v>
      </c>
      <c r="B5633" s="14" t="s">
        <v>328</v>
      </c>
      <c r="C5633" s="14" t="s">
        <v>365</v>
      </c>
      <c r="D5633" s="14" t="s">
        <v>366</v>
      </c>
      <c r="E5633" s="14" t="s">
        <v>344</v>
      </c>
      <c r="F5633" s="14" t="s">
        <v>343</v>
      </c>
      <c r="G5633" s="14" t="s">
        <v>343</v>
      </c>
      <c r="H5633" s="14" t="s">
        <v>343</v>
      </c>
      <c r="U5633" s="14">
        <v>1</v>
      </c>
      <c r="V5633" s="14">
        <v>1</v>
      </c>
      <c r="W5633" s="14">
        <v>1</v>
      </c>
      <c r="X5633" s="14">
        <v>1</v>
      </c>
    </row>
    <row r="5634" spans="1:24" hidden="1" x14ac:dyDescent="0.3">
      <c r="A5634" s="14" t="s">
        <v>539</v>
      </c>
      <c r="B5634" s="14" t="s">
        <v>328</v>
      </c>
      <c r="C5634" s="14" t="s">
        <v>367</v>
      </c>
      <c r="D5634" s="14" t="s">
        <v>368</v>
      </c>
      <c r="E5634" s="14" t="s">
        <v>342</v>
      </c>
      <c r="F5634" s="14" t="s">
        <v>343</v>
      </c>
      <c r="G5634" s="14" t="s">
        <v>343</v>
      </c>
      <c r="H5634" s="14" t="s">
        <v>343</v>
      </c>
      <c r="I5634" s="14">
        <v>0.7</v>
      </c>
      <c r="J5634" s="14">
        <v>0.7</v>
      </c>
      <c r="K5634" s="14">
        <v>0.72</v>
      </c>
      <c r="L5634" s="14">
        <v>0.72</v>
      </c>
      <c r="M5634" s="14">
        <v>0.74</v>
      </c>
      <c r="N5634" s="14">
        <v>0.74</v>
      </c>
      <c r="O5634" s="14">
        <v>0.74</v>
      </c>
      <c r="P5634" s="14">
        <v>0.74</v>
      </c>
      <c r="Q5634" s="14">
        <v>0.75</v>
      </c>
      <c r="R5634" s="14">
        <v>0.74</v>
      </c>
      <c r="S5634" s="14">
        <v>0.72</v>
      </c>
      <c r="T5634" s="14">
        <v>0.72</v>
      </c>
      <c r="U5634" s="14">
        <v>0.72</v>
      </c>
      <c r="V5634" s="14">
        <v>0.72</v>
      </c>
      <c r="W5634" s="14">
        <v>0.76</v>
      </c>
      <c r="X5634" s="14">
        <v>0.77</v>
      </c>
    </row>
    <row r="5635" spans="1:24" hidden="1" x14ac:dyDescent="0.3">
      <c r="A5635" s="14" t="s">
        <v>539</v>
      </c>
      <c r="B5635" s="14" t="s">
        <v>328</v>
      </c>
      <c r="C5635" s="14" t="s">
        <v>367</v>
      </c>
      <c r="D5635" s="14" t="s">
        <v>368</v>
      </c>
      <c r="E5635" s="14" t="s">
        <v>344</v>
      </c>
      <c r="F5635" s="14" t="s">
        <v>343</v>
      </c>
      <c r="G5635" s="14" t="s">
        <v>343</v>
      </c>
      <c r="H5635" s="14" t="s">
        <v>343</v>
      </c>
      <c r="I5635" s="14">
        <v>23</v>
      </c>
      <c r="J5635" s="14">
        <v>31</v>
      </c>
      <c r="K5635" s="14">
        <v>27</v>
      </c>
      <c r="L5635" s="14">
        <v>31</v>
      </c>
      <c r="M5635" s="14">
        <v>19</v>
      </c>
      <c r="N5635" s="14">
        <v>17</v>
      </c>
      <c r="O5635" s="14">
        <v>22</v>
      </c>
      <c r="P5635" s="14">
        <v>23</v>
      </c>
      <c r="Q5635" s="14">
        <v>20</v>
      </c>
      <c r="R5635" s="14">
        <v>28</v>
      </c>
      <c r="S5635" s="14">
        <v>45</v>
      </c>
      <c r="T5635" s="14">
        <v>49</v>
      </c>
      <c r="U5635" s="14">
        <v>51</v>
      </c>
      <c r="V5635" s="14">
        <v>53</v>
      </c>
      <c r="W5635" s="14">
        <v>30</v>
      </c>
      <c r="X5635" s="14">
        <v>27</v>
      </c>
    </row>
    <row r="5636" spans="1:24" hidden="1" x14ac:dyDescent="0.3">
      <c r="A5636" s="14" t="s">
        <v>539</v>
      </c>
      <c r="B5636" s="14" t="s">
        <v>328</v>
      </c>
      <c r="C5636" s="14" t="s">
        <v>369</v>
      </c>
      <c r="D5636" s="14" t="s">
        <v>370</v>
      </c>
      <c r="E5636" s="14" t="s">
        <v>342</v>
      </c>
      <c r="F5636" s="14" t="s">
        <v>343</v>
      </c>
      <c r="G5636" s="14" t="s">
        <v>343</v>
      </c>
      <c r="H5636" s="14" t="s">
        <v>343</v>
      </c>
      <c r="I5636" s="14">
        <v>0.1</v>
      </c>
      <c r="J5636" s="14">
        <v>0.1</v>
      </c>
      <c r="K5636" s="14">
        <v>0.14000000000000001</v>
      </c>
      <c r="L5636" s="14">
        <v>0.14000000000000001</v>
      </c>
      <c r="M5636" s="14">
        <v>0.19</v>
      </c>
      <c r="N5636" s="14">
        <v>0.19</v>
      </c>
      <c r="O5636" s="14">
        <v>0.16</v>
      </c>
      <c r="P5636" s="14">
        <v>0.16</v>
      </c>
      <c r="Q5636" s="14">
        <v>0.18</v>
      </c>
      <c r="R5636" s="14">
        <v>0.16</v>
      </c>
      <c r="S5636" s="14">
        <v>0.16</v>
      </c>
      <c r="T5636" s="14">
        <v>0.12</v>
      </c>
      <c r="U5636" s="14">
        <v>0.12</v>
      </c>
      <c r="V5636" s="14">
        <v>0.16</v>
      </c>
      <c r="W5636" s="14">
        <v>0.33</v>
      </c>
      <c r="X5636" s="14">
        <v>0.33</v>
      </c>
    </row>
    <row r="5637" spans="1:24" hidden="1" x14ac:dyDescent="0.3">
      <c r="A5637" s="14" t="s">
        <v>539</v>
      </c>
      <c r="B5637" s="14" t="s">
        <v>328</v>
      </c>
      <c r="C5637" s="14" t="s">
        <v>369</v>
      </c>
      <c r="D5637" s="14" t="s">
        <v>370</v>
      </c>
      <c r="E5637" s="14" t="s">
        <v>344</v>
      </c>
      <c r="F5637" s="14" t="s">
        <v>343</v>
      </c>
      <c r="G5637" s="14" t="s">
        <v>343</v>
      </c>
      <c r="H5637" s="14" t="s">
        <v>343</v>
      </c>
      <c r="I5637" s="14">
        <v>66</v>
      </c>
      <c r="J5637" s="14">
        <v>69</v>
      </c>
      <c r="K5637" s="14">
        <v>56</v>
      </c>
      <c r="L5637" s="14">
        <v>61</v>
      </c>
      <c r="M5637" s="14">
        <v>40</v>
      </c>
      <c r="N5637" s="14">
        <v>39</v>
      </c>
      <c r="O5637" s="14">
        <v>55</v>
      </c>
      <c r="P5637" s="14">
        <v>60</v>
      </c>
      <c r="Q5637" s="14">
        <v>54</v>
      </c>
      <c r="R5637" s="14">
        <v>72</v>
      </c>
      <c r="S5637" s="14">
        <v>73</v>
      </c>
      <c r="T5637" s="14">
        <v>96</v>
      </c>
      <c r="U5637" s="14">
        <v>98</v>
      </c>
      <c r="V5637" s="14">
        <v>86</v>
      </c>
      <c r="W5637" s="14">
        <v>37</v>
      </c>
      <c r="X5637" s="14">
        <v>38</v>
      </c>
    </row>
    <row r="5638" spans="1:24" hidden="1" x14ac:dyDescent="0.3">
      <c r="A5638" s="14" t="s">
        <v>539</v>
      </c>
      <c r="B5638" s="14" t="s">
        <v>328</v>
      </c>
      <c r="C5638" s="14" t="s">
        <v>371</v>
      </c>
      <c r="D5638" s="14" t="s">
        <v>372</v>
      </c>
      <c r="E5638" s="14" t="s">
        <v>342</v>
      </c>
      <c r="F5638" s="14" t="s">
        <v>343</v>
      </c>
      <c r="G5638" s="14" t="s">
        <v>343</v>
      </c>
      <c r="H5638" s="14" t="s">
        <v>343</v>
      </c>
      <c r="U5638" s="14">
        <v>0</v>
      </c>
      <c r="V5638" s="14">
        <v>0</v>
      </c>
      <c r="W5638" s="14">
        <v>0</v>
      </c>
      <c r="X5638" s="14">
        <v>0</v>
      </c>
    </row>
    <row r="5639" spans="1:24" hidden="1" x14ac:dyDescent="0.3">
      <c r="A5639" s="14" t="s">
        <v>539</v>
      </c>
      <c r="B5639" s="14" t="s">
        <v>328</v>
      </c>
      <c r="C5639" s="14" t="s">
        <v>371</v>
      </c>
      <c r="D5639" s="14" t="s">
        <v>372</v>
      </c>
      <c r="E5639" s="14" t="s">
        <v>344</v>
      </c>
      <c r="F5639" s="14" t="s">
        <v>343</v>
      </c>
      <c r="G5639" s="14" t="s">
        <v>343</v>
      </c>
      <c r="H5639" s="14" t="s">
        <v>343</v>
      </c>
      <c r="U5639" s="14">
        <v>71</v>
      </c>
      <c r="V5639" s="14">
        <v>73</v>
      </c>
      <c r="W5639" s="14">
        <v>76</v>
      </c>
      <c r="X5639" s="14">
        <v>78</v>
      </c>
    </row>
    <row r="5640" spans="1:24" hidden="1" x14ac:dyDescent="0.3">
      <c r="A5640" s="14" t="s">
        <v>539</v>
      </c>
      <c r="B5640" s="14" t="s">
        <v>328</v>
      </c>
      <c r="C5640" s="14" t="s">
        <v>373</v>
      </c>
      <c r="D5640" s="14" t="s">
        <v>374</v>
      </c>
      <c r="E5640" s="14" t="s">
        <v>342</v>
      </c>
      <c r="F5640" s="14" t="s">
        <v>343</v>
      </c>
      <c r="G5640" s="14" t="s">
        <v>343</v>
      </c>
      <c r="H5640" s="14" t="s">
        <v>343</v>
      </c>
      <c r="U5640" s="14">
        <v>0.2</v>
      </c>
      <c r="V5640" s="14">
        <v>0.28000000000000003</v>
      </c>
      <c r="W5640" s="14">
        <v>0.86</v>
      </c>
      <c r="X5640" s="14">
        <v>0.86</v>
      </c>
    </row>
    <row r="5641" spans="1:24" hidden="1" x14ac:dyDescent="0.3">
      <c r="A5641" s="14" t="s">
        <v>539</v>
      </c>
      <c r="B5641" s="14" t="s">
        <v>328</v>
      </c>
      <c r="C5641" s="14" t="s">
        <v>373</v>
      </c>
      <c r="D5641" s="14" t="s">
        <v>374</v>
      </c>
      <c r="E5641" s="14" t="s">
        <v>344</v>
      </c>
      <c r="F5641" s="14" t="s">
        <v>343</v>
      </c>
      <c r="G5641" s="14" t="s">
        <v>343</v>
      </c>
      <c r="H5641" s="14" t="s">
        <v>343</v>
      </c>
      <c r="U5641" s="14">
        <v>85</v>
      </c>
      <c r="V5641" s="14">
        <v>76</v>
      </c>
      <c r="W5641" s="14">
        <v>14</v>
      </c>
      <c r="X5641" s="14">
        <v>14</v>
      </c>
    </row>
    <row r="5642" spans="1:24" hidden="1" x14ac:dyDescent="0.3">
      <c r="A5642" s="14" t="s">
        <v>539</v>
      </c>
      <c r="B5642" s="14" t="s">
        <v>328</v>
      </c>
      <c r="C5642" s="14" t="s">
        <v>375</v>
      </c>
      <c r="D5642" s="14" t="s">
        <v>376</v>
      </c>
      <c r="E5642" s="14" t="s">
        <v>342</v>
      </c>
      <c r="F5642" s="14" t="s">
        <v>343</v>
      </c>
      <c r="G5642" s="14" t="s">
        <v>343</v>
      </c>
      <c r="H5642" s="14" t="s">
        <v>343</v>
      </c>
      <c r="U5642" s="14">
        <v>0.24</v>
      </c>
      <c r="V5642" s="14">
        <v>0.31</v>
      </c>
      <c r="W5642" s="14">
        <v>0.38</v>
      </c>
      <c r="X5642" s="14">
        <v>0.39</v>
      </c>
    </row>
    <row r="5643" spans="1:24" hidden="1" x14ac:dyDescent="0.3">
      <c r="A5643" s="14" t="s">
        <v>539</v>
      </c>
      <c r="B5643" s="14" t="s">
        <v>328</v>
      </c>
      <c r="C5643" s="14" t="s">
        <v>375</v>
      </c>
      <c r="D5643" s="14" t="s">
        <v>376</v>
      </c>
      <c r="E5643" s="14" t="s">
        <v>344</v>
      </c>
      <c r="F5643" s="14" t="s">
        <v>343</v>
      </c>
      <c r="G5643" s="14" t="s">
        <v>343</v>
      </c>
      <c r="H5643" s="14" t="s">
        <v>343</v>
      </c>
      <c r="U5643" s="14">
        <v>88</v>
      </c>
      <c r="V5643" s="14">
        <v>67</v>
      </c>
      <c r="W5643" s="14">
        <v>60</v>
      </c>
      <c r="X5643" s="14">
        <v>61</v>
      </c>
    </row>
    <row r="5644" spans="1:24" hidden="1" x14ac:dyDescent="0.3">
      <c r="A5644" s="14" t="s">
        <v>540</v>
      </c>
      <c r="B5644" s="14" t="s">
        <v>252</v>
      </c>
      <c r="C5644" s="14" t="s">
        <v>340</v>
      </c>
      <c r="D5644" s="14" t="s">
        <v>341</v>
      </c>
      <c r="E5644" s="14" t="s">
        <v>342</v>
      </c>
      <c r="F5644" s="14" t="s">
        <v>343</v>
      </c>
      <c r="G5644" s="14" t="s">
        <v>343</v>
      </c>
      <c r="H5644" s="14" t="s">
        <v>343</v>
      </c>
      <c r="I5644" s="14">
        <v>0.96</v>
      </c>
      <c r="J5644" s="14">
        <v>0.96</v>
      </c>
      <c r="K5644" s="14">
        <v>0.95</v>
      </c>
      <c r="L5644" s="14">
        <v>0.94</v>
      </c>
    </row>
    <row r="5645" spans="1:24" hidden="1" x14ac:dyDescent="0.3">
      <c r="A5645" s="14" t="s">
        <v>540</v>
      </c>
      <c r="B5645" s="14" t="s">
        <v>252</v>
      </c>
      <c r="C5645" s="14" t="s">
        <v>340</v>
      </c>
      <c r="D5645" s="14" t="s">
        <v>341</v>
      </c>
      <c r="E5645" s="14" t="s">
        <v>344</v>
      </c>
      <c r="F5645" s="14" t="s">
        <v>343</v>
      </c>
      <c r="G5645" s="14" t="s">
        <v>343</v>
      </c>
      <c r="H5645" s="14" t="s">
        <v>343</v>
      </c>
      <c r="I5645" s="14">
        <v>74</v>
      </c>
      <c r="J5645" s="14">
        <v>86</v>
      </c>
      <c r="K5645" s="14">
        <v>95</v>
      </c>
      <c r="L5645" s="14">
        <v>100</v>
      </c>
    </row>
    <row r="5646" spans="1:24" hidden="1" x14ac:dyDescent="0.3">
      <c r="A5646" s="14" t="s">
        <v>540</v>
      </c>
      <c r="B5646" s="14" t="s">
        <v>252</v>
      </c>
      <c r="C5646" s="14" t="s">
        <v>359</v>
      </c>
      <c r="D5646" s="14" t="s">
        <v>360</v>
      </c>
      <c r="E5646" s="14" t="s">
        <v>342</v>
      </c>
      <c r="F5646" s="14" t="s">
        <v>343</v>
      </c>
      <c r="G5646" s="14" t="s">
        <v>343</v>
      </c>
      <c r="H5646" s="14" t="s">
        <v>343</v>
      </c>
      <c r="I5646" s="14">
        <v>0.74</v>
      </c>
      <c r="J5646" s="14">
        <v>0.75</v>
      </c>
      <c r="K5646" s="14">
        <v>0.75</v>
      </c>
      <c r="L5646" s="14">
        <v>0.77</v>
      </c>
    </row>
    <row r="5647" spans="1:24" hidden="1" x14ac:dyDescent="0.3">
      <c r="A5647" s="14" t="s">
        <v>540</v>
      </c>
      <c r="B5647" s="14" t="s">
        <v>252</v>
      </c>
      <c r="C5647" s="14" t="s">
        <v>359</v>
      </c>
      <c r="D5647" s="14" t="s">
        <v>360</v>
      </c>
      <c r="E5647" s="14" t="s">
        <v>344</v>
      </c>
      <c r="F5647" s="14" t="s">
        <v>343</v>
      </c>
      <c r="G5647" s="14" t="s">
        <v>343</v>
      </c>
      <c r="H5647" s="14" t="s">
        <v>343</v>
      </c>
      <c r="I5647" s="14">
        <v>6</v>
      </c>
      <c r="J5647" s="14">
        <v>9</v>
      </c>
      <c r="K5647" s="14">
        <v>11</v>
      </c>
    </row>
    <row r="5648" spans="1:24" hidden="1" x14ac:dyDescent="0.3">
      <c r="A5648" s="14" t="s">
        <v>540</v>
      </c>
      <c r="B5648" s="14" t="s">
        <v>252</v>
      </c>
      <c r="C5648" s="14" t="s">
        <v>361</v>
      </c>
      <c r="D5648" s="14" t="s">
        <v>362</v>
      </c>
      <c r="E5648" s="14" t="s">
        <v>342</v>
      </c>
      <c r="F5648" s="14" t="s">
        <v>343</v>
      </c>
      <c r="G5648" s="14" t="s">
        <v>343</v>
      </c>
      <c r="H5648" s="14" t="s">
        <v>343</v>
      </c>
      <c r="I5648" s="14">
        <v>0.98</v>
      </c>
      <c r="J5648" s="14">
        <v>0.98</v>
      </c>
      <c r="K5648" s="14">
        <v>0.98</v>
      </c>
      <c r="L5648" s="14">
        <v>0.98</v>
      </c>
    </row>
    <row r="5649" spans="1:23" hidden="1" x14ac:dyDescent="0.3">
      <c r="A5649" s="14" t="s">
        <v>540</v>
      </c>
      <c r="B5649" s="14" t="s">
        <v>252</v>
      </c>
      <c r="C5649" s="14" t="s">
        <v>361</v>
      </c>
      <c r="D5649" s="14" t="s">
        <v>362</v>
      </c>
      <c r="E5649" s="14" t="s">
        <v>344</v>
      </c>
      <c r="F5649" s="14" t="s">
        <v>343</v>
      </c>
      <c r="G5649" s="14" t="s">
        <v>343</v>
      </c>
      <c r="H5649" s="14" t="s">
        <v>343</v>
      </c>
      <c r="I5649" s="14">
        <v>55</v>
      </c>
      <c r="J5649" s="14">
        <v>59</v>
      </c>
      <c r="K5649" s="14">
        <v>61</v>
      </c>
      <c r="L5649" s="14">
        <v>64</v>
      </c>
    </row>
    <row r="5650" spans="1:23" hidden="1" x14ac:dyDescent="0.3">
      <c r="A5650" s="14" t="s">
        <v>540</v>
      </c>
      <c r="B5650" s="14" t="s">
        <v>252</v>
      </c>
      <c r="C5650" s="14" t="s">
        <v>367</v>
      </c>
      <c r="D5650" s="14" t="s">
        <v>368</v>
      </c>
      <c r="E5650" s="14" t="s">
        <v>342</v>
      </c>
      <c r="F5650" s="14" t="s">
        <v>343</v>
      </c>
      <c r="G5650" s="14" t="s">
        <v>343</v>
      </c>
      <c r="H5650" s="14" t="s">
        <v>343</v>
      </c>
      <c r="I5650" s="14">
        <v>0.69</v>
      </c>
      <c r="J5650" s="14">
        <v>0.69</v>
      </c>
      <c r="K5650" s="14">
        <v>0.69</v>
      </c>
      <c r="L5650" s="14">
        <v>0.69</v>
      </c>
    </row>
    <row r="5651" spans="1:23" hidden="1" x14ac:dyDescent="0.3">
      <c r="A5651" s="14" t="s">
        <v>540</v>
      </c>
      <c r="B5651" s="14" t="s">
        <v>252</v>
      </c>
      <c r="C5651" s="14" t="s">
        <v>367</v>
      </c>
      <c r="D5651" s="14" t="s">
        <v>368</v>
      </c>
      <c r="E5651" s="14" t="s">
        <v>344</v>
      </c>
      <c r="F5651" s="14" t="s">
        <v>343</v>
      </c>
      <c r="G5651" s="14" t="s">
        <v>343</v>
      </c>
      <c r="H5651" s="14" t="s">
        <v>343</v>
      </c>
      <c r="I5651" s="14">
        <v>36</v>
      </c>
      <c r="J5651" s="14">
        <v>41</v>
      </c>
      <c r="K5651" s="14">
        <v>55</v>
      </c>
      <c r="L5651" s="14">
        <v>58</v>
      </c>
    </row>
    <row r="5652" spans="1:23" hidden="1" x14ac:dyDescent="0.3">
      <c r="A5652" s="14" t="s">
        <v>540</v>
      </c>
      <c r="B5652" s="14" t="s">
        <v>252</v>
      </c>
      <c r="C5652" s="14" t="s">
        <v>369</v>
      </c>
      <c r="D5652" s="14" t="s">
        <v>370</v>
      </c>
      <c r="E5652" s="14" t="s">
        <v>342</v>
      </c>
      <c r="F5652" s="14" t="s">
        <v>343</v>
      </c>
      <c r="G5652" s="14" t="s">
        <v>343</v>
      </c>
      <c r="H5652" s="14" t="s">
        <v>343</v>
      </c>
      <c r="I5652" s="14">
        <v>7.0000000000000007E-2</v>
      </c>
      <c r="J5652" s="14">
        <v>7.0000000000000007E-2</v>
      </c>
      <c r="K5652" s="14">
        <v>0.08</v>
      </c>
      <c r="L5652" s="14">
        <v>0.08</v>
      </c>
    </row>
    <row r="5653" spans="1:23" hidden="1" x14ac:dyDescent="0.3">
      <c r="A5653" s="14" t="s">
        <v>540</v>
      </c>
      <c r="B5653" s="14" t="s">
        <v>252</v>
      </c>
      <c r="C5653" s="14" t="s">
        <v>369</v>
      </c>
      <c r="D5653" s="14" t="s">
        <v>370</v>
      </c>
      <c r="E5653" s="14" t="s">
        <v>344</v>
      </c>
      <c r="F5653" s="14" t="s">
        <v>343</v>
      </c>
      <c r="G5653" s="14" t="s">
        <v>343</v>
      </c>
      <c r="H5653" s="14" t="s">
        <v>343</v>
      </c>
      <c r="I5653" s="14">
        <v>78</v>
      </c>
      <c r="J5653" s="14">
        <v>88</v>
      </c>
      <c r="K5653" s="14">
        <v>99</v>
      </c>
      <c r="L5653" s="14">
        <v>97</v>
      </c>
    </row>
    <row r="5654" spans="1:23" hidden="1" x14ac:dyDescent="0.3">
      <c r="A5654" s="14" t="s">
        <v>541</v>
      </c>
      <c r="B5654" s="14" t="s">
        <v>542</v>
      </c>
      <c r="C5654" s="14" t="s">
        <v>340</v>
      </c>
      <c r="D5654" s="14" t="s">
        <v>341</v>
      </c>
      <c r="E5654" s="14" t="s">
        <v>342</v>
      </c>
      <c r="F5654" s="14" t="s">
        <v>343</v>
      </c>
      <c r="G5654" s="14" t="s">
        <v>343</v>
      </c>
      <c r="H5654" s="14" t="s">
        <v>343</v>
      </c>
      <c r="I5654" s="14">
        <v>0.99</v>
      </c>
      <c r="J5654" s="14">
        <v>1</v>
      </c>
      <c r="K5654" s="14">
        <v>1</v>
      </c>
      <c r="L5654" s="14">
        <v>1</v>
      </c>
      <c r="M5654" s="14">
        <v>1</v>
      </c>
      <c r="N5654" s="14">
        <v>1</v>
      </c>
      <c r="O5654" s="14">
        <v>1</v>
      </c>
      <c r="P5654" s="14">
        <v>1</v>
      </c>
      <c r="Q5654" s="14">
        <v>0.99</v>
      </c>
      <c r="R5654" s="14">
        <v>0.99</v>
      </c>
      <c r="S5654" s="14">
        <v>1</v>
      </c>
      <c r="T5654" s="14">
        <v>1</v>
      </c>
      <c r="U5654" s="14">
        <v>1</v>
      </c>
      <c r="V5654" s="14">
        <v>1</v>
      </c>
      <c r="W5654" s="14">
        <v>1</v>
      </c>
    </row>
    <row r="5655" spans="1:23" hidden="1" x14ac:dyDescent="0.3">
      <c r="A5655" s="14" t="s">
        <v>541</v>
      </c>
      <c r="B5655" s="14" t="s">
        <v>542</v>
      </c>
      <c r="C5655" s="14" t="s">
        <v>340</v>
      </c>
      <c r="D5655" s="14" t="s">
        <v>341</v>
      </c>
      <c r="E5655" s="14" t="s">
        <v>344</v>
      </c>
      <c r="F5655" s="14" t="s">
        <v>343</v>
      </c>
      <c r="G5655" s="14" t="s">
        <v>343</v>
      </c>
      <c r="H5655" s="14" t="s">
        <v>343</v>
      </c>
      <c r="I5655" s="14">
        <v>61</v>
      </c>
      <c r="J5655" s="14">
        <v>25</v>
      </c>
      <c r="K5655" s="14">
        <v>31</v>
      </c>
      <c r="L5655" s="14">
        <v>34</v>
      </c>
      <c r="M5655" s="14">
        <v>31</v>
      </c>
      <c r="N5655" s="14">
        <v>30</v>
      </c>
      <c r="O5655" s="14">
        <v>29</v>
      </c>
      <c r="P5655" s="14">
        <v>33</v>
      </c>
      <c r="Q5655" s="14">
        <v>81</v>
      </c>
      <c r="R5655" s="14">
        <v>79</v>
      </c>
      <c r="S5655" s="14">
        <v>33</v>
      </c>
      <c r="T5655" s="14">
        <v>49</v>
      </c>
      <c r="U5655" s="14">
        <v>55</v>
      </c>
      <c r="V5655" s="14">
        <v>41</v>
      </c>
      <c r="W5655" s="14">
        <v>43</v>
      </c>
    </row>
    <row r="5656" spans="1:23" hidden="1" x14ac:dyDescent="0.3">
      <c r="A5656" s="14" t="s">
        <v>541</v>
      </c>
      <c r="B5656" s="14" t="s">
        <v>542</v>
      </c>
      <c r="C5656" s="14" t="s">
        <v>345</v>
      </c>
      <c r="D5656" s="14" t="s">
        <v>346</v>
      </c>
      <c r="E5656" s="14" t="s">
        <v>342</v>
      </c>
      <c r="F5656" s="14" t="s">
        <v>343</v>
      </c>
      <c r="G5656" s="14" t="s">
        <v>343</v>
      </c>
      <c r="H5656" s="14" t="s">
        <v>343</v>
      </c>
      <c r="U5656" s="14">
        <v>0.63</v>
      </c>
      <c r="V5656" s="14">
        <v>0.61</v>
      </c>
      <c r="W5656" s="14">
        <v>0.43</v>
      </c>
    </row>
    <row r="5657" spans="1:23" hidden="1" x14ac:dyDescent="0.3">
      <c r="A5657" s="14" t="s">
        <v>541</v>
      </c>
      <c r="B5657" s="14" t="s">
        <v>542</v>
      </c>
      <c r="C5657" s="14" t="s">
        <v>345</v>
      </c>
      <c r="D5657" s="14" t="s">
        <v>346</v>
      </c>
      <c r="E5657" s="14" t="s">
        <v>344</v>
      </c>
      <c r="F5657" s="14" t="s">
        <v>343</v>
      </c>
      <c r="G5657" s="14" t="s">
        <v>343</v>
      </c>
      <c r="H5657" s="14" t="s">
        <v>343</v>
      </c>
      <c r="U5657" s="14">
        <v>64</v>
      </c>
      <c r="V5657" s="14">
        <v>76</v>
      </c>
      <c r="W5657" s="14">
        <v>129</v>
      </c>
    </row>
    <row r="5658" spans="1:23" hidden="1" x14ac:dyDescent="0.3">
      <c r="A5658" s="14" t="s">
        <v>541</v>
      </c>
      <c r="B5658" s="14" t="s">
        <v>542</v>
      </c>
      <c r="C5658" s="14" t="s">
        <v>347</v>
      </c>
      <c r="D5658" s="14" t="s">
        <v>348</v>
      </c>
      <c r="E5658" s="14" t="s">
        <v>342</v>
      </c>
      <c r="F5658" s="14" t="s">
        <v>343</v>
      </c>
      <c r="G5658" s="14" t="s">
        <v>343</v>
      </c>
      <c r="H5658" s="14" t="s">
        <v>343</v>
      </c>
      <c r="U5658" s="14">
        <v>0.67</v>
      </c>
      <c r="V5658" s="14">
        <v>0.64</v>
      </c>
      <c r="W5658" s="14">
        <v>0.59</v>
      </c>
    </row>
    <row r="5659" spans="1:23" hidden="1" x14ac:dyDescent="0.3">
      <c r="A5659" s="14" t="s">
        <v>541</v>
      </c>
      <c r="B5659" s="14" t="s">
        <v>542</v>
      </c>
      <c r="C5659" s="14" t="s">
        <v>347</v>
      </c>
      <c r="D5659" s="14" t="s">
        <v>348</v>
      </c>
      <c r="E5659" s="14" t="s">
        <v>344</v>
      </c>
      <c r="F5659" s="14" t="s">
        <v>343</v>
      </c>
      <c r="G5659" s="14" t="s">
        <v>343</v>
      </c>
      <c r="H5659" s="14" t="s">
        <v>343</v>
      </c>
      <c r="U5659" s="14">
        <v>105</v>
      </c>
      <c r="V5659" s="14">
        <v>116</v>
      </c>
      <c r="W5659" s="14">
        <v>131</v>
      </c>
    </row>
    <row r="5660" spans="1:23" hidden="1" x14ac:dyDescent="0.3">
      <c r="A5660" s="14" t="s">
        <v>541</v>
      </c>
      <c r="B5660" s="14" t="s">
        <v>542</v>
      </c>
      <c r="C5660" s="14" t="s">
        <v>349</v>
      </c>
      <c r="D5660" s="14" t="s">
        <v>350</v>
      </c>
      <c r="E5660" s="14" t="s">
        <v>342</v>
      </c>
      <c r="F5660" s="14" t="s">
        <v>343</v>
      </c>
      <c r="G5660" s="14" t="s">
        <v>343</v>
      </c>
      <c r="H5660" s="14" t="s">
        <v>343</v>
      </c>
      <c r="U5660" s="14">
        <v>0.51</v>
      </c>
      <c r="V5660" s="14">
        <v>0.5</v>
      </c>
      <c r="W5660" s="14">
        <v>0.49</v>
      </c>
    </row>
    <row r="5661" spans="1:23" hidden="1" x14ac:dyDescent="0.3">
      <c r="A5661" s="14" t="s">
        <v>541</v>
      </c>
      <c r="B5661" s="14" t="s">
        <v>542</v>
      </c>
      <c r="C5661" s="14" t="s">
        <v>349</v>
      </c>
      <c r="D5661" s="14" t="s">
        <v>350</v>
      </c>
      <c r="E5661" s="14" t="s">
        <v>344</v>
      </c>
      <c r="F5661" s="14" t="s">
        <v>343</v>
      </c>
      <c r="G5661" s="14" t="s">
        <v>343</v>
      </c>
      <c r="H5661" s="14" t="s">
        <v>343</v>
      </c>
      <c r="U5661" s="14">
        <v>61</v>
      </c>
      <c r="V5661" s="14">
        <v>69</v>
      </c>
      <c r="W5661" s="14">
        <v>78</v>
      </c>
    </row>
    <row r="5662" spans="1:23" hidden="1" x14ac:dyDescent="0.3">
      <c r="A5662" s="14" t="s">
        <v>541</v>
      </c>
      <c r="B5662" s="14" t="s">
        <v>542</v>
      </c>
      <c r="C5662" s="14" t="s">
        <v>351</v>
      </c>
      <c r="D5662" s="14" t="s">
        <v>352</v>
      </c>
      <c r="E5662" s="14" t="s">
        <v>342</v>
      </c>
      <c r="F5662" s="14" t="s">
        <v>343</v>
      </c>
      <c r="G5662" s="14" t="s">
        <v>343</v>
      </c>
      <c r="H5662" s="14" t="s">
        <v>343</v>
      </c>
      <c r="U5662" s="14">
        <v>1</v>
      </c>
      <c r="V5662" s="14">
        <v>1</v>
      </c>
      <c r="W5662" s="14">
        <v>1</v>
      </c>
    </row>
    <row r="5663" spans="1:23" hidden="1" x14ac:dyDescent="0.3">
      <c r="A5663" s="14" t="s">
        <v>541</v>
      </c>
      <c r="B5663" s="14" t="s">
        <v>542</v>
      </c>
      <c r="C5663" s="14" t="s">
        <v>351</v>
      </c>
      <c r="D5663" s="14" t="s">
        <v>352</v>
      </c>
      <c r="E5663" s="14" t="s">
        <v>344</v>
      </c>
      <c r="F5663" s="14" t="s">
        <v>343</v>
      </c>
      <c r="G5663" s="14" t="s">
        <v>343</v>
      </c>
      <c r="H5663" s="14" t="s">
        <v>343</v>
      </c>
      <c r="U5663" s="14">
        <v>1</v>
      </c>
      <c r="V5663" s="14">
        <v>1</v>
      </c>
      <c r="W5663" s="14">
        <v>1</v>
      </c>
    </row>
    <row r="5664" spans="1:23" hidden="1" x14ac:dyDescent="0.3">
      <c r="A5664" s="14" t="s">
        <v>541</v>
      </c>
      <c r="B5664" s="14" t="s">
        <v>542</v>
      </c>
      <c r="C5664" s="14" t="s">
        <v>378</v>
      </c>
      <c r="D5664" s="14" t="s">
        <v>379</v>
      </c>
      <c r="E5664" s="14" t="s">
        <v>342</v>
      </c>
      <c r="F5664" s="14" t="s">
        <v>343</v>
      </c>
      <c r="G5664" s="14" t="s">
        <v>343</v>
      </c>
      <c r="H5664" s="14" t="s">
        <v>343</v>
      </c>
      <c r="S5664" s="14">
        <v>0.65</v>
      </c>
      <c r="U5664" s="14">
        <v>0.71</v>
      </c>
      <c r="V5664" s="14">
        <v>0.72</v>
      </c>
      <c r="W5664" s="14">
        <v>0.68</v>
      </c>
    </row>
    <row r="5665" spans="1:23" hidden="1" x14ac:dyDescent="0.3">
      <c r="A5665" s="14" t="s">
        <v>541</v>
      </c>
      <c r="B5665" s="14" t="s">
        <v>542</v>
      </c>
      <c r="C5665" s="14" t="s">
        <v>378</v>
      </c>
      <c r="D5665" s="14" t="s">
        <v>379</v>
      </c>
      <c r="E5665" s="14" t="s">
        <v>344</v>
      </c>
      <c r="F5665" s="14" t="s">
        <v>343</v>
      </c>
      <c r="G5665" s="14" t="s">
        <v>343</v>
      </c>
      <c r="H5665" s="14" t="s">
        <v>343</v>
      </c>
      <c r="S5665" s="14">
        <v>69</v>
      </c>
      <c r="U5665" s="14">
        <v>36</v>
      </c>
      <c r="V5665" s="14">
        <v>31</v>
      </c>
      <c r="W5665" s="14">
        <v>66</v>
      </c>
    </row>
    <row r="5666" spans="1:23" hidden="1" x14ac:dyDescent="0.3">
      <c r="A5666" s="14" t="s">
        <v>541</v>
      </c>
      <c r="B5666" s="14" t="s">
        <v>542</v>
      </c>
      <c r="C5666" s="14" t="s">
        <v>353</v>
      </c>
      <c r="D5666" s="14" t="s">
        <v>354</v>
      </c>
      <c r="E5666" s="14" t="s">
        <v>342</v>
      </c>
      <c r="F5666" s="14" t="s">
        <v>343</v>
      </c>
      <c r="G5666" s="14" t="s">
        <v>343</v>
      </c>
      <c r="H5666" s="14" t="s">
        <v>343</v>
      </c>
      <c r="U5666" s="14">
        <v>1</v>
      </c>
      <c r="V5666" s="14">
        <v>1</v>
      </c>
      <c r="W5666" s="14">
        <v>1</v>
      </c>
    </row>
    <row r="5667" spans="1:23" hidden="1" x14ac:dyDescent="0.3">
      <c r="A5667" s="14" t="s">
        <v>541</v>
      </c>
      <c r="B5667" s="14" t="s">
        <v>542</v>
      </c>
      <c r="C5667" s="14" t="s">
        <v>353</v>
      </c>
      <c r="D5667" s="14" t="s">
        <v>354</v>
      </c>
      <c r="E5667" s="14" t="s">
        <v>344</v>
      </c>
      <c r="F5667" s="14" t="s">
        <v>343</v>
      </c>
      <c r="G5667" s="14" t="s">
        <v>343</v>
      </c>
      <c r="H5667" s="14" t="s">
        <v>343</v>
      </c>
      <c r="U5667" s="14">
        <v>1</v>
      </c>
      <c r="V5667" s="14">
        <v>1</v>
      </c>
      <c r="W5667" s="14">
        <v>1</v>
      </c>
    </row>
    <row r="5668" spans="1:23" hidden="1" x14ac:dyDescent="0.3">
      <c r="A5668" s="14" t="s">
        <v>541</v>
      </c>
      <c r="B5668" s="14" t="s">
        <v>542</v>
      </c>
      <c r="C5668" s="14" t="s">
        <v>380</v>
      </c>
      <c r="D5668" s="14" t="s">
        <v>381</v>
      </c>
      <c r="E5668" s="14" t="s">
        <v>342</v>
      </c>
      <c r="F5668" s="14" t="s">
        <v>343</v>
      </c>
      <c r="G5668" s="14" t="s">
        <v>343</v>
      </c>
      <c r="H5668" s="14" t="s">
        <v>343</v>
      </c>
      <c r="U5668" s="14">
        <v>0.99</v>
      </c>
      <c r="V5668" s="14">
        <v>1</v>
      </c>
      <c r="W5668" s="14">
        <v>1</v>
      </c>
    </row>
    <row r="5669" spans="1:23" hidden="1" x14ac:dyDescent="0.3">
      <c r="A5669" s="14" t="s">
        <v>541</v>
      </c>
      <c r="B5669" s="14" t="s">
        <v>542</v>
      </c>
      <c r="C5669" s="14" t="s">
        <v>380</v>
      </c>
      <c r="D5669" s="14" t="s">
        <v>381</v>
      </c>
      <c r="E5669" s="14" t="s">
        <v>344</v>
      </c>
      <c r="F5669" s="14" t="s">
        <v>343</v>
      </c>
      <c r="G5669" s="14" t="s">
        <v>343</v>
      </c>
      <c r="H5669" s="14" t="s">
        <v>343</v>
      </c>
      <c r="U5669" s="14">
        <v>93</v>
      </c>
      <c r="V5669" s="14">
        <v>89</v>
      </c>
      <c r="W5669" s="14">
        <v>93</v>
      </c>
    </row>
    <row r="5670" spans="1:23" hidden="1" x14ac:dyDescent="0.3">
      <c r="A5670" s="14" t="s">
        <v>541</v>
      </c>
      <c r="B5670" s="14" t="s">
        <v>542</v>
      </c>
      <c r="C5670" s="14" t="s">
        <v>355</v>
      </c>
      <c r="D5670" s="14" t="s">
        <v>356</v>
      </c>
      <c r="E5670" s="14" t="s">
        <v>342</v>
      </c>
      <c r="F5670" s="14" t="s">
        <v>343</v>
      </c>
      <c r="G5670" s="14" t="s">
        <v>343</v>
      </c>
      <c r="H5670" s="14" t="s">
        <v>343</v>
      </c>
      <c r="U5670" s="14">
        <v>1</v>
      </c>
      <c r="V5670" s="14">
        <v>1</v>
      </c>
      <c r="W5670" s="14">
        <v>1</v>
      </c>
    </row>
    <row r="5671" spans="1:23" hidden="1" x14ac:dyDescent="0.3">
      <c r="A5671" s="14" t="s">
        <v>541</v>
      </c>
      <c r="B5671" s="14" t="s">
        <v>542</v>
      </c>
      <c r="C5671" s="14" t="s">
        <v>355</v>
      </c>
      <c r="D5671" s="14" t="s">
        <v>356</v>
      </c>
      <c r="E5671" s="14" t="s">
        <v>344</v>
      </c>
      <c r="F5671" s="14" t="s">
        <v>343</v>
      </c>
      <c r="G5671" s="14" t="s">
        <v>343</v>
      </c>
      <c r="H5671" s="14" t="s">
        <v>343</v>
      </c>
      <c r="U5671" s="14">
        <v>1</v>
      </c>
      <c r="V5671" s="14">
        <v>1</v>
      </c>
      <c r="W5671" s="14">
        <v>1</v>
      </c>
    </row>
    <row r="5672" spans="1:23" hidden="1" x14ac:dyDescent="0.3">
      <c r="A5672" s="14" t="s">
        <v>541</v>
      </c>
      <c r="B5672" s="14" t="s">
        <v>542</v>
      </c>
      <c r="C5672" s="14" t="s">
        <v>357</v>
      </c>
      <c r="D5672" s="14" t="s">
        <v>358</v>
      </c>
      <c r="E5672" s="14" t="s">
        <v>342</v>
      </c>
      <c r="F5672" s="14" t="s">
        <v>343</v>
      </c>
      <c r="G5672" s="14" t="s">
        <v>343</v>
      </c>
      <c r="H5672" s="14" t="s">
        <v>343</v>
      </c>
      <c r="U5672" s="14">
        <v>1</v>
      </c>
      <c r="V5672" s="14">
        <v>1</v>
      </c>
      <c r="W5672" s="14">
        <v>1</v>
      </c>
    </row>
    <row r="5673" spans="1:23" hidden="1" x14ac:dyDescent="0.3">
      <c r="A5673" s="14" t="s">
        <v>541</v>
      </c>
      <c r="B5673" s="14" t="s">
        <v>542</v>
      </c>
      <c r="C5673" s="14" t="s">
        <v>357</v>
      </c>
      <c r="D5673" s="14" t="s">
        <v>358</v>
      </c>
      <c r="E5673" s="14" t="s">
        <v>344</v>
      </c>
      <c r="F5673" s="14" t="s">
        <v>343</v>
      </c>
      <c r="G5673" s="14" t="s">
        <v>343</v>
      </c>
      <c r="H5673" s="14" t="s">
        <v>343</v>
      </c>
      <c r="U5673" s="14">
        <v>1</v>
      </c>
      <c r="V5673" s="14">
        <v>1</v>
      </c>
      <c r="W5673" s="14">
        <v>1</v>
      </c>
    </row>
    <row r="5674" spans="1:23" hidden="1" x14ac:dyDescent="0.3">
      <c r="A5674" s="14" t="s">
        <v>541</v>
      </c>
      <c r="B5674" s="14" t="s">
        <v>542</v>
      </c>
      <c r="C5674" s="14" t="s">
        <v>359</v>
      </c>
      <c r="D5674" s="14" t="s">
        <v>360</v>
      </c>
      <c r="E5674" s="14" t="s">
        <v>342</v>
      </c>
      <c r="F5674" s="14" t="s">
        <v>343</v>
      </c>
      <c r="G5674" s="14" t="s">
        <v>343</v>
      </c>
      <c r="H5674" s="14" t="s">
        <v>343</v>
      </c>
      <c r="I5674" s="14">
        <v>0.6</v>
      </c>
      <c r="J5674" s="14">
        <v>0.63</v>
      </c>
      <c r="K5674" s="14">
        <v>0.63</v>
      </c>
      <c r="L5674" s="14">
        <v>0.62</v>
      </c>
      <c r="M5674" s="14">
        <v>0.61</v>
      </c>
      <c r="N5674" s="14">
        <v>0.62</v>
      </c>
      <c r="O5674" s="14">
        <v>0.63</v>
      </c>
      <c r="P5674" s="14">
        <v>0.63</v>
      </c>
      <c r="Q5674" s="14">
        <v>0.66</v>
      </c>
      <c r="R5674" s="14">
        <v>0.66</v>
      </c>
      <c r="S5674" s="14">
        <v>0.67</v>
      </c>
      <c r="T5674" s="14">
        <v>0.68</v>
      </c>
      <c r="U5674" s="14">
        <v>0.69</v>
      </c>
      <c r="V5674" s="14">
        <v>0.68</v>
      </c>
      <c r="W5674" s="14">
        <v>0.62</v>
      </c>
    </row>
    <row r="5675" spans="1:23" hidden="1" x14ac:dyDescent="0.3">
      <c r="A5675" s="14" t="s">
        <v>541</v>
      </c>
      <c r="B5675" s="14" t="s">
        <v>542</v>
      </c>
      <c r="C5675" s="14" t="s">
        <v>359</v>
      </c>
      <c r="D5675" s="14" t="s">
        <v>360</v>
      </c>
      <c r="E5675" s="14" t="s">
        <v>344</v>
      </c>
      <c r="F5675" s="14" t="s">
        <v>343</v>
      </c>
      <c r="G5675" s="14" t="s">
        <v>343</v>
      </c>
      <c r="H5675" s="14" t="s">
        <v>343</v>
      </c>
      <c r="I5675" s="14">
        <v>66</v>
      </c>
      <c r="J5675" s="14">
        <v>68</v>
      </c>
      <c r="K5675" s="14">
        <v>71</v>
      </c>
      <c r="L5675" s="14">
        <v>80</v>
      </c>
      <c r="M5675" s="14">
        <v>83</v>
      </c>
      <c r="N5675" s="14">
        <v>82</v>
      </c>
      <c r="O5675" s="14">
        <v>83</v>
      </c>
      <c r="P5675" s="14">
        <v>89</v>
      </c>
      <c r="Q5675" s="14">
        <v>73</v>
      </c>
      <c r="R5675" s="14">
        <v>82</v>
      </c>
      <c r="S5675" s="14">
        <v>71</v>
      </c>
      <c r="T5675" s="14">
        <v>67</v>
      </c>
      <c r="U5675" s="14">
        <v>61</v>
      </c>
      <c r="V5675" s="14">
        <v>69</v>
      </c>
      <c r="W5675" s="14">
        <v>112</v>
      </c>
    </row>
    <row r="5676" spans="1:23" x14ac:dyDescent="0.3">
      <c r="A5676" s="14" t="s">
        <v>541</v>
      </c>
      <c r="B5676" s="14" t="s">
        <v>542</v>
      </c>
      <c r="C5676" s="14" t="s">
        <v>361</v>
      </c>
      <c r="D5676" s="14" t="s">
        <v>362</v>
      </c>
      <c r="E5676" s="14" t="s">
        <v>342</v>
      </c>
      <c r="F5676" s="14" t="s">
        <v>343</v>
      </c>
      <c r="G5676" s="14" t="s">
        <v>343</v>
      </c>
      <c r="H5676" s="14" t="s">
        <v>343</v>
      </c>
      <c r="I5676" s="14">
        <v>0.97</v>
      </c>
      <c r="J5676" s="14">
        <v>0.98</v>
      </c>
      <c r="K5676" s="14">
        <v>0.98</v>
      </c>
      <c r="L5676" s="14">
        <v>0.98</v>
      </c>
      <c r="M5676" s="14">
        <v>0.98</v>
      </c>
      <c r="N5676" s="14">
        <v>0.98</v>
      </c>
      <c r="O5676" s="14">
        <v>0.98</v>
      </c>
      <c r="P5676" s="14">
        <v>0.98</v>
      </c>
      <c r="Q5676" s="14">
        <v>0.98</v>
      </c>
      <c r="R5676" s="14">
        <v>0.98</v>
      </c>
      <c r="S5676" s="14">
        <v>0.98</v>
      </c>
      <c r="T5676" s="14">
        <v>0.98</v>
      </c>
      <c r="U5676" s="14">
        <v>0.98</v>
      </c>
      <c r="V5676" s="14">
        <v>0.98</v>
      </c>
      <c r="W5676" s="14">
        <v>0.98</v>
      </c>
    </row>
    <row r="5677" spans="1:23" hidden="1" x14ac:dyDescent="0.3">
      <c r="A5677" s="14" t="s">
        <v>541</v>
      </c>
      <c r="B5677" s="14" t="s">
        <v>542</v>
      </c>
      <c r="C5677" s="14" t="s">
        <v>361</v>
      </c>
      <c r="D5677" s="14" t="s">
        <v>362</v>
      </c>
      <c r="E5677" s="14" t="s">
        <v>344</v>
      </c>
      <c r="F5677" s="14" t="s">
        <v>343</v>
      </c>
      <c r="G5677" s="14" t="s">
        <v>343</v>
      </c>
      <c r="H5677" s="14" t="s">
        <v>343</v>
      </c>
      <c r="I5677" s="14">
        <v>71</v>
      </c>
      <c r="J5677" s="14">
        <v>1</v>
      </c>
      <c r="K5677" s="14">
        <v>1</v>
      </c>
      <c r="L5677" s="14">
        <v>1</v>
      </c>
      <c r="M5677" s="14">
        <v>1</v>
      </c>
      <c r="N5677" s="14">
        <v>1</v>
      </c>
      <c r="O5677" s="14">
        <v>1</v>
      </c>
      <c r="P5677" s="14">
        <v>1</v>
      </c>
      <c r="Q5677" s="14">
        <v>1</v>
      </c>
      <c r="R5677" s="14">
        <v>1</v>
      </c>
      <c r="S5677" s="14">
        <v>1</v>
      </c>
      <c r="T5677" s="14">
        <v>1</v>
      </c>
      <c r="U5677" s="14">
        <v>1</v>
      </c>
      <c r="V5677" s="14">
        <v>1</v>
      </c>
      <c r="W5677" s="14">
        <v>1</v>
      </c>
    </row>
    <row r="5678" spans="1:23" hidden="1" x14ac:dyDescent="0.3">
      <c r="A5678" s="14" t="s">
        <v>541</v>
      </c>
      <c r="B5678" s="14" t="s">
        <v>542</v>
      </c>
      <c r="C5678" s="14" t="s">
        <v>363</v>
      </c>
      <c r="D5678" s="14" t="s">
        <v>364</v>
      </c>
      <c r="E5678" s="14" t="s">
        <v>342</v>
      </c>
      <c r="F5678" s="14" t="s">
        <v>343</v>
      </c>
      <c r="G5678" s="14" t="s">
        <v>343</v>
      </c>
      <c r="H5678" s="14" t="s">
        <v>343</v>
      </c>
      <c r="U5678" s="14">
        <v>1.06</v>
      </c>
      <c r="V5678" s="14">
        <v>1.06</v>
      </c>
      <c r="W5678" s="14">
        <v>1.06</v>
      </c>
    </row>
    <row r="5679" spans="1:23" hidden="1" x14ac:dyDescent="0.3">
      <c r="A5679" s="14" t="s">
        <v>541</v>
      </c>
      <c r="B5679" s="14" t="s">
        <v>542</v>
      </c>
      <c r="C5679" s="14" t="s">
        <v>363</v>
      </c>
      <c r="D5679" s="14" t="s">
        <v>364</v>
      </c>
      <c r="E5679" s="14" t="s">
        <v>344</v>
      </c>
      <c r="F5679" s="14" t="s">
        <v>343</v>
      </c>
      <c r="G5679" s="14" t="s">
        <v>343</v>
      </c>
      <c r="H5679" s="14" t="s">
        <v>343</v>
      </c>
      <c r="U5679" s="14">
        <v>1</v>
      </c>
      <c r="V5679" s="14">
        <v>1</v>
      </c>
      <c r="W5679" s="14">
        <v>1</v>
      </c>
    </row>
    <row r="5680" spans="1:23" hidden="1" x14ac:dyDescent="0.3">
      <c r="A5680" s="14" t="s">
        <v>541</v>
      </c>
      <c r="B5680" s="14" t="s">
        <v>542</v>
      </c>
      <c r="C5680" s="14" t="s">
        <v>365</v>
      </c>
      <c r="D5680" s="14" t="s">
        <v>366</v>
      </c>
      <c r="E5680" s="14" t="s">
        <v>342</v>
      </c>
      <c r="F5680" s="14" t="s">
        <v>343</v>
      </c>
      <c r="G5680" s="14" t="s">
        <v>343</v>
      </c>
      <c r="H5680" s="14" t="s">
        <v>343</v>
      </c>
      <c r="U5680" s="14">
        <v>0.94</v>
      </c>
      <c r="V5680" s="14">
        <v>0.94</v>
      </c>
      <c r="W5680" s="14">
        <v>0.94</v>
      </c>
    </row>
    <row r="5681" spans="1:24" hidden="1" x14ac:dyDescent="0.3">
      <c r="A5681" s="14" t="s">
        <v>541</v>
      </c>
      <c r="B5681" s="14" t="s">
        <v>542</v>
      </c>
      <c r="C5681" s="14" t="s">
        <v>365</v>
      </c>
      <c r="D5681" s="14" t="s">
        <v>366</v>
      </c>
      <c r="E5681" s="14" t="s">
        <v>344</v>
      </c>
      <c r="F5681" s="14" t="s">
        <v>343</v>
      </c>
      <c r="G5681" s="14" t="s">
        <v>343</v>
      </c>
      <c r="H5681" s="14" t="s">
        <v>343</v>
      </c>
      <c r="U5681" s="14">
        <v>1</v>
      </c>
      <c r="V5681" s="14">
        <v>1</v>
      </c>
      <c r="W5681" s="14">
        <v>1</v>
      </c>
    </row>
    <row r="5682" spans="1:24" hidden="1" x14ac:dyDescent="0.3">
      <c r="A5682" s="14" t="s">
        <v>541</v>
      </c>
      <c r="B5682" s="14" t="s">
        <v>542</v>
      </c>
      <c r="C5682" s="14" t="s">
        <v>367</v>
      </c>
      <c r="D5682" s="14" t="s">
        <v>368</v>
      </c>
      <c r="E5682" s="14" t="s">
        <v>342</v>
      </c>
      <c r="F5682" s="14" t="s">
        <v>343</v>
      </c>
      <c r="G5682" s="14" t="s">
        <v>343</v>
      </c>
      <c r="H5682" s="14" t="s">
        <v>343</v>
      </c>
      <c r="I5682" s="14">
        <v>0.67</v>
      </c>
      <c r="J5682" s="14">
        <v>0.68</v>
      </c>
      <c r="K5682" s="14">
        <v>0.69</v>
      </c>
      <c r="L5682" s="14">
        <v>0.68</v>
      </c>
      <c r="M5682" s="14">
        <v>0.69</v>
      </c>
      <c r="N5682" s="14">
        <v>0.69</v>
      </c>
      <c r="O5682" s="14">
        <v>0.71</v>
      </c>
      <c r="P5682" s="14">
        <v>0.71</v>
      </c>
      <c r="Q5682" s="14">
        <v>0.69</v>
      </c>
      <c r="R5682" s="14">
        <v>0.69</v>
      </c>
      <c r="S5682" s="14">
        <v>0.69</v>
      </c>
      <c r="T5682" s="14">
        <v>0.71</v>
      </c>
      <c r="U5682" s="14">
        <v>0.71</v>
      </c>
      <c r="V5682" s="14">
        <v>0.71</v>
      </c>
      <c r="W5682" s="14">
        <v>0.7</v>
      </c>
    </row>
    <row r="5683" spans="1:24" hidden="1" x14ac:dyDescent="0.3">
      <c r="A5683" s="14" t="s">
        <v>541</v>
      </c>
      <c r="B5683" s="14" t="s">
        <v>542</v>
      </c>
      <c r="C5683" s="14" t="s">
        <v>367</v>
      </c>
      <c r="D5683" s="14" t="s">
        <v>368</v>
      </c>
      <c r="E5683" s="14" t="s">
        <v>344</v>
      </c>
      <c r="F5683" s="14" t="s">
        <v>343</v>
      </c>
      <c r="G5683" s="14" t="s">
        <v>343</v>
      </c>
      <c r="H5683" s="14" t="s">
        <v>343</v>
      </c>
      <c r="I5683" s="14">
        <v>57</v>
      </c>
      <c r="J5683" s="14">
        <v>55</v>
      </c>
      <c r="K5683" s="14">
        <v>59</v>
      </c>
      <c r="L5683" s="14">
        <v>69</v>
      </c>
      <c r="M5683" s="14">
        <v>64</v>
      </c>
      <c r="N5683" s="14">
        <v>63</v>
      </c>
      <c r="O5683" s="14">
        <v>48</v>
      </c>
      <c r="P5683" s="14">
        <v>50</v>
      </c>
      <c r="Q5683" s="14">
        <v>86</v>
      </c>
      <c r="R5683" s="14">
        <v>78</v>
      </c>
      <c r="S5683" s="14">
        <v>74</v>
      </c>
      <c r="T5683" s="14">
        <v>60</v>
      </c>
      <c r="U5683" s="14">
        <v>64</v>
      </c>
      <c r="V5683" s="14">
        <v>67</v>
      </c>
      <c r="W5683" s="14">
        <v>91</v>
      </c>
    </row>
    <row r="5684" spans="1:24" hidden="1" x14ac:dyDescent="0.3">
      <c r="A5684" s="14" t="s">
        <v>541</v>
      </c>
      <c r="B5684" s="14" t="s">
        <v>542</v>
      </c>
      <c r="C5684" s="14" t="s">
        <v>369</v>
      </c>
      <c r="D5684" s="14" t="s">
        <v>370</v>
      </c>
      <c r="E5684" s="14" t="s">
        <v>342</v>
      </c>
      <c r="F5684" s="14" t="s">
        <v>343</v>
      </c>
      <c r="G5684" s="14" t="s">
        <v>343</v>
      </c>
      <c r="H5684" s="14" t="s">
        <v>343</v>
      </c>
      <c r="I5684" s="14">
        <v>0.11</v>
      </c>
      <c r="J5684" s="14">
        <v>0.11</v>
      </c>
      <c r="K5684" s="14">
        <v>0.14000000000000001</v>
      </c>
      <c r="L5684" s="14">
        <v>0.14000000000000001</v>
      </c>
      <c r="M5684" s="14">
        <v>0.15</v>
      </c>
      <c r="N5684" s="14">
        <v>0.15</v>
      </c>
      <c r="O5684" s="14">
        <v>0.22</v>
      </c>
      <c r="P5684" s="14">
        <v>0.22</v>
      </c>
      <c r="Q5684" s="14">
        <v>0.11</v>
      </c>
      <c r="R5684" s="14">
        <v>0.14000000000000001</v>
      </c>
      <c r="S5684" s="14">
        <v>0.13</v>
      </c>
      <c r="T5684" s="14">
        <v>0.17</v>
      </c>
      <c r="U5684" s="14">
        <v>0.17</v>
      </c>
      <c r="V5684" s="14">
        <v>0.19</v>
      </c>
      <c r="W5684" s="14">
        <v>0.2</v>
      </c>
    </row>
    <row r="5685" spans="1:24" hidden="1" x14ac:dyDescent="0.3">
      <c r="A5685" s="14" t="s">
        <v>541</v>
      </c>
      <c r="B5685" s="14" t="s">
        <v>542</v>
      </c>
      <c r="C5685" s="14" t="s">
        <v>369</v>
      </c>
      <c r="D5685" s="14" t="s">
        <v>370</v>
      </c>
      <c r="E5685" s="14" t="s">
        <v>344</v>
      </c>
      <c r="F5685" s="14" t="s">
        <v>343</v>
      </c>
      <c r="G5685" s="14" t="s">
        <v>343</v>
      </c>
      <c r="H5685" s="14" t="s">
        <v>343</v>
      </c>
      <c r="I5685" s="14">
        <v>57</v>
      </c>
      <c r="J5685" s="14">
        <v>62</v>
      </c>
      <c r="K5685" s="14">
        <v>57</v>
      </c>
      <c r="L5685" s="14">
        <v>63</v>
      </c>
      <c r="M5685" s="14">
        <v>55</v>
      </c>
      <c r="N5685" s="14">
        <v>56</v>
      </c>
      <c r="O5685" s="14">
        <v>35</v>
      </c>
      <c r="P5685" s="14">
        <v>37</v>
      </c>
      <c r="Q5685" s="14">
        <v>95</v>
      </c>
      <c r="R5685" s="14">
        <v>82</v>
      </c>
      <c r="S5685" s="14">
        <v>89</v>
      </c>
      <c r="T5685" s="14">
        <v>75</v>
      </c>
      <c r="U5685" s="14">
        <v>76</v>
      </c>
      <c r="V5685" s="14">
        <v>74</v>
      </c>
      <c r="W5685" s="14">
        <v>77</v>
      </c>
    </row>
    <row r="5686" spans="1:24" hidden="1" x14ac:dyDescent="0.3">
      <c r="A5686" s="14" t="s">
        <v>541</v>
      </c>
      <c r="B5686" s="14" t="s">
        <v>542</v>
      </c>
      <c r="C5686" s="14" t="s">
        <v>371</v>
      </c>
      <c r="D5686" s="14" t="s">
        <v>372</v>
      </c>
      <c r="E5686" s="14" t="s">
        <v>342</v>
      </c>
      <c r="F5686" s="14" t="s">
        <v>343</v>
      </c>
      <c r="G5686" s="14" t="s">
        <v>343</v>
      </c>
      <c r="H5686" s="14" t="s">
        <v>343</v>
      </c>
      <c r="U5686" s="14">
        <v>0</v>
      </c>
      <c r="V5686" s="14">
        <v>0</v>
      </c>
      <c r="W5686" s="14">
        <v>0</v>
      </c>
    </row>
    <row r="5687" spans="1:24" hidden="1" x14ac:dyDescent="0.3">
      <c r="A5687" s="14" t="s">
        <v>541</v>
      </c>
      <c r="B5687" s="14" t="s">
        <v>542</v>
      </c>
      <c r="C5687" s="14" t="s">
        <v>371</v>
      </c>
      <c r="D5687" s="14" t="s">
        <v>372</v>
      </c>
      <c r="E5687" s="14" t="s">
        <v>344</v>
      </c>
      <c r="F5687" s="14" t="s">
        <v>343</v>
      </c>
      <c r="G5687" s="14" t="s">
        <v>343</v>
      </c>
      <c r="H5687" s="14" t="s">
        <v>343</v>
      </c>
      <c r="U5687" s="14">
        <v>71</v>
      </c>
      <c r="V5687" s="14">
        <v>73</v>
      </c>
      <c r="W5687" s="14">
        <v>76</v>
      </c>
    </row>
    <row r="5688" spans="1:24" hidden="1" x14ac:dyDescent="0.3">
      <c r="A5688" s="14" t="s">
        <v>541</v>
      </c>
      <c r="B5688" s="14" t="s">
        <v>542</v>
      </c>
      <c r="C5688" s="14" t="s">
        <v>373</v>
      </c>
      <c r="D5688" s="14" t="s">
        <v>374</v>
      </c>
      <c r="E5688" s="14" t="s">
        <v>342</v>
      </c>
      <c r="F5688" s="14" t="s">
        <v>343</v>
      </c>
      <c r="G5688" s="14" t="s">
        <v>343</v>
      </c>
      <c r="H5688" s="14" t="s">
        <v>343</v>
      </c>
      <c r="U5688" s="14">
        <v>0.32</v>
      </c>
      <c r="V5688" s="14">
        <v>0.42</v>
      </c>
      <c r="W5688" s="14">
        <v>0.45</v>
      </c>
    </row>
    <row r="5689" spans="1:24" hidden="1" x14ac:dyDescent="0.3">
      <c r="A5689" s="14" t="s">
        <v>541</v>
      </c>
      <c r="B5689" s="14" t="s">
        <v>542</v>
      </c>
      <c r="C5689" s="14" t="s">
        <v>373</v>
      </c>
      <c r="D5689" s="14" t="s">
        <v>374</v>
      </c>
      <c r="E5689" s="14" t="s">
        <v>344</v>
      </c>
      <c r="F5689" s="14" t="s">
        <v>343</v>
      </c>
      <c r="G5689" s="14" t="s">
        <v>343</v>
      </c>
      <c r="H5689" s="14" t="s">
        <v>343</v>
      </c>
      <c r="U5689" s="14">
        <v>41</v>
      </c>
      <c r="V5689" s="14">
        <v>38</v>
      </c>
      <c r="W5689" s="14">
        <v>48</v>
      </c>
    </row>
    <row r="5690" spans="1:24" hidden="1" x14ac:dyDescent="0.3">
      <c r="A5690" s="14" t="s">
        <v>541</v>
      </c>
      <c r="B5690" s="14" t="s">
        <v>542</v>
      </c>
      <c r="C5690" s="14" t="s">
        <v>375</v>
      </c>
      <c r="D5690" s="14" t="s">
        <v>376</v>
      </c>
      <c r="E5690" s="14" t="s">
        <v>342</v>
      </c>
      <c r="F5690" s="14" t="s">
        <v>343</v>
      </c>
      <c r="G5690" s="14" t="s">
        <v>343</v>
      </c>
      <c r="H5690" s="14" t="s">
        <v>343</v>
      </c>
      <c r="U5690" s="14">
        <v>0.28000000000000003</v>
      </c>
      <c r="V5690" s="14">
        <v>0.28000000000000003</v>
      </c>
      <c r="W5690" s="14">
        <v>0.28000000000000003</v>
      </c>
    </row>
    <row r="5691" spans="1:24" hidden="1" x14ac:dyDescent="0.3">
      <c r="A5691" s="14" t="s">
        <v>541</v>
      </c>
      <c r="B5691" s="14" t="s">
        <v>542</v>
      </c>
      <c r="C5691" s="14" t="s">
        <v>375</v>
      </c>
      <c r="D5691" s="14" t="s">
        <v>376</v>
      </c>
      <c r="E5691" s="14" t="s">
        <v>344</v>
      </c>
      <c r="F5691" s="14" t="s">
        <v>343</v>
      </c>
      <c r="G5691" s="14" t="s">
        <v>343</v>
      </c>
      <c r="H5691" s="14" t="s">
        <v>343</v>
      </c>
      <c r="U5691" s="14">
        <v>68</v>
      </c>
      <c r="V5691" s="14">
        <v>77</v>
      </c>
      <c r="W5691" s="14">
        <v>89</v>
      </c>
    </row>
    <row r="5692" spans="1:24" hidden="1" x14ac:dyDescent="0.3">
      <c r="A5692" s="14" t="s">
        <v>543</v>
      </c>
      <c r="B5692" s="14" t="s">
        <v>330</v>
      </c>
      <c r="C5692" s="14" t="s">
        <v>340</v>
      </c>
      <c r="D5692" s="14" t="s">
        <v>341</v>
      </c>
      <c r="E5692" s="14" t="s">
        <v>342</v>
      </c>
      <c r="F5692" s="14" t="s">
        <v>343</v>
      </c>
      <c r="G5692" s="14" t="s">
        <v>343</v>
      </c>
      <c r="H5692" s="14" t="s">
        <v>343</v>
      </c>
      <c r="J5692" s="14">
        <v>0.89</v>
      </c>
      <c r="K5692" s="14">
        <v>0.89</v>
      </c>
      <c r="L5692" s="14">
        <v>0.9</v>
      </c>
      <c r="M5692" s="14">
        <v>0.92</v>
      </c>
      <c r="N5692" s="14">
        <v>0.93</v>
      </c>
      <c r="O5692" s="14">
        <v>0.97</v>
      </c>
      <c r="P5692" s="14">
        <v>0.97</v>
      </c>
      <c r="Q5692" s="14">
        <v>0.97</v>
      </c>
      <c r="R5692" s="14">
        <v>0.94</v>
      </c>
      <c r="S5692" s="14">
        <v>0.98</v>
      </c>
      <c r="T5692" s="14">
        <v>0.97</v>
      </c>
      <c r="U5692" s="14">
        <v>0.97</v>
      </c>
      <c r="V5692" s="14">
        <v>0.98</v>
      </c>
      <c r="W5692" s="14">
        <v>0.98</v>
      </c>
      <c r="X5692" s="14">
        <v>0.98</v>
      </c>
    </row>
    <row r="5693" spans="1:24" hidden="1" x14ac:dyDescent="0.3">
      <c r="A5693" s="14" t="s">
        <v>543</v>
      </c>
      <c r="B5693" s="14" t="s">
        <v>330</v>
      </c>
      <c r="C5693" s="14" t="s">
        <v>340</v>
      </c>
      <c r="D5693" s="14" t="s">
        <v>341</v>
      </c>
      <c r="E5693" s="14" t="s">
        <v>344</v>
      </c>
      <c r="F5693" s="14" t="s">
        <v>343</v>
      </c>
      <c r="G5693" s="14" t="s">
        <v>343</v>
      </c>
      <c r="H5693" s="14" t="s">
        <v>343</v>
      </c>
      <c r="J5693" s="14">
        <v>103</v>
      </c>
      <c r="K5693" s="14">
        <v>106</v>
      </c>
      <c r="L5693" s="14">
        <v>108</v>
      </c>
      <c r="M5693" s="14">
        <v>106</v>
      </c>
      <c r="N5693" s="14">
        <v>104</v>
      </c>
      <c r="O5693" s="14">
        <v>95</v>
      </c>
      <c r="P5693" s="14">
        <v>95</v>
      </c>
      <c r="Q5693" s="14">
        <v>97</v>
      </c>
      <c r="R5693" s="14">
        <v>114</v>
      </c>
      <c r="S5693" s="14">
        <v>93</v>
      </c>
      <c r="T5693" s="14">
        <v>97</v>
      </c>
      <c r="U5693" s="14">
        <v>101</v>
      </c>
      <c r="V5693" s="14">
        <v>93</v>
      </c>
      <c r="W5693" s="14">
        <v>94</v>
      </c>
      <c r="X5693" s="14">
        <v>88</v>
      </c>
    </row>
    <row r="5694" spans="1:24" hidden="1" x14ac:dyDescent="0.3">
      <c r="A5694" s="14" t="s">
        <v>543</v>
      </c>
      <c r="B5694" s="14" t="s">
        <v>330</v>
      </c>
      <c r="C5694" s="14" t="s">
        <v>345</v>
      </c>
      <c r="D5694" s="14" t="s">
        <v>346</v>
      </c>
      <c r="E5694" s="14" t="s">
        <v>342</v>
      </c>
      <c r="F5694" s="14" t="s">
        <v>343</v>
      </c>
      <c r="G5694" s="14" t="s">
        <v>343</v>
      </c>
      <c r="H5694" s="14" t="s">
        <v>343</v>
      </c>
      <c r="U5694" s="14">
        <v>0.82</v>
      </c>
      <c r="V5694" s="14">
        <v>0.82</v>
      </c>
      <c r="W5694" s="14">
        <v>0.82</v>
      </c>
      <c r="X5694" s="14">
        <v>0.79</v>
      </c>
    </row>
    <row r="5695" spans="1:24" hidden="1" x14ac:dyDescent="0.3">
      <c r="A5695" s="14" t="s">
        <v>543</v>
      </c>
      <c r="B5695" s="14" t="s">
        <v>330</v>
      </c>
      <c r="C5695" s="14" t="s">
        <v>345</v>
      </c>
      <c r="D5695" s="14" t="s">
        <v>346</v>
      </c>
      <c r="E5695" s="14" t="s">
        <v>344</v>
      </c>
      <c r="F5695" s="14" t="s">
        <v>343</v>
      </c>
      <c r="G5695" s="14" t="s">
        <v>343</v>
      </c>
      <c r="H5695" s="14" t="s">
        <v>343</v>
      </c>
      <c r="U5695" s="14">
        <v>9</v>
      </c>
      <c r="V5695" s="14">
        <v>8</v>
      </c>
      <c r="W5695" s="14">
        <v>11</v>
      </c>
      <c r="X5695" s="14">
        <v>17</v>
      </c>
    </row>
    <row r="5696" spans="1:24" hidden="1" x14ac:dyDescent="0.3">
      <c r="A5696" s="14" t="s">
        <v>543</v>
      </c>
      <c r="B5696" s="14" t="s">
        <v>330</v>
      </c>
      <c r="C5696" s="14" t="s">
        <v>347</v>
      </c>
      <c r="D5696" s="14" t="s">
        <v>348</v>
      </c>
      <c r="E5696" s="14" t="s">
        <v>342</v>
      </c>
      <c r="F5696" s="14" t="s">
        <v>343</v>
      </c>
      <c r="G5696" s="14" t="s">
        <v>343</v>
      </c>
      <c r="H5696" s="14" t="s">
        <v>343</v>
      </c>
      <c r="U5696" s="14">
        <v>0.91</v>
      </c>
      <c r="V5696" s="14">
        <v>0.92</v>
      </c>
      <c r="W5696" s="14">
        <v>0.92</v>
      </c>
      <c r="X5696" s="14">
        <v>0.88</v>
      </c>
    </row>
    <row r="5697" spans="1:24" hidden="1" x14ac:dyDescent="0.3">
      <c r="A5697" s="14" t="s">
        <v>543</v>
      </c>
      <c r="B5697" s="14" t="s">
        <v>330</v>
      </c>
      <c r="C5697" s="14" t="s">
        <v>347</v>
      </c>
      <c r="D5697" s="14" t="s">
        <v>348</v>
      </c>
      <c r="E5697" s="14" t="s">
        <v>344</v>
      </c>
      <c r="F5697" s="14" t="s">
        <v>343</v>
      </c>
      <c r="G5697" s="14" t="s">
        <v>343</v>
      </c>
      <c r="H5697" s="14" t="s">
        <v>343</v>
      </c>
      <c r="U5697" s="14">
        <v>32</v>
      </c>
      <c r="V5697" s="14">
        <v>30</v>
      </c>
      <c r="W5697" s="14">
        <v>30</v>
      </c>
      <c r="X5697" s="14">
        <v>27</v>
      </c>
    </row>
    <row r="5698" spans="1:24" hidden="1" x14ac:dyDescent="0.3">
      <c r="A5698" s="14" t="s">
        <v>543</v>
      </c>
      <c r="B5698" s="14" t="s">
        <v>330</v>
      </c>
      <c r="C5698" s="14" t="s">
        <v>349</v>
      </c>
      <c r="D5698" s="14" t="s">
        <v>350</v>
      </c>
      <c r="E5698" s="14" t="s">
        <v>342</v>
      </c>
      <c r="F5698" s="14" t="s">
        <v>343</v>
      </c>
      <c r="G5698" s="14" t="s">
        <v>343</v>
      </c>
      <c r="H5698" s="14" t="s">
        <v>343</v>
      </c>
      <c r="U5698" s="14">
        <v>0.37</v>
      </c>
      <c r="V5698" s="14">
        <v>0.38</v>
      </c>
      <c r="W5698" s="14">
        <v>0.36</v>
      </c>
      <c r="X5698" s="14">
        <v>0.34</v>
      </c>
    </row>
    <row r="5699" spans="1:24" hidden="1" x14ac:dyDescent="0.3">
      <c r="A5699" s="14" t="s">
        <v>543</v>
      </c>
      <c r="B5699" s="14" t="s">
        <v>330</v>
      </c>
      <c r="C5699" s="14" t="s">
        <v>349</v>
      </c>
      <c r="D5699" s="14" t="s">
        <v>350</v>
      </c>
      <c r="E5699" s="14" t="s">
        <v>344</v>
      </c>
      <c r="F5699" s="14" t="s">
        <v>343</v>
      </c>
      <c r="G5699" s="14" t="s">
        <v>343</v>
      </c>
      <c r="H5699" s="14" t="s">
        <v>343</v>
      </c>
      <c r="U5699" s="14">
        <v>94</v>
      </c>
      <c r="V5699" s="14">
        <v>97</v>
      </c>
      <c r="W5699" s="14">
        <v>104</v>
      </c>
      <c r="X5699" s="14">
        <v>104</v>
      </c>
    </row>
    <row r="5700" spans="1:24" hidden="1" x14ac:dyDescent="0.3">
      <c r="A5700" s="14" t="s">
        <v>543</v>
      </c>
      <c r="B5700" s="14" t="s">
        <v>330</v>
      </c>
      <c r="C5700" s="14" t="s">
        <v>351</v>
      </c>
      <c r="D5700" s="14" t="s">
        <v>352</v>
      </c>
      <c r="E5700" s="14" t="s">
        <v>342</v>
      </c>
      <c r="F5700" s="14" t="s">
        <v>343</v>
      </c>
      <c r="G5700" s="14" t="s">
        <v>343</v>
      </c>
      <c r="H5700" s="14" t="s">
        <v>343</v>
      </c>
      <c r="U5700" s="14">
        <v>1</v>
      </c>
      <c r="V5700" s="14">
        <v>1</v>
      </c>
      <c r="W5700" s="14">
        <v>1</v>
      </c>
      <c r="X5700" s="14">
        <v>1</v>
      </c>
    </row>
    <row r="5701" spans="1:24" hidden="1" x14ac:dyDescent="0.3">
      <c r="A5701" s="14" t="s">
        <v>543</v>
      </c>
      <c r="B5701" s="14" t="s">
        <v>330</v>
      </c>
      <c r="C5701" s="14" t="s">
        <v>351</v>
      </c>
      <c r="D5701" s="14" t="s">
        <v>352</v>
      </c>
      <c r="E5701" s="14" t="s">
        <v>344</v>
      </c>
      <c r="F5701" s="14" t="s">
        <v>343</v>
      </c>
      <c r="G5701" s="14" t="s">
        <v>343</v>
      </c>
      <c r="H5701" s="14" t="s">
        <v>343</v>
      </c>
      <c r="U5701" s="14">
        <v>1</v>
      </c>
      <c r="V5701" s="14">
        <v>1</v>
      </c>
      <c r="W5701" s="14">
        <v>1</v>
      </c>
      <c r="X5701" s="14">
        <v>1</v>
      </c>
    </row>
    <row r="5702" spans="1:24" hidden="1" x14ac:dyDescent="0.3">
      <c r="A5702" s="14" t="s">
        <v>543</v>
      </c>
      <c r="B5702" s="14" t="s">
        <v>330</v>
      </c>
      <c r="C5702" s="14" t="s">
        <v>378</v>
      </c>
      <c r="D5702" s="14" t="s">
        <v>379</v>
      </c>
      <c r="E5702" s="14" t="s">
        <v>342</v>
      </c>
      <c r="F5702" s="14" t="s">
        <v>343</v>
      </c>
      <c r="G5702" s="14" t="s">
        <v>343</v>
      </c>
      <c r="H5702" s="14" t="s">
        <v>343</v>
      </c>
      <c r="S5702" s="14">
        <v>0.64</v>
      </c>
      <c r="U5702" s="14">
        <v>0.65</v>
      </c>
      <c r="V5702" s="14">
        <v>0.68</v>
      </c>
      <c r="W5702" s="14">
        <v>0.73</v>
      </c>
      <c r="X5702" s="14">
        <v>0.74</v>
      </c>
    </row>
    <row r="5703" spans="1:24" hidden="1" x14ac:dyDescent="0.3">
      <c r="A5703" s="14" t="s">
        <v>543</v>
      </c>
      <c r="B5703" s="14" t="s">
        <v>330</v>
      </c>
      <c r="C5703" s="14" t="s">
        <v>378</v>
      </c>
      <c r="D5703" s="14" t="s">
        <v>379</v>
      </c>
      <c r="E5703" s="14" t="s">
        <v>344</v>
      </c>
      <c r="F5703" s="14" t="s">
        <v>343</v>
      </c>
      <c r="G5703" s="14" t="s">
        <v>343</v>
      </c>
      <c r="H5703" s="14" t="s">
        <v>343</v>
      </c>
      <c r="S5703" s="14">
        <v>77</v>
      </c>
      <c r="U5703" s="14">
        <v>71</v>
      </c>
      <c r="V5703" s="14">
        <v>62</v>
      </c>
      <c r="W5703" s="14">
        <v>33</v>
      </c>
      <c r="X5703" s="14">
        <v>27</v>
      </c>
    </row>
    <row r="5704" spans="1:24" hidden="1" x14ac:dyDescent="0.3">
      <c r="A5704" s="14" t="s">
        <v>543</v>
      </c>
      <c r="B5704" s="14" t="s">
        <v>330</v>
      </c>
      <c r="C5704" s="14" t="s">
        <v>353</v>
      </c>
      <c r="D5704" s="14" t="s">
        <v>354</v>
      </c>
      <c r="E5704" s="14" t="s">
        <v>342</v>
      </c>
      <c r="F5704" s="14" t="s">
        <v>343</v>
      </c>
      <c r="G5704" s="14" t="s">
        <v>343</v>
      </c>
      <c r="H5704" s="14" t="s">
        <v>343</v>
      </c>
      <c r="U5704" s="14">
        <v>0.95</v>
      </c>
      <c r="V5704" s="14">
        <v>0.97</v>
      </c>
      <c r="W5704" s="14">
        <v>0.97</v>
      </c>
      <c r="X5704" s="14">
        <v>0.98</v>
      </c>
    </row>
    <row r="5705" spans="1:24" hidden="1" x14ac:dyDescent="0.3">
      <c r="A5705" s="14" t="s">
        <v>543</v>
      </c>
      <c r="B5705" s="14" t="s">
        <v>330</v>
      </c>
      <c r="C5705" s="14" t="s">
        <v>353</v>
      </c>
      <c r="D5705" s="14" t="s">
        <v>354</v>
      </c>
      <c r="E5705" s="14" t="s">
        <v>344</v>
      </c>
      <c r="F5705" s="14" t="s">
        <v>343</v>
      </c>
      <c r="G5705" s="14" t="s">
        <v>343</v>
      </c>
      <c r="H5705" s="14" t="s">
        <v>343</v>
      </c>
      <c r="U5705" s="14">
        <v>92</v>
      </c>
      <c r="V5705" s="14">
        <v>88</v>
      </c>
      <c r="W5705" s="14">
        <v>91</v>
      </c>
      <c r="X5705" s="14">
        <v>83</v>
      </c>
    </row>
    <row r="5706" spans="1:24" hidden="1" x14ac:dyDescent="0.3">
      <c r="A5706" s="14" t="s">
        <v>543</v>
      </c>
      <c r="B5706" s="14" t="s">
        <v>330</v>
      </c>
      <c r="C5706" s="14" t="s">
        <v>357</v>
      </c>
      <c r="D5706" s="14" t="s">
        <v>358</v>
      </c>
      <c r="E5706" s="14" t="s">
        <v>342</v>
      </c>
      <c r="F5706" s="14" t="s">
        <v>343</v>
      </c>
      <c r="G5706" s="14" t="s">
        <v>343</v>
      </c>
      <c r="H5706" s="14" t="s">
        <v>343</v>
      </c>
      <c r="U5706" s="14">
        <v>1</v>
      </c>
      <c r="V5706" s="14">
        <v>1</v>
      </c>
      <c r="W5706" s="14">
        <v>1</v>
      </c>
      <c r="X5706" s="14">
        <v>1</v>
      </c>
    </row>
    <row r="5707" spans="1:24" hidden="1" x14ac:dyDescent="0.3">
      <c r="A5707" s="14" t="s">
        <v>543</v>
      </c>
      <c r="B5707" s="14" t="s">
        <v>330</v>
      </c>
      <c r="C5707" s="14" t="s">
        <v>357</v>
      </c>
      <c r="D5707" s="14" t="s">
        <v>358</v>
      </c>
      <c r="E5707" s="14" t="s">
        <v>344</v>
      </c>
      <c r="F5707" s="14" t="s">
        <v>343</v>
      </c>
      <c r="G5707" s="14" t="s">
        <v>343</v>
      </c>
      <c r="H5707" s="14" t="s">
        <v>343</v>
      </c>
      <c r="U5707" s="14">
        <v>1</v>
      </c>
      <c r="V5707" s="14">
        <v>1</v>
      </c>
      <c r="W5707" s="14">
        <v>1</v>
      </c>
      <c r="X5707" s="14">
        <v>1</v>
      </c>
    </row>
    <row r="5708" spans="1:24" hidden="1" x14ac:dyDescent="0.3">
      <c r="A5708" s="14" t="s">
        <v>543</v>
      </c>
      <c r="B5708" s="14" t="s">
        <v>330</v>
      </c>
      <c r="C5708" s="14" t="s">
        <v>359</v>
      </c>
      <c r="D5708" s="14" t="s">
        <v>360</v>
      </c>
      <c r="E5708" s="14" t="s">
        <v>342</v>
      </c>
      <c r="F5708" s="14" t="s">
        <v>343</v>
      </c>
      <c r="G5708" s="14" t="s">
        <v>343</v>
      </c>
      <c r="H5708" s="14" t="s">
        <v>343</v>
      </c>
      <c r="J5708" s="14">
        <v>0.74</v>
      </c>
      <c r="K5708" s="14">
        <v>0.73</v>
      </c>
      <c r="L5708" s="14">
        <v>0.73</v>
      </c>
      <c r="M5708" s="14">
        <v>0.72</v>
      </c>
      <c r="N5708" s="14">
        <v>0.71</v>
      </c>
      <c r="O5708" s="14">
        <v>0.71</v>
      </c>
      <c r="P5708" s="14">
        <v>0.7</v>
      </c>
      <c r="Q5708" s="14">
        <v>0.73</v>
      </c>
      <c r="R5708" s="14">
        <v>0.73</v>
      </c>
      <c r="S5708" s="14">
        <v>0.74</v>
      </c>
      <c r="T5708" s="14">
        <v>0.74</v>
      </c>
      <c r="U5708" s="14">
        <v>0.74</v>
      </c>
      <c r="V5708" s="14">
        <v>0.75</v>
      </c>
      <c r="W5708" s="14">
        <v>0.76</v>
      </c>
      <c r="X5708" s="14">
        <v>0.75</v>
      </c>
    </row>
    <row r="5709" spans="1:24" hidden="1" x14ac:dyDescent="0.3">
      <c r="A5709" s="14" t="s">
        <v>543</v>
      </c>
      <c r="B5709" s="14" t="s">
        <v>330</v>
      </c>
      <c r="C5709" s="14" t="s">
        <v>359</v>
      </c>
      <c r="D5709" s="14" t="s">
        <v>360</v>
      </c>
      <c r="E5709" s="14" t="s">
        <v>344</v>
      </c>
      <c r="F5709" s="14" t="s">
        <v>343</v>
      </c>
      <c r="G5709" s="14" t="s">
        <v>343</v>
      </c>
      <c r="H5709" s="14" t="s">
        <v>343</v>
      </c>
      <c r="J5709" s="14">
        <v>11</v>
      </c>
      <c r="K5709" s="14">
        <v>24</v>
      </c>
      <c r="L5709" s="14">
        <v>25</v>
      </c>
      <c r="M5709" s="14">
        <v>33</v>
      </c>
      <c r="N5709" s="14">
        <v>40</v>
      </c>
      <c r="O5709" s="14">
        <v>44</v>
      </c>
      <c r="P5709" s="14">
        <v>52</v>
      </c>
      <c r="Q5709" s="14">
        <v>41</v>
      </c>
      <c r="R5709" s="14">
        <v>41</v>
      </c>
      <c r="S5709" s="14">
        <v>33</v>
      </c>
      <c r="T5709" s="14">
        <v>33</v>
      </c>
      <c r="U5709" s="14">
        <v>33</v>
      </c>
      <c r="V5709" s="14">
        <v>31</v>
      </c>
      <c r="W5709" s="14">
        <v>26</v>
      </c>
      <c r="X5709" s="14">
        <v>31</v>
      </c>
    </row>
    <row r="5710" spans="1:24" x14ac:dyDescent="0.3">
      <c r="A5710" s="14" t="s">
        <v>543</v>
      </c>
      <c r="B5710" s="14" t="s">
        <v>330</v>
      </c>
      <c r="C5710" s="14" t="s">
        <v>361</v>
      </c>
      <c r="D5710" s="14" t="s">
        <v>362</v>
      </c>
      <c r="E5710" s="14" t="s">
        <v>342</v>
      </c>
      <c r="F5710" s="14" t="s">
        <v>343</v>
      </c>
      <c r="G5710" s="14" t="s">
        <v>343</v>
      </c>
      <c r="H5710" s="14" t="s">
        <v>343</v>
      </c>
      <c r="J5710" s="14">
        <v>0.97</v>
      </c>
      <c r="K5710" s="14">
        <v>0.97</v>
      </c>
      <c r="L5710" s="14">
        <v>0.97</v>
      </c>
      <c r="M5710" s="14">
        <v>0.95</v>
      </c>
      <c r="N5710" s="14">
        <v>0.95</v>
      </c>
      <c r="O5710" s="14">
        <v>0.94</v>
      </c>
      <c r="P5710" s="14">
        <v>0.94</v>
      </c>
      <c r="Q5710" s="14">
        <v>0.94</v>
      </c>
      <c r="R5710" s="14">
        <v>0.95</v>
      </c>
      <c r="S5710" s="14">
        <v>0.95</v>
      </c>
      <c r="T5710" s="14">
        <v>0.96</v>
      </c>
      <c r="U5710" s="14">
        <v>0.96</v>
      </c>
      <c r="V5710" s="14">
        <v>0.94</v>
      </c>
      <c r="W5710" s="14">
        <v>0.94</v>
      </c>
      <c r="X5710" s="14">
        <v>0.95</v>
      </c>
    </row>
    <row r="5711" spans="1:24" hidden="1" x14ac:dyDescent="0.3">
      <c r="A5711" s="14" t="s">
        <v>543</v>
      </c>
      <c r="B5711" s="14" t="s">
        <v>330</v>
      </c>
      <c r="C5711" s="14" t="s">
        <v>361</v>
      </c>
      <c r="D5711" s="14" t="s">
        <v>362</v>
      </c>
      <c r="E5711" s="14" t="s">
        <v>344</v>
      </c>
      <c r="F5711" s="14" t="s">
        <v>343</v>
      </c>
      <c r="G5711" s="14" t="s">
        <v>343</v>
      </c>
      <c r="H5711" s="14" t="s">
        <v>343</v>
      </c>
      <c r="J5711" s="14">
        <v>91</v>
      </c>
      <c r="K5711" s="14">
        <v>92</v>
      </c>
      <c r="L5711" s="14">
        <v>97</v>
      </c>
      <c r="M5711" s="14">
        <v>127</v>
      </c>
      <c r="N5711" s="14">
        <v>130</v>
      </c>
      <c r="O5711" s="14">
        <v>130</v>
      </c>
      <c r="P5711" s="14">
        <v>132</v>
      </c>
      <c r="Q5711" s="14">
        <v>137</v>
      </c>
      <c r="R5711" s="14">
        <v>139</v>
      </c>
      <c r="S5711" s="14">
        <v>138</v>
      </c>
      <c r="T5711" s="14">
        <v>138</v>
      </c>
      <c r="U5711" s="14">
        <v>143</v>
      </c>
      <c r="V5711" s="14">
        <v>151</v>
      </c>
      <c r="W5711" s="14">
        <v>152</v>
      </c>
      <c r="X5711" s="14">
        <v>141</v>
      </c>
    </row>
    <row r="5712" spans="1:24" hidden="1" x14ac:dyDescent="0.3">
      <c r="A5712" s="14" t="s">
        <v>543</v>
      </c>
      <c r="B5712" s="14" t="s">
        <v>330</v>
      </c>
      <c r="C5712" s="14" t="s">
        <v>363</v>
      </c>
      <c r="D5712" s="14" t="s">
        <v>364</v>
      </c>
      <c r="E5712" s="14" t="s">
        <v>342</v>
      </c>
      <c r="F5712" s="14" t="s">
        <v>343</v>
      </c>
      <c r="G5712" s="14" t="s">
        <v>343</v>
      </c>
      <c r="H5712" s="14" t="s">
        <v>343</v>
      </c>
      <c r="U5712" s="14">
        <v>1.06</v>
      </c>
      <c r="V5712" s="14">
        <v>1.06</v>
      </c>
      <c r="W5712" s="14">
        <v>1.06</v>
      </c>
      <c r="X5712" s="14">
        <v>1.06</v>
      </c>
    </row>
    <row r="5713" spans="1:24" hidden="1" x14ac:dyDescent="0.3">
      <c r="A5713" s="14" t="s">
        <v>543</v>
      </c>
      <c r="B5713" s="14" t="s">
        <v>330</v>
      </c>
      <c r="C5713" s="14" t="s">
        <v>363</v>
      </c>
      <c r="D5713" s="14" t="s">
        <v>364</v>
      </c>
      <c r="E5713" s="14" t="s">
        <v>344</v>
      </c>
      <c r="F5713" s="14" t="s">
        <v>343</v>
      </c>
      <c r="G5713" s="14" t="s">
        <v>343</v>
      </c>
      <c r="H5713" s="14" t="s">
        <v>343</v>
      </c>
      <c r="U5713" s="14">
        <v>1</v>
      </c>
      <c r="V5713" s="14">
        <v>1</v>
      </c>
      <c r="W5713" s="14">
        <v>1</v>
      </c>
      <c r="X5713" s="14">
        <v>1</v>
      </c>
    </row>
    <row r="5714" spans="1:24" hidden="1" x14ac:dyDescent="0.3">
      <c r="A5714" s="14" t="s">
        <v>543</v>
      </c>
      <c r="B5714" s="14" t="s">
        <v>330</v>
      </c>
      <c r="C5714" s="14" t="s">
        <v>365</v>
      </c>
      <c r="D5714" s="14" t="s">
        <v>366</v>
      </c>
      <c r="E5714" s="14" t="s">
        <v>342</v>
      </c>
      <c r="F5714" s="14" t="s">
        <v>343</v>
      </c>
      <c r="G5714" s="14" t="s">
        <v>343</v>
      </c>
      <c r="H5714" s="14" t="s">
        <v>343</v>
      </c>
      <c r="U5714" s="14">
        <v>0.91</v>
      </c>
      <c r="V5714" s="14">
        <v>0.89</v>
      </c>
      <c r="W5714" s="14">
        <v>0.89</v>
      </c>
      <c r="X5714" s="14">
        <v>0.9</v>
      </c>
    </row>
    <row r="5715" spans="1:24" hidden="1" x14ac:dyDescent="0.3">
      <c r="A5715" s="14" t="s">
        <v>543</v>
      </c>
      <c r="B5715" s="14" t="s">
        <v>330</v>
      </c>
      <c r="C5715" s="14" t="s">
        <v>365</v>
      </c>
      <c r="D5715" s="14" t="s">
        <v>366</v>
      </c>
      <c r="E5715" s="14" t="s">
        <v>344</v>
      </c>
      <c r="F5715" s="14" t="s">
        <v>343</v>
      </c>
      <c r="G5715" s="14" t="s">
        <v>343</v>
      </c>
      <c r="H5715" s="14" t="s">
        <v>343</v>
      </c>
      <c r="U5715" s="14">
        <v>145</v>
      </c>
      <c r="V5715" s="14">
        <v>151</v>
      </c>
      <c r="W5715" s="14">
        <v>154</v>
      </c>
      <c r="X5715" s="14">
        <v>144</v>
      </c>
    </row>
    <row r="5716" spans="1:24" hidden="1" x14ac:dyDescent="0.3">
      <c r="A5716" s="14" t="s">
        <v>543</v>
      </c>
      <c r="B5716" s="14" t="s">
        <v>330</v>
      </c>
      <c r="C5716" s="14" t="s">
        <v>367</v>
      </c>
      <c r="D5716" s="14" t="s">
        <v>368</v>
      </c>
      <c r="E5716" s="14" t="s">
        <v>342</v>
      </c>
      <c r="F5716" s="14" t="s">
        <v>343</v>
      </c>
      <c r="G5716" s="14" t="s">
        <v>343</v>
      </c>
      <c r="H5716" s="14" t="s">
        <v>343</v>
      </c>
      <c r="J5716" s="14">
        <v>0.69</v>
      </c>
      <c r="K5716" s="14">
        <v>0.68</v>
      </c>
      <c r="L5716" s="14">
        <v>0.68</v>
      </c>
      <c r="M5716" s="14">
        <v>0.68</v>
      </c>
      <c r="N5716" s="14">
        <v>0.67</v>
      </c>
      <c r="O5716" s="14">
        <v>0.69</v>
      </c>
      <c r="P5716" s="14">
        <v>0.69</v>
      </c>
      <c r="Q5716" s="14">
        <v>0.69</v>
      </c>
      <c r="R5716" s="14">
        <v>0.69</v>
      </c>
      <c r="S5716" s="14">
        <v>0.7</v>
      </c>
      <c r="T5716" s="14">
        <v>0.7</v>
      </c>
      <c r="U5716" s="14">
        <v>0.7</v>
      </c>
      <c r="V5716" s="14">
        <v>0.7</v>
      </c>
      <c r="W5716" s="14">
        <v>0.7</v>
      </c>
      <c r="X5716" s="14">
        <v>0.7</v>
      </c>
    </row>
    <row r="5717" spans="1:24" hidden="1" x14ac:dyDescent="0.3">
      <c r="A5717" s="14" t="s">
        <v>543</v>
      </c>
      <c r="B5717" s="14" t="s">
        <v>330</v>
      </c>
      <c r="C5717" s="14" t="s">
        <v>367</v>
      </c>
      <c r="D5717" s="14" t="s">
        <v>368</v>
      </c>
      <c r="E5717" s="14" t="s">
        <v>344</v>
      </c>
      <c r="F5717" s="14" t="s">
        <v>343</v>
      </c>
      <c r="G5717" s="14" t="s">
        <v>343</v>
      </c>
      <c r="H5717" s="14" t="s">
        <v>343</v>
      </c>
      <c r="J5717" s="14">
        <v>42</v>
      </c>
      <c r="K5717" s="14">
        <v>68</v>
      </c>
      <c r="L5717" s="14">
        <v>71</v>
      </c>
      <c r="M5717" s="14">
        <v>72</v>
      </c>
      <c r="N5717" s="14">
        <v>79</v>
      </c>
      <c r="O5717" s="14">
        <v>66</v>
      </c>
      <c r="P5717" s="14">
        <v>73</v>
      </c>
      <c r="Q5717" s="14">
        <v>76</v>
      </c>
      <c r="R5717" s="14">
        <v>83</v>
      </c>
      <c r="S5717" s="14">
        <v>65</v>
      </c>
      <c r="T5717" s="14">
        <v>69</v>
      </c>
      <c r="U5717" s="14">
        <v>77</v>
      </c>
      <c r="V5717" s="14">
        <v>87</v>
      </c>
      <c r="W5717" s="14">
        <v>87</v>
      </c>
      <c r="X5717" s="14">
        <v>83</v>
      </c>
    </row>
    <row r="5718" spans="1:24" hidden="1" x14ac:dyDescent="0.3">
      <c r="A5718" s="14" t="s">
        <v>543</v>
      </c>
      <c r="B5718" s="14" t="s">
        <v>330</v>
      </c>
      <c r="C5718" s="14" t="s">
        <v>369</v>
      </c>
      <c r="D5718" s="14" t="s">
        <v>370</v>
      </c>
      <c r="E5718" s="14" t="s">
        <v>342</v>
      </c>
      <c r="F5718" s="14" t="s">
        <v>343</v>
      </c>
      <c r="G5718" s="14" t="s">
        <v>343</v>
      </c>
      <c r="H5718" s="14" t="s">
        <v>343</v>
      </c>
      <c r="J5718" s="14">
        <v>0.15</v>
      </c>
      <c r="K5718" s="14">
        <v>0.12</v>
      </c>
      <c r="L5718" s="14">
        <v>0.12</v>
      </c>
      <c r="M5718" s="14">
        <v>0.12</v>
      </c>
      <c r="N5718" s="14">
        <v>0.11</v>
      </c>
      <c r="O5718" s="14">
        <v>0.12</v>
      </c>
      <c r="P5718" s="14">
        <v>0.12</v>
      </c>
      <c r="Q5718" s="14">
        <v>0.12</v>
      </c>
      <c r="R5718" s="14">
        <v>0.12</v>
      </c>
      <c r="S5718" s="14">
        <v>0.14000000000000001</v>
      </c>
      <c r="T5718" s="14">
        <v>0.12</v>
      </c>
      <c r="U5718" s="14">
        <v>0.12</v>
      </c>
      <c r="V5718" s="14">
        <v>0.12</v>
      </c>
      <c r="W5718" s="14">
        <v>0.11</v>
      </c>
      <c r="X5718" s="14">
        <v>0.14000000000000001</v>
      </c>
    </row>
    <row r="5719" spans="1:24" hidden="1" x14ac:dyDescent="0.3">
      <c r="A5719" s="14" t="s">
        <v>543</v>
      </c>
      <c r="B5719" s="14" t="s">
        <v>330</v>
      </c>
      <c r="C5719" s="14" t="s">
        <v>369</v>
      </c>
      <c r="D5719" s="14" t="s">
        <v>370</v>
      </c>
      <c r="E5719" s="14" t="s">
        <v>344</v>
      </c>
      <c r="F5719" s="14" t="s">
        <v>343</v>
      </c>
      <c r="G5719" s="14" t="s">
        <v>343</v>
      </c>
      <c r="H5719" s="14" t="s">
        <v>343</v>
      </c>
      <c r="J5719" s="14">
        <v>42</v>
      </c>
      <c r="K5719" s="14">
        <v>67</v>
      </c>
      <c r="L5719" s="14">
        <v>72</v>
      </c>
      <c r="M5719" s="14">
        <v>72</v>
      </c>
      <c r="N5719" s="14">
        <v>76</v>
      </c>
      <c r="O5719" s="14">
        <v>78</v>
      </c>
      <c r="P5719" s="14">
        <v>80</v>
      </c>
      <c r="Q5719" s="14">
        <v>87</v>
      </c>
      <c r="R5719" s="14">
        <v>88</v>
      </c>
      <c r="S5719" s="14">
        <v>84</v>
      </c>
      <c r="T5719" s="14">
        <v>97</v>
      </c>
      <c r="U5719" s="14">
        <v>99</v>
      </c>
      <c r="V5719" s="14">
        <v>110</v>
      </c>
      <c r="W5719" s="14">
        <v>121</v>
      </c>
      <c r="X5719" s="14">
        <v>106</v>
      </c>
    </row>
    <row r="5720" spans="1:24" hidden="1" x14ac:dyDescent="0.3">
      <c r="A5720" s="14" t="s">
        <v>543</v>
      </c>
      <c r="B5720" s="14" t="s">
        <v>330</v>
      </c>
      <c r="C5720" s="14" t="s">
        <v>371</v>
      </c>
      <c r="D5720" s="14" t="s">
        <v>372</v>
      </c>
      <c r="E5720" s="14" t="s">
        <v>342</v>
      </c>
      <c r="F5720" s="14" t="s">
        <v>343</v>
      </c>
      <c r="G5720" s="14" t="s">
        <v>343</v>
      </c>
      <c r="H5720" s="14" t="s">
        <v>343</v>
      </c>
      <c r="U5720" s="14">
        <v>0</v>
      </c>
      <c r="V5720" s="14">
        <v>0</v>
      </c>
      <c r="W5720" s="14">
        <v>0</v>
      </c>
      <c r="X5720" s="14">
        <v>0</v>
      </c>
    </row>
    <row r="5721" spans="1:24" hidden="1" x14ac:dyDescent="0.3">
      <c r="A5721" s="14" t="s">
        <v>543</v>
      </c>
      <c r="B5721" s="14" t="s">
        <v>330</v>
      </c>
      <c r="C5721" s="14" t="s">
        <v>371</v>
      </c>
      <c r="D5721" s="14" t="s">
        <v>372</v>
      </c>
      <c r="E5721" s="14" t="s">
        <v>344</v>
      </c>
      <c r="F5721" s="14" t="s">
        <v>343</v>
      </c>
      <c r="G5721" s="14" t="s">
        <v>343</v>
      </c>
      <c r="H5721" s="14" t="s">
        <v>343</v>
      </c>
      <c r="U5721" s="14">
        <v>71</v>
      </c>
      <c r="V5721" s="14">
        <v>73</v>
      </c>
      <c r="W5721" s="14">
        <v>76</v>
      </c>
      <c r="X5721" s="14">
        <v>78</v>
      </c>
    </row>
    <row r="5722" spans="1:24" hidden="1" x14ac:dyDescent="0.3">
      <c r="A5722" s="14" t="s">
        <v>543</v>
      </c>
      <c r="B5722" s="14" t="s">
        <v>330</v>
      </c>
      <c r="C5722" s="14" t="s">
        <v>373</v>
      </c>
      <c r="D5722" s="14" t="s">
        <v>374</v>
      </c>
      <c r="E5722" s="14" t="s">
        <v>342</v>
      </c>
      <c r="F5722" s="14" t="s">
        <v>343</v>
      </c>
      <c r="G5722" s="14" t="s">
        <v>343</v>
      </c>
      <c r="H5722" s="14" t="s">
        <v>343</v>
      </c>
      <c r="U5722" s="14">
        <v>0.04</v>
      </c>
      <c r="V5722" s="14">
        <v>0.04</v>
      </c>
      <c r="W5722" s="14">
        <v>0</v>
      </c>
      <c r="X5722" s="14">
        <v>0</v>
      </c>
    </row>
    <row r="5723" spans="1:24" hidden="1" x14ac:dyDescent="0.3">
      <c r="A5723" s="14" t="s">
        <v>543</v>
      </c>
      <c r="B5723" s="14" t="s">
        <v>330</v>
      </c>
      <c r="C5723" s="14" t="s">
        <v>373</v>
      </c>
      <c r="D5723" s="14" t="s">
        <v>374</v>
      </c>
      <c r="E5723" s="14" t="s">
        <v>344</v>
      </c>
      <c r="F5723" s="14" t="s">
        <v>343</v>
      </c>
      <c r="G5723" s="14" t="s">
        <v>343</v>
      </c>
      <c r="H5723" s="14" t="s">
        <v>343</v>
      </c>
      <c r="U5723" s="14">
        <v>138</v>
      </c>
      <c r="V5723" s="14">
        <v>141</v>
      </c>
      <c r="W5723" s="14">
        <v>148</v>
      </c>
      <c r="X5723" s="14">
        <v>140</v>
      </c>
    </row>
    <row r="5724" spans="1:24" hidden="1" x14ac:dyDescent="0.3">
      <c r="A5724" s="14" t="s">
        <v>543</v>
      </c>
      <c r="B5724" s="14" t="s">
        <v>330</v>
      </c>
      <c r="C5724" s="14" t="s">
        <v>375</v>
      </c>
      <c r="D5724" s="14" t="s">
        <v>376</v>
      </c>
      <c r="E5724" s="14" t="s">
        <v>342</v>
      </c>
      <c r="F5724" s="14" t="s">
        <v>343</v>
      </c>
      <c r="G5724" s="14" t="s">
        <v>343</v>
      </c>
      <c r="H5724" s="14" t="s">
        <v>343</v>
      </c>
      <c r="U5724" s="14">
        <v>0.36</v>
      </c>
      <c r="V5724" s="14">
        <v>0.36</v>
      </c>
      <c r="W5724" s="14">
        <v>0.36</v>
      </c>
      <c r="X5724" s="14">
        <v>0.44</v>
      </c>
    </row>
    <row r="5725" spans="1:24" hidden="1" x14ac:dyDescent="0.3">
      <c r="A5725" s="14" t="s">
        <v>543</v>
      </c>
      <c r="B5725" s="14" t="s">
        <v>330</v>
      </c>
      <c r="C5725" s="14" t="s">
        <v>375</v>
      </c>
      <c r="D5725" s="14" t="s">
        <v>376</v>
      </c>
      <c r="E5725" s="14" t="s">
        <v>344</v>
      </c>
      <c r="F5725" s="14" t="s">
        <v>343</v>
      </c>
      <c r="G5725" s="14" t="s">
        <v>343</v>
      </c>
      <c r="H5725" s="14" t="s">
        <v>343</v>
      </c>
      <c r="U5725" s="14">
        <v>55</v>
      </c>
      <c r="V5725" s="14">
        <v>56</v>
      </c>
      <c r="W5725" s="14">
        <v>65</v>
      </c>
      <c r="X5725" s="14">
        <v>51</v>
      </c>
    </row>
    <row r="5726" spans="1:24" hidden="1" x14ac:dyDescent="0.3">
      <c r="A5726" s="14" t="s">
        <v>544</v>
      </c>
      <c r="B5726" s="14" t="s">
        <v>253</v>
      </c>
      <c r="C5726" s="14" t="s">
        <v>340</v>
      </c>
      <c r="D5726" s="14" t="s">
        <v>341</v>
      </c>
      <c r="E5726" s="14" t="s">
        <v>342</v>
      </c>
      <c r="F5726" s="14" t="s">
        <v>343</v>
      </c>
      <c r="G5726" s="14" t="s">
        <v>343</v>
      </c>
      <c r="H5726" s="14" t="s">
        <v>343</v>
      </c>
      <c r="V5726" s="14">
        <v>0.95</v>
      </c>
      <c r="W5726" s="14">
        <v>0.95</v>
      </c>
      <c r="X5726" s="14">
        <v>0.99</v>
      </c>
    </row>
    <row r="5727" spans="1:24" hidden="1" x14ac:dyDescent="0.3">
      <c r="A5727" s="14" t="s">
        <v>544</v>
      </c>
      <c r="B5727" s="14" t="s">
        <v>253</v>
      </c>
      <c r="C5727" s="14" t="s">
        <v>340</v>
      </c>
      <c r="D5727" s="14" t="s">
        <v>341</v>
      </c>
      <c r="E5727" s="14" t="s">
        <v>344</v>
      </c>
      <c r="F5727" s="14" t="s">
        <v>343</v>
      </c>
      <c r="G5727" s="14" t="s">
        <v>343</v>
      </c>
      <c r="H5727" s="14" t="s">
        <v>343</v>
      </c>
      <c r="V5727" s="14">
        <v>121</v>
      </c>
      <c r="W5727" s="14">
        <v>122</v>
      </c>
      <c r="X5727" s="14">
        <v>73</v>
      </c>
    </row>
    <row r="5728" spans="1:24" hidden="1" x14ac:dyDescent="0.3">
      <c r="A5728" s="14" t="s">
        <v>544</v>
      </c>
      <c r="B5728" s="14" t="s">
        <v>253</v>
      </c>
      <c r="C5728" s="14" t="s">
        <v>345</v>
      </c>
      <c r="D5728" s="14" t="s">
        <v>346</v>
      </c>
      <c r="E5728" s="14" t="s">
        <v>342</v>
      </c>
      <c r="F5728" s="14" t="s">
        <v>343</v>
      </c>
      <c r="G5728" s="14" t="s">
        <v>343</v>
      </c>
      <c r="H5728" s="14" t="s">
        <v>343</v>
      </c>
      <c r="V5728" s="14">
        <v>0.6</v>
      </c>
      <c r="W5728" s="14">
        <v>0.56999999999999995</v>
      </c>
      <c r="X5728" s="14">
        <v>0.59</v>
      </c>
    </row>
    <row r="5729" spans="1:24" hidden="1" x14ac:dyDescent="0.3">
      <c r="A5729" s="14" t="s">
        <v>544</v>
      </c>
      <c r="B5729" s="14" t="s">
        <v>253</v>
      </c>
      <c r="C5729" s="14" t="s">
        <v>345</v>
      </c>
      <c r="D5729" s="14" t="s">
        <v>346</v>
      </c>
      <c r="E5729" s="14" t="s">
        <v>344</v>
      </c>
      <c r="F5729" s="14" t="s">
        <v>343</v>
      </c>
      <c r="G5729" s="14" t="s">
        <v>343</v>
      </c>
      <c r="H5729" s="14" t="s">
        <v>343</v>
      </c>
      <c r="V5729" s="14">
        <v>86</v>
      </c>
      <c r="W5729" s="14">
        <v>94</v>
      </c>
      <c r="X5729" s="14">
        <v>94</v>
      </c>
    </row>
    <row r="5730" spans="1:24" hidden="1" x14ac:dyDescent="0.3">
      <c r="A5730" s="14" t="s">
        <v>544</v>
      </c>
      <c r="B5730" s="14" t="s">
        <v>253</v>
      </c>
      <c r="C5730" s="14" t="s">
        <v>347</v>
      </c>
      <c r="D5730" s="14" t="s">
        <v>348</v>
      </c>
      <c r="E5730" s="14" t="s">
        <v>342</v>
      </c>
      <c r="F5730" s="14" t="s">
        <v>343</v>
      </c>
      <c r="G5730" s="14" t="s">
        <v>343</v>
      </c>
      <c r="H5730" s="14" t="s">
        <v>343</v>
      </c>
      <c r="V5730" s="14">
        <v>0.78</v>
      </c>
      <c r="W5730" s="14">
        <v>0.78</v>
      </c>
      <c r="X5730" s="14">
        <v>0.77</v>
      </c>
    </row>
    <row r="5731" spans="1:24" hidden="1" x14ac:dyDescent="0.3">
      <c r="A5731" s="14" t="s">
        <v>544</v>
      </c>
      <c r="B5731" s="14" t="s">
        <v>253</v>
      </c>
      <c r="C5731" s="14" t="s">
        <v>347</v>
      </c>
      <c r="D5731" s="14" t="s">
        <v>348</v>
      </c>
      <c r="E5731" s="14" t="s">
        <v>344</v>
      </c>
      <c r="F5731" s="14" t="s">
        <v>343</v>
      </c>
      <c r="G5731" s="14" t="s">
        <v>343</v>
      </c>
      <c r="H5731" s="14" t="s">
        <v>343</v>
      </c>
      <c r="V5731" s="14">
        <v>87</v>
      </c>
      <c r="W5731" s="14">
        <v>91</v>
      </c>
      <c r="X5731" s="14">
        <v>78</v>
      </c>
    </row>
    <row r="5732" spans="1:24" hidden="1" x14ac:dyDescent="0.3">
      <c r="A5732" s="14" t="s">
        <v>544</v>
      </c>
      <c r="B5732" s="14" t="s">
        <v>253</v>
      </c>
      <c r="C5732" s="14" t="s">
        <v>349</v>
      </c>
      <c r="D5732" s="14" t="s">
        <v>350</v>
      </c>
      <c r="E5732" s="14" t="s">
        <v>342</v>
      </c>
      <c r="F5732" s="14" t="s">
        <v>343</v>
      </c>
      <c r="G5732" s="14" t="s">
        <v>343</v>
      </c>
      <c r="H5732" s="14" t="s">
        <v>343</v>
      </c>
      <c r="V5732" s="14">
        <v>0.4</v>
      </c>
      <c r="W5732" s="14">
        <v>0.28000000000000003</v>
      </c>
      <c r="X5732" s="14">
        <v>0.59</v>
      </c>
    </row>
    <row r="5733" spans="1:24" hidden="1" x14ac:dyDescent="0.3">
      <c r="A5733" s="14" t="s">
        <v>544</v>
      </c>
      <c r="B5733" s="14" t="s">
        <v>253</v>
      </c>
      <c r="C5733" s="14" t="s">
        <v>349</v>
      </c>
      <c r="D5733" s="14" t="s">
        <v>350</v>
      </c>
      <c r="E5733" s="14" t="s">
        <v>344</v>
      </c>
      <c r="F5733" s="14" t="s">
        <v>343</v>
      </c>
      <c r="G5733" s="14" t="s">
        <v>343</v>
      </c>
      <c r="H5733" s="14" t="s">
        <v>343</v>
      </c>
      <c r="V5733" s="14">
        <v>93</v>
      </c>
      <c r="W5733" s="14">
        <v>117</v>
      </c>
      <c r="X5733" s="14">
        <v>51</v>
      </c>
    </row>
    <row r="5734" spans="1:24" hidden="1" x14ac:dyDescent="0.3">
      <c r="A5734" s="14" t="s">
        <v>544</v>
      </c>
      <c r="B5734" s="14" t="s">
        <v>253</v>
      </c>
      <c r="C5734" s="14" t="s">
        <v>351</v>
      </c>
      <c r="D5734" s="14" t="s">
        <v>352</v>
      </c>
      <c r="E5734" s="14" t="s">
        <v>342</v>
      </c>
      <c r="F5734" s="14" t="s">
        <v>343</v>
      </c>
      <c r="G5734" s="14" t="s">
        <v>343</v>
      </c>
      <c r="H5734" s="14" t="s">
        <v>343</v>
      </c>
      <c r="V5734" s="14">
        <v>0.76</v>
      </c>
      <c r="W5734" s="14">
        <v>0.61</v>
      </c>
      <c r="X5734" s="14">
        <v>1</v>
      </c>
    </row>
    <row r="5735" spans="1:24" hidden="1" x14ac:dyDescent="0.3">
      <c r="A5735" s="14" t="s">
        <v>544</v>
      </c>
      <c r="B5735" s="14" t="s">
        <v>253</v>
      </c>
      <c r="C5735" s="14" t="s">
        <v>351</v>
      </c>
      <c r="D5735" s="14" t="s">
        <v>352</v>
      </c>
      <c r="E5735" s="14" t="s">
        <v>344</v>
      </c>
      <c r="F5735" s="14" t="s">
        <v>343</v>
      </c>
      <c r="G5735" s="14" t="s">
        <v>343</v>
      </c>
      <c r="H5735" s="14" t="s">
        <v>343</v>
      </c>
      <c r="V5735" s="14">
        <v>104</v>
      </c>
      <c r="W5735" s="14">
        <v>115</v>
      </c>
      <c r="X5735" s="14">
        <v>1</v>
      </c>
    </row>
    <row r="5736" spans="1:24" hidden="1" x14ac:dyDescent="0.3">
      <c r="A5736" s="14" t="s">
        <v>544</v>
      </c>
      <c r="B5736" s="14" t="s">
        <v>253</v>
      </c>
      <c r="C5736" s="14" t="s">
        <v>353</v>
      </c>
      <c r="D5736" s="14" t="s">
        <v>354</v>
      </c>
      <c r="E5736" s="14" t="s">
        <v>342</v>
      </c>
      <c r="F5736" s="14" t="s">
        <v>343</v>
      </c>
      <c r="G5736" s="14" t="s">
        <v>343</v>
      </c>
      <c r="H5736" s="14" t="s">
        <v>343</v>
      </c>
      <c r="V5736" s="14">
        <v>0.98</v>
      </c>
      <c r="W5736" s="14">
        <v>0.98</v>
      </c>
      <c r="X5736" s="14">
        <v>0.98</v>
      </c>
    </row>
    <row r="5737" spans="1:24" hidden="1" x14ac:dyDescent="0.3">
      <c r="A5737" s="14" t="s">
        <v>544</v>
      </c>
      <c r="B5737" s="14" t="s">
        <v>253</v>
      </c>
      <c r="C5737" s="14" t="s">
        <v>353</v>
      </c>
      <c r="D5737" s="14" t="s">
        <v>354</v>
      </c>
      <c r="E5737" s="14" t="s">
        <v>344</v>
      </c>
      <c r="F5737" s="14" t="s">
        <v>343</v>
      </c>
      <c r="G5737" s="14" t="s">
        <v>343</v>
      </c>
      <c r="H5737" s="14" t="s">
        <v>343</v>
      </c>
      <c r="V5737" s="14">
        <v>83</v>
      </c>
      <c r="W5737" s="14">
        <v>84</v>
      </c>
      <c r="X5737" s="14">
        <v>78</v>
      </c>
    </row>
    <row r="5738" spans="1:24" hidden="1" x14ac:dyDescent="0.3">
      <c r="A5738" s="14" t="s">
        <v>544</v>
      </c>
      <c r="B5738" s="14" t="s">
        <v>253</v>
      </c>
      <c r="C5738" s="14" t="s">
        <v>380</v>
      </c>
      <c r="D5738" s="14" t="s">
        <v>381</v>
      </c>
      <c r="E5738" s="14" t="s">
        <v>342</v>
      </c>
      <c r="F5738" s="14" t="s">
        <v>343</v>
      </c>
      <c r="G5738" s="14" t="s">
        <v>343</v>
      </c>
      <c r="H5738" s="14" t="s">
        <v>343</v>
      </c>
      <c r="V5738" s="14">
        <v>1</v>
      </c>
      <c r="W5738" s="14">
        <v>1</v>
      </c>
      <c r="X5738" s="14">
        <v>0.99</v>
      </c>
    </row>
    <row r="5739" spans="1:24" hidden="1" x14ac:dyDescent="0.3">
      <c r="A5739" s="14" t="s">
        <v>544</v>
      </c>
      <c r="B5739" s="14" t="s">
        <v>253</v>
      </c>
      <c r="C5739" s="14" t="s">
        <v>380</v>
      </c>
      <c r="D5739" s="14" t="s">
        <v>381</v>
      </c>
      <c r="E5739" s="14" t="s">
        <v>344</v>
      </c>
      <c r="F5739" s="14" t="s">
        <v>343</v>
      </c>
      <c r="G5739" s="14" t="s">
        <v>343</v>
      </c>
      <c r="H5739" s="14" t="s">
        <v>343</v>
      </c>
      <c r="V5739" s="14">
        <v>1</v>
      </c>
      <c r="W5739" s="14">
        <v>1</v>
      </c>
      <c r="X5739" s="14">
        <v>93</v>
      </c>
    </row>
    <row r="5740" spans="1:24" hidden="1" x14ac:dyDescent="0.3">
      <c r="A5740" s="14" t="s">
        <v>544</v>
      </c>
      <c r="B5740" s="14" t="s">
        <v>253</v>
      </c>
      <c r="C5740" s="14" t="s">
        <v>355</v>
      </c>
      <c r="D5740" s="14" t="s">
        <v>356</v>
      </c>
      <c r="E5740" s="14" t="s">
        <v>342</v>
      </c>
      <c r="F5740" s="14" t="s">
        <v>343</v>
      </c>
      <c r="G5740" s="14" t="s">
        <v>343</v>
      </c>
      <c r="H5740" s="14" t="s">
        <v>343</v>
      </c>
      <c r="V5740" s="14">
        <v>1</v>
      </c>
      <c r="W5740" s="14">
        <v>1</v>
      </c>
      <c r="X5740" s="14">
        <v>1</v>
      </c>
    </row>
    <row r="5741" spans="1:24" hidden="1" x14ac:dyDescent="0.3">
      <c r="A5741" s="14" t="s">
        <v>544</v>
      </c>
      <c r="B5741" s="14" t="s">
        <v>253</v>
      </c>
      <c r="C5741" s="14" t="s">
        <v>355</v>
      </c>
      <c r="D5741" s="14" t="s">
        <v>356</v>
      </c>
      <c r="E5741" s="14" t="s">
        <v>344</v>
      </c>
      <c r="F5741" s="14" t="s">
        <v>343</v>
      </c>
      <c r="G5741" s="14" t="s">
        <v>343</v>
      </c>
      <c r="H5741" s="14" t="s">
        <v>343</v>
      </c>
      <c r="V5741" s="14">
        <v>1</v>
      </c>
      <c r="W5741" s="14">
        <v>1</v>
      </c>
      <c r="X5741" s="14">
        <v>1</v>
      </c>
    </row>
    <row r="5742" spans="1:24" hidden="1" x14ac:dyDescent="0.3">
      <c r="A5742" s="14" t="s">
        <v>544</v>
      </c>
      <c r="B5742" s="14" t="s">
        <v>253</v>
      </c>
      <c r="C5742" s="14" t="s">
        <v>357</v>
      </c>
      <c r="D5742" s="14" t="s">
        <v>358</v>
      </c>
      <c r="E5742" s="14" t="s">
        <v>342</v>
      </c>
      <c r="F5742" s="14" t="s">
        <v>343</v>
      </c>
      <c r="G5742" s="14" t="s">
        <v>343</v>
      </c>
      <c r="H5742" s="14" t="s">
        <v>343</v>
      </c>
      <c r="V5742" s="14">
        <v>0.59</v>
      </c>
      <c r="W5742" s="14">
        <v>0.59</v>
      </c>
    </row>
    <row r="5743" spans="1:24" hidden="1" x14ac:dyDescent="0.3">
      <c r="A5743" s="14" t="s">
        <v>544</v>
      </c>
      <c r="B5743" s="14" t="s">
        <v>253</v>
      </c>
      <c r="C5743" s="14" t="s">
        <v>357</v>
      </c>
      <c r="D5743" s="14" t="s">
        <v>358</v>
      </c>
      <c r="E5743" s="14" t="s">
        <v>344</v>
      </c>
      <c r="F5743" s="14" t="s">
        <v>343</v>
      </c>
      <c r="G5743" s="14" t="s">
        <v>343</v>
      </c>
      <c r="H5743" s="14" t="s">
        <v>343</v>
      </c>
      <c r="V5743" s="14">
        <v>135</v>
      </c>
      <c r="W5743" s="14">
        <v>136</v>
      </c>
    </row>
    <row r="5744" spans="1:24" hidden="1" x14ac:dyDescent="0.3">
      <c r="A5744" s="14" t="s">
        <v>544</v>
      </c>
      <c r="B5744" s="14" t="s">
        <v>253</v>
      </c>
      <c r="C5744" s="14" t="s">
        <v>359</v>
      </c>
      <c r="D5744" s="14" t="s">
        <v>360</v>
      </c>
      <c r="E5744" s="14" t="s">
        <v>342</v>
      </c>
      <c r="F5744" s="14" t="s">
        <v>343</v>
      </c>
      <c r="G5744" s="14" t="s">
        <v>343</v>
      </c>
      <c r="H5744" s="14" t="s">
        <v>343</v>
      </c>
      <c r="V5744" s="14">
        <v>0.64</v>
      </c>
      <c r="W5744" s="14">
        <v>0.57999999999999996</v>
      </c>
      <c r="X5744" s="14">
        <v>0.71</v>
      </c>
    </row>
    <row r="5745" spans="1:24" hidden="1" x14ac:dyDescent="0.3">
      <c r="A5745" s="14" t="s">
        <v>544</v>
      </c>
      <c r="B5745" s="14" t="s">
        <v>253</v>
      </c>
      <c r="C5745" s="14" t="s">
        <v>359</v>
      </c>
      <c r="D5745" s="14" t="s">
        <v>360</v>
      </c>
      <c r="E5745" s="14" t="s">
        <v>344</v>
      </c>
      <c r="F5745" s="14" t="s">
        <v>343</v>
      </c>
      <c r="G5745" s="14" t="s">
        <v>343</v>
      </c>
      <c r="H5745" s="14" t="s">
        <v>343</v>
      </c>
      <c r="V5745" s="14">
        <v>98</v>
      </c>
      <c r="W5745" s="14">
        <v>124</v>
      </c>
      <c r="X5745" s="14">
        <v>59</v>
      </c>
    </row>
    <row r="5746" spans="1:24" hidden="1" x14ac:dyDescent="0.3">
      <c r="A5746" s="14" t="s">
        <v>544</v>
      </c>
      <c r="B5746" s="14" t="s">
        <v>253</v>
      </c>
      <c r="C5746" s="14" t="s">
        <v>361</v>
      </c>
      <c r="D5746" s="14" t="s">
        <v>362</v>
      </c>
      <c r="E5746" s="14" t="s">
        <v>342</v>
      </c>
      <c r="F5746" s="14" t="s">
        <v>343</v>
      </c>
      <c r="G5746" s="14" t="s">
        <v>343</v>
      </c>
      <c r="H5746" s="14" t="s">
        <v>343</v>
      </c>
      <c r="V5746" s="14">
        <v>0.97</v>
      </c>
      <c r="W5746" s="14">
        <v>0.98</v>
      </c>
      <c r="X5746" s="14">
        <v>0.98</v>
      </c>
    </row>
    <row r="5747" spans="1:24" hidden="1" x14ac:dyDescent="0.3">
      <c r="A5747" s="14" t="s">
        <v>544</v>
      </c>
      <c r="B5747" s="14" t="s">
        <v>253</v>
      </c>
      <c r="C5747" s="14" t="s">
        <v>361</v>
      </c>
      <c r="D5747" s="14" t="s">
        <v>362</v>
      </c>
      <c r="E5747" s="14" t="s">
        <v>344</v>
      </c>
      <c r="F5747" s="14" t="s">
        <v>343</v>
      </c>
      <c r="G5747" s="14" t="s">
        <v>343</v>
      </c>
      <c r="H5747" s="14" t="s">
        <v>343</v>
      </c>
      <c r="V5747" s="14">
        <v>128</v>
      </c>
      <c r="W5747" s="14">
        <v>61</v>
      </c>
      <c r="X5747" s="14">
        <v>51</v>
      </c>
    </row>
    <row r="5748" spans="1:24" hidden="1" x14ac:dyDescent="0.3">
      <c r="A5748" s="14" t="s">
        <v>544</v>
      </c>
      <c r="B5748" s="14" t="s">
        <v>253</v>
      </c>
      <c r="C5748" s="14" t="s">
        <v>363</v>
      </c>
      <c r="D5748" s="14" t="s">
        <v>364</v>
      </c>
      <c r="E5748" s="14" t="s">
        <v>342</v>
      </c>
      <c r="F5748" s="14" t="s">
        <v>343</v>
      </c>
      <c r="G5748" s="14" t="s">
        <v>343</v>
      </c>
      <c r="H5748" s="14" t="s">
        <v>343</v>
      </c>
      <c r="V5748" s="14">
        <v>1.03</v>
      </c>
      <c r="W5748" s="14">
        <v>1.05</v>
      </c>
      <c r="X5748" s="14">
        <v>1.05</v>
      </c>
    </row>
    <row r="5749" spans="1:24" hidden="1" x14ac:dyDescent="0.3">
      <c r="A5749" s="14" t="s">
        <v>544</v>
      </c>
      <c r="B5749" s="14" t="s">
        <v>253</v>
      </c>
      <c r="C5749" s="14" t="s">
        <v>363</v>
      </c>
      <c r="D5749" s="14" t="s">
        <v>364</v>
      </c>
      <c r="E5749" s="14" t="s">
        <v>344</v>
      </c>
      <c r="F5749" s="14" t="s">
        <v>343</v>
      </c>
      <c r="G5749" s="14" t="s">
        <v>343</v>
      </c>
      <c r="H5749" s="14" t="s">
        <v>343</v>
      </c>
      <c r="V5749" s="14">
        <v>120</v>
      </c>
      <c r="W5749" s="14">
        <v>56</v>
      </c>
      <c r="X5749" s="14">
        <v>46</v>
      </c>
    </row>
    <row r="5750" spans="1:24" hidden="1" x14ac:dyDescent="0.3">
      <c r="A5750" s="14" t="s">
        <v>544</v>
      </c>
      <c r="B5750" s="14" t="s">
        <v>253</v>
      </c>
      <c r="C5750" s="14" t="s">
        <v>365</v>
      </c>
      <c r="D5750" s="14" t="s">
        <v>366</v>
      </c>
      <c r="E5750" s="14" t="s">
        <v>342</v>
      </c>
      <c r="F5750" s="14" t="s">
        <v>343</v>
      </c>
      <c r="G5750" s="14" t="s">
        <v>343</v>
      </c>
      <c r="H5750" s="14" t="s">
        <v>343</v>
      </c>
      <c r="V5750" s="14">
        <v>0.94</v>
      </c>
      <c r="W5750" s="14">
        <v>0.94</v>
      </c>
      <c r="X5750" s="14">
        <v>0.94</v>
      </c>
    </row>
    <row r="5751" spans="1:24" hidden="1" x14ac:dyDescent="0.3">
      <c r="A5751" s="14" t="s">
        <v>544</v>
      </c>
      <c r="B5751" s="14" t="s">
        <v>253</v>
      </c>
      <c r="C5751" s="14" t="s">
        <v>365</v>
      </c>
      <c r="D5751" s="14" t="s">
        <v>366</v>
      </c>
      <c r="E5751" s="14" t="s">
        <v>344</v>
      </c>
      <c r="F5751" s="14" t="s">
        <v>343</v>
      </c>
      <c r="G5751" s="14" t="s">
        <v>343</v>
      </c>
      <c r="H5751" s="14" t="s">
        <v>343</v>
      </c>
      <c r="V5751" s="14">
        <v>130</v>
      </c>
      <c r="W5751" s="14">
        <v>133</v>
      </c>
      <c r="X5751" s="14">
        <v>122</v>
      </c>
    </row>
    <row r="5752" spans="1:24" hidden="1" x14ac:dyDescent="0.3">
      <c r="A5752" s="14" t="s">
        <v>544</v>
      </c>
      <c r="B5752" s="14" t="s">
        <v>253</v>
      </c>
      <c r="C5752" s="14" t="s">
        <v>367</v>
      </c>
      <c r="D5752" s="14" t="s">
        <v>368</v>
      </c>
      <c r="E5752" s="14" t="s">
        <v>342</v>
      </c>
      <c r="F5752" s="14" t="s">
        <v>343</v>
      </c>
      <c r="G5752" s="14" t="s">
        <v>343</v>
      </c>
      <c r="H5752" s="14" t="s">
        <v>343</v>
      </c>
      <c r="V5752" s="14">
        <v>0.64</v>
      </c>
      <c r="W5752" s="14">
        <v>0.62</v>
      </c>
      <c r="X5752" s="14">
        <v>0.67</v>
      </c>
    </row>
    <row r="5753" spans="1:24" hidden="1" x14ac:dyDescent="0.3">
      <c r="A5753" s="14" t="s">
        <v>544</v>
      </c>
      <c r="B5753" s="14" t="s">
        <v>253</v>
      </c>
      <c r="C5753" s="14" t="s">
        <v>367</v>
      </c>
      <c r="D5753" s="14" t="s">
        <v>368</v>
      </c>
      <c r="E5753" s="14" t="s">
        <v>344</v>
      </c>
      <c r="F5753" s="14" t="s">
        <v>343</v>
      </c>
      <c r="G5753" s="14" t="s">
        <v>343</v>
      </c>
      <c r="H5753" s="14" t="s">
        <v>343</v>
      </c>
      <c r="V5753" s="14">
        <v>126</v>
      </c>
      <c r="W5753" s="14">
        <v>141</v>
      </c>
      <c r="X5753" s="14">
        <v>111</v>
      </c>
    </row>
    <row r="5754" spans="1:24" hidden="1" x14ac:dyDescent="0.3">
      <c r="A5754" s="14" t="s">
        <v>544</v>
      </c>
      <c r="B5754" s="14" t="s">
        <v>253</v>
      </c>
      <c r="C5754" s="14" t="s">
        <v>369</v>
      </c>
      <c r="D5754" s="14" t="s">
        <v>370</v>
      </c>
      <c r="E5754" s="14" t="s">
        <v>342</v>
      </c>
      <c r="F5754" s="14" t="s">
        <v>343</v>
      </c>
      <c r="G5754" s="14" t="s">
        <v>343</v>
      </c>
      <c r="H5754" s="14" t="s">
        <v>343</v>
      </c>
      <c r="V5754" s="14">
        <v>0</v>
      </c>
      <c r="W5754" s="14">
        <v>0</v>
      </c>
      <c r="X5754" s="14">
        <v>0</v>
      </c>
    </row>
    <row r="5755" spans="1:24" hidden="1" x14ac:dyDescent="0.3">
      <c r="A5755" s="14" t="s">
        <v>544</v>
      </c>
      <c r="B5755" s="14" t="s">
        <v>253</v>
      </c>
      <c r="C5755" s="14" t="s">
        <v>369</v>
      </c>
      <c r="D5755" s="14" t="s">
        <v>370</v>
      </c>
      <c r="E5755" s="14" t="s">
        <v>344</v>
      </c>
      <c r="F5755" s="14" t="s">
        <v>343</v>
      </c>
      <c r="G5755" s="14" t="s">
        <v>343</v>
      </c>
      <c r="H5755" s="14" t="s">
        <v>343</v>
      </c>
      <c r="V5755" s="14">
        <v>152</v>
      </c>
      <c r="W5755" s="14">
        <v>155</v>
      </c>
      <c r="X5755" s="14">
        <v>146</v>
      </c>
    </row>
    <row r="5756" spans="1:24" hidden="1" x14ac:dyDescent="0.3">
      <c r="A5756" s="14" t="s">
        <v>544</v>
      </c>
      <c r="B5756" s="14" t="s">
        <v>253</v>
      </c>
      <c r="C5756" s="14" t="s">
        <v>371</v>
      </c>
      <c r="D5756" s="14" t="s">
        <v>372</v>
      </c>
      <c r="E5756" s="14" t="s">
        <v>342</v>
      </c>
      <c r="F5756" s="14" t="s">
        <v>343</v>
      </c>
      <c r="G5756" s="14" t="s">
        <v>343</v>
      </c>
      <c r="H5756" s="14" t="s">
        <v>343</v>
      </c>
      <c r="V5756" s="14">
        <v>0</v>
      </c>
      <c r="W5756" s="14">
        <v>0</v>
      </c>
      <c r="X5756" s="14">
        <v>0</v>
      </c>
    </row>
    <row r="5757" spans="1:24" hidden="1" x14ac:dyDescent="0.3">
      <c r="A5757" s="14" t="s">
        <v>544</v>
      </c>
      <c r="B5757" s="14" t="s">
        <v>253</v>
      </c>
      <c r="C5757" s="14" t="s">
        <v>371</v>
      </c>
      <c r="D5757" s="14" t="s">
        <v>372</v>
      </c>
      <c r="E5757" s="14" t="s">
        <v>344</v>
      </c>
      <c r="F5757" s="14" t="s">
        <v>343</v>
      </c>
      <c r="G5757" s="14" t="s">
        <v>343</v>
      </c>
      <c r="H5757" s="14" t="s">
        <v>343</v>
      </c>
      <c r="V5757" s="14">
        <v>73</v>
      </c>
      <c r="W5757" s="14">
        <v>76</v>
      </c>
      <c r="X5757" s="14">
        <v>78</v>
      </c>
    </row>
    <row r="5758" spans="1:24" hidden="1" x14ac:dyDescent="0.3">
      <c r="A5758" s="14" t="s">
        <v>544</v>
      </c>
      <c r="B5758" s="14" t="s">
        <v>253</v>
      </c>
      <c r="C5758" s="14" t="s">
        <v>373</v>
      </c>
      <c r="D5758" s="14" t="s">
        <v>374</v>
      </c>
      <c r="E5758" s="14" t="s">
        <v>342</v>
      </c>
      <c r="F5758" s="14" t="s">
        <v>343</v>
      </c>
      <c r="G5758" s="14" t="s">
        <v>343</v>
      </c>
      <c r="H5758" s="14" t="s">
        <v>343</v>
      </c>
      <c r="V5758" s="14">
        <v>0</v>
      </c>
      <c r="W5758" s="14">
        <v>0</v>
      </c>
      <c r="X5758" s="14">
        <v>0</v>
      </c>
    </row>
    <row r="5759" spans="1:24" hidden="1" x14ac:dyDescent="0.3">
      <c r="A5759" s="14" t="s">
        <v>544</v>
      </c>
      <c r="B5759" s="14" t="s">
        <v>253</v>
      </c>
      <c r="C5759" s="14" t="s">
        <v>373</v>
      </c>
      <c r="D5759" s="14" t="s">
        <v>374</v>
      </c>
      <c r="E5759" s="14" t="s">
        <v>344</v>
      </c>
      <c r="F5759" s="14" t="s">
        <v>343</v>
      </c>
      <c r="G5759" s="14" t="s">
        <v>343</v>
      </c>
      <c r="H5759" s="14" t="s">
        <v>343</v>
      </c>
      <c r="V5759" s="14">
        <v>145</v>
      </c>
      <c r="W5759" s="14">
        <v>148</v>
      </c>
      <c r="X5759" s="14">
        <v>140</v>
      </c>
    </row>
    <row r="5760" spans="1:24" hidden="1" x14ac:dyDescent="0.3">
      <c r="A5760" s="14" t="s">
        <v>544</v>
      </c>
      <c r="B5760" s="14" t="s">
        <v>253</v>
      </c>
      <c r="C5760" s="14" t="s">
        <v>375</v>
      </c>
      <c r="D5760" s="14" t="s">
        <v>376</v>
      </c>
      <c r="E5760" s="14" t="s">
        <v>342</v>
      </c>
      <c r="F5760" s="14" t="s">
        <v>343</v>
      </c>
      <c r="G5760" s="14" t="s">
        <v>343</v>
      </c>
      <c r="H5760" s="14" t="s">
        <v>343</v>
      </c>
      <c r="V5760" s="14">
        <v>0</v>
      </c>
      <c r="W5760" s="14">
        <v>0</v>
      </c>
      <c r="X5760" s="14">
        <v>0</v>
      </c>
    </row>
    <row r="5761" spans="1:24" hidden="1" x14ac:dyDescent="0.3">
      <c r="A5761" s="14" t="s">
        <v>544</v>
      </c>
      <c r="B5761" s="14" t="s">
        <v>253</v>
      </c>
      <c r="C5761" s="14" t="s">
        <v>375</v>
      </c>
      <c r="D5761" s="14" t="s">
        <v>376</v>
      </c>
      <c r="E5761" s="14" t="s">
        <v>344</v>
      </c>
      <c r="F5761" s="14" t="s">
        <v>343</v>
      </c>
      <c r="G5761" s="14" t="s">
        <v>343</v>
      </c>
      <c r="H5761" s="14" t="s">
        <v>343</v>
      </c>
      <c r="V5761" s="14">
        <v>152</v>
      </c>
      <c r="W5761" s="14">
        <v>155</v>
      </c>
      <c r="X5761" s="14">
        <v>146</v>
      </c>
    </row>
    <row r="5762" spans="1:24" hidden="1" x14ac:dyDescent="0.3">
      <c r="A5762" s="14" t="s">
        <v>545</v>
      </c>
      <c r="B5762" s="14" t="s">
        <v>546</v>
      </c>
      <c r="C5762" s="14" t="s">
        <v>340</v>
      </c>
      <c r="D5762" s="14" t="s">
        <v>341</v>
      </c>
      <c r="E5762" s="14" t="s">
        <v>342</v>
      </c>
      <c r="F5762" s="14" t="s">
        <v>343</v>
      </c>
      <c r="G5762" s="14" t="s">
        <v>343</v>
      </c>
      <c r="H5762" s="14" t="s">
        <v>343</v>
      </c>
      <c r="I5762" s="14">
        <v>0.6</v>
      </c>
      <c r="J5762" s="14">
        <v>0.56999999999999995</v>
      </c>
      <c r="K5762" s="14">
        <v>0.62</v>
      </c>
      <c r="L5762" s="14">
        <v>0.61</v>
      </c>
      <c r="M5762" s="14">
        <v>0.66</v>
      </c>
      <c r="N5762" s="14">
        <v>0.64</v>
      </c>
      <c r="O5762" s="14">
        <v>0.68</v>
      </c>
      <c r="P5762" s="14">
        <v>0.7</v>
      </c>
      <c r="Q5762" s="14">
        <v>0.71</v>
      </c>
      <c r="R5762" s="14">
        <v>0.72</v>
      </c>
      <c r="S5762" s="14">
        <v>0.72</v>
      </c>
      <c r="T5762" s="14">
        <v>0.74</v>
      </c>
      <c r="U5762" s="14">
        <v>0.72</v>
      </c>
      <c r="V5762" s="14">
        <v>0.72</v>
      </c>
      <c r="W5762" s="14">
        <v>0.72</v>
      </c>
    </row>
    <row r="5763" spans="1:24" hidden="1" x14ac:dyDescent="0.3">
      <c r="A5763" s="14" t="s">
        <v>545</v>
      </c>
      <c r="B5763" s="14" t="s">
        <v>546</v>
      </c>
      <c r="C5763" s="14" t="s">
        <v>340</v>
      </c>
      <c r="D5763" s="14" t="s">
        <v>341</v>
      </c>
      <c r="E5763" s="14" t="s">
        <v>344</v>
      </c>
      <c r="F5763" s="14" t="s">
        <v>343</v>
      </c>
      <c r="G5763" s="14" t="s">
        <v>343</v>
      </c>
      <c r="H5763" s="14" t="s">
        <v>343</v>
      </c>
      <c r="I5763" s="14">
        <v>114</v>
      </c>
      <c r="J5763" s="14">
        <v>127</v>
      </c>
      <c r="K5763" s="14">
        <v>129</v>
      </c>
      <c r="L5763" s="14">
        <v>133</v>
      </c>
      <c r="M5763" s="14">
        <v>132</v>
      </c>
      <c r="N5763" s="14">
        <v>134</v>
      </c>
      <c r="O5763" s="14">
        <v>133</v>
      </c>
      <c r="P5763" s="14">
        <v>134</v>
      </c>
      <c r="Q5763" s="14">
        <v>140</v>
      </c>
      <c r="R5763" s="14">
        <v>142</v>
      </c>
      <c r="S5763" s="14">
        <v>141</v>
      </c>
      <c r="T5763" s="14">
        <v>141</v>
      </c>
      <c r="U5763" s="14">
        <v>146</v>
      </c>
      <c r="V5763" s="14">
        <v>150</v>
      </c>
      <c r="W5763" s="14">
        <v>152</v>
      </c>
    </row>
    <row r="5764" spans="1:24" hidden="1" x14ac:dyDescent="0.3">
      <c r="A5764" s="14" t="s">
        <v>545</v>
      </c>
      <c r="B5764" s="14" t="s">
        <v>546</v>
      </c>
      <c r="C5764" s="14" t="s">
        <v>345</v>
      </c>
      <c r="D5764" s="14" t="s">
        <v>346</v>
      </c>
      <c r="E5764" s="14" t="s">
        <v>342</v>
      </c>
      <c r="F5764" s="14" t="s">
        <v>343</v>
      </c>
      <c r="G5764" s="14" t="s">
        <v>343</v>
      </c>
      <c r="H5764" s="14" t="s">
        <v>343</v>
      </c>
      <c r="U5764" s="14">
        <v>0.27</v>
      </c>
      <c r="V5764" s="14">
        <v>7.0000000000000007E-2</v>
      </c>
      <c r="W5764" s="14">
        <v>0.06</v>
      </c>
    </row>
    <row r="5765" spans="1:24" hidden="1" x14ac:dyDescent="0.3">
      <c r="A5765" s="14" t="s">
        <v>545</v>
      </c>
      <c r="B5765" s="14" t="s">
        <v>546</v>
      </c>
      <c r="C5765" s="14" t="s">
        <v>345</v>
      </c>
      <c r="D5765" s="14" t="s">
        <v>346</v>
      </c>
      <c r="E5765" s="14" t="s">
        <v>344</v>
      </c>
      <c r="F5765" s="14" t="s">
        <v>343</v>
      </c>
      <c r="G5765" s="14" t="s">
        <v>343</v>
      </c>
      <c r="H5765" s="14" t="s">
        <v>343</v>
      </c>
      <c r="U5765" s="14">
        <v>134</v>
      </c>
      <c r="V5765" s="14">
        <v>152</v>
      </c>
      <c r="W5765" s="14">
        <v>154</v>
      </c>
    </row>
    <row r="5766" spans="1:24" hidden="1" x14ac:dyDescent="0.3">
      <c r="A5766" s="14" t="s">
        <v>545</v>
      </c>
      <c r="B5766" s="14" t="s">
        <v>546</v>
      </c>
      <c r="C5766" s="14" t="s">
        <v>347</v>
      </c>
      <c r="D5766" s="14" t="s">
        <v>348</v>
      </c>
      <c r="E5766" s="14" t="s">
        <v>342</v>
      </c>
      <c r="F5766" s="14" t="s">
        <v>343</v>
      </c>
      <c r="G5766" s="14" t="s">
        <v>343</v>
      </c>
      <c r="H5766" s="14" t="s">
        <v>343</v>
      </c>
      <c r="U5766" s="14">
        <v>0.09</v>
      </c>
      <c r="V5766" s="14">
        <v>0.09</v>
      </c>
      <c r="W5766" s="14">
        <v>0.09</v>
      </c>
    </row>
    <row r="5767" spans="1:24" hidden="1" x14ac:dyDescent="0.3">
      <c r="A5767" s="14" t="s">
        <v>545</v>
      </c>
      <c r="B5767" s="14" t="s">
        <v>546</v>
      </c>
      <c r="C5767" s="14" t="s">
        <v>347</v>
      </c>
      <c r="D5767" s="14" t="s">
        <v>348</v>
      </c>
      <c r="E5767" s="14" t="s">
        <v>344</v>
      </c>
      <c r="F5767" s="14" t="s">
        <v>343</v>
      </c>
      <c r="G5767" s="14" t="s">
        <v>343</v>
      </c>
      <c r="H5767" s="14" t="s">
        <v>343</v>
      </c>
      <c r="U5767" s="14">
        <v>149</v>
      </c>
      <c r="V5767" s="14">
        <v>153</v>
      </c>
      <c r="W5767" s="14">
        <v>156</v>
      </c>
    </row>
    <row r="5768" spans="1:24" hidden="1" x14ac:dyDescent="0.3">
      <c r="A5768" s="14" t="s">
        <v>545</v>
      </c>
      <c r="B5768" s="14" t="s">
        <v>546</v>
      </c>
      <c r="C5768" s="14" t="s">
        <v>349</v>
      </c>
      <c r="D5768" s="14" t="s">
        <v>350</v>
      </c>
      <c r="E5768" s="14" t="s">
        <v>342</v>
      </c>
      <c r="F5768" s="14" t="s">
        <v>343</v>
      </c>
      <c r="G5768" s="14" t="s">
        <v>343</v>
      </c>
      <c r="H5768" s="14" t="s">
        <v>343</v>
      </c>
      <c r="U5768" s="14">
        <v>0.04</v>
      </c>
      <c r="V5768" s="14">
        <v>0.04</v>
      </c>
      <c r="W5768" s="14">
        <v>0.04</v>
      </c>
    </row>
    <row r="5769" spans="1:24" hidden="1" x14ac:dyDescent="0.3">
      <c r="A5769" s="14" t="s">
        <v>545</v>
      </c>
      <c r="B5769" s="14" t="s">
        <v>546</v>
      </c>
      <c r="C5769" s="14" t="s">
        <v>349</v>
      </c>
      <c r="D5769" s="14" t="s">
        <v>350</v>
      </c>
      <c r="E5769" s="14" t="s">
        <v>344</v>
      </c>
      <c r="F5769" s="14" t="s">
        <v>343</v>
      </c>
      <c r="G5769" s="14" t="s">
        <v>343</v>
      </c>
      <c r="H5769" s="14" t="s">
        <v>343</v>
      </c>
      <c r="U5769" s="14">
        <v>141</v>
      </c>
      <c r="V5769" s="14">
        <v>147</v>
      </c>
      <c r="W5769" s="14">
        <v>151</v>
      </c>
    </row>
    <row r="5770" spans="1:24" hidden="1" x14ac:dyDescent="0.3">
      <c r="A5770" s="14" t="s">
        <v>545</v>
      </c>
      <c r="B5770" s="14" t="s">
        <v>546</v>
      </c>
      <c r="C5770" s="14" t="s">
        <v>351</v>
      </c>
      <c r="D5770" s="14" t="s">
        <v>352</v>
      </c>
      <c r="E5770" s="14" t="s">
        <v>342</v>
      </c>
      <c r="F5770" s="14" t="s">
        <v>343</v>
      </c>
      <c r="G5770" s="14" t="s">
        <v>343</v>
      </c>
      <c r="H5770" s="14" t="s">
        <v>343</v>
      </c>
      <c r="U5770" s="14">
        <v>0.17</v>
      </c>
      <c r="V5770" s="14">
        <v>0.17</v>
      </c>
      <c r="W5770" s="14">
        <v>0.2</v>
      </c>
    </row>
    <row r="5771" spans="1:24" hidden="1" x14ac:dyDescent="0.3">
      <c r="A5771" s="14" t="s">
        <v>545</v>
      </c>
      <c r="B5771" s="14" t="s">
        <v>546</v>
      </c>
      <c r="C5771" s="14" t="s">
        <v>351</v>
      </c>
      <c r="D5771" s="14" t="s">
        <v>352</v>
      </c>
      <c r="E5771" s="14" t="s">
        <v>344</v>
      </c>
      <c r="F5771" s="14" t="s">
        <v>343</v>
      </c>
      <c r="G5771" s="14" t="s">
        <v>343</v>
      </c>
      <c r="H5771" s="14" t="s">
        <v>343</v>
      </c>
      <c r="U5771" s="14">
        <v>142</v>
      </c>
      <c r="V5771" s="14">
        <v>147</v>
      </c>
      <c r="W5771" s="14">
        <v>152</v>
      </c>
    </row>
    <row r="5772" spans="1:24" hidden="1" x14ac:dyDescent="0.3">
      <c r="A5772" s="14" t="s">
        <v>545</v>
      </c>
      <c r="B5772" s="14" t="s">
        <v>546</v>
      </c>
      <c r="C5772" s="14" t="s">
        <v>378</v>
      </c>
      <c r="D5772" s="14" t="s">
        <v>379</v>
      </c>
      <c r="E5772" s="14" t="s">
        <v>342</v>
      </c>
      <c r="F5772" s="14" t="s">
        <v>343</v>
      </c>
      <c r="G5772" s="14" t="s">
        <v>343</v>
      </c>
      <c r="H5772" s="14" t="s">
        <v>343</v>
      </c>
      <c r="S5772" s="14">
        <v>0.63</v>
      </c>
      <c r="U5772" s="14">
        <v>0.63</v>
      </c>
      <c r="V5772" s="14">
        <v>0.69</v>
      </c>
      <c r="W5772" s="14">
        <v>0.71</v>
      </c>
    </row>
    <row r="5773" spans="1:24" hidden="1" x14ac:dyDescent="0.3">
      <c r="A5773" s="14" t="s">
        <v>545</v>
      </c>
      <c r="B5773" s="14" t="s">
        <v>546</v>
      </c>
      <c r="C5773" s="14" t="s">
        <v>378</v>
      </c>
      <c r="D5773" s="14" t="s">
        <v>379</v>
      </c>
      <c r="E5773" s="14" t="s">
        <v>344</v>
      </c>
      <c r="F5773" s="14" t="s">
        <v>343</v>
      </c>
      <c r="G5773" s="14" t="s">
        <v>343</v>
      </c>
      <c r="H5773" s="14" t="s">
        <v>343</v>
      </c>
      <c r="S5773" s="14">
        <v>79</v>
      </c>
      <c r="U5773" s="14">
        <v>81</v>
      </c>
      <c r="V5773" s="14">
        <v>54</v>
      </c>
      <c r="W5773" s="14">
        <v>48</v>
      </c>
    </row>
    <row r="5774" spans="1:24" hidden="1" x14ac:dyDescent="0.3">
      <c r="A5774" s="14" t="s">
        <v>545</v>
      </c>
      <c r="B5774" s="14" t="s">
        <v>546</v>
      </c>
      <c r="C5774" s="14" t="s">
        <v>353</v>
      </c>
      <c r="D5774" s="14" t="s">
        <v>354</v>
      </c>
      <c r="E5774" s="14" t="s">
        <v>342</v>
      </c>
      <c r="F5774" s="14" t="s">
        <v>343</v>
      </c>
      <c r="G5774" s="14" t="s">
        <v>343</v>
      </c>
      <c r="H5774" s="14" t="s">
        <v>343</v>
      </c>
      <c r="U5774" s="14">
        <v>0.48</v>
      </c>
      <c r="V5774" s="14">
        <v>0.48</v>
      </c>
      <c r="W5774" s="14">
        <v>0.48</v>
      </c>
    </row>
    <row r="5775" spans="1:24" hidden="1" x14ac:dyDescent="0.3">
      <c r="A5775" s="14" t="s">
        <v>545</v>
      </c>
      <c r="B5775" s="14" t="s">
        <v>546</v>
      </c>
      <c r="C5775" s="14" t="s">
        <v>353</v>
      </c>
      <c r="D5775" s="14" t="s">
        <v>354</v>
      </c>
      <c r="E5775" s="14" t="s">
        <v>344</v>
      </c>
      <c r="F5775" s="14" t="s">
        <v>343</v>
      </c>
      <c r="G5775" s="14" t="s">
        <v>343</v>
      </c>
      <c r="H5775" s="14" t="s">
        <v>343</v>
      </c>
      <c r="U5775" s="14">
        <v>142</v>
      </c>
      <c r="V5775" s="14">
        <v>150</v>
      </c>
      <c r="W5775" s="14">
        <v>153</v>
      </c>
    </row>
    <row r="5776" spans="1:24" hidden="1" x14ac:dyDescent="0.3">
      <c r="A5776" s="14" t="s">
        <v>545</v>
      </c>
      <c r="B5776" s="14" t="s">
        <v>546</v>
      </c>
      <c r="C5776" s="14" t="s">
        <v>380</v>
      </c>
      <c r="D5776" s="14" t="s">
        <v>381</v>
      </c>
      <c r="E5776" s="14" t="s">
        <v>342</v>
      </c>
      <c r="F5776" s="14" t="s">
        <v>343</v>
      </c>
      <c r="G5776" s="14" t="s">
        <v>343</v>
      </c>
      <c r="H5776" s="14" t="s">
        <v>343</v>
      </c>
      <c r="U5776" s="14">
        <v>0.88</v>
      </c>
      <c r="V5776" s="14">
        <v>0.88</v>
      </c>
      <c r="W5776" s="14">
        <v>0.88</v>
      </c>
    </row>
    <row r="5777" spans="1:23" hidden="1" x14ac:dyDescent="0.3">
      <c r="A5777" s="14" t="s">
        <v>545</v>
      </c>
      <c r="B5777" s="14" t="s">
        <v>546</v>
      </c>
      <c r="C5777" s="14" t="s">
        <v>380</v>
      </c>
      <c r="D5777" s="14" t="s">
        <v>381</v>
      </c>
      <c r="E5777" s="14" t="s">
        <v>344</v>
      </c>
      <c r="F5777" s="14" t="s">
        <v>343</v>
      </c>
      <c r="G5777" s="14" t="s">
        <v>343</v>
      </c>
      <c r="H5777" s="14" t="s">
        <v>343</v>
      </c>
      <c r="U5777" s="14">
        <v>132</v>
      </c>
      <c r="V5777" s="14">
        <v>140</v>
      </c>
      <c r="W5777" s="14">
        <v>141</v>
      </c>
    </row>
    <row r="5778" spans="1:23" hidden="1" x14ac:dyDescent="0.3">
      <c r="A5778" s="14" t="s">
        <v>545</v>
      </c>
      <c r="B5778" s="14" t="s">
        <v>546</v>
      </c>
      <c r="C5778" s="14" t="s">
        <v>355</v>
      </c>
      <c r="D5778" s="14" t="s">
        <v>356</v>
      </c>
      <c r="E5778" s="14" t="s">
        <v>342</v>
      </c>
      <c r="F5778" s="14" t="s">
        <v>343</v>
      </c>
      <c r="G5778" s="14" t="s">
        <v>343</v>
      </c>
      <c r="H5778" s="14" t="s">
        <v>343</v>
      </c>
      <c r="U5778" s="14">
        <v>0.74</v>
      </c>
      <c r="V5778" s="14">
        <v>0.74</v>
      </c>
      <c r="W5778" s="14">
        <v>0.74</v>
      </c>
    </row>
    <row r="5779" spans="1:23" hidden="1" x14ac:dyDescent="0.3">
      <c r="A5779" s="14" t="s">
        <v>545</v>
      </c>
      <c r="B5779" s="14" t="s">
        <v>546</v>
      </c>
      <c r="C5779" s="14" t="s">
        <v>355</v>
      </c>
      <c r="D5779" s="14" t="s">
        <v>356</v>
      </c>
      <c r="E5779" s="14" t="s">
        <v>344</v>
      </c>
      <c r="F5779" s="14" t="s">
        <v>343</v>
      </c>
      <c r="G5779" s="14" t="s">
        <v>343</v>
      </c>
      <c r="H5779" s="14" t="s">
        <v>343</v>
      </c>
      <c r="U5779" s="14">
        <v>143</v>
      </c>
      <c r="V5779" s="14">
        <v>147</v>
      </c>
      <c r="W5779" s="14">
        <v>148</v>
      </c>
    </row>
    <row r="5780" spans="1:23" hidden="1" x14ac:dyDescent="0.3">
      <c r="A5780" s="14" t="s">
        <v>545</v>
      </c>
      <c r="B5780" s="14" t="s">
        <v>546</v>
      </c>
      <c r="C5780" s="14" t="s">
        <v>357</v>
      </c>
      <c r="D5780" s="14" t="s">
        <v>358</v>
      </c>
      <c r="E5780" s="14" t="s">
        <v>342</v>
      </c>
      <c r="F5780" s="14" t="s">
        <v>343</v>
      </c>
      <c r="G5780" s="14" t="s">
        <v>343</v>
      </c>
      <c r="H5780" s="14" t="s">
        <v>343</v>
      </c>
      <c r="U5780" s="14">
        <v>0.44</v>
      </c>
      <c r="V5780" s="14">
        <v>0.44</v>
      </c>
      <c r="W5780" s="14">
        <v>0.44</v>
      </c>
    </row>
    <row r="5781" spans="1:23" hidden="1" x14ac:dyDescent="0.3">
      <c r="A5781" s="14" t="s">
        <v>545</v>
      </c>
      <c r="B5781" s="14" t="s">
        <v>546</v>
      </c>
      <c r="C5781" s="14" t="s">
        <v>357</v>
      </c>
      <c r="D5781" s="14" t="s">
        <v>358</v>
      </c>
      <c r="E5781" s="14" t="s">
        <v>344</v>
      </c>
      <c r="F5781" s="14" t="s">
        <v>343</v>
      </c>
      <c r="G5781" s="14" t="s">
        <v>343</v>
      </c>
      <c r="H5781" s="14" t="s">
        <v>343</v>
      </c>
      <c r="U5781" s="14">
        <v>135</v>
      </c>
      <c r="V5781" s="14">
        <v>143</v>
      </c>
      <c r="W5781" s="14">
        <v>144</v>
      </c>
    </row>
    <row r="5782" spans="1:23" hidden="1" x14ac:dyDescent="0.3">
      <c r="A5782" s="14" t="s">
        <v>545</v>
      </c>
      <c r="B5782" s="14" t="s">
        <v>546</v>
      </c>
      <c r="C5782" s="14" t="s">
        <v>359</v>
      </c>
      <c r="D5782" s="14" t="s">
        <v>360</v>
      </c>
      <c r="E5782" s="14" t="s">
        <v>342</v>
      </c>
      <c r="F5782" s="14" t="s">
        <v>343</v>
      </c>
      <c r="G5782" s="14" t="s">
        <v>343</v>
      </c>
      <c r="H5782" s="14" t="s">
        <v>343</v>
      </c>
      <c r="I5782" s="14">
        <v>0.25</v>
      </c>
      <c r="J5782" s="14">
        <v>0.25</v>
      </c>
      <c r="K5782" s="14">
        <v>0.25</v>
      </c>
      <c r="L5782" s="14">
        <v>0.23</v>
      </c>
      <c r="M5782" s="14">
        <v>0.2</v>
      </c>
      <c r="N5782" s="14">
        <v>0.32</v>
      </c>
      <c r="O5782" s="14">
        <v>0.34</v>
      </c>
      <c r="P5782" s="14">
        <v>0.36</v>
      </c>
      <c r="Q5782" s="14">
        <v>0.36</v>
      </c>
      <c r="R5782" s="14">
        <v>0.22</v>
      </c>
      <c r="S5782" s="14">
        <v>0.35</v>
      </c>
      <c r="T5782" s="14">
        <v>0.34</v>
      </c>
      <c r="U5782" s="14">
        <v>0.3</v>
      </c>
      <c r="V5782" s="14">
        <v>0.27</v>
      </c>
      <c r="W5782" s="14">
        <v>0.28000000000000003</v>
      </c>
    </row>
    <row r="5783" spans="1:23" hidden="1" x14ac:dyDescent="0.3">
      <c r="A5783" s="14" t="s">
        <v>545</v>
      </c>
      <c r="B5783" s="14" t="s">
        <v>546</v>
      </c>
      <c r="C5783" s="14" t="s">
        <v>359</v>
      </c>
      <c r="D5783" s="14" t="s">
        <v>360</v>
      </c>
      <c r="E5783" s="14" t="s">
        <v>344</v>
      </c>
      <c r="F5783" s="14" t="s">
        <v>343</v>
      </c>
      <c r="G5783" s="14" t="s">
        <v>343</v>
      </c>
      <c r="H5783" s="14" t="s">
        <v>343</v>
      </c>
      <c r="I5783" s="14">
        <v>114</v>
      </c>
      <c r="J5783" s="14">
        <v>128</v>
      </c>
      <c r="K5783" s="14">
        <v>130</v>
      </c>
      <c r="L5783" s="14">
        <v>134</v>
      </c>
      <c r="M5783" s="14">
        <v>134</v>
      </c>
      <c r="N5783" s="14">
        <v>135</v>
      </c>
      <c r="O5783" s="14">
        <v>132</v>
      </c>
      <c r="P5783" s="14">
        <v>132</v>
      </c>
      <c r="Q5783" s="14">
        <v>138</v>
      </c>
      <c r="R5783" s="14">
        <v>145</v>
      </c>
      <c r="S5783" s="14">
        <v>141</v>
      </c>
      <c r="T5783" s="14">
        <v>141</v>
      </c>
      <c r="U5783" s="14">
        <v>147</v>
      </c>
      <c r="V5783" s="14">
        <v>151</v>
      </c>
      <c r="W5783" s="14">
        <v>154</v>
      </c>
    </row>
    <row r="5784" spans="1:23" x14ac:dyDescent="0.3">
      <c r="A5784" s="14" t="s">
        <v>545</v>
      </c>
      <c r="B5784" s="14" t="s">
        <v>546</v>
      </c>
      <c r="C5784" s="14" t="s">
        <v>361</v>
      </c>
      <c r="D5784" s="14" t="s">
        <v>362</v>
      </c>
      <c r="E5784" s="14" t="s">
        <v>342</v>
      </c>
      <c r="F5784" s="14" t="s">
        <v>343</v>
      </c>
      <c r="G5784" s="14" t="s">
        <v>343</v>
      </c>
      <c r="H5784" s="14" t="s">
        <v>343</v>
      </c>
      <c r="I5784" s="14">
        <v>0.98</v>
      </c>
      <c r="J5784" s="14">
        <v>0.98</v>
      </c>
      <c r="K5784" s="14">
        <v>0.98</v>
      </c>
      <c r="L5784" s="14">
        <v>0.98</v>
      </c>
      <c r="M5784" s="14">
        <v>0.97</v>
      </c>
      <c r="N5784" s="14">
        <v>0.97</v>
      </c>
      <c r="O5784" s="14">
        <v>0.97</v>
      </c>
      <c r="P5784" s="14">
        <v>0.97</v>
      </c>
      <c r="Q5784" s="14">
        <v>0.97</v>
      </c>
      <c r="R5784" s="14">
        <v>0.97</v>
      </c>
      <c r="S5784" s="14">
        <v>0.97</v>
      </c>
      <c r="T5784" s="14">
        <v>0.97</v>
      </c>
      <c r="U5784" s="14">
        <v>0.97</v>
      </c>
      <c r="V5784" s="14">
        <v>0.97</v>
      </c>
      <c r="W5784" s="14">
        <v>0.97</v>
      </c>
    </row>
    <row r="5785" spans="1:23" hidden="1" x14ac:dyDescent="0.3">
      <c r="A5785" s="14" t="s">
        <v>545</v>
      </c>
      <c r="B5785" s="14" t="s">
        <v>546</v>
      </c>
      <c r="C5785" s="14" t="s">
        <v>361</v>
      </c>
      <c r="D5785" s="14" t="s">
        <v>362</v>
      </c>
      <c r="E5785" s="14" t="s">
        <v>344</v>
      </c>
      <c r="F5785" s="14" t="s">
        <v>343</v>
      </c>
      <c r="G5785" s="14" t="s">
        <v>343</v>
      </c>
      <c r="H5785" s="14" t="s">
        <v>343</v>
      </c>
      <c r="I5785" s="14">
        <v>48</v>
      </c>
      <c r="J5785" s="14">
        <v>1</v>
      </c>
      <c r="K5785" s="14">
        <v>1</v>
      </c>
      <c r="L5785" s="14">
        <v>1</v>
      </c>
      <c r="M5785" s="14">
        <v>81</v>
      </c>
      <c r="N5785" s="14">
        <v>83</v>
      </c>
      <c r="O5785" s="14">
        <v>82</v>
      </c>
      <c r="P5785" s="14">
        <v>81</v>
      </c>
      <c r="Q5785" s="14">
        <v>117</v>
      </c>
      <c r="R5785" s="14">
        <v>123</v>
      </c>
      <c r="S5785" s="14">
        <v>122</v>
      </c>
      <c r="T5785" s="14">
        <v>119</v>
      </c>
      <c r="U5785" s="14">
        <v>126</v>
      </c>
      <c r="V5785" s="14">
        <v>129</v>
      </c>
      <c r="W5785" s="14">
        <v>95</v>
      </c>
    </row>
    <row r="5786" spans="1:23" hidden="1" x14ac:dyDescent="0.3">
      <c r="A5786" s="14" t="s">
        <v>545</v>
      </c>
      <c r="B5786" s="14" t="s">
        <v>546</v>
      </c>
      <c r="C5786" s="14" t="s">
        <v>363</v>
      </c>
      <c r="D5786" s="14" t="s">
        <v>364</v>
      </c>
      <c r="E5786" s="14" t="s">
        <v>342</v>
      </c>
      <c r="F5786" s="14" t="s">
        <v>343</v>
      </c>
      <c r="G5786" s="14" t="s">
        <v>343</v>
      </c>
      <c r="H5786" s="14" t="s">
        <v>343</v>
      </c>
      <c r="U5786" s="14">
        <v>1.02</v>
      </c>
      <c r="V5786" s="14">
        <v>1.02</v>
      </c>
      <c r="W5786" s="14">
        <v>1.02</v>
      </c>
    </row>
    <row r="5787" spans="1:23" hidden="1" x14ac:dyDescent="0.3">
      <c r="A5787" s="14" t="s">
        <v>545</v>
      </c>
      <c r="B5787" s="14" t="s">
        <v>546</v>
      </c>
      <c r="C5787" s="14" t="s">
        <v>363</v>
      </c>
      <c r="D5787" s="14" t="s">
        <v>364</v>
      </c>
      <c r="E5787" s="14" t="s">
        <v>344</v>
      </c>
      <c r="F5787" s="14" t="s">
        <v>343</v>
      </c>
      <c r="G5787" s="14" t="s">
        <v>343</v>
      </c>
      <c r="H5787" s="14" t="s">
        <v>343</v>
      </c>
      <c r="U5787" s="14">
        <v>134</v>
      </c>
      <c r="V5787" s="14">
        <v>138</v>
      </c>
      <c r="W5787" s="14">
        <v>105</v>
      </c>
    </row>
    <row r="5788" spans="1:23" hidden="1" x14ac:dyDescent="0.3">
      <c r="A5788" s="14" t="s">
        <v>545</v>
      </c>
      <c r="B5788" s="14" t="s">
        <v>546</v>
      </c>
      <c r="C5788" s="14" t="s">
        <v>365</v>
      </c>
      <c r="D5788" s="14" t="s">
        <v>366</v>
      </c>
      <c r="E5788" s="14" t="s">
        <v>342</v>
      </c>
      <c r="F5788" s="14" t="s">
        <v>343</v>
      </c>
      <c r="G5788" s="14" t="s">
        <v>343</v>
      </c>
      <c r="H5788" s="14" t="s">
        <v>343</v>
      </c>
      <c r="U5788" s="14">
        <v>0.94</v>
      </c>
      <c r="V5788" s="14">
        <v>0.94</v>
      </c>
      <c r="W5788" s="14">
        <v>0.94</v>
      </c>
    </row>
    <row r="5789" spans="1:23" hidden="1" x14ac:dyDescent="0.3">
      <c r="A5789" s="14" t="s">
        <v>545</v>
      </c>
      <c r="B5789" s="14" t="s">
        <v>546</v>
      </c>
      <c r="C5789" s="14" t="s">
        <v>365</v>
      </c>
      <c r="D5789" s="14" t="s">
        <v>366</v>
      </c>
      <c r="E5789" s="14" t="s">
        <v>344</v>
      </c>
      <c r="F5789" s="14" t="s">
        <v>343</v>
      </c>
      <c r="G5789" s="14" t="s">
        <v>343</v>
      </c>
      <c r="H5789" s="14" t="s">
        <v>343</v>
      </c>
      <c r="U5789" s="14">
        <v>1</v>
      </c>
      <c r="V5789" s="14">
        <v>1</v>
      </c>
      <c r="W5789" s="14">
        <v>1</v>
      </c>
    </row>
    <row r="5790" spans="1:23" hidden="1" x14ac:dyDescent="0.3">
      <c r="A5790" s="14" t="s">
        <v>545</v>
      </c>
      <c r="B5790" s="14" t="s">
        <v>546</v>
      </c>
      <c r="C5790" s="14" t="s">
        <v>367</v>
      </c>
      <c r="D5790" s="14" t="s">
        <v>368</v>
      </c>
      <c r="E5790" s="14" t="s">
        <v>342</v>
      </c>
      <c r="F5790" s="14" t="s">
        <v>343</v>
      </c>
      <c r="G5790" s="14" t="s">
        <v>343</v>
      </c>
      <c r="H5790" s="14" t="s">
        <v>343</v>
      </c>
      <c r="I5790" s="14">
        <v>0.46</v>
      </c>
      <c r="J5790" s="14">
        <v>0.45</v>
      </c>
      <c r="K5790" s="14">
        <v>0.47</v>
      </c>
      <c r="L5790" s="14">
        <v>0.46</v>
      </c>
      <c r="M5790" s="14">
        <v>0.46</v>
      </c>
      <c r="N5790" s="14">
        <v>0.49</v>
      </c>
      <c r="O5790" s="14">
        <v>0.51</v>
      </c>
      <c r="P5790" s="14">
        <v>0.51</v>
      </c>
      <c r="Q5790" s="14">
        <v>0.51</v>
      </c>
      <c r="R5790" s="14">
        <v>0.48</v>
      </c>
      <c r="T5790" s="14">
        <v>0.52</v>
      </c>
      <c r="U5790" s="14">
        <v>0.5</v>
      </c>
      <c r="V5790" s="14">
        <v>0.49</v>
      </c>
      <c r="W5790" s="14">
        <v>0.49</v>
      </c>
    </row>
    <row r="5791" spans="1:23" hidden="1" x14ac:dyDescent="0.3">
      <c r="A5791" s="14" t="s">
        <v>545</v>
      </c>
      <c r="B5791" s="14" t="s">
        <v>546</v>
      </c>
      <c r="C5791" s="14" t="s">
        <v>367</v>
      </c>
      <c r="D5791" s="14" t="s">
        <v>368</v>
      </c>
      <c r="E5791" s="14" t="s">
        <v>344</v>
      </c>
      <c r="F5791" s="14" t="s">
        <v>343</v>
      </c>
      <c r="G5791" s="14" t="s">
        <v>343</v>
      </c>
      <c r="H5791" s="14" t="s">
        <v>343</v>
      </c>
      <c r="I5791" s="14">
        <v>115</v>
      </c>
      <c r="J5791" s="14">
        <v>128</v>
      </c>
      <c r="K5791" s="14">
        <v>130</v>
      </c>
      <c r="L5791" s="14">
        <v>134</v>
      </c>
      <c r="M5791" s="14">
        <v>134</v>
      </c>
      <c r="N5791" s="14">
        <v>135</v>
      </c>
      <c r="O5791" s="14">
        <v>135</v>
      </c>
      <c r="P5791" s="14">
        <v>136</v>
      </c>
      <c r="Q5791" s="14">
        <v>142</v>
      </c>
      <c r="R5791" s="14">
        <v>145</v>
      </c>
      <c r="S5791" s="14">
        <v>144</v>
      </c>
      <c r="T5791" s="14">
        <v>144</v>
      </c>
      <c r="U5791" s="14">
        <v>149</v>
      </c>
      <c r="V5791" s="14">
        <v>153</v>
      </c>
      <c r="W5791" s="14">
        <v>155</v>
      </c>
    </row>
    <row r="5792" spans="1:23" hidden="1" x14ac:dyDescent="0.3">
      <c r="A5792" s="14" t="s">
        <v>545</v>
      </c>
      <c r="B5792" s="14" t="s">
        <v>546</v>
      </c>
      <c r="C5792" s="14" t="s">
        <v>369</v>
      </c>
      <c r="D5792" s="14" t="s">
        <v>370</v>
      </c>
      <c r="E5792" s="14" t="s">
        <v>342</v>
      </c>
      <c r="F5792" s="14" t="s">
        <v>343</v>
      </c>
      <c r="G5792" s="14" t="s">
        <v>343</v>
      </c>
      <c r="H5792" s="14" t="s">
        <v>343</v>
      </c>
      <c r="I5792" s="14">
        <v>0.01</v>
      </c>
      <c r="J5792" s="14">
        <v>0.01</v>
      </c>
      <c r="K5792" s="14">
        <v>0.02</v>
      </c>
      <c r="L5792" s="14">
        <v>0.02</v>
      </c>
      <c r="M5792" s="14">
        <v>0.02</v>
      </c>
      <c r="N5792" s="14">
        <v>0.02</v>
      </c>
      <c r="O5792" s="14">
        <v>0.02</v>
      </c>
      <c r="P5792" s="14">
        <v>0.02</v>
      </c>
      <c r="Q5792" s="14">
        <v>0.02</v>
      </c>
      <c r="R5792" s="14">
        <v>0.03</v>
      </c>
      <c r="S5792" s="14">
        <v>0.03</v>
      </c>
      <c r="T5792" s="14">
        <v>0.01</v>
      </c>
      <c r="U5792" s="14">
        <v>0.01</v>
      </c>
      <c r="V5792" s="14">
        <v>0.02</v>
      </c>
      <c r="W5792" s="14">
        <v>0</v>
      </c>
    </row>
    <row r="5793" spans="1:24" hidden="1" x14ac:dyDescent="0.3">
      <c r="A5793" s="14" t="s">
        <v>545</v>
      </c>
      <c r="B5793" s="14" t="s">
        <v>546</v>
      </c>
      <c r="C5793" s="14" t="s">
        <v>369</v>
      </c>
      <c r="D5793" s="14" t="s">
        <v>370</v>
      </c>
      <c r="E5793" s="14" t="s">
        <v>344</v>
      </c>
      <c r="F5793" s="14" t="s">
        <v>343</v>
      </c>
      <c r="G5793" s="14" t="s">
        <v>343</v>
      </c>
      <c r="H5793" s="14" t="s">
        <v>343</v>
      </c>
      <c r="I5793" s="14">
        <v>113</v>
      </c>
      <c r="J5793" s="14">
        <v>127</v>
      </c>
      <c r="K5793" s="14">
        <v>129</v>
      </c>
      <c r="L5793" s="14">
        <v>133</v>
      </c>
      <c r="M5793" s="14">
        <v>130</v>
      </c>
      <c r="N5793" s="14">
        <v>131</v>
      </c>
      <c r="O5793" s="14">
        <v>128</v>
      </c>
      <c r="P5793" s="14">
        <v>131</v>
      </c>
      <c r="Q5793" s="14">
        <v>138</v>
      </c>
      <c r="R5793" s="14">
        <v>140</v>
      </c>
      <c r="S5793" s="14">
        <v>139</v>
      </c>
      <c r="T5793" s="14">
        <v>144</v>
      </c>
      <c r="U5793" s="14">
        <v>149</v>
      </c>
      <c r="V5793" s="14">
        <v>151</v>
      </c>
      <c r="W5793" s="14">
        <v>154</v>
      </c>
    </row>
    <row r="5794" spans="1:24" hidden="1" x14ac:dyDescent="0.3">
      <c r="A5794" s="14" t="s">
        <v>545</v>
      </c>
      <c r="B5794" s="14" t="s">
        <v>546</v>
      </c>
      <c r="C5794" s="14" t="s">
        <v>371</v>
      </c>
      <c r="D5794" s="14" t="s">
        <v>372</v>
      </c>
      <c r="E5794" s="14" t="s">
        <v>342</v>
      </c>
      <c r="F5794" s="14" t="s">
        <v>343</v>
      </c>
      <c r="G5794" s="14" t="s">
        <v>343</v>
      </c>
      <c r="H5794" s="14" t="s">
        <v>343</v>
      </c>
      <c r="U5794" s="14">
        <v>0</v>
      </c>
      <c r="V5794" s="14">
        <v>0</v>
      </c>
      <c r="W5794" s="14">
        <v>0</v>
      </c>
    </row>
    <row r="5795" spans="1:24" hidden="1" x14ac:dyDescent="0.3">
      <c r="A5795" s="14" t="s">
        <v>545</v>
      </c>
      <c r="B5795" s="14" t="s">
        <v>546</v>
      </c>
      <c r="C5795" s="14" t="s">
        <v>371</v>
      </c>
      <c r="D5795" s="14" t="s">
        <v>372</v>
      </c>
      <c r="E5795" s="14" t="s">
        <v>344</v>
      </c>
      <c r="F5795" s="14" t="s">
        <v>343</v>
      </c>
      <c r="G5795" s="14" t="s">
        <v>343</v>
      </c>
      <c r="H5795" s="14" t="s">
        <v>343</v>
      </c>
      <c r="U5795" s="14">
        <v>71</v>
      </c>
      <c r="V5795" s="14">
        <v>73</v>
      </c>
      <c r="W5795" s="14">
        <v>76</v>
      </c>
    </row>
    <row r="5796" spans="1:24" hidden="1" x14ac:dyDescent="0.3">
      <c r="A5796" s="14" t="s">
        <v>545</v>
      </c>
      <c r="B5796" s="14" t="s">
        <v>546</v>
      </c>
      <c r="C5796" s="14" t="s">
        <v>373</v>
      </c>
      <c r="D5796" s="14" t="s">
        <v>374</v>
      </c>
      <c r="E5796" s="14" t="s">
        <v>342</v>
      </c>
      <c r="F5796" s="14" t="s">
        <v>343</v>
      </c>
      <c r="G5796" s="14" t="s">
        <v>343</v>
      </c>
      <c r="H5796" s="14" t="s">
        <v>343</v>
      </c>
      <c r="U5796" s="14">
        <v>0.06</v>
      </c>
      <c r="V5796" s="14">
        <v>7.0000000000000007E-2</v>
      </c>
      <c r="W5796" s="14">
        <v>0</v>
      </c>
    </row>
    <row r="5797" spans="1:24" hidden="1" x14ac:dyDescent="0.3">
      <c r="A5797" s="14" t="s">
        <v>545</v>
      </c>
      <c r="B5797" s="14" t="s">
        <v>546</v>
      </c>
      <c r="C5797" s="14" t="s">
        <v>373</v>
      </c>
      <c r="D5797" s="14" t="s">
        <v>374</v>
      </c>
      <c r="E5797" s="14" t="s">
        <v>344</v>
      </c>
      <c r="F5797" s="14" t="s">
        <v>343</v>
      </c>
      <c r="G5797" s="14" t="s">
        <v>343</v>
      </c>
      <c r="H5797" s="14" t="s">
        <v>343</v>
      </c>
      <c r="U5797" s="14">
        <v>133</v>
      </c>
      <c r="V5797" s="14">
        <v>132</v>
      </c>
      <c r="W5797" s="14">
        <v>148</v>
      </c>
    </row>
    <row r="5798" spans="1:24" hidden="1" x14ac:dyDescent="0.3">
      <c r="A5798" s="14" t="s">
        <v>545</v>
      </c>
      <c r="B5798" s="14" t="s">
        <v>546</v>
      </c>
      <c r="C5798" s="14" t="s">
        <v>375</v>
      </c>
      <c r="D5798" s="14" t="s">
        <v>376</v>
      </c>
      <c r="E5798" s="14" t="s">
        <v>342</v>
      </c>
      <c r="F5798" s="14" t="s">
        <v>343</v>
      </c>
      <c r="G5798" s="14" t="s">
        <v>343</v>
      </c>
      <c r="H5798" s="14" t="s">
        <v>343</v>
      </c>
      <c r="U5798" s="14">
        <v>0</v>
      </c>
      <c r="V5798" s="14">
        <v>0</v>
      </c>
      <c r="W5798" s="14">
        <v>0</v>
      </c>
    </row>
    <row r="5799" spans="1:24" hidden="1" x14ac:dyDescent="0.3">
      <c r="A5799" s="14" t="s">
        <v>545</v>
      </c>
      <c r="B5799" s="14" t="s">
        <v>546</v>
      </c>
      <c r="C5799" s="14" t="s">
        <v>375</v>
      </c>
      <c r="D5799" s="14" t="s">
        <v>376</v>
      </c>
      <c r="E5799" s="14" t="s">
        <v>344</v>
      </c>
      <c r="F5799" s="14" t="s">
        <v>343</v>
      </c>
      <c r="G5799" s="14" t="s">
        <v>343</v>
      </c>
      <c r="H5799" s="14" t="s">
        <v>343</v>
      </c>
      <c r="U5799" s="14">
        <v>149</v>
      </c>
      <c r="V5799" s="14">
        <v>151</v>
      </c>
      <c r="W5799" s="14">
        <v>154</v>
      </c>
    </row>
    <row r="5800" spans="1:24" hidden="1" x14ac:dyDescent="0.3">
      <c r="A5800" s="14" t="s">
        <v>547</v>
      </c>
      <c r="B5800" s="14" t="s">
        <v>222</v>
      </c>
      <c r="C5800" s="14" t="s">
        <v>340</v>
      </c>
      <c r="D5800" s="14" t="s">
        <v>341</v>
      </c>
      <c r="E5800" s="14" t="s">
        <v>342</v>
      </c>
      <c r="F5800" s="14" t="s">
        <v>343</v>
      </c>
      <c r="G5800" s="14" t="s">
        <v>343</v>
      </c>
      <c r="H5800" s="14" t="s">
        <v>343</v>
      </c>
      <c r="I5800" s="14">
        <v>0.99</v>
      </c>
      <c r="J5800" s="14">
        <v>0.99</v>
      </c>
      <c r="K5800" s="14">
        <v>1</v>
      </c>
      <c r="L5800" s="14">
        <v>1</v>
      </c>
      <c r="M5800" s="14">
        <v>1</v>
      </c>
      <c r="N5800" s="14">
        <v>0.98</v>
      </c>
      <c r="O5800" s="14">
        <v>0.98</v>
      </c>
      <c r="P5800" s="14">
        <v>0.99</v>
      </c>
      <c r="Q5800" s="14">
        <v>0.99</v>
      </c>
      <c r="R5800" s="14">
        <v>0.99</v>
      </c>
      <c r="S5800" s="14">
        <v>1</v>
      </c>
      <c r="T5800" s="14">
        <v>0.99</v>
      </c>
      <c r="U5800" s="14">
        <v>0.99</v>
      </c>
      <c r="V5800" s="14">
        <v>0.99</v>
      </c>
      <c r="W5800" s="14">
        <v>0.99</v>
      </c>
      <c r="X5800" s="14">
        <v>1</v>
      </c>
    </row>
    <row r="5801" spans="1:24" hidden="1" x14ac:dyDescent="0.3">
      <c r="A5801" s="14" t="s">
        <v>547</v>
      </c>
      <c r="B5801" s="14" t="s">
        <v>222</v>
      </c>
      <c r="C5801" s="14" t="s">
        <v>340</v>
      </c>
      <c r="D5801" s="14" t="s">
        <v>341</v>
      </c>
      <c r="E5801" s="14" t="s">
        <v>344</v>
      </c>
      <c r="F5801" s="14" t="s">
        <v>343</v>
      </c>
      <c r="G5801" s="14" t="s">
        <v>343</v>
      </c>
      <c r="H5801" s="14" t="s">
        <v>343</v>
      </c>
      <c r="I5801" s="14">
        <v>41</v>
      </c>
      <c r="J5801" s="14">
        <v>52</v>
      </c>
      <c r="K5801" s="14">
        <v>45</v>
      </c>
      <c r="L5801" s="14">
        <v>43</v>
      </c>
      <c r="M5801" s="14">
        <v>43</v>
      </c>
      <c r="N5801" s="14">
        <v>86</v>
      </c>
      <c r="O5801" s="14">
        <v>87</v>
      </c>
      <c r="P5801" s="14">
        <v>54</v>
      </c>
      <c r="Q5801" s="14">
        <v>85</v>
      </c>
      <c r="R5801" s="14">
        <v>85</v>
      </c>
      <c r="S5801" s="14">
        <v>55</v>
      </c>
      <c r="T5801" s="14">
        <v>64</v>
      </c>
      <c r="U5801" s="14">
        <v>72</v>
      </c>
      <c r="V5801" s="14">
        <v>67</v>
      </c>
      <c r="W5801" s="14">
        <v>69</v>
      </c>
      <c r="X5801" s="14">
        <v>41</v>
      </c>
    </row>
    <row r="5802" spans="1:24" hidden="1" x14ac:dyDescent="0.3">
      <c r="A5802" s="14" t="s">
        <v>547</v>
      </c>
      <c r="B5802" s="14" t="s">
        <v>222</v>
      </c>
      <c r="C5802" s="14" t="s">
        <v>345</v>
      </c>
      <c r="D5802" s="14" t="s">
        <v>346</v>
      </c>
      <c r="E5802" s="14" t="s">
        <v>342</v>
      </c>
      <c r="F5802" s="14" t="s">
        <v>343</v>
      </c>
      <c r="G5802" s="14" t="s">
        <v>343</v>
      </c>
      <c r="H5802" s="14" t="s">
        <v>343</v>
      </c>
      <c r="U5802" s="14">
        <v>0.57999999999999996</v>
      </c>
      <c r="V5802" s="14">
        <v>0.61</v>
      </c>
      <c r="W5802" s="14">
        <v>0.7</v>
      </c>
      <c r="X5802" s="14">
        <v>0.68</v>
      </c>
    </row>
    <row r="5803" spans="1:24" hidden="1" x14ac:dyDescent="0.3">
      <c r="A5803" s="14" t="s">
        <v>547</v>
      </c>
      <c r="B5803" s="14" t="s">
        <v>222</v>
      </c>
      <c r="C5803" s="14" t="s">
        <v>345</v>
      </c>
      <c r="D5803" s="14" t="s">
        <v>346</v>
      </c>
      <c r="E5803" s="14" t="s">
        <v>344</v>
      </c>
      <c r="F5803" s="14" t="s">
        <v>343</v>
      </c>
      <c r="G5803" s="14" t="s">
        <v>343</v>
      </c>
      <c r="H5803" s="14" t="s">
        <v>343</v>
      </c>
      <c r="U5803" s="14">
        <v>88</v>
      </c>
      <c r="V5803" s="14">
        <v>81</v>
      </c>
      <c r="W5803" s="14">
        <v>45</v>
      </c>
      <c r="X5803" s="14">
        <v>54</v>
      </c>
    </row>
    <row r="5804" spans="1:24" hidden="1" x14ac:dyDescent="0.3">
      <c r="A5804" s="14" t="s">
        <v>547</v>
      </c>
      <c r="B5804" s="14" t="s">
        <v>222</v>
      </c>
      <c r="C5804" s="14" t="s">
        <v>347</v>
      </c>
      <c r="D5804" s="14" t="s">
        <v>348</v>
      </c>
      <c r="E5804" s="14" t="s">
        <v>342</v>
      </c>
      <c r="F5804" s="14" t="s">
        <v>343</v>
      </c>
      <c r="G5804" s="14" t="s">
        <v>343</v>
      </c>
      <c r="H5804" s="14" t="s">
        <v>343</v>
      </c>
      <c r="U5804" s="14">
        <v>0.8</v>
      </c>
      <c r="V5804" s="14">
        <v>0.81</v>
      </c>
      <c r="W5804" s="14">
        <v>0.82</v>
      </c>
      <c r="X5804" s="14">
        <v>0.77</v>
      </c>
    </row>
    <row r="5805" spans="1:24" hidden="1" x14ac:dyDescent="0.3">
      <c r="A5805" s="14" t="s">
        <v>547</v>
      </c>
      <c r="B5805" s="14" t="s">
        <v>222</v>
      </c>
      <c r="C5805" s="14" t="s">
        <v>347</v>
      </c>
      <c r="D5805" s="14" t="s">
        <v>348</v>
      </c>
      <c r="E5805" s="14" t="s">
        <v>344</v>
      </c>
      <c r="F5805" s="14" t="s">
        <v>343</v>
      </c>
      <c r="G5805" s="14" t="s">
        <v>343</v>
      </c>
      <c r="H5805" s="14" t="s">
        <v>343</v>
      </c>
      <c r="U5805" s="14">
        <v>78</v>
      </c>
      <c r="V5805" s="14">
        <v>82</v>
      </c>
      <c r="W5805" s="14">
        <v>80</v>
      </c>
      <c r="X5805" s="14">
        <v>73</v>
      </c>
    </row>
    <row r="5806" spans="1:24" hidden="1" x14ac:dyDescent="0.3">
      <c r="A5806" s="14" t="s">
        <v>547</v>
      </c>
      <c r="B5806" s="14" t="s">
        <v>222</v>
      </c>
      <c r="C5806" s="14" t="s">
        <v>349</v>
      </c>
      <c r="D5806" s="14" t="s">
        <v>350</v>
      </c>
      <c r="E5806" s="14" t="s">
        <v>342</v>
      </c>
      <c r="F5806" s="14" t="s">
        <v>343</v>
      </c>
      <c r="G5806" s="14" t="s">
        <v>343</v>
      </c>
      <c r="H5806" s="14" t="s">
        <v>343</v>
      </c>
      <c r="U5806" s="14">
        <v>0.47</v>
      </c>
      <c r="V5806" s="14">
        <v>0.44</v>
      </c>
      <c r="W5806" s="14">
        <v>0.43</v>
      </c>
      <c r="X5806" s="14">
        <v>0.46</v>
      </c>
    </row>
    <row r="5807" spans="1:24" hidden="1" x14ac:dyDescent="0.3">
      <c r="A5807" s="14" t="s">
        <v>547</v>
      </c>
      <c r="B5807" s="14" t="s">
        <v>222</v>
      </c>
      <c r="C5807" s="14" t="s">
        <v>349</v>
      </c>
      <c r="D5807" s="14" t="s">
        <v>350</v>
      </c>
      <c r="E5807" s="14" t="s">
        <v>344</v>
      </c>
      <c r="F5807" s="14" t="s">
        <v>343</v>
      </c>
      <c r="G5807" s="14" t="s">
        <v>343</v>
      </c>
      <c r="H5807" s="14" t="s">
        <v>343</v>
      </c>
      <c r="U5807" s="14">
        <v>70</v>
      </c>
      <c r="V5807" s="14">
        <v>84</v>
      </c>
      <c r="W5807" s="14">
        <v>89</v>
      </c>
      <c r="X5807" s="14">
        <v>84</v>
      </c>
    </row>
    <row r="5808" spans="1:24" hidden="1" x14ac:dyDescent="0.3">
      <c r="A5808" s="14" t="s">
        <v>547</v>
      </c>
      <c r="B5808" s="14" t="s">
        <v>222</v>
      </c>
      <c r="C5808" s="14" t="s">
        <v>351</v>
      </c>
      <c r="D5808" s="14" t="s">
        <v>352</v>
      </c>
      <c r="E5808" s="14" t="s">
        <v>342</v>
      </c>
      <c r="F5808" s="14" t="s">
        <v>343</v>
      </c>
      <c r="G5808" s="14" t="s">
        <v>343</v>
      </c>
      <c r="H5808" s="14" t="s">
        <v>343</v>
      </c>
      <c r="U5808" s="14">
        <v>1</v>
      </c>
      <c r="V5808" s="14">
        <v>1</v>
      </c>
      <c r="W5808" s="14">
        <v>1</v>
      </c>
      <c r="X5808" s="14">
        <v>1</v>
      </c>
    </row>
    <row r="5809" spans="1:24" hidden="1" x14ac:dyDescent="0.3">
      <c r="A5809" s="14" t="s">
        <v>547</v>
      </c>
      <c r="B5809" s="14" t="s">
        <v>222</v>
      </c>
      <c r="C5809" s="14" t="s">
        <v>351</v>
      </c>
      <c r="D5809" s="14" t="s">
        <v>352</v>
      </c>
      <c r="E5809" s="14" t="s">
        <v>344</v>
      </c>
      <c r="F5809" s="14" t="s">
        <v>343</v>
      </c>
      <c r="G5809" s="14" t="s">
        <v>343</v>
      </c>
      <c r="H5809" s="14" t="s">
        <v>343</v>
      </c>
      <c r="U5809" s="14">
        <v>1</v>
      </c>
      <c r="V5809" s="14">
        <v>1</v>
      </c>
      <c r="W5809" s="14">
        <v>1</v>
      </c>
      <c r="X5809" s="14">
        <v>1</v>
      </c>
    </row>
    <row r="5810" spans="1:24" hidden="1" x14ac:dyDescent="0.3">
      <c r="A5810" s="14" t="s">
        <v>547</v>
      </c>
      <c r="B5810" s="14" t="s">
        <v>222</v>
      </c>
      <c r="C5810" s="14" t="s">
        <v>378</v>
      </c>
      <c r="D5810" s="14" t="s">
        <v>379</v>
      </c>
      <c r="E5810" s="14" t="s">
        <v>342</v>
      </c>
      <c r="F5810" s="14" t="s">
        <v>343</v>
      </c>
      <c r="G5810" s="14" t="s">
        <v>343</v>
      </c>
      <c r="H5810" s="14" t="s">
        <v>343</v>
      </c>
      <c r="S5810" s="14">
        <v>0.62</v>
      </c>
      <c r="U5810" s="14">
        <v>0.54</v>
      </c>
      <c r="V5810" s="14">
        <v>0.54</v>
      </c>
      <c r="W5810" s="14">
        <v>0.5</v>
      </c>
      <c r="X5810" s="14">
        <v>0.5</v>
      </c>
    </row>
    <row r="5811" spans="1:24" hidden="1" x14ac:dyDescent="0.3">
      <c r="A5811" s="14" t="s">
        <v>547</v>
      </c>
      <c r="B5811" s="14" t="s">
        <v>222</v>
      </c>
      <c r="C5811" s="14" t="s">
        <v>378</v>
      </c>
      <c r="D5811" s="14" t="s">
        <v>379</v>
      </c>
      <c r="E5811" s="14" t="s">
        <v>344</v>
      </c>
      <c r="F5811" s="14" t="s">
        <v>343</v>
      </c>
      <c r="G5811" s="14" t="s">
        <v>343</v>
      </c>
      <c r="H5811" s="14" t="s">
        <v>343</v>
      </c>
      <c r="S5811" s="14">
        <v>86</v>
      </c>
      <c r="U5811" s="14">
        <v>117</v>
      </c>
      <c r="V5811" s="14">
        <v>121</v>
      </c>
      <c r="W5811" s="14">
        <v>131</v>
      </c>
      <c r="X5811" s="14">
        <v>123</v>
      </c>
    </row>
    <row r="5812" spans="1:24" hidden="1" x14ac:dyDescent="0.3">
      <c r="A5812" s="14" t="s">
        <v>547</v>
      </c>
      <c r="B5812" s="14" t="s">
        <v>222</v>
      </c>
      <c r="C5812" s="14" t="s">
        <v>353</v>
      </c>
      <c r="D5812" s="14" t="s">
        <v>354</v>
      </c>
      <c r="E5812" s="14" t="s">
        <v>342</v>
      </c>
      <c r="F5812" s="14" t="s">
        <v>343</v>
      </c>
      <c r="G5812" s="14" t="s">
        <v>343</v>
      </c>
      <c r="H5812" s="14" t="s">
        <v>343</v>
      </c>
      <c r="U5812" s="14">
        <v>0.98</v>
      </c>
      <c r="V5812" s="14">
        <v>0.99</v>
      </c>
      <c r="W5812" s="14">
        <v>0.99</v>
      </c>
      <c r="X5812" s="14">
        <v>0.99</v>
      </c>
    </row>
    <row r="5813" spans="1:24" hidden="1" x14ac:dyDescent="0.3">
      <c r="A5813" s="14" t="s">
        <v>547</v>
      </c>
      <c r="B5813" s="14" t="s">
        <v>222</v>
      </c>
      <c r="C5813" s="14" t="s">
        <v>353</v>
      </c>
      <c r="D5813" s="14" t="s">
        <v>354</v>
      </c>
      <c r="E5813" s="14" t="s">
        <v>344</v>
      </c>
      <c r="F5813" s="14" t="s">
        <v>343</v>
      </c>
      <c r="G5813" s="14" t="s">
        <v>343</v>
      </c>
      <c r="H5813" s="14" t="s">
        <v>343</v>
      </c>
      <c r="U5813" s="14">
        <v>78</v>
      </c>
      <c r="V5813" s="14">
        <v>77</v>
      </c>
      <c r="W5813" s="14">
        <v>79</v>
      </c>
      <c r="X5813" s="14">
        <v>70</v>
      </c>
    </row>
    <row r="5814" spans="1:24" hidden="1" x14ac:dyDescent="0.3">
      <c r="A5814" s="14" t="s">
        <v>547</v>
      </c>
      <c r="B5814" s="14" t="s">
        <v>222</v>
      </c>
      <c r="C5814" s="14" t="s">
        <v>380</v>
      </c>
      <c r="D5814" s="14" t="s">
        <v>381</v>
      </c>
      <c r="E5814" s="14" t="s">
        <v>342</v>
      </c>
      <c r="F5814" s="14" t="s">
        <v>343</v>
      </c>
      <c r="G5814" s="14" t="s">
        <v>343</v>
      </c>
      <c r="H5814" s="14" t="s">
        <v>343</v>
      </c>
      <c r="U5814" s="14">
        <v>1</v>
      </c>
      <c r="V5814" s="14">
        <v>0.99</v>
      </c>
      <c r="W5814" s="14">
        <v>0.99</v>
      </c>
      <c r="X5814" s="14">
        <v>1</v>
      </c>
    </row>
    <row r="5815" spans="1:24" hidden="1" x14ac:dyDescent="0.3">
      <c r="A5815" s="14" t="s">
        <v>547</v>
      </c>
      <c r="B5815" s="14" t="s">
        <v>222</v>
      </c>
      <c r="C5815" s="14" t="s">
        <v>380</v>
      </c>
      <c r="D5815" s="14" t="s">
        <v>381</v>
      </c>
      <c r="E5815" s="14" t="s">
        <v>344</v>
      </c>
      <c r="F5815" s="14" t="s">
        <v>343</v>
      </c>
      <c r="G5815" s="14" t="s">
        <v>343</v>
      </c>
      <c r="H5815" s="14" t="s">
        <v>343</v>
      </c>
      <c r="U5815" s="14">
        <v>1</v>
      </c>
      <c r="V5815" s="14">
        <v>106</v>
      </c>
      <c r="W5815" s="14">
        <v>107</v>
      </c>
      <c r="X5815" s="14">
        <v>1</v>
      </c>
    </row>
    <row r="5816" spans="1:24" hidden="1" x14ac:dyDescent="0.3">
      <c r="A5816" s="14" t="s">
        <v>547</v>
      </c>
      <c r="B5816" s="14" t="s">
        <v>222</v>
      </c>
      <c r="C5816" s="14" t="s">
        <v>355</v>
      </c>
      <c r="D5816" s="14" t="s">
        <v>356</v>
      </c>
      <c r="E5816" s="14" t="s">
        <v>342</v>
      </c>
      <c r="F5816" s="14" t="s">
        <v>343</v>
      </c>
      <c r="G5816" s="14" t="s">
        <v>343</v>
      </c>
      <c r="H5816" s="14" t="s">
        <v>343</v>
      </c>
      <c r="U5816" s="14">
        <v>0.98</v>
      </c>
      <c r="V5816" s="14">
        <v>1</v>
      </c>
      <c r="W5816" s="14">
        <v>1</v>
      </c>
      <c r="X5816" s="14">
        <v>1</v>
      </c>
    </row>
    <row r="5817" spans="1:24" hidden="1" x14ac:dyDescent="0.3">
      <c r="A5817" s="14" t="s">
        <v>547</v>
      </c>
      <c r="B5817" s="14" t="s">
        <v>222</v>
      </c>
      <c r="C5817" s="14" t="s">
        <v>355</v>
      </c>
      <c r="D5817" s="14" t="s">
        <v>356</v>
      </c>
      <c r="E5817" s="14" t="s">
        <v>344</v>
      </c>
      <c r="F5817" s="14" t="s">
        <v>343</v>
      </c>
      <c r="G5817" s="14" t="s">
        <v>343</v>
      </c>
      <c r="H5817" s="14" t="s">
        <v>343</v>
      </c>
      <c r="U5817" s="14">
        <v>117</v>
      </c>
      <c r="V5817" s="14">
        <v>1</v>
      </c>
      <c r="W5817" s="14">
        <v>1</v>
      </c>
      <c r="X5817" s="14">
        <v>1</v>
      </c>
    </row>
    <row r="5818" spans="1:24" hidden="1" x14ac:dyDescent="0.3">
      <c r="A5818" s="14" t="s">
        <v>547</v>
      </c>
      <c r="B5818" s="14" t="s">
        <v>222</v>
      </c>
      <c r="C5818" s="14" t="s">
        <v>357</v>
      </c>
      <c r="D5818" s="14" t="s">
        <v>358</v>
      </c>
      <c r="E5818" s="14" t="s">
        <v>342</v>
      </c>
      <c r="F5818" s="14" t="s">
        <v>343</v>
      </c>
      <c r="G5818" s="14" t="s">
        <v>343</v>
      </c>
      <c r="H5818" s="14" t="s">
        <v>343</v>
      </c>
      <c r="U5818" s="14">
        <v>1</v>
      </c>
      <c r="V5818" s="14">
        <v>1</v>
      </c>
      <c r="W5818" s="14">
        <v>1</v>
      </c>
      <c r="X5818" s="14">
        <v>1</v>
      </c>
    </row>
    <row r="5819" spans="1:24" hidden="1" x14ac:dyDescent="0.3">
      <c r="A5819" s="14" t="s">
        <v>547</v>
      </c>
      <c r="B5819" s="14" t="s">
        <v>222</v>
      </c>
      <c r="C5819" s="14" t="s">
        <v>357</v>
      </c>
      <c r="D5819" s="14" t="s">
        <v>358</v>
      </c>
      <c r="E5819" s="14" t="s">
        <v>344</v>
      </c>
      <c r="F5819" s="14" t="s">
        <v>343</v>
      </c>
      <c r="G5819" s="14" t="s">
        <v>343</v>
      </c>
      <c r="H5819" s="14" t="s">
        <v>343</v>
      </c>
      <c r="U5819" s="14">
        <v>1</v>
      </c>
      <c r="V5819" s="14">
        <v>1</v>
      </c>
      <c r="W5819" s="14">
        <v>1</v>
      </c>
      <c r="X5819" s="14">
        <v>1</v>
      </c>
    </row>
    <row r="5820" spans="1:24" hidden="1" x14ac:dyDescent="0.3">
      <c r="A5820" s="14" t="s">
        <v>547</v>
      </c>
      <c r="B5820" s="14" t="s">
        <v>222</v>
      </c>
      <c r="C5820" s="14" t="s">
        <v>359</v>
      </c>
      <c r="D5820" s="14" t="s">
        <v>360</v>
      </c>
      <c r="E5820" s="14" t="s">
        <v>342</v>
      </c>
      <c r="F5820" s="14" t="s">
        <v>343</v>
      </c>
      <c r="G5820" s="14" t="s">
        <v>343</v>
      </c>
      <c r="H5820" s="14" t="s">
        <v>343</v>
      </c>
      <c r="I5820" s="14">
        <v>0.56000000000000005</v>
      </c>
      <c r="J5820" s="14">
        <v>0.59</v>
      </c>
      <c r="K5820" s="14">
        <v>0.56999999999999995</v>
      </c>
      <c r="L5820" s="14">
        <v>0.66</v>
      </c>
      <c r="M5820" s="14">
        <v>0.67</v>
      </c>
      <c r="N5820" s="14">
        <v>0.67</v>
      </c>
      <c r="O5820" s="14">
        <v>0.66</v>
      </c>
      <c r="P5820" s="14">
        <v>0.65</v>
      </c>
      <c r="Q5820" s="14">
        <v>0.65</v>
      </c>
      <c r="R5820" s="14">
        <v>0.67</v>
      </c>
      <c r="S5820" s="14">
        <v>0.68</v>
      </c>
      <c r="T5820" s="14">
        <v>0.65</v>
      </c>
      <c r="U5820" s="14">
        <v>0.64</v>
      </c>
      <c r="V5820" s="14">
        <v>0.65</v>
      </c>
      <c r="W5820" s="14">
        <v>0.66</v>
      </c>
      <c r="X5820" s="14">
        <v>0.65</v>
      </c>
    </row>
    <row r="5821" spans="1:24" hidden="1" x14ac:dyDescent="0.3">
      <c r="A5821" s="14" t="s">
        <v>547</v>
      </c>
      <c r="B5821" s="14" t="s">
        <v>222</v>
      </c>
      <c r="C5821" s="14" t="s">
        <v>359</v>
      </c>
      <c r="D5821" s="14" t="s">
        <v>360</v>
      </c>
      <c r="E5821" s="14" t="s">
        <v>344</v>
      </c>
      <c r="F5821" s="14" t="s">
        <v>343</v>
      </c>
      <c r="G5821" s="14" t="s">
        <v>343</v>
      </c>
      <c r="H5821" s="14" t="s">
        <v>343</v>
      </c>
      <c r="I5821" s="14">
        <v>79</v>
      </c>
      <c r="J5821" s="14">
        <v>85</v>
      </c>
      <c r="K5821" s="14">
        <v>93</v>
      </c>
      <c r="L5821" s="14">
        <v>60</v>
      </c>
      <c r="M5821" s="14">
        <v>55</v>
      </c>
      <c r="N5821" s="14">
        <v>58</v>
      </c>
      <c r="O5821" s="14">
        <v>69</v>
      </c>
      <c r="P5821" s="14">
        <v>78</v>
      </c>
      <c r="Q5821" s="14">
        <v>83</v>
      </c>
      <c r="R5821" s="14">
        <v>72</v>
      </c>
      <c r="S5821" s="14">
        <v>63</v>
      </c>
      <c r="T5821" s="14">
        <v>89</v>
      </c>
      <c r="U5821" s="14">
        <v>91</v>
      </c>
      <c r="V5821" s="14">
        <v>92</v>
      </c>
      <c r="W5821" s="14">
        <v>92</v>
      </c>
      <c r="X5821" s="14">
        <v>92</v>
      </c>
    </row>
    <row r="5822" spans="1:24" x14ac:dyDescent="0.3">
      <c r="A5822" s="14" t="s">
        <v>547</v>
      </c>
      <c r="B5822" s="14" t="s">
        <v>222</v>
      </c>
      <c r="C5822" s="14" t="s">
        <v>361</v>
      </c>
      <c r="D5822" s="14" t="s">
        <v>362</v>
      </c>
      <c r="E5822" s="14" t="s">
        <v>342</v>
      </c>
      <c r="F5822" s="14" t="s">
        <v>343</v>
      </c>
      <c r="G5822" s="14" t="s">
        <v>343</v>
      </c>
      <c r="H5822" s="14" t="s">
        <v>343</v>
      </c>
      <c r="I5822" s="14">
        <v>0.98</v>
      </c>
      <c r="J5822" s="14">
        <v>0.98</v>
      </c>
      <c r="K5822" s="14">
        <v>0.98</v>
      </c>
      <c r="L5822" s="14">
        <v>0.98</v>
      </c>
      <c r="M5822" s="14">
        <v>0.97</v>
      </c>
      <c r="N5822" s="14">
        <v>0.97</v>
      </c>
      <c r="O5822" s="14">
        <v>0.97</v>
      </c>
      <c r="P5822" s="14">
        <v>0.97</v>
      </c>
      <c r="Q5822" s="14">
        <v>0.98</v>
      </c>
      <c r="R5822" s="14">
        <v>0.98</v>
      </c>
      <c r="S5822" s="14">
        <v>0.98</v>
      </c>
      <c r="T5822" s="14">
        <v>0.98</v>
      </c>
      <c r="U5822" s="14">
        <v>0.98</v>
      </c>
      <c r="V5822" s="14">
        <v>0.98</v>
      </c>
      <c r="W5822" s="14">
        <v>0.98</v>
      </c>
      <c r="X5822" s="14">
        <v>0.98</v>
      </c>
    </row>
    <row r="5823" spans="1:24" hidden="1" x14ac:dyDescent="0.3">
      <c r="A5823" s="14" t="s">
        <v>547</v>
      </c>
      <c r="B5823" s="14" t="s">
        <v>222</v>
      </c>
      <c r="C5823" s="14" t="s">
        <v>361</v>
      </c>
      <c r="D5823" s="14" t="s">
        <v>362</v>
      </c>
      <c r="E5823" s="14" t="s">
        <v>344</v>
      </c>
      <c r="F5823" s="14" t="s">
        <v>343</v>
      </c>
      <c r="G5823" s="14" t="s">
        <v>343</v>
      </c>
      <c r="H5823" s="14" t="s">
        <v>343</v>
      </c>
      <c r="I5823" s="14">
        <v>59</v>
      </c>
      <c r="J5823" s="14">
        <v>65</v>
      </c>
      <c r="K5823" s="14">
        <v>67</v>
      </c>
      <c r="L5823" s="14">
        <v>70</v>
      </c>
      <c r="M5823" s="14">
        <v>101</v>
      </c>
      <c r="N5823" s="14">
        <v>102</v>
      </c>
      <c r="O5823" s="14">
        <v>103</v>
      </c>
      <c r="P5823" s="14">
        <v>102</v>
      </c>
      <c r="Q5823" s="14">
        <v>1</v>
      </c>
      <c r="R5823" s="14">
        <v>1</v>
      </c>
      <c r="S5823" s="14">
        <v>1</v>
      </c>
      <c r="T5823" s="14">
        <v>1</v>
      </c>
      <c r="U5823" s="14">
        <v>1</v>
      </c>
      <c r="V5823" s="14">
        <v>1</v>
      </c>
      <c r="W5823" s="14">
        <v>37</v>
      </c>
      <c r="X5823" s="14">
        <v>32</v>
      </c>
    </row>
    <row r="5824" spans="1:24" hidden="1" x14ac:dyDescent="0.3">
      <c r="A5824" s="14" t="s">
        <v>547</v>
      </c>
      <c r="B5824" s="14" t="s">
        <v>222</v>
      </c>
      <c r="C5824" s="14" t="s">
        <v>363</v>
      </c>
      <c r="D5824" s="14" t="s">
        <v>364</v>
      </c>
      <c r="E5824" s="14" t="s">
        <v>342</v>
      </c>
      <c r="F5824" s="14" t="s">
        <v>343</v>
      </c>
      <c r="G5824" s="14" t="s">
        <v>343</v>
      </c>
      <c r="H5824" s="14" t="s">
        <v>343</v>
      </c>
      <c r="U5824" s="14">
        <v>1.06</v>
      </c>
      <c r="V5824" s="14">
        <v>1.06</v>
      </c>
      <c r="W5824" s="14">
        <v>1.06</v>
      </c>
      <c r="X5824" s="14">
        <v>1.06</v>
      </c>
    </row>
    <row r="5825" spans="1:24" hidden="1" x14ac:dyDescent="0.3">
      <c r="A5825" s="14" t="s">
        <v>547</v>
      </c>
      <c r="B5825" s="14" t="s">
        <v>222</v>
      </c>
      <c r="C5825" s="14" t="s">
        <v>363</v>
      </c>
      <c r="D5825" s="14" t="s">
        <v>364</v>
      </c>
      <c r="E5825" s="14" t="s">
        <v>344</v>
      </c>
      <c r="F5825" s="14" t="s">
        <v>343</v>
      </c>
      <c r="G5825" s="14" t="s">
        <v>343</v>
      </c>
      <c r="H5825" s="14" t="s">
        <v>343</v>
      </c>
      <c r="U5825" s="14">
        <v>1</v>
      </c>
      <c r="V5825" s="14">
        <v>1</v>
      </c>
      <c r="W5825" s="14">
        <v>48</v>
      </c>
      <c r="X5825" s="14">
        <v>41</v>
      </c>
    </row>
    <row r="5826" spans="1:24" hidden="1" x14ac:dyDescent="0.3">
      <c r="A5826" s="14" t="s">
        <v>547</v>
      </c>
      <c r="B5826" s="14" t="s">
        <v>222</v>
      </c>
      <c r="C5826" s="14" t="s">
        <v>365</v>
      </c>
      <c r="D5826" s="14" t="s">
        <v>366</v>
      </c>
      <c r="E5826" s="14" t="s">
        <v>342</v>
      </c>
      <c r="F5826" s="14" t="s">
        <v>343</v>
      </c>
      <c r="G5826" s="14" t="s">
        <v>343</v>
      </c>
      <c r="H5826" s="14" t="s">
        <v>343</v>
      </c>
      <c r="U5826" s="14">
        <v>0.94</v>
      </c>
      <c r="V5826" s="14">
        <v>0.94</v>
      </c>
      <c r="W5826" s="14">
        <v>0.94</v>
      </c>
      <c r="X5826" s="14">
        <v>0.94</v>
      </c>
    </row>
    <row r="5827" spans="1:24" hidden="1" x14ac:dyDescent="0.3">
      <c r="A5827" s="14" t="s">
        <v>547</v>
      </c>
      <c r="B5827" s="14" t="s">
        <v>222</v>
      </c>
      <c r="C5827" s="14" t="s">
        <v>365</v>
      </c>
      <c r="D5827" s="14" t="s">
        <v>366</v>
      </c>
      <c r="E5827" s="14" t="s">
        <v>344</v>
      </c>
      <c r="F5827" s="14" t="s">
        <v>343</v>
      </c>
      <c r="G5827" s="14" t="s">
        <v>343</v>
      </c>
      <c r="H5827" s="14" t="s">
        <v>343</v>
      </c>
      <c r="U5827" s="14">
        <v>1</v>
      </c>
      <c r="V5827" s="14">
        <v>1</v>
      </c>
      <c r="W5827" s="14">
        <v>1</v>
      </c>
      <c r="X5827" s="14">
        <v>1</v>
      </c>
    </row>
    <row r="5828" spans="1:24" hidden="1" x14ac:dyDescent="0.3">
      <c r="A5828" s="14" t="s">
        <v>547</v>
      </c>
      <c r="B5828" s="14" t="s">
        <v>222</v>
      </c>
      <c r="C5828" s="14" t="s">
        <v>367</v>
      </c>
      <c r="D5828" s="14" t="s">
        <v>368</v>
      </c>
      <c r="E5828" s="14" t="s">
        <v>342</v>
      </c>
      <c r="F5828" s="14" t="s">
        <v>343</v>
      </c>
      <c r="G5828" s="14" t="s">
        <v>343</v>
      </c>
      <c r="H5828" s="14" t="s">
        <v>343</v>
      </c>
      <c r="I5828" s="14">
        <v>0.71</v>
      </c>
      <c r="J5828" s="14">
        <v>0.72</v>
      </c>
      <c r="K5828" s="14">
        <v>0.72</v>
      </c>
      <c r="L5828" s="14">
        <v>0.77</v>
      </c>
      <c r="M5828" s="14">
        <v>0.75</v>
      </c>
      <c r="N5828" s="14">
        <v>0.75</v>
      </c>
      <c r="O5828" s="14">
        <v>0.75</v>
      </c>
      <c r="P5828" s="14">
        <v>0.75</v>
      </c>
      <c r="Q5828" s="14">
        <v>0.75</v>
      </c>
      <c r="R5828" s="14">
        <v>0.76</v>
      </c>
      <c r="S5828" s="14">
        <v>0.76</v>
      </c>
      <c r="T5828" s="14">
        <v>0.76</v>
      </c>
      <c r="U5828" s="14">
        <v>0.76</v>
      </c>
      <c r="V5828" s="14">
        <v>0.78</v>
      </c>
      <c r="W5828" s="14">
        <v>0.78</v>
      </c>
      <c r="X5828" s="14">
        <v>0.78</v>
      </c>
    </row>
    <row r="5829" spans="1:24" hidden="1" x14ac:dyDescent="0.3">
      <c r="A5829" s="14" t="s">
        <v>547</v>
      </c>
      <c r="B5829" s="14" t="s">
        <v>222</v>
      </c>
      <c r="C5829" s="14" t="s">
        <v>367</v>
      </c>
      <c r="D5829" s="14" t="s">
        <v>368</v>
      </c>
      <c r="E5829" s="14" t="s">
        <v>344</v>
      </c>
      <c r="F5829" s="14" t="s">
        <v>343</v>
      </c>
      <c r="G5829" s="14" t="s">
        <v>343</v>
      </c>
      <c r="H5829" s="14" t="s">
        <v>343</v>
      </c>
      <c r="I5829" s="14">
        <v>18</v>
      </c>
      <c r="J5829" s="14">
        <v>20</v>
      </c>
      <c r="K5829" s="14">
        <v>22</v>
      </c>
      <c r="L5829" s="14">
        <v>6</v>
      </c>
      <c r="M5829" s="14">
        <v>12</v>
      </c>
      <c r="N5829" s="14">
        <v>14</v>
      </c>
      <c r="O5829" s="14">
        <v>16</v>
      </c>
      <c r="P5829" s="14">
        <v>17</v>
      </c>
      <c r="Q5829" s="14">
        <v>18</v>
      </c>
      <c r="R5829" s="14">
        <v>17</v>
      </c>
      <c r="S5829" s="14">
        <v>15</v>
      </c>
      <c r="T5829" s="14">
        <v>19</v>
      </c>
      <c r="U5829" s="14">
        <v>19</v>
      </c>
      <c r="V5829" s="14">
        <v>17</v>
      </c>
      <c r="W5829" s="14">
        <v>18</v>
      </c>
      <c r="X5829" s="14">
        <v>20</v>
      </c>
    </row>
    <row r="5830" spans="1:24" hidden="1" x14ac:dyDescent="0.3">
      <c r="A5830" s="14" t="s">
        <v>547</v>
      </c>
      <c r="B5830" s="14" t="s">
        <v>222</v>
      </c>
      <c r="C5830" s="14" t="s">
        <v>369</v>
      </c>
      <c r="D5830" s="14" t="s">
        <v>370</v>
      </c>
      <c r="E5830" s="14" t="s">
        <v>342</v>
      </c>
      <c r="F5830" s="14" t="s">
        <v>343</v>
      </c>
      <c r="G5830" s="14" t="s">
        <v>343</v>
      </c>
      <c r="H5830" s="14" t="s">
        <v>343</v>
      </c>
      <c r="I5830" s="14">
        <v>0.33</v>
      </c>
      <c r="J5830" s="14">
        <v>0.33</v>
      </c>
      <c r="K5830" s="14">
        <v>0.35</v>
      </c>
      <c r="L5830" s="14">
        <v>0.45</v>
      </c>
      <c r="M5830" s="14">
        <v>0.38</v>
      </c>
      <c r="N5830" s="14">
        <v>0.38</v>
      </c>
      <c r="O5830" s="14">
        <v>0.39</v>
      </c>
      <c r="P5830" s="14">
        <v>0.39</v>
      </c>
      <c r="Q5830" s="14">
        <v>0.4</v>
      </c>
      <c r="R5830" s="14">
        <v>0.4</v>
      </c>
      <c r="S5830" s="14">
        <v>0.4</v>
      </c>
      <c r="T5830" s="14">
        <v>0.4</v>
      </c>
      <c r="U5830" s="14">
        <v>0.4</v>
      </c>
      <c r="V5830" s="14">
        <v>0.5</v>
      </c>
      <c r="W5830" s="14">
        <v>0.49</v>
      </c>
      <c r="X5830" s="14">
        <v>0.5</v>
      </c>
    </row>
    <row r="5831" spans="1:24" hidden="1" x14ac:dyDescent="0.3">
      <c r="A5831" s="14" t="s">
        <v>547</v>
      </c>
      <c r="B5831" s="14" t="s">
        <v>222</v>
      </c>
      <c r="C5831" s="14" t="s">
        <v>369</v>
      </c>
      <c r="D5831" s="14" t="s">
        <v>370</v>
      </c>
      <c r="E5831" s="14" t="s">
        <v>344</v>
      </c>
      <c r="F5831" s="14" t="s">
        <v>343</v>
      </c>
      <c r="G5831" s="14" t="s">
        <v>343</v>
      </c>
      <c r="H5831" s="14" t="s">
        <v>343</v>
      </c>
      <c r="I5831" s="14">
        <v>8</v>
      </c>
      <c r="J5831" s="14">
        <v>10</v>
      </c>
      <c r="K5831" s="14">
        <v>9</v>
      </c>
      <c r="L5831" s="14">
        <v>5</v>
      </c>
      <c r="M5831" s="14">
        <v>9</v>
      </c>
      <c r="N5831" s="14">
        <v>9</v>
      </c>
      <c r="O5831" s="14">
        <v>7</v>
      </c>
      <c r="P5831" s="14">
        <v>8</v>
      </c>
      <c r="Q5831" s="14">
        <v>12</v>
      </c>
      <c r="R5831" s="14">
        <v>14</v>
      </c>
      <c r="S5831" s="14">
        <v>13</v>
      </c>
      <c r="T5831" s="14">
        <v>18</v>
      </c>
      <c r="U5831" s="14">
        <v>17</v>
      </c>
      <c r="V5831" s="14">
        <v>10</v>
      </c>
      <c r="W5831" s="14">
        <v>14</v>
      </c>
      <c r="X5831" s="14">
        <v>12</v>
      </c>
    </row>
    <row r="5832" spans="1:24" hidden="1" x14ac:dyDescent="0.3">
      <c r="A5832" s="14" t="s">
        <v>547</v>
      </c>
      <c r="B5832" s="14" t="s">
        <v>222</v>
      </c>
      <c r="C5832" s="14" t="s">
        <v>371</v>
      </c>
      <c r="D5832" s="14" t="s">
        <v>372</v>
      </c>
      <c r="E5832" s="14" t="s">
        <v>342</v>
      </c>
      <c r="F5832" s="14" t="s">
        <v>343</v>
      </c>
      <c r="G5832" s="14" t="s">
        <v>343</v>
      </c>
      <c r="H5832" s="14" t="s">
        <v>343</v>
      </c>
      <c r="U5832" s="14">
        <v>0</v>
      </c>
      <c r="V5832" s="14">
        <v>0</v>
      </c>
      <c r="W5832" s="14">
        <v>0</v>
      </c>
      <c r="X5832" s="14">
        <v>0</v>
      </c>
    </row>
    <row r="5833" spans="1:24" hidden="1" x14ac:dyDescent="0.3">
      <c r="A5833" s="14" t="s">
        <v>547</v>
      </c>
      <c r="B5833" s="14" t="s">
        <v>222</v>
      </c>
      <c r="C5833" s="14" t="s">
        <v>371</v>
      </c>
      <c r="D5833" s="14" t="s">
        <v>372</v>
      </c>
      <c r="E5833" s="14" t="s">
        <v>344</v>
      </c>
      <c r="F5833" s="14" t="s">
        <v>343</v>
      </c>
      <c r="G5833" s="14" t="s">
        <v>343</v>
      </c>
      <c r="H5833" s="14" t="s">
        <v>343</v>
      </c>
      <c r="U5833" s="14">
        <v>70</v>
      </c>
      <c r="V5833" s="14">
        <v>72</v>
      </c>
      <c r="W5833" s="14">
        <v>75</v>
      </c>
      <c r="X5833" s="14">
        <v>77</v>
      </c>
    </row>
    <row r="5834" spans="1:24" hidden="1" x14ac:dyDescent="0.3">
      <c r="A5834" s="14" t="s">
        <v>547</v>
      </c>
      <c r="B5834" s="14" t="s">
        <v>222</v>
      </c>
      <c r="C5834" s="14" t="s">
        <v>373</v>
      </c>
      <c r="D5834" s="14" t="s">
        <v>374</v>
      </c>
      <c r="E5834" s="14" t="s">
        <v>342</v>
      </c>
      <c r="F5834" s="14" t="s">
        <v>343</v>
      </c>
      <c r="G5834" s="14" t="s">
        <v>343</v>
      </c>
      <c r="H5834" s="14" t="s">
        <v>343</v>
      </c>
      <c r="U5834" s="14">
        <v>0.71</v>
      </c>
      <c r="V5834" s="14">
        <v>0.95</v>
      </c>
      <c r="W5834" s="14">
        <v>0.93</v>
      </c>
      <c r="X5834" s="14">
        <v>0.93</v>
      </c>
    </row>
    <row r="5835" spans="1:24" hidden="1" x14ac:dyDescent="0.3">
      <c r="A5835" s="14" t="s">
        <v>547</v>
      </c>
      <c r="B5835" s="14" t="s">
        <v>222</v>
      </c>
      <c r="C5835" s="14" t="s">
        <v>373</v>
      </c>
      <c r="D5835" s="14" t="s">
        <v>374</v>
      </c>
      <c r="E5835" s="14" t="s">
        <v>344</v>
      </c>
      <c r="F5835" s="14" t="s">
        <v>343</v>
      </c>
      <c r="G5835" s="14" t="s">
        <v>343</v>
      </c>
      <c r="H5835" s="14" t="s">
        <v>343</v>
      </c>
      <c r="U5835" s="14">
        <v>9</v>
      </c>
      <c r="V5835" s="14">
        <v>10</v>
      </c>
      <c r="W5835" s="14">
        <v>12</v>
      </c>
      <c r="X5835" s="14">
        <v>12</v>
      </c>
    </row>
    <row r="5836" spans="1:24" hidden="1" x14ac:dyDescent="0.3">
      <c r="A5836" s="14" t="s">
        <v>547</v>
      </c>
      <c r="B5836" s="14" t="s">
        <v>222</v>
      </c>
      <c r="C5836" s="14" t="s">
        <v>375</v>
      </c>
      <c r="D5836" s="14" t="s">
        <v>376</v>
      </c>
      <c r="E5836" s="14" t="s">
        <v>342</v>
      </c>
      <c r="F5836" s="14" t="s">
        <v>343</v>
      </c>
      <c r="G5836" s="14" t="s">
        <v>343</v>
      </c>
      <c r="H5836" s="14" t="s">
        <v>343</v>
      </c>
      <c r="U5836" s="14">
        <v>0.73</v>
      </c>
      <c r="V5836" s="14">
        <v>0.85</v>
      </c>
      <c r="W5836" s="14">
        <v>0.84</v>
      </c>
      <c r="X5836" s="14">
        <v>0.88</v>
      </c>
    </row>
    <row r="5837" spans="1:24" hidden="1" x14ac:dyDescent="0.3">
      <c r="A5837" s="14" t="s">
        <v>547</v>
      </c>
      <c r="B5837" s="14" t="s">
        <v>222</v>
      </c>
      <c r="C5837" s="14" t="s">
        <v>375</v>
      </c>
      <c r="D5837" s="14" t="s">
        <v>376</v>
      </c>
      <c r="E5837" s="14" t="s">
        <v>344</v>
      </c>
      <c r="F5837" s="14" t="s">
        <v>343</v>
      </c>
      <c r="G5837" s="14" t="s">
        <v>343</v>
      </c>
      <c r="H5837" s="14" t="s">
        <v>343</v>
      </c>
      <c r="U5837" s="14">
        <v>9</v>
      </c>
      <c r="V5837" s="14">
        <v>9</v>
      </c>
      <c r="W5837" s="14">
        <v>10</v>
      </c>
      <c r="X5837" s="14">
        <v>8</v>
      </c>
    </row>
    <row r="5838" spans="1:24" hidden="1" x14ac:dyDescent="0.3">
      <c r="A5838" s="14" t="s">
        <v>548</v>
      </c>
      <c r="B5838" s="14" t="s">
        <v>259</v>
      </c>
      <c r="C5838" s="14" t="s">
        <v>340</v>
      </c>
      <c r="D5838" s="14" t="s">
        <v>341</v>
      </c>
      <c r="E5838" s="14" t="s">
        <v>342</v>
      </c>
      <c r="F5838" s="14" t="s">
        <v>343</v>
      </c>
      <c r="G5838" s="14" t="s">
        <v>343</v>
      </c>
      <c r="H5838" s="14" t="s">
        <v>343</v>
      </c>
      <c r="I5838" s="14">
        <v>0.84</v>
      </c>
      <c r="J5838" s="14">
        <v>0.85</v>
      </c>
      <c r="K5838" s="14">
        <v>0.85</v>
      </c>
      <c r="L5838" s="14">
        <v>0.86</v>
      </c>
      <c r="M5838" s="14">
        <v>0.85</v>
      </c>
      <c r="N5838" s="14">
        <v>0.85</v>
      </c>
      <c r="O5838" s="14">
        <v>0.86</v>
      </c>
      <c r="P5838" s="14">
        <v>0.85</v>
      </c>
      <c r="Q5838" s="14">
        <v>0.85</v>
      </c>
      <c r="R5838" s="14">
        <v>0.86</v>
      </c>
      <c r="V5838" s="14">
        <v>0.94</v>
      </c>
      <c r="W5838" s="14">
        <v>0.94</v>
      </c>
      <c r="X5838" s="14">
        <v>0.94</v>
      </c>
    </row>
    <row r="5839" spans="1:24" hidden="1" x14ac:dyDescent="0.3">
      <c r="A5839" s="14" t="s">
        <v>548</v>
      </c>
      <c r="B5839" s="14" t="s">
        <v>259</v>
      </c>
      <c r="C5839" s="14" t="s">
        <v>340</v>
      </c>
      <c r="D5839" s="14" t="s">
        <v>341</v>
      </c>
      <c r="E5839" s="14" t="s">
        <v>344</v>
      </c>
      <c r="F5839" s="14" t="s">
        <v>343</v>
      </c>
      <c r="G5839" s="14" t="s">
        <v>343</v>
      </c>
      <c r="H5839" s="14" t="s">
        <v>343</v>
      </c>
      <c r="I5839" s="14">
        <v>100</v>
      </c>
      <c r="J5839" s="14">
        <v>111</v>
      </c>
      <c r="K5839" s="14">
        <v>115</v>
      </c>
      <c r="L5839" s="14">
        <v>116</v>
      </c>
      <c r="M5839" s="14">
        <v>119</v>
      </c>
      <c r="N5839" s="14">
        <v>120</v>
      </c>
      <c r="O5839" s="14">
        <v>120</v>
      </c>
      <c r="P5839" s="14">
        <v>121</v>
      </c>
      <c r="Q5839" s="14">
        <v>127</v>
      </c>
      <c r="R5839" s="14">
        <v>128</v>
      </c>
      <c r="V5839" s="14">
        <v>125</v>
      </c>
      <c r="W5839" s="14">
        <v>125</v>
      </c>
      <c r="X5839" s="14">
        <v>119</v>
      </c>
    </row>
    <row r="5840" spans="1:24" hidden="1" x14ac:dyDescent="0.3">
      <c r="A5840" s="14" t="s">
        <v>548</v>
      </c>
      <c r="B5840" s="14" t="s">
        <v>259</v>
      </c>
      <c r="C5840" s="14" t="s">
        <v>345</v>
      </c>
      <c r="D5840" s="14" t="s">
        <v>346</v>
      </c>
      <c r="E5840" s="14" t="s">
        <v>342</v>
      </c>
      <c r="F5840" s="14" t="s">
        <v>343</v>
      </c>
      <c r="G5840" s="14" t="s">
        <v>343</v>
      </c>
      <c r="H5840" s="14" t="s">
        <v>343</v>
      </c>
      <c r="V5840" s="14">
        <v>1</v>
      </c>
      <c r="W5840" s="14">
        <v>0.97</v>
      </c>
      <c r="X5840" s="14">
        <v>0.82</v>
      </c>
    </row>
    <row r="5841" spans="1:24" hidden="1" x14ac:dyDescent="0.3">
      <c r="A5841" s="14" t="s">
        <v>548</v>
      </c>
      <c r="B5841" s="14" t="s">
        <v>259</v>
      </c>
      <c r="C5841" s="14" t="s">
        <v>345</v>
      </c>
      <c r="D5841" s="14" t="s">
        <v>346</v>
      </c>
      <c r="E5841" s="14" t="s">
        <v>344</v>
      </c>
      <c r="F5841" s="14" t="s">
        <v>343</v>
      </c>
      <c r="G5841" s="14" t="s">
        <v>343</v>
      </c>
      <c r="H5841" s="14" t="s">
        <v>343</v>
      </c>
      <c r="V5841" s="14">
        <v>1</v>
      </c>
      <c r="W5841" s="14">
        <v>5</v>
      </c>
      <c r="X5841" s="14">
        <v>13</v>
      </c>
    </row>
    <row r="5842" spans="1:24" hidden="1" x14ac:dyDescent="0.3">
      <c r="A5842" s="14" t="s">
        <v>548</v>
      </c>
      <c r="B5842" s="14" t="s">
        <v>259</v>
      </c>
      <c r="C5842" s="14" t="s">
        <v>347</v>
      </c>
      <c r="D5842" s="14" t="s">
        <v>348</v>
      </c>
      <c r="E5842" s="14" t="s">
        <v>342</v>
      </c>
      <c r="F5842" s="14" t="s">
        <v>343</v>
      </c>
      <c r="G5842" s="14" t="s">
        <v>343</v>
      </c>
      <c r="H5842" s="14" t="s">
        <v>343</v>
      </c>
      <c r="V5842" s="14">
        <v>0.89</v>
      </c>
      <c r="W5842" s="14">
        <v>0.9</v>
      </c>
      <c r="X5842" s="14">
        <v>0.89</v>
      </c>
    </row>
    <row r="5843" spans="1:24" hidden="1" x14ac:dyDescent="0.3">
      <c r="A5843" s="14" t="s">
        <v>548</v>
      </c>
      <c r="B5843" s="14" t="s">
        <v>259</v>
      </c>
      <c r="C5843" s="14" t="s">
        <v>347</v>
      </c>
      <c r="D5843" s="14" t="s">
        <v>348</v>
      </c>
      <c r="E5843" s="14" t="s">
        <v>344</v>
      </c>
      <c r="F5843" s="14" t="s">
        <v>343</v>
      </c>
      <c r="G5843" s="14" t="s">
        <v>343</v>
      </c>
      <c r="H5843" s="14" t="s">
        <v>343</v>
      </c>
      <c r="V5843" s="14">
        <v>43</v>
      </c>
      <c r="W5843" s="14">
        <v>38</v>
      </c>
      <c r="X5843" s="14">
        <v>21</v>
      </c>
    </row>
    <row r="5844" spans="1:24" hidden="1" x14ac:dyDescent="0.3">
      <c r="A5844" s="14" t="s">
        <v>548</v>
      </c>
      <c r="B5844" s="14" t="s">
        <v>259</v>
      </c>
      <c r="C5844" s="14" t="s">
        <v>349</v>
      </c>
      <c r="D5844" s="14" t="s">
        <v>350</v>
      </c>
      <c r="E5844" s="14" t="s">
        <v>342</v>
      </c>
      <c r="F5844" s="14" t="s">
        <v>343</v>
      </c>
      <c r="G5844" s="14" t="s">
        <v>343</v>
      </c>
      <c r="H5844" s="14" t="s">
        <v>343</v>
      </c>
      <c r="W5844" s="14">
        <v>0.68</v>
      </c>
      <c r="X5844" s="14">
        <v>0.85</v>
      </c>
    </row>
    <row r="5845" spans="1:24" hidden="1" x14ac:dyDescent="0.3">
      <c r="A5845" s="14" t="s">
        <v>548</v>
      </c>
      <c r="B5845" s="14" t="s">
        <v>259</v>
      </c>
      <c r="C5845" s="14" t="s">
        <v>349</v>
      </c>
      <c r="D5845" s="14" t="s">
        <v>350</v>
      </c>
      <c r="E5845" s="14" t="s">
        <v>344</v>
      </c>
      <c r="F5845" s="14" t="s">
        <v>343</v>
      </c>
      <c r="G5845" s="14" t="s">
        <v>343</v>
      </c>
      <c r="H5845" s="14" t="s">
        <v>343</v>
      </c>
      <c r="W5845" s="14">
        <v>33</v>
      </c>
      <c r="X5845" s="14">
        <v>21</v>
      </c>
    </row>
    <row r="5846" spans="1:24" hidden="1" x14ac:dyDescent="0.3">
      <c r="A5846" s="14" t="s">
        <v>548</v>
      </c>
      <c r="B5846" s="14" t="s">
        <v>259</v>
      </c>
      <c r="C5846" s="14" t="s">
        <v>351</v>
      </c>
      <c r="D5846" s="14" t="s">
        <v>352</v>
      </c>
      <c r="E5846" s="14" t="s">
        <v>342</v>
      </c>
      <c r="F5846" s="14" t="s">
        <v>343</v>
      </c>
      <c r="G5846" s="14" t="s">
        <v>343</v>
      </c>
      <c r="H5846" s="14" t="s">
        <v>343</v>
      </c>
      <c r="V5846" s="14">
        <v>0.74</v>
      </c>
      <c r="W5846" s="14">
        <v>0.59</v>
      </c>
      <c r="X5846" s="14">
        <v>0.72</v>
      </c>
    </row>
    <row r="5847" spans="1:24" hidden="1" x14ac:dyDescent="0.3">
      <c r="A5847" s="14" t="s">
        <v>548</v>
      </c>
      <c r="B5847" s="14" t="s">
        <v>259</v>
      </c>
      <c r="C5847" s="14" t="s">
        <v>351</v>
      </c>
      <c r="D5847" s="14" t="s">
        <v>352</v>
      </c>
      <c r="E5847" s="14" t="s">
        <v>344</v>
      </c>
      <c r="F5847" s="14" t="s">
        <v>343</v>
      </c>
      <c r="G5847" s="14" t="s">
        <v>343</v>
      </c>
      <c r="H5847" s="14" t="s">
        <v>343</v>
      </c>
      <c r="V5847" s="14">
        <v>106</v>
      </c>
      <c r="W5847" s="14">
        <v>116</v>
      </c>
      <c r="X5847" s="14">
        <v>98</v>
      </c>
    </row>
    <row r="5848" spans="1:24" hidden="1" x14ac:dyDescent="0.3">
      <c r="A5848" s="14" t="s">
        <v>548</v>
      </c>
      <c r="B5848" s="14" t="s">
        <v>259</v>
      </c>
      <c r="C5848" s="14" t="s">
        <v>378</v>
      </c>
      <c r="D5848" s="14" t="s">
        <v>379</v>
      </c>
      <c r="E5848" s="14" t="s">
        <v>342</v>
      </c>
      <c r="F5848" s="14" t="s">
        <v>343</v>
      </c>
      <c r="G5848" s="14" t="s">
        <v>343</v>
      </c>
      <c r="H5848" s="14" t="s">
        <v>343</v>
      </c>
      <c r="V5848" s="14">
        <v>0.71</v>
      </c>
      <c r="W5848" s="14">
        <v>0.76</v>
      </c>
      <c r="X5848" s="14">
        <v>0.74</v>
      </c>
    </row>
    <row r="5849" spans="1:24" hidden="1" x14ac:dyDescent="0.3">
      <c r="A5849" s="14" t="s">
        <v>548</v>
      </c>
      <c r="B5849" s="14" t="s">
        <v>259</v>
      </c>
      <c r="C5849" s="14" t="s">
        <v>378</v>
      </c>
      <c r="D5849" s="14" t="s">
        <v>379</v>
      </c>
      <c r="E5849" s="14" t="s">
        <v>344</v>
      </c>
      <c r="F5849" s="14" t="s">
        <v>343</v>
      </c>
      <c r="G5849" s="14" t="s">
        <v>343</v>
      </c>
      <c r="H5849" s="14" t="s">
        <v>343</v>
      </c>
      <c r="V5849" s="14">
        <v>42</v>
      </c>
      <c r="W5849" s="14">
        <v>18</v>
      </c>
      <c r="X5849" s="14">
        <v>24</v>
      </c>
    </row>
    <row r="5850" spans="1:24" hidden="1" x14ac:dyDescent="0.3">
      <c r="A5850" s="14" t="s">
        <v>548</v>
      </c>
      <c r="B5850" s="14" t="s">
        <v>259</v>
      </c>
      <c r="C5850" s="14" t="s">
        <v>353</v>
      </c>
      <c r="D5850" s="14" t="s">
        <v>354</v>
      </c>
      <c r="E5850" s="14" t="s">
        <v>342</v>
      </c>
      <c r="F5850" s="14" t="s">
        <v>343</v>
      </c>
      <c r="G5850" s="14" t="s">
        <v>343</v>
      </c>
      <c r="H5850" s="14" t="s">
        <v>343</v>
      </c>
      <c r="V5850" s="14">
        <v>0.92</v>
      </c>
      <c r="W5850" s="14">
        <v>0.92</v>
      </c>
      <c r="X5850" s="14">
        <v>0.92</v>
      </c>
    </row>
    <row r="5851" spans="1:24" hidden="1" x14ac:dyDescent="0.3">
      <c r="A5851" s="14" t="s">
        <v>548</v>
      </c>
      <c r="B5851" s="14" t="s">
        <v>259</v>
      </c>
      <c r="C5851" s="14" t="s">
        <v>353</v>
      </c>
      <c r="D5851" s="14" t="s">
        <v>354</v>
      </c>
      <c r="E5851" s="14" t="s">
        <v>344</v>
      </c>
      <c r="F5851" s="14" t="s">
        <v>343</v>
      </c>
      <c r="G5851" s="14" t="s">
        <v>343</v>
      </c>
      <c r="H5851" s="14" t="s">
        <v>343</v>
      </c>
      <c r="V5851" s="14">
        <v>108</v>
      </c>
      <c r="W5851" s="14">
        <v>109</v>
      </c>
      <c r="X5851" s="14">
        <v>104</v>
      </c>
    </row>
    <row r="5852" spans="1:24" hidden="1" x14ac:dyDescent="0.3">
      <c r="A5852" s="14" t="s">
        <v>548</v>
      </c>
      <c r="B5852" s="14" t="s">
        <v>259</v>
      </c>
      <c r="C5852" s="14" t="s">
        <v>380</v>
      </c>
      <c r="D5852" s="14" t="s">
        <v>381</v>
      </c>
      <c r="E5852" s="14" t="s">
        <v>342</v>
      </c>
      <c r="F5852" s="14" t="s">
        <v>343</v>
      </c>
      <c r="G5852" s="14" t="s">
        <v>343</v>
      </c>
      <c r="H5852" s="14" t="s">
        <v>343</v>
      </c>
      <c r="V5852" s="14">
        <v>1</v>
      </c>
      <c r="W5852" s="14">
        <v>1</v>
      </c>
      <c r="X5852" s="14">
        <v>1</v>
      </c>
    </row>
    <row r="5853" spans="1:24" hidden="1" x14ac:dyDescent="0.3">
      <c r="A5853" s="14" t="s">
        <v>548</v>
      </c>
      <c r="B5853" s="14" t="s">
        <v>259</v>
      </c>
      <c r="C5853" s="14" t="s">
        <v>380</v>
      </c>
      <c r="D5853" s="14" t="s">
        <v>381</v>
      </c>
      <c r="E5853" s="14" t="s">
        <v>344</v>
      </c>
      <c r="F5853" s="14" t="s">
        <v>343</v>
      </c>
      <c r="G5853" s="14" t="s">
        <v>343</v>
      </c>
      <c r="H5853" s="14" t="s">
        <v>343</v>
      </c>
      <c r="V5853" s="14">
        <v>1</v>
      </c>
      <c r="W5853" s="14">
        <v>1</v>
      </c>
      <c r="X5853" s="14">
        <v>1</v>
      </c>
    </row>
    <row r="5854" spans="1:24" hidden="1" x14ac:dyDescent="0.3">
      <c r="A5854" s="14" t="s">
        <v>548</v>
      </c>
      <c r="B5854" s="14" t="s">
        <v>259</v>
      </c>
      <c r="C5854" s="14" t="s">
        <v>357</v>
      </c>
      <c r="D5854" s="14" t="s">
        <v>358</v>
      </c>
      <c r="E5854" s="14" t="s">
        <v>342</v>
      </c>
      <c r="F5854" s="14" t="s">
        <v>343</v>
      </c>
      <c r="G5854" s="14" t="s">
        <v>343</v>
      </c>
      <c r="H5854" s="14" t="s">
        <v>343</v>
      </c>
      <c r="V5854" s="14">
        <v>0.74</v>
      </c>
      <c r="W5854" s="14">
        <v>0.74</v>
      </c>
      <c r="X5854" s="14">
        <v>0.74</v>
      </c>
    </row>
    <row r="5855" spans="1:24" hidden="1" x14ac:dyDescent="0.3">
      <c r="A5855" s="14" t="s">
        <v>548</v>
      </c>
      <c r="B5855" s="14" t="s">
        <v>259</v>
      </c>
      <c r="C5855" s="14" t="s">
        <v>357</v>
      </c>
      <c r="D5855" s="14" t="s">
        <v>358</v>
      </c>
      <c r="E5855" s="14" t="s">
        <v>344</v>
      </c>
      <c r="F5855" s="14" t="s">
        <v>343</v>
      </c>
      <c r="G5855" s="14" t="s">
        <v>343</v>
      </c>
      <c r="H5855" s="14" t="s">
        <v>343</v>
      </c>
      <c r="V5855" s="14">
        <v>123</v>
      </c>
      <c r="W5855" s="14">
        <v>124</v>
      </c>
      <c r="X5855" s="14">
        <v>121</v>
      </c>
    </row>
    <row r="5856" spans="1:24" hidden="1" x14ac:dyDescent="0.3">
      <c r="A5856" s="14" t="s">
        <v>548</v>
      </c>
      <c r="B5856" s="14" t="s">
        <v>259</v>
      </c>
      <c r="C5856" s="14" t="s">
        <v>359</v>
      </c>
      <c r="D5856" s="14" t="s">
        <v>360</v>
      </c>
      <c r="E5856" s="14" t="s">
        <v>342</v>
      </c>
      <c r="F5856" s="14" t="s">
        <v>343</v>
      </c>
      <c r="G5856" s="14" t="s">
        <v>343</v>
      </c>
      <c r="H5856" s="14" t="s">
        <v>343</v>
      </c>
      <c r="I5856" s="14">
        <v>0.6</v>
      </c>
      <c r="J5856" s="14">
        <v>0.56999999999999995</v>
      </c>
      <c r="K5856" s="14">
        <v>0.56999999999999995</v>
      </c>
      <c r="L5856" s="14">
        <v>0.59</v>
      </c>
      <c r="M5856" s="14">
        <v>0.6</v>
      </c>
      <c r="N5856" s="14">
        <v>0.6</v>
      </c>
      <c r="O5856" s="14">
        <v>0.61</v>
      </c>
      <c r="P5856" s="14">
        <v>0.64</v>
      </c>
      <c r="Q5856" s="14">
        <v>0.64</v>
      </c>
      <c r="R5856" s="14">
        <v>0.66</v>
      </c>
      <c r="V5856" s="14">
        <v>0.83</v>
      </c>
      <c r="W5856" s="14">
        <v>0.8</v>
      </c>
      <c r="X5856" s="14">
        <v>0.8</v>
      </c>
    </row>
    <row r="5857" spans="1:24" hidden="1" x14ac:dyDescent="0.3">
      <c r="A5857" s="14" t="s">
        <v>548</v>
      </c>
      <c r="B5857" s="14" t="s">
        <v>259</v>
      </c>
      <c r="C5857" s="14" t="s">
        <v>359</v>
      </c>
      <c r="D5857" s="14" t="s">
        <v>360</v>
      </c>
      <c r="E5857" s="14" t="s">
        <v>344</v>
      </c>
      <c r="F5857" s="14" t="s">
        <v>343</v>
      </c>
      <c r="G5857" s="14" t="s">
        <v>343</v>
      </c>
      <c r="H5857" s="14" t="s">
        <v>343</v>
      </c>
      <c r="I5857" s="14">
        <v>64</v>
      </c>
      <c r="J5857" s="14">
        <v>92</v>
      </c>
      <c r="K5857" s="14">
        <v>94</v>
      </c>
      <c r="L5857" s="14">
        <v>93</v>
      </c>
      <c r="M5857" s="14">
        <v>88</v>
      </c>
      <c r="N5857" s="14">
        <v>87</v>
      </c>
      <c r="O5857" s="14">
        <v>89</v>
      </c>
      <c r="P5857" s="14">
        <v>84</v>
      </c>
      <c r="Q5857" s="14">
        <v>86</v>
      </c>
      <c r="R5857" s="14">
        <v>83</v>
      </c>
      <c r="V5857" s="14">
        <v>7</v>
      </c>
      <c r="W5857" s="14">
        <v>14</v>
      </c>
      <c r="X5857" s="14">
        <v>10</v>
      </c>
    </row>
    <row r="5858" spans="1:24" x14ac:dyDescent="0.3">
      <c r="A5858" s="14" t="s">
        <v>548</v>
      </c>
      <c r="B5858" s="14" t="s">
        <v>259</v>
      </c>
      <c r="C5858" s="14" t="s">
        <v>361</v>
      </c>
      <c r="D5858" s="14" t="s">
        <v>362</v>
      </c>
      <c r="E5858" s="14" t="s">
        <v>342</v>
      </c>
      <c r="F5858" s="14" t="s">
        <v>343</v>
      </c>
      <c r="G5858" s="14" t="s">
        <v>343</v>
      </c>
      <c r="H5858" s="14" t="s">
        <v>343</v>
      </c>
      <c r="I5858" s="14">
        <v>0.96</v>
      </c>
      <c r="J5858" s="14">
        <v>0.96</v>
      </c>
      <c r="K5858" s="14">
        <v>0.96</v>
      </c>
      <c r="L5858" s="14">
        <v>0.96</v>
      </c>
      <c r="M5858" s="14">
        <v>0.97</v>
      </c>
      <c r="N5858" s="14">
        <v>0.97</v>
      </c>
      <c r="O5858" s="14">
        <v>0.97</v>
      </c>
      <c r="P5858" s="14">
        <v>0.97</v>
      </c>
      <c r="Q5858" s="14">
        <v>0.97</v>
      </c>
      <c r="R5858" s="14">
        <v>0.97</v>
      </c>
      <c r="V5858" s="14">
        <v>0.98</v>
      </c>
      <c r="W5858" s="14">
        <v>0.98</v>
      </c>
      <c r="X5858" s="14">
        <v>0.98</v>
      </c>
    </row>
    <row r="5859" spans="1:24" hidden="1" x14ac:dyDescent="0.3">
      <c r="A5859" s="14" t="s">
        <v>548</v>
      </c>
      <c r="B5859" s="14" t="s">
        <v>259</v>
      </c>
      <c r="C5859" s="14" t="s">
        <v>361</v>
      </c>
      <c r="D5859" s="14" t="s">
        <v>362</v>
      </c>
      <c r="E5859" s="14" t="s">
        <v>344</v>
      </c>
      <c r="F5859" s="14" t="s">
        <v>343</v>
      </c>
      <c r="G5859" s="14" t="s">
        <v>343</v>
      </c>
      <c r="H5859" s="14" t="s">
        <v>343</v>
      </c>
      <c r="I5859" s="14">
        <v>102</v>
      </c>
      <c r="J5859" s="14">
        <v>110</v>
      </c>
      <c r="K5859" s="14">
        <v>112</v>
      </c>
      <c r="L5859" s="14">
        <v>116</v>
      </c>
      <c r="M5859" s="14">
        <v>97</v>
      </c>
      <c r="N5859" s="14">
        <v>97</v>
      </c>
      <c r="O5859" s="14">
        <v>99</v>
      </c>
      <c r="P5859" s="14">
        <v>98</v>
      </c>
      <c r="Q5859" s="14">
        <v>66</v>
      </c>
      <c r="R5859" s="14">
        <v>77</v>
      </c>
      <c r="V5859" s="14">
        <v>1</v>
      </c>
      <c r="W5859" s="14">
        <v>1</v>
      </c>
      <c r="X5859" s="14">
        <v>1</v>
      </c>
    </row>
    <row r="5860" spans="1:24" hidden="1" x14ac:dyDescent="0.3">
      <c r="A5860" s="14" t="s">
        <v>548</v>
      </c>
      <c r="B5860" s="14" t="s">
        <v>259</v>
      </c>
      <c r="C5860" s="14" t="s">
        <v>363</v>
      </c>
      <c r="D5860" s="14" t="s">
        <v>364</v>
      </c>
      <c r="E5860" s="14" t="s">
        <v>342</v>
      </c>
      <c r="F5860" s="14" t="s">
        <v>343</v>
      </c>
      <c r="G5860" s="14" t="s">
        <v>343</v>
      </c>
      <c r="H5860" s="14" t="s">
        <v>343</v>
      </c>
      <c r="V5860" s="14">
        <v>1.06</v>
      </c>
      <c r="W5860" s="14">
        <v>1.06</v>
      </c>
      <c r="X5860" s="14">
        <v>1.06</v>
      </c>
    </row>
    <row r="5861" spans="1:24" hidden="1" x14ac:dyDescent="0.3">
      <c r="A5861" s="14" t="s">
        <v>548</v>
      </c>
      <c r="B5861" s="14" t="s">
        <v>259</v>
      </c>
      <c r="C5861" s="14" t="s">
        <v>363</v>
      </c>
      <c r="D5861" s="14" t="s">
        <v>364</v>
      </c>
      <c r="E5861" s="14" t="s">
        <v>344</v>
      </c>
      <c r="F5861" s="14" t="s">
        <v>343</v>
      </c>
      <c r="G5861" s="14" t="s">
        <v>343</v>
      </c>
      <c r="H5861" s="14" t="s">
        <v>343</v>
      </c>
      <c r="V5861" s="14">
        <v>1</v>
      </c>
      <c r="W5861" s="14">
        <v>1</v>
      </c>
      <c r="X5861" s="14">
        <v>1</v>
      </c>
    </row>
    <row r="5862" spans="1:24" hidden="1" x14ac:dyDescent="0.3">
      <c r="A5862" s="14" t="s">
        <v>548</v>
      </c>
      <c r="B5862" s="14" t="s">
        <v>259</v>
      </c>
      <c r="C5862" s="14" t="s">
        <v>365</v>
      </c>
      <c r="D5862" s="14" t="s">
        <v>366</v>
      </c>
      <c r="E5862" s="14" t="s">
        <v>342</v>
      </c>
      <c r="F5862" s="14" t="s">
        <v>343</v>
      </c>
      <c r="G5862" s="14" t="s">
        <v>343</v>
      </c>
      <c r="H5862" s="14" t="s">
        <v>343</v>
      </c>
      <c r="V5862" s="14">
        <v>0.94</v>
      </c>
      <c r="W5862" s="14">
        <v>0.94</v>
      </c>
      <c r="X5862" s="14">
        <v>0.94</v>
      </c>
    </row>
    <row r="5863" spans="1:24" hidden="1" x14ac:dyDescent="0.3">
      <c r="A5863" s="14" t="s">
        <v>548</v>
      </c>
      <c r="B5863" s="14" t="s">
        <v>259</v>
      </c>
      <c r="C5863" s="14" t="s">
        <v>365</v>
      </c>
      <c r="D5863" s="14" t="s">
        <v>366</v>
      </c>
      <c r="E5863" s="14" t="s">
        <v>344</v>
      </c>
      <c r="F5863" s="14" t="s">
        <v>343</v>
      </c>
      <c r="G5863" s="14" t="s">
        <v>343</v>
      </c>
      <c r="H5863" s="14" t="s">
        <v>343</v>
      </c>
      <c r="V5863" s="14">
        <v>1</v>
      </c>
      <c r="W5863" s="14">
        <v>1</v>
      </c>
      <c r="X5863" s="14">
        <v>1</v>
      </c>
    </row>
    <row r="5864" spans="1:24" hidden="1" x14ac:dyDescent="0.3">
      <c r="A5864" s="14" t="s">
        <v>548</v>
      </c>
      <c r="B5864" s="14" t="s">
        <v>259</v>
      </c>
      <c r="C5864" s="14" t="s">
        <v>367</v>
      </c>
      <c r="D5864" s="14" t="s">
        <v>368</v>
      </c>
      <c r="E5864" s="14" t="s">
        <v>342</v>
      </c>
      <c r="F5864" s="14" t="s">
        <v>343</v>
      </c>
      <c r="G5864" s="14" t="s">
        <v>343</v>
      </c>
      <c r="H5864" s="14" t="s">
        <v>343</v>
      </c>
      <c r="I5864" s="14">
        <v>0.64</v>
      </c>
      <c r="J5864" s="14">
        <v>0.63</v>
      </c>
      <c r="K5864" s="14">
        <v>0.62</v>
      </c>
      <c r="L5864" s="14">
        <v>0.63</v>
      </c>
      <c r="M5864" s="14">
        <v>0.63</v>
      </c>
      <c r="N5864" s="14">
        <v>0.63</v>
      </c>
      <c r="O5864" s="14">
        <v>0.63</v>
      </c>
      <c r="P5864" s="14">
        <v>0.63</v>
      </c>
      <c r="Q5864" s="14">
        <v>0.64</v>
      </c>
      <c r="R5864" s="14">
        <v>0.65</v>
      </c>
      <c r="V5864" s="14">
        <v>0.73</v>
      </c>
      <c r="W5864" s="14">
        <v>0.73</v>
      </c>
      <c r="X5864" s="14">
        <v>0.72</v>
      </c>
    </row>
    <row r="5865" spans="1:24" hidden="1" x14ac:dyDescent="0.3">
      <c r="A5865" s="14" t="s">
        <v>548</v>
      </c>
      <c r="B5865" s="14" t="s">
        <v>259</v>
      </c>
      <c r="C5865" s="14" t="s">
        <v>367</v>
      </c>
      <c r="D5865" s="14" t="s">
        <v>368</v>
      </c>
      <c r="E5865" s="14" t="s">
        <v>344</v>
      </c>
      <c r="F5865" s="14" t="s">
        <v>343</v>
      </c>
      <c r="G5865" s="14" t="s">
        <v>343</v>
      </c>
      <c r="H5865" s="14" t="s">
        <v>343</v>
      </c>
      <c r="I5865" s="14">
        <v>85</v>
      </c>
      <c r="J5865" s="14">
        <v>101</v>
      </c>
      <c r="K5865" s="14">
        <v>106</v>
      </c>
      <c r="L5865" s="14">
        <v>107</v>
      </c>
      <c r="M5865" s="14">
        <v>106</v>
      </c>
      <c r="N5865" s="14">
        <v>106</v>
      </c>
      <c r="O5865" s="14">
        <v>114</v>
      </c>
      <c r="P5865" s="14">
        <v>113</v>
      </c>
      <c r="Q5865" s="14">
        <v>119</v>
      </c>
      <c r="R5865" s="14">
        <v>116</v>
      </c>
      <c r="V5865" s="14">
        <v>45</v>
      </c>
      <c r="W5865" s="14">
        <v>56</v>
      </c>
      <c r="X5865" s="14">
        <v>62</v>
      </c>
    </row>
    <row r="5866" spans="1:24" hidden="1" x14ac:dyDescent="0.3">
      <c r="A5866" s="14" t="s">
        <v>548</v>
      </c>
      <c r="B5866" s="14" t="s">
        <v>259</v>
      </c>
      <c r="C5866" s="14" t="s">
        <v>369</v>
      </c>
      <c r="D5866" s="14" t="s">
        <v>370</v>
      </c>
      <c r="E5866" s="14" t="s">
        <v>342</v>
      </c>
      <c r="F5866" s="14" t="s">
        <v>343</v>
      </c>
      <c r="G5866" s="14" t="s">
        <v>343</v>
      </c>
      <c r="H5866" s="14" t="s">
        <v>343</v>
      </c>
      <c r="I5866" s="14">
        <v>0.14000000000000001</v>
      </c>
      <c r="J5866" s="14">
        <v>0.14000000000000001</v>
      </c>
      <c r="K5866" s="14">
        <v>0.1</v>
      </c>
      <c r="L5866" s="14">
        <v>0.1</v>
      </c>
      <c r="M5866" s="14">
        <v>0.1</v>
      </c>
      <c r="N5866" s="14">
        <v>0.1</v>
      </c>
      <c r="O5866" s="14">
        <v>7.0000000000000007E-2</v>
      </c>
      <c r="P5866" s="14">
        <v>7.0000000000000007E-2</v>
      </c>
      <c r="Q5866" s="14">
        <v>0.08</v>
      </c>
      <c r="R5866" s="14">
        <v>0.11</v>
      </c>
      <c r="V5866" s="14">
        <v>0.17</v>
      </c>
      <c r="W5866" s="14">
        <v>0.18</v>
      </c>
      <c r="X5866" s="14">
        <v>0.17</v>
      </c>
    </row>
    <row r="5867" spans="1:24" hidden="1" x14ac:dyDescent="0.3">
      <c r="A5867" s="14" t="s">
        <v>548</v>
      </c>
      <c r="B5867" s="14" t="s">
        <v>259</v>
      </c>
      <c r="C5867" s="14" t="s">
        <v>369</v>
      </c>
      <c r="D5867" s="14" t="s">
        <v>370</v>
      </c>
      <c r="E5867" s="14" t="s">
        <v>344</v>
      </c>
      <c r="F5867" s="14" t="s">
        <v>343</v>
      </c>
      <c r="G5867" s="14" t="s">
        <v>343</v>
      </c>
      <c r="H5867" s="14" t="s">
        <v>343</v>
      </c>
      <c r="I5867" s="14">
        <v>43</v>
      </c>
      <c r="J5867" s="14">
        <v>49</v>
      </c>
      <c r="K5867" s="14">
        <v>78</v>
      </c>
      <c r="L5867" s="14">
        <v>82</v>
      </c>
      <c r="M5867" s="14">
        <v>84</v>
      </c>
      <c r="N5867" s="14">
        <v>84</v>
      </c>
      <c r="O5867" s="14">
        <v>106</v>
      </c>
      <c r="P5867" s="14">
        <v>109</v>
      </c>
      <c r="Q5867" s="14">
        <v>114</v>
      </c>
      <c r="R5867" s="14">
        <v>102</v>
      </c>
      <c r="V5867" s="14">
        <v>80</v>
      </c>
      <c r="W5867" s="14">
        <v>84</v>
      </c>
      <c r="X5867" s="14">
        <v>85</v>
      </c>
    </row>
    <row r="5868" spans="1:24" hidden="1" x14ac:dyDescent="0.3">
      <c r="A5868" s="14" t="s">
        <v>548</v>
      </c>
      <c r="B5868" s="14" t="s">
        <v>259</v>
      </c>
      <c r="C5868" s="14" t="s">
        <v>371</v>
      </c>
      <c r="D5868" s="14" t="s">
        <v>372</v>
      </c>
      <c r="E5868" s="14" t="s">
        <v>342</v>
      </c>
      <c r="F5868" s="14" t="s">
        <v>343</v>
      </c>
      <c r="G5868" s="14" t="s">
        <v>343</v>
      </c>
      <c r="H5868" s="14" t="s">
        <v>343</v>
      </c>
      <c r="V5868" s="14">
        <v>0</v>
      </c>
      <c r="W5868" s="14">
        <v>0</v>
      </c>
      <c r="X5868" s="14">
        <v>0</v>
      </c>
    </row>
    <row r="5869" spans="1:24" hidden="1" x14ac:dyDescent="0.3">
      <c r="A5869" s="14" t="s">
        <v>548</v>
      </c>
      <c r="B5869" s="14" t="s">
        <v>259</v>
      </c>
      <c r="C5869" s="14" t="s">
        <v>371</v>
      </c>
      <c r="D5869" s="14" t="s">
        <v>372</v>
      </c>
      <c r="E5869" s="14" t="s">
        <v>344</v>
      </c>
      <c r="F5869" s="14" t="s">
        <v>343</v>
      </c>
      <c r="G5869" s="14" t="s">
        <v>343</v>
      </c>
      <c r="H5869" s="14" t="s">
        <v>343</v>
      </c>
      <c r="V5869" s="14">
        <v>73</v>
      </c>
      <c r="W5869" s="14">
        <v>76</v>
      </c>
      <c r="X5869" s="14">
        <v>78</v>
      </c>
    </row>
    <row r="5870" spans="1:24" hidden="1" x14ac:dyDescent="0.3">
      <c r="A5870" s="14" t="s">
        <v>548</v>
      </c>
      <c r="B5870" s="14" t="s">
        <v>259</v>
      </c>
      <c r="C5870" s="14" t="s">
        <v>373</v>
      </c>
      <c r="D5870" s="14" t="s">
        <v>374</v>
      </c>
      <c r="E5870" s="14" t="s">
        <v>342</v>
      </c>
      <c r="F5870" s="14" t="s">
        <v>343</v>
      </c>
      <c r="G5870" s="14" t="s">
        <v>343</v>
      </c>
      <c r="H5870" s="14" t="s">
        <v>343</v>
      </c>
      <c r="V5870" s="14">
        <v>0.43</v>
      </c>
      <c r="W5870" s="14">
        <v>0.48</v>
      </c>
      <c r="X5870" s="14">
        <v>0.48</v>
      </c>
    </row>
    <row r="5871" spans="1:24" hidden="1" x14ac:dyDescent="0.3">
      <c r="A5871" s="14" t="s">
        <v>548</v>
      </c>
      <c r="B5871" s="14" t="s">
        <v>259</v>
      </c>
      <c r="C5871" s="14" t="s">
        <v>373</v>
      </c>
      <c r="D5871" s="14" t="s">
        <v>374</v>
      </c>
      <c r="E5871" s="14" t="s">
        <v>344</v>
      </c>
      <c r="F5871" s="14" t="s">
        <v>343</v>
      </c>
      <c r="G5871" s="14" t="s">
        <v>343</v>
      </c>
      <c r="H5871" s="14" t="s">
        <v>343</v>
      </c>
      <c r="V5871" s="14">
        <v>37</v>
      </c>
      <c r="W5871" s="14">
        <v>39</v>
      </c>
      <c r="X5871" s="14">
        <v>38</v>
      </c>
    </row>
    <row r="5872" spans="1:24" hidden="1" x14ac:dyDescent="0.3">
      <c r="A5872" s="14" t="s">
        <v>548</v>
      </c>
      <c r="B5872" s="14" t="s">
        <v>259</v>
      </c>
      <c r="C5872" s="14" t="s">
        <v>375</v>
      </c>
      <c r="D5872" s="14" t="s">
        <v>376</v>
      </c>
      <c r="E5872" s="14" t="s">
        <v>342</v>
      </c>
      <c r="F5872" s="14" t="s">
        <v>343</v>
      </c>
      <c r="G5872" s="14" t="s">
        <v>343</v>
      </c>
      <c r="H5872" s="14" t="s">
        <v>343</v>
      </c>
      <c r="V5872" s="14">
        <v>0.22</v>
      </c>
      <c r="W5872" s="14">
        <v>0.2</v>
      </c>
      <c r="X5872" s="14">
        <v>0.18</v>
      </c>
    </row>
    <row r="5873" spans="1:24" hidden="1" x14ac:dyDescent="0.3">
      <c r="A5873" s="14" t="s">
        <v>548</v>
      </c>
      <c r="B5873" s="14" t="s">
        <v>259</v>
      </c>
      <c r="C5873" s="14" t="s">
        <v>375</v>
      </c>
      <c r="D5873" s="14" t="s">
        <v>376</v>
      </c>
      <c r="E5873" s="14" t="s">
        <v>344</v>
      </c>
      <c r="F5873" s="14" t="s">
        <v>343</v>
      </c>
      <c r="G5873" s="14" t="s">
        <v>343</v>
      </c>
      <c r="H5873" s="14" t="s">
        <v>343</v>
      </c>
      <c r="V5873" s="14">
        <v>101</v>
      </c>
      <c r="W5873" s="14">
        <v>116</v>
      </c>
      <c r="X5873" s="14">
        <v>115</v>
      </c>
    </row>
    <row r="5874" spans="1:24" hidden="1" x14ac:dyDescent="0.3">
      <c r="A5874" s="14" t="s">
        <v>549</v>
      </c>
      <c r="B5874" s="14" t="s">
        <v>260</v>
      </c>
      <c r="C5874" s="14" t="s">
        <v>340</v>
      </c>
      <c r="D5874" s="14" t="s">
        <v>341</v>
      </c>
      <c r="E5874" s="14" t="s">
        <v>342</v>
      </c>
      <c r="F5874" s="14" t="s">
        <v>343</v>
      </c>
      <c r="G5874" s="14" t="s">
        <v>343</v>
      </c>
      <c r="H5874" s="14" t="s">
        <v>343</v>
      </c>
      <c r="I5874" s="14">
        <v>0.92</v>
      </c>
      <c r="J5874" s="14">
        <v>0.93</v>
      </c>
      <c r="K5874" s="14">
        <v>0.93</v>
      </c>
      <c r="L5874" s="14">
        <v>0.93</v>
      </c>
      <c r="M5874" s="14">
        <v>0.93</v>
      </c>
      <c r="N5874" s="14">
        <v>0.94</v>
      </c>
      <c r="Q5874" s="14">
        <v>0.94</v>
      </c>
      <c r="R5874" s="14">
        <v>0.97</v>
      </c>
      <c r="S5874" s="14">
        <v>0.97</v>
      </c>
      <c r="T5874" s="14">
        <v>0.99</v>
      </c>
      <c r="U5874" s="14">
        <v>0.99</v>
      </c>
      <c r="V5874" s="14">
        <v>0.98</v>
      </c>
      <c r="W5874" s="14">
        <v>0.98</v>
      </c>
      <c r="X5874" s="14">
        <v>0.99</v>
      </c>
    </row>
    <row r="5875" spans="1:24" hidden="1" x14ac:dyDescent="0.3">
      <c r="A5875" s="14" t="s">
        <v>549</v>
      </c>
      <c r="B5875" s="14" t="s">
        <v>260</v>
      </c>
      <c r="C5875" s="14" t="s">
        <v>340</v>
      </c>
      <c r="D5875" s="14" t="s">
        <v>341</v>
      </c>
      <c r="E5875" s="14" t="s">
        <v>344</v>
      </c>
      <c r="F5875" s="14" t="s">
        <v>343</v>
      </c>
      <c r="G5875" s="14" t="s">
        <v>343</v>
      </c>
      <c r="H5875" s="14" t="s">
        <v>343</v>
      </c>
      <c r="I5875" s="14">
        <v>87</v>
      </c>
      <c r="J5875" s="14">
        <v>100</v>
      </c>
      <c r="K5875" s="14">
        <v>100</v>
      </c>
      <c r="L5875" s="14">
        <v>103</v>
      </c>
      <c r="M5875" s="14">
        <v>105</v>
      </c>
      <c r="N5875" s="14">
        <v>102</v>
      </c>
      <c r="Q5875" s="14">
        <v>112</v>
      </c>
      <c r="R5875" s="14">
        <v>97</v>
      </c>
      <c r="S5875" s="14">
        <v>96</v>
      </c>
      <c r="T5875" s="14">
        <v>89</v>
      </c>
      <c r="U5875" s="14">
        <v>92</v>
      </c>
      <c r="V5875" s="14">
        <v>98</v>
      </c>
      <c r="W5875" s="14">
        <v>100</v>
      </c>
      <c r="X5875" s="14">
        <v>78</v>
      </c>
    </row>
    <row r="5876" spans="1:24" hidden="1" x14ac:dyDescent="0.3">
      <c r="A5876" s="14" t="s">
        <v>549</v>
      </c>
      <c r="B5876" s="14" t="s">
        <v>260</v>
      </c>
      <c r="C5876" s="14" t="s">
        <v>345</v>
      </c>
      <c r="D5876" s="14" t="s">
        <v>346</v>
      </c>
      <c r="E5876" s="14" t="s">
        <v>342</v>
      </c>
      <c r="F5876" s="14" t="s">
        <v>343</v>
      </c>
      <c r="G5876" s="14" t="s">
        <v>343</v>
      </c>
      <c r="H5876" s="14" t="s">
        <v>343</v>
      </c>
      <c r="U5876" s="14">
        <v>0.75</v>
      </c>
      <c r="V5876" s="14">
        <v>0.74</v>
      </c>
      <c r="W5876" s="14">
        <v>0.75</v>
      </c>
      <c r="X5876" s="14">
        <v>0.75</v>
      </c>
    </row>
    <row r="5877" spans="1:24" hidden="1" x14ac:dyDescent="0.3">
      <c r="A5877" s="14" t="s">
        <v>549</v>
      </c>
      <c r="B5877" s="14" t="s">
        <v>260</v>
      </c>
      <c r="C5877" s="14" t="s">
        <v>345</v>
      </c>
      <c r="D5877" s="14" t="s">
        <v>346</v>
      </c>
      <c r="E5877" s="14" t="s">
        <v>344</v>
      </c>
      <c r="F5877" s="14" t="s">
        <v>343</v>
      </c>
      <c r="G5877" s="14" t="s">
        <v>343</v>
      </c>
      <c r="H5877" s="14" t="s">
        <v>343</v>
      </c>
      <c r="U5877" s="14">
        <v>17</v>
      </c>
      <c r="V5877" s="14">
        <v>25</v>
      </c>
      <c r="W5877" s="14">
        <v>21</v>
      </c>
      <c r="X5877" s="14">
        <v>25</v>
      </c>
    </row>
    <row r="5878" spans="1:24" hidden="1" x14ac:dyDescent="0.3">
      <c r="A5878" s="14" t="s">
        <v>549</v>
      </c>
      <c r="B5878" s="14" t="s">
        <v>260</v>
      </c>
      <c r="C5878" s="14" t="s">
        <v>347</v>
      </c>
      <c r="D5878" s="14" t="s">
        <v>348</v>
      </c>
      <c r="E5878" s="14" t="s">
        <v>342</v>
      </c>
      <c r="F5878" s="14" t="s">
        <v>343</v>
      </c>
      <c r="G5878" s="14" t="s">
        <v>343</v>
      </c>
      <c r="H5878" s="14" t="s">
        <v>343</v>
      </c>
      <c r="U5878" s="14">
        <v>0.88</v>
      </c>
      <c r="V5878" s="14">
        <v>0.88</v>
      </c>
      <c r="W5878" s="14">
        <v>0.88</v>
      </c>
      <c r="X5878" s="14">
        <v>0.89</v>
      </c>
    </row>
    <row r="5879" spans="1:24" hidden="1" x14ac:dyDescent="0.3">
      <c r="A5879" s="14" t="s">
        <v>549</v>
      </c>
      <c r="B5879" s="14" t="s">
        <v>260</v>
      </c>
      <c r="C5879" s="14" t="s">
        <v>347</v>
      </c>
      <c r="D5879" s="14" t="s">
        <v>348</v>
      </c>
      <c r="E5879" s="14" t="s">
        <v>344</v>
      </c>
      <c r="F5879" s="14" t="s">
        <v>343</v>
      </c>
      <c r="G5879" s="14" t="s">
        <v>343</v>
      </c>
      <c r="H5879" s="14" t="s">
        <v>343</v>
      </c>
      <c r="U5879" s="14">
        <v>49</v>
      </c>
      <c r="V5879" s="14">
        <v>50</v>
      </c>
      <c r="W5879" s="14">
        <v>52</v>
      </c>
      <c r="X5879" s="14">
        <v>20</v>
      </c>
    </row>
    <row r="5880" spans="1:24" hidden="1" x14ac:dyDescent="0.3">
      <c r="A5880" s="14" t="s">
        <v>549</v>
      </c>
      <c r="B5880" s="14" t="s">
        <v>260</v>
      </c>
      <c r="C5880" s="14" t="s">
        <v>349</v>
      </c>
      <c r="D5880" s="14" t="s">
        <v>350</v>
      </c>
      <c r="E5880" s="14" t="s">
        <v>342</v>
      </c>
      <c r="F5880" s="14" t="s">
        <v>343</v>
      </c>
      <c r="G5880" s="14" t="s">
        <v>343</v>
      </c>
      <c r="H5880" s="14" t="s">
        <v>343</v>
      </c>
      <c r="U5880" s="14">
        <v>0.41</v>
      </c>
      <c r="V5880" s="14">
        <v>0.41</v>
      </c>
      <c r="W5880" s="14">
        <v>0.51</v>
      </c>
      <c r="X5880" s="14">
        <v>0.51</v>
      </c>
    </row>
    <row r="5881" spans="1:24" hidden="1" x14ac:dyDescent="0.3">
      <c r="A5881" s="14" t="s">
        <v>549</v>
      </c>
      <c r="B5881" s="14" t="s">
        <v>260</v>
      </c>
      <c r="C5881" s="14" t="s">
        <v>349</v>
      </c>
      <c r="D5881" s="14" t="s">
        <v>350</v>
      </c>
      <c r="E5881" s="14" t="s">
        <v>344</v>
      </c>
      <c r="F5881" s="14" t="s">
        <v>343</v>
      </c>
      <c r="G5881" s="14" t="s">
        <v>343</v>
      </c>
      <c r="H5881" s="14" t="s">
        <v>343</v>
      </c>
      <c r="U5881" s="14">
        <v>88</v>
      </c>
      <c r="V5881" s="14">
        <v>90</v>
      </c>
      <c r="W5881" s="14">
        <v>72</v>
      </c>
      <c r="X5881" s="14">
        <v>75</v>
      </c>
    </row>
    <row r="5882" spans="1:24" hidden="1" x14ac:dyDescent="0.3">
      <c r="A5882" s="14" t="s">
        <v>549</v>
      </c>
      <c r="B5882" s="14" t="s">
        <v>260</v>
      </c>
      <c r="C5882" s="14" t="s">
        <v>351</v>
      </c>
      <c r="D5882" s="14" t="s">
        <v>352</v>
      </c>
      <c r="E5882" s="14" t="s">
        <v>342</v>
      </c>
      <c r="F5882" s="14" t="s">
        <v>343</v>
      </c>
      <c r="G5882" s="14" t="s">
        <v>343</v>
      </c>
      <c r="H5882" s="14" t="s">
        <v>343</v>
      </c>
      <c r="U5882" s="14">
        <v>0.84</v>
      </c>
      <c r="V5882" s="14">
        <v>0.84</v>
      </c>
      <c r="W5882" s="14">
        <v>1</v>
      </c>
      <c r="X5882" s="14">
        <v>1</v>
      </c>
    </row>
    <row r="5883" spans="1:24" hidden="1" x14ac:dyDescent="0.3">
      <c r="A5883" s="14" t="s">
        <v>549</v>
      </c>
      <c r="B5883" s="14" t="s">
        <v>260</v>
      </c>
      <c r="C5883" s="14" t="s">
        <v>351</v>
      </c>
      <c r="D5883" s="14" t="s">
        <v>352</v>
      </c>
      <c r="E5883" s="14" t="s">
        <v>344</v>
      </c>
      <c r="F5883" s="14" t="s">
        <v>343</v>
      </c>
      <c r="G5883" s="14" t="s">
        <v>343</v>
      </c>
      <c r="H5883" s="14" t="s">
        <v>343</v>
      </c>
      <c r="U5883" s="14">
        <v>97</v>
      </c>
      <c r="V5883" s="14">
        <v>100</v>
      </c>
      <c r="W5883" s="14">
        <v>1</v>
      </c>
      <c r="X5883" s="14">
        <v>1</v>
      </c>
    </row>
    <row r="5884" spans="1:24" hidden="1" x14ac:dyDescent="0.3">
      <c r="A5884" s="14" t="s">
        <v>549</v>
      </c>
      <c r="B5884" s="14" t="s">
        <v>260</v>
      </c>
      <c r="C5884" s="14" t="s">
        <v>378</v>
      </c>
      <c r="D5884" s="14" t="s">
        <v>379</v>
      </c>
      <c r="E5884" s="14" t="s">
        <v>342</v>
      </c>
      <c r="F5884" s="14" t="s">
        <v>343</v>
      </c>
      <c r="G5884" s="14" t="s">
        <v>343</v>
      </c>
      <c r="H5884" s="14" t="s">
        <v>343</v>
      </c>
      <c r="S5884" s="14">
        <v>0.71</v>
      </c>
      <c r="U5884" s="14">
        <v>0.73</v>
      </c>
      <c r="V5884" s="14">
        <v>0.73</v>
      </c>
      <c r="W5884" s="14">
        <v>0.73</v>
      </c>
      <c r="X5884" s="14">
        <v>0.73</v>
      </c>
    </row>
    <row r="5885" spans="1:24" hidden="1" x14ac:dyDescent="0.3">
      <c r="A5885" s="14" t="s">
        <v>549</v>
      </c>
      <c r="B5885" s="14" t="s">
        <v>260</v>
      </c>
      <c r="C5885" s="14" t="s">
        <v>378</v>
      </c>
      <c r="D5885" s="14" t="s">
        <v>379</v>
      </c>
      <c r="E5885" s="14" t="s">
        <v>344</v>
      </c>
      <c r="F5885" s="14" t="s">
        <v>343</v>
      </c>
      <c r="G5885" s="14" t="s">
        <v>343</v>
      </c>
      <c r="H5885" s="14" t="s">
        <v>343</v>
      </c>
      <c r="S5885" s="14">
        <v>36</v>
      </c>
      <c r="U5885" s="14">
        <v>27</v>
      </c>
      <c r="V5885" s="14">
        <v>27</v>
      </c>
      <c r="W5885" s="14">
        <v>34</v>
      </c>
      <c r="X5885" s="14">
        <v>34</v>
      </c>
    </row>
    <row r="5886" spans="1:24" hidden="1" x14ac:dyDescent="0.3">
      <c r="A5886" s="14" t="s">
        <v>549</v>
      </c>
      <c r="B5886" s="14" t="s">
        <v>260</v>
      </c>
      <c r="C5886" s="14" t="s">
        <v>353</v>
      </c>
      <c r="D5886" s="14" t="s">
        <v>354</v>
      </c>
      <c r="E5886" s="14" t="s">
        <v>342</v>
      </c>
      <c r="F5886" s="14" t="s">
        <v>343</v>
      </c>
      <c r="G5886" s="14" t="s">
        <v>343</v>
      </c>
      <c r="H5886" s="14" t="s">
        <v>343</v>
      </c>
      <c r="U5886" s="14">
        <v>0.99</v>
      </c>
      <c r="V5886" s="14">
        <v>0.99</v>
      </c>
      <c r="W5886" s="14">
        <v>0.99</v>
      </c>
      <c r="X5886" s="14">
        <v>0.99</v>
      </c>
    </row>
    <row r="5887" spans="1:24" hidden="1" x14ac:dyDescent="0.3">
      <c r="A5887" s="14" t="s">
        <v>549</v>
      </c>
      <c r="B5887" s="14" t="s">
        <v>260</v>
      </c>
      <c r="C5887" s="14" t="s">
        <v>353</v>
      </c>
      <c r="D5887" s="14" t="s">
        <v>354</v>
      </c>
      <c r="E5887" s="14" t="s">
        <v>344</v>
      </c>
      <c r="F5887" s="14" t="s">
        <v>343</v>
      </c>
      <c r="G5887" s="14" t="s">
        <v>343</v>
      </c>
      <c r="H5887" s="14" t="s">
        <v>343</v>
      </c>
      <c r="U5887" s="14">
        <v>65</v>
      </c>
      <c r="V5887" s="14">
        <v>71</v>
      </c>
      <c r="W5887" s="14">
        <v>71</v>
      </c>
      <c r="X5887" s="14">
        <v>69</v>
      </c>
    </row>
    <row r="5888" spans="1:24" hidden="1" x14ac:dyDescent="0.3">
      <c r="A5888" s="14" t="s">
        <v>549</v>
      </c>
      <c r="B5888" s="14" t="s">
        <v>260</v>
      </c>
      <c r="C5888" s="14" t="s">
        <v>380</v>
      </c>
      <c r="D5888" s="14" t="s">
        <v>381</v>
      </c>
      <c r="E5888" s="14" t="s">
        <v>342</v>
      </c>
      <c r="F5888" s="14" t="s">
        <v>343</v>
      </c>
      <c r="G5888" s="14" t="s">
        <v>343</v>
      </c>
      <c r="H5888" s="14" t="s">
        <v>343</v>
      </c>
      <c r="U5888" s="14">
        <v>1</v>
      </c>
      <c r="V5888" s="14">
        <v>1</v>
      </c>
      <c r="W5888" s="14">
        <v>1</v>
      </c>
      <c r="X5888" s="14">
        <v>1</v>
      </c>
    </row>
    <row r="5889" spans="1:24" hidden="1" x14ac:dyDescent="0.3">
      <c r="A5889" s="14" t="s">
        <v>549</v>
      </c>
      <c r="B5889" s="14" t="s">
        <v>260</v>
      </c>
      <c r="C5889" s="14" t="s">
        <v>380</v>
      </c>
      <c r="D5889" s="14" t="s">
        <v>381</v>
      </c>
      <c r="E5889" s="14" t="s">
        <v>344</v>
      </c>
      <c r="F5889" s="14" t="s">
        <v>343</v>
      </c>
      <c r="G5889" s="14" t="s">
        <v>343</v>
      </c>
      <c r="H5889" s="14" t="s">
        <v>343</v>
      </c>
      <c r="U5889" s="14">
        <v>1</v>
      </c>
      <c r="V5889" s="14">
        <v>1</v>
      </c>
      <c r="W5889" s="14">
        <v>1</v>
      </c>
      <c r="X5889" s="14">
        <v>1</v>
      </c>
    </row>
    <row r="5890" spans="1:24" hidden="1" x14ac:dyDescent="0.3">
      <c r="A5890" s="14" t="s">
        <v>549</v>
      </c>
      <c r="B5890" s="14" t="s">
        <v>260</v>
      </c>
      <c r="C5890" s="14" t="s">
        <v>355</v>
      </c>
      <c r="D5890" s="14" t="s">
        <v>356</v>
      </c>
      <c r="E5890" s="14" t="s">
        <v>342</v>
      </c>
      <c r="F5890" s="14" t="s">
        <v>343</v>
      </c>
      <c r="G5890" s="14" t="s">
        <v>343</v>
      </c>
      <c r="H5890" s="14" t="s">
        <v>343</v>
      </c>
      <c r="U5890" s="14">
        <v>1</v>
      </c>
      <c r="V5890" s="14">
        <v>0.99</v>
      </c>
      <c r="W5890" s="14">
        <v>0.99</v>
      </c>
      <c r="X5890" s="14">
        <v>0.96</v>
      </c>
    </row>
    <row r="5891" spans="1:24" hidden="1" x14ac:dyDescent="0.3">
      <c r="A5891" s="14" t="s">
        <v>549</v>
      </c>
      <c r="B5891" s="14" t="s">
        <v>260</v>
      </c>
      <c r="C5891" s="14" t="s">
        <v>355</v>
      </c>
      <c r="D5891" s="14" t="s">
        <v>356</v>
      </c>
      <c r="E5891" s="14" t="s">
        <v>344</v>
      </c>
      <c r="F5891" s="14" t="s">
        <v>343</v>
      </c>
      <c r="G5891" s="14" t="s">
        <v>343</v>
      </c>
      <c r="H5891" s="14" t="s">
        <v>343</v>
      </c>
      <c r="U5891" s="14">
        <v>1</v>
      </c>
      <c r="V5891" s="14">
        <v>111</v>
      </c>
      <c r="W5891" s="14">
        <v>112</v>
      </c>
      <c r="X5891" s="14">
        <v>107</v>
      </c>
    </row>
    <row r="5892" spans="1:24" hidden="1" x14ac:dyDescent="0.3">
      <c r="A5892" s="14" t="s">
        <v>549</v>
      </c>
      <c r="B5892" s="14" t="s">
        <v>260</v>
      </c>
      <c r="C5892" s="14" t="s">
        <v>357</v>
      </c>
      <c r="D5892" s="14" t="s">
        <v>358</v>
      </c>
      <c r="E5892" s="14" t="s">
        <v>342</v>
      </c>
      <c r="F5892" s="14" t="s">
        <v>343</v>
      </c>
      <c r="G5892" s="14" t="s">
        <v>343</v>
      </c>
      <c r="H5892" s="14" t="s">
        <v>343</v>
      </c>
      <c r="U5892" s="14">
        <v>0.9</v>
      </c>
      <c r="V5892" s="14">
        <v>0.84</v>
      </c>
      <c r="W5892" s="14">
        <v>0.84</v>
      </c>
      <c r="X5892" s="14">
        <v>1</v>
      </c>
    </row>
    <row r="5893" spans="1:24" hidden="1" x14ac:dyDescent="0.3">
      <c r="A5893" s="14" t="s">
        <v>549</v>
      </c>
      <c r="B5893" s="14" t="s">
        <v>260</v>
      </c>
      <c r="C5893" s="14" t="s">
        <v>357</v>
      </c>
      <c r="D5893" s="14" t="s">
        <v>358</v>
      </c>
      <c r="E5893" s="14" t="s">
        <v>344</v>
      </c>
      <c r="F5893" s="14" t="s">
        <v>343</v>
      </c>
      <c r="G5893" s="14" t="s">
        <v>343</v>
      </c>
      <c r="H5893" s="14" t="s">
        <v>343</v>
      </c>
      <c r="U5893" s="14">
        <v>106</v>
      </c>
      <c r="V5893" s="14">
        <v>115</v>
      </c>
      <c r="W5893" s="14">
        <v>116</v>
      </c>
      <c r="X5893" s="14">
        <v>1</v>
      </c>
    </row>
    <row r="5894" spans="1:24" hidden="1" x14ac:dyDescent="0.3">
      <c r="A5894" s="14" t="s">
        <v>549</v>
      </c>
      <c r="B5894" s="14" t="s">
        <v>260</v>
      </c>
      <c r="C5894" s="14" t="s">
        <v>359</v>
      </c>
      <c r="D5894" s="14" t="s">
        <v>360</v>
      </c>
      <c r="E5894" s="14" t="s">
        <v>342</v>
      </c>
      <c r="F5894" s="14" t="s">
        <v>343</v>
      </c>
      <c r="G5894" s="14" t="s">
        <v>343</v>
      </c>
      <c r="H5894" s="14" t="s">
        <v>343</v>
      </c>
      <c r="I5894" s="14">
        <v>0.61</v>
      </c>
      <c r="J5894" s="14">
        <v>0.6</v>
      </c>
      <c r="K5894" s="14">
        <v>0.61</v>
      </c>
      <c r="L5894" s="14">
        <v>0.62</v>
      </c>
      <c r="M5894" s="14">
        <v>0.64</v>
      </c>
      <c r="N5894" s="14">
        <v>0.65</v>
      </c>
      <c r="Q5894" s="14">
        <v>0.71</v>
      </c>
      <c r="R5894" s="14">
        <v>0.71</v>
      </c>
      <c r="S5894" s="14">
        <v>0.71</v>
      </c>
      <c r="T5894" s="14">
        <v>0.71</v>
      </c>
      <c r="U5894" s="14">
        <v>0.73</v>
      </c>
      <c r="V5894" s="14">
        <v>0.73</v>
      </c>
      <c r="W5894" s="14">
        <v>0.76</v>
      </c>
      <c r="X5894" s="14">
        <v>0.77</v>
      </c>
    </row>
    <row r="5895" spans="1:24" hidden="1" x14ac:dyDescent="0.3">
      <c r="A5895" s="14" t="s">
        <v>549</v>
      </c>
      <c r="B5895" s="14" t="s">
        <v>260</v>
      </c>
      <c r="C5895" s="14" t="s">
        <v>359</v>
      </c>
      <c r="D5895" s="14" t="s">
        <v>360</v>
      </c>
      <c r="E5895" s="14" t="s">
        <v>344</v>
      </c>
      <c r="F5895" s="14" t="s">
        <v>343</v>
      </c>
      <c r="G5895" s="14" t="s">
        <v>343</v>
      </c>
      <c r="H5895" s="14" t="s">
        <v>343</v>
      </c>
      <c r="I5895" s="14">
        <v>62</v>
      </c>
      <c r="J5895" s="14">
        <v>79</v>
      </c>
      <c r="K5895" s="14">
        <v>76</v>
      </c>
      <c r="L5895" s="14">
        <v>81</v>
      </c>
      <c r="M5895" s="14">
        <v>67</v>
      </c>
      <c r="N5895" s="14">
        <v>66</v>
      </c>
      <c r="Q5895" s="14">
        <v>47</v>
      </c>
      <c r="R5895" s="14">
        <v>51</v>
      </c>
      <c r="S5895" s="14">
        <v>45</v>
      </c>
      <c r="T5895" s="14">
        <v>49</v>
      </c>
      <c r="U5895" s="14">
        <v>40</v>
      </c>
      <c r="V5895" s="14">
        <v>45</v>
      </c>
      <c r="W5895" s="14">
        <v>28</v>
      </c>
      <c r="X5895" s="14">
        <v>24</v>
      </c>
    </row>
    <row r="5896" spans="1:24" x14ac:dyDescent="0.3">
      <c r="A5896" s="14" t="s">
        <v>549</v>
      </c>
      <c r="B5896" s="14" t="s">
        <v>260</v>
      </c>
      <c r="C5896" s="14" t="s">
        <v>361</v>
      </c>
      <c r="D5896" s="14" t="s">
        <v>362</v>
      </c>
      <c r="E5896" s="14" t="s">
        <v>342</v>
      </c>
      <c r="F5896" s="14" t="s">
        <v>343</v>
      </c>
      <c r="G5896" s="14" t="s">
        <v>343</v>
      </c>
      <c r="H5896" s="14" t="s">
        <v>343</v>
      </c>
      <c r="I5896" s="14">
        <v>0.96</v>
      </c>
      <c r="J5896" s="14">
        <v>0.95</v>
      </c>
      <c r="K5896" s="14">
        <v>0.95</v>
      </c>
      <c r="L5896" s="14">
        <v>0.95</v>
      </c>
      <c r="M5896" s="14">
        <v>0.95</v>
      </c>
      <c r="N5896" s="14">
        <v>0.95</v>
      </c>
      <c r="Q5896" s="14">
        <v>0.98</v>
      </c>
      <c r="R5896" s="14">
        <v>0.98</v>
      </c>
      <c r="S5896" s="14">
        <v>0.98</v>
      </c>
      <c r="T5896" s="14">
        <v>0.98</v>
      </c>
      <c r="U5896" s="14">
        <v>0.98</v>
      </c>
      <c r="V5896" s="14">
        <v>0.98</v>
      </c>
      <c r="W5896" s="14">
        <v>0.98</v>
      </c>
      <c r="X5896" s="14">
        <v>0.98</v>
      </c>
    </row>
    <row r="5897" spans="1:24" hidden="1" x14ac:dyDescent="0.3">
      <c r="A5897" s="14" t="s">
        <v>549</v>
      </c>
      <c r="B5897" s="14" t="s">
        <v>260</v>
      </c>
      <c r="C5897" s="14" t="s">
        <v>361</v>
      </c>
      <c r="D5897" s="14" t="s">
        <v>362</v>
      </c>
      <c r="E5897" s="14" t="s">
        <v>344</v>
      </c>
      <c r="F5897" s="14" t="s">
        <v>343</v>
      </c>
      <c r="G5897" s="14" t="s">
        <v>343</v>
      </c>
      <c r="H5897" s="14" t="s">
        <v>343</v>
      </c>
      <c r="I5897" s="14">
        <v>108</v>
      </c>
      <c r="J5897" s="14">
        <v>119</v>
      </c>
      <c r="K5897" s="14">
        <v>121</v>
      </c>
      <c r="L5897" s="14">
        <v>125</v>
      </c>
      <c r="M5897" s="14">
        <v>128</v>
      </c>
      <c r="N5897" s="14">
        <v>129</v>
      </c>
      <c r="Q5897" s="14">
        <v>1</v>
      </c>
      <c r="R5897" s="14">
        <v>1</v>
      </c>
      <c r="S5897" s="14">
        <v>1</v>
      </c>
      <c r="T5897" s="14">
        <v>68</v>
      </c>
      <c r="U5897" s="14">
        <v>1</v>
      </c>
      <c r="V5897" s="14">
        <v>1</v>
      </c>
      <c r="W5897" s="14">
        <v>1</v>
      </c>
      <c r="X5897" s="14">
        <v>1</v>
      </c>
    </row>
    <row r="5898" spans="1:24" hidden="1" x14ac:dyDescent="0.3">
      <c r="A5898" s="14" t="s">
        <v>549</v>
      </c>
      <c r="B5898" s="14" t="s">
        <v>260</v>
      </c>
      <c r="C5898" s="14" t="s">
        <v>363</v>
      </c>
      <c r="D5898" s="14" t="s">
        <v>364</v>
      </c>
      <c r="E5898" s="14" t="s">
        <v>342</v>
      </c>
      <c r="F5898" s="14" t="s">
        <v>343</v>
      </c>
      <c r="G5898" s="14" t="s">
        <v>343</v>
      </c>
      <c r="H5898" s="14" t="s">
        <v>343</v>
      </c>
      <c r="U5898" s="14">
        <v>1.06</v>
      </c>
      <c r="V5898" s="14">
        <v>1.06</v>
      </c>
      <c r="W5898" s="14">
        <v>1.06</v>
      </c>
      <c r="X5898" s="14">
        <v>1.06</v>
      </c>
    </row>
    <row r="5899" spans="1:24" hidden="1" x14ac:dyDescent="0.3">
      <c r="A5899" s="14" t="s">
        <v>549</v>
      </c>
      <c r="B5899" s="14" t="s">
        <v>260</v>
      </c>
      <c r="C5899" s="14" t="s">
        <v>363</v>
      </c>
      <c r="D5899" s="14" t="s">
        <v>364</v>
      </c>
      <c r="E5899" s="14" t="s">
        <v>344</v>
      </c>
      <c r="F5899" s="14" t="s">
        <v>343</v>
      </c>
      <c r="G5899" s="14" t="s">
        <v>343</v>
      </c>
      <c r="H5899" s="14" t="s">
        <v>343</v>
      </c>
      <c r="U5899" s="14">
        <v>1</v>
      </c>
      <c r="V5899" s="14">
        <v>1</v>
      </c>
      <c r="W5899" s="14">
        <v>1</v>
      </c>
      <c r="X5899" s="14">
        <v>1</v>
      </c>
    </row>
    <row r="5900" spans="1:24" hidden="1" x14ac:dyDescent="0.3">
      <c r="A5900" s="14" t="s">
        <v>549</v>
      </c>
      <c r="B5900" s="14" t="s">
        <v>260</v>
      </c>
      <c r="C5900" s="14" t="s">
        <v>365</v>
      </c>
      <c r="D5900" s="14" t="s">
        <v>366</v>
      </c>
      <c r="E5900" s="14" t="s">
        <v>342</v>
      </c>
      <c r="F5900" s="14" t="s">
        <v>343</v>
      </c>
      <c r="G5900" s="14" t="s">
        <v>343</v>
      </c>
      <c r="H5900" s="14" t="s">
        <v>343</v>
      </c>
      <c r="U5900" s="14">
        <v>0.94</v>
      </c>
      <c r="V5900" s="14">
        <v>0.94</v>
      </c>
      <c r="W5900" s="14">
        <v>0.94</v>
      </c>
      <c r="X5900" s="14">
        <v>0.94</v>
      </c>
    </row>
    <row r="5901" spans="1:24" hidden="1" x14ac:dyDescent="0.3">
      <c r="A5901" s="14" t="s">
        <v>549</v>
      </c>
      <c r="B5901" s="14" t="s">
        <v>260</v>
      </c>
      <c r="C5901" s="14" t="s">
        <v>365</v>
      </c>
      <c r="D5901" s="14" t="s">
        <v>366</v>
      </c>
      <c r="E5901" s="14" t="s">
        <v>344</v>
      </c>
      <c r="F5901" s="14" t="s">
        <v>343</v>
      </c>
      <c r="G5901" s="14" t="s">
        <v>343</v>
      </c>
      <c r="H5901" s="14" t="s">
        <v>343</v>
      </c>
      <c r="U5901" s="14">
        <v>1</v>
      </c>
      <c r="V5901" s="14">
        <v>1</v>
      </c>
      <c r="W5901" s="14">
        <v>1</v>
      </c>
      <c r="X5901" s="14">
        <v>1</v>
      </c>
    </row>
    <row r="5902" spans="1:24" hidden="1" x14ac:dyDescent="0.3">
      <c r="A5902" s="14" t="s">
        <v>549</v>
      </c>
      <c r="B5902" s="14" t="s">
        <v>260</v>
      </c>
      <c r="C5902" s="14" t="s">
        <v>367</v>
      </c>
      <c r="D5902" s="14" t="s">
        <v>368</v>
      </c>
      <c r="E5902" s="14" t="s">
        <v>342</v>
      </c>
      <c r="F5902" s="14" t="s">
        <v>343</v>
      </c>
      <c r="G5902" s="14" t="s">
        <v>343</v>
      </c>
      <c r="H5902" s="14" t="s">
        <v>343</v>
      </c>
      <c r="I5902" s="14">
        <v>0.65</v>
      </c>
      <c r="J5902" s="14">
        <v>0.65</v>
      </c>
      <c r="K5902" s="14">
        <v>0.65</v>
      </c>
      <c r="L5902" s="14">
        <v>0.65</v>
      </c>
      <c r="M5902" s="14">
        <v>0.66</v>
      </c>
      <c r="N5902" s="14">
        <v>0.66</v>
      </c>
      <c r="Q5902" s="14">
        <v>0.7</v>
      </c>
      <c r="R5902" s="14">
        <v>0.71</v>
      </c>
      <c r="S5902" s="14">
        <v>0.71</v>
      </c>
      <c r="T5902" s="14">
        <v>0.72</v>
      </c>
      <c r="U5902" s="14">
        <v>0.72</v>
      </c>
      <c r="V5902" s="14">
        <v>0.73</v>
      </c>
      <c r="W5902" s="14">
        <v>0.73</v>
      </c>
      <c r="X5902" s="14">
        <v>0.73</v>
      </c>
    </row>
    <row r="5903" spans="1:24" hidden="1" x14ac:dyDescent="0.3">
      <c r="A5903" s="14" t="s">
        <v>549</v>
      </c>
      <c r="B5903" s="14" t="s">
        <v>260</v>
      </c>
      <c r="C5903" s="14" t="s">
        <v>367</v>
      </c>
      <c r="D5903" s="14" t="s">
        <v>368</v>
      </c>
      <c r="E5903" s="14" t="s">
        <v>344</v>
      </c>
      <c r="F5903" s="14" t="s">
        <v>343</v>
      </c>
      <c r="G5903" s="14" t="s">
        <v>343</v>
      </c>
      <c r="H5903" s="14" t="s">
        <v>343</v>
      </c>
      <c r="I5903" s="14">
        <v>76</v>
      </c>
      <c r="J5903" s="14">
        <v>88</v>
      </c>
      <c r="K5903" s="14">
        <v>92</v>
      </c>
      <c r="L5903" s="14">
        <v>95</v>
      </c>
      <c r="M5903" s="14">
        <v>92</v>
      </c>
      <c r="N5903" s="14">
        <v>88</v>
      </c>
      <c r="Q5903" s="14">
        <v>63</v>
      </c>
      <c r="R5903" s="14">
        <v>57</v>
      </c>
      <c r="S5903" s="14">
        <v>56</v>
      </c>
      <c r="T5903" s="14">
        <v>50</v>
      </c>
      <c r="U5903" s="14">
        <v>47</v>
      </c>
      <c r="V5903" s="14">
        <v>47</v>
      </c>
      <c r="W5903" s="14">
        <v>47</v>
      </c>
      <c r="X5903" s="14">
        <v>50</v>
      </c>
    </row>
    <row r="5904" spans="1:24" hidden="1" x14ac:dyDescent="0.3">
      <c r="A5904" s="14" t="s">
        <v>549</v>
      </c>
      <c r="B5904" s="14" t="s">
        <v>260</v>
      </c>
      <c r="C5904" s="14" t="s">
        <v>369</v>
      </c>
      <c r="D5904" s="14" t="s">
        <v>370</v>
      </c>
      <c r="E5904" s="14" t="s">
        <v>342</v>
      </c>
      <c r="F5904" s="14" t="s">
        <v>343</v>
      </c>
      <c r="G5904" s="14" t="s">
        <v>343</v>
      </c>
      <c r="H5904" s="14" t="s">
        <v>343</v>
      </c>
      <c r="I5904" s="14">
        <v>0.1</v>
      </c>
      <c r="J5904" s="14">
        <v>0.1</v>
      </c>
      <c r="K5904" s="14">
        <v>0.1</v>
      </c>
      <c r="L5904" s="14">
        <v>0.1</v>
      </c>
      <c r="M5904" s="14">
        <v>0.11</v>
      </c>
      <c r="N5904" s="14">
        <v>0.11</v>
      </c>
      <c r="Q5904" s="14">
        <v>0.17</v>
      </c>
      <c r="R5904" s="14">
        <v>0.18</v>
      </c>
      <c r="S5904" s="14">
        <v>0.18</v>
      </c>
      <c r="T5904" s="14">
        <v>0.2</v>
      </c>
      <c r="U5904" s="14">
        <v>0.19</v>
      </c>
      <c r="V5904" s="14">
        <v>0.24</v>
      </c>
      <c r="W5904" s="14">
        <v>0.21</v>
      </c>
      <c r="X5904" s="14">
        <v>0.2</v>
      </c>
    </row>
    <row r="5905" spans="1:24" hidden="1" x14ac:dyDescent="0.3">
      <c r="A5905" s="14" t="s">
        <v>549</v>
      </c>
      <c r="B5905" s="14" t="s">
        <v>260</v>
      </c>
      <c r="C5905" s="14" t="s">
        <v>369</v>
      </c>
      <c r="D5905" s="14" t="s">
        <v>370</v>
      </c>
      <c r="E5905" s="14" t="s">
        <v>344</v>
      </c>
      <c r="F5905" s="14" t="s">
        <v>343</v>
      </c>
      <c r="G5905" s="14" t="s">
        <v>343</v>
      </c>
      <c r="H5905" s="14" t="s">
        <v>343</v>
      </c>
      <c r="I5905" s="14">
        <v>62</v>
      </c>
      <c r="J5905" s="14">
        <v>64</v>
      </c>
      <c r="K5905" s="14">
        <v>83</v>
      </c>
      <c r="L5905" s="14">
        <v>83</v>
      </c>
      <c r="M5905" s="14">
        <v>76</v>
      </c>
      <c r="N5905" s="14">
        <v>75</v>
      </c>
      <c r="Q5905" s="14">
        <v>64</v>
      </c>
      <c r="R5905" s="14">
        <v>66</v>
      </c>
      <c r="S5905" s="14">
        <v>69</v>
      </c>
      <c r="T5905" s="14">
        <v>62</v>
      </c>
      <c r="U5905" s="14">
        <v>63</v>
      </c>
      <c r="V5905" s="14">
        <v>54</v>
      </c>
      <c r="W5905" s="14">
        <v>71</v>
      </c>
      <c r="X5905" s="14">
        <v>77</v>
      </c>
    </row>
    <row r="5906" spans="1:24" hidden="1" x14ac:dyDescent="0.3">
      <c r="A5906" s="14" t="s">
        <v>549</v>
      </c>
      <c r="B5906" s="14" t="s">
        <v>260</v>
      </c>
      <c r="C5906" s="14" t="s">
        <v>371</v>
      </c>
      <c r="D5906" s="14" t="s">
        <v>372</v>
      </c>
      <c r="E5906" s="14" t="s">
        <v>342</v>
      </c>
      <c r="F5906" s="14" t="s">
        <v>343</v>
      </c>
      <c r="G5906" s="14" t="s">
        <v>343</v>
      </c>
      <c r="H5906" s="14" t="s">
        <v>343</v>
      </c>
      <c r="V5906" s="14">
        <v>0</v>
      </c>
      <c r="W5906" s="14">
        <v>0</v>
      </c>
      <c r="X5906" s="14">
        <v>0</v>
      </c>
    </row>
    <row r="5907" spans="1:24" hidden="1" x14ac:dyDescent="0.3">
      <c r="A5907" s="14" t="s">
        <v>549</v>
      </c>
      <c r="B5907" s="14" t="s">
        <v>260</v>
      </c>
      <c r="C5907" s="14" t="s">
        <v>371</v>
      </c>
      <c r="D5907" s="14" t="s">
        <v>372</v>
      </c>
      <c r="E5907" s="14" t="s">
        <v>344</v>
      </c>
      <c r="F5907" s="14" t="s">
        <v>343</v>
      </c>
      <c r="G5907" s="14" t="s">
        <v>343</v>
      </c>
      <c r="H5907" s="14" t="s">
        <v>343</v>
      </c>
      <c r="U5907" s="14">
        <v>71</v>
      </c>
      <c r="V5907" s="14">
        <v>73</v>
      </c>
      <c r="W5907" s="14">
        <v>76</v>
      </c>
      <c r="X5907" s="14">
        <v>78</v>
      </c>
    </row>
    <row r="5908" spans="1:24" hidden="1" x14ac:dyDescent="0.3">
      <c r="A5908" s="14" t="s">
        <v>549</v>
      </c>
      <c r="B5908" s="14" t="s">
        <v>260</v>
      </c>
      <c r="C5908" s="14" t="s">
        <v>373</v>
      </c>
      <c r="D5908" s="14" t="s">
        <v>374</v>
      </c>
      <c r="E5908" s="14" t="s">
        <v>342</v>
      </c>
      <c r="F5908" s="14" t="s">
        <v>343</v>
      </c>
      <c r="G5908" s="14" t="s">
        <v>343</v>
      </c>
      <c r="H5908" s="14" t="s">
        <v>343</v>
      </c>
      <c r="U5908" s="14">
        <v>0.19</v>
      </c>
      <c r="V5908" s="14">
        <v>0.38</v>
      </c>
      <c r="W5908" s="14">
        <v>0.26</v>
      </c>
      <c r="X5908" s="14">
        <v>0.26</v>
      </c>
    </row>
    <row r="5909" spans="1:24" hidden="1" x14ac:dyDescent="0.3">
      <c r="A5909" s="14" t="s">
        <v>549</v>
      </c>
      <c r="B5909" s="14" t="s">
        <v>260</v>
      </c>
      <c r="C5909" s="14" t="s">
        <v>373</v>
      </c>
      <c r="D5909" s="14" t="s">
        <v>374</v>
      </c>
      <c r="E5909" s="14" t="s">
        <v>344</v>
      </c>
      <c r="F5909" s="14" t="s">
        <v>343</v>
      </c>
      <c r="G5909" s="14" t="s">
        <v>343</v>
      </c>
      <c r="H5909" s="14" t="s">
        <v>343</v>
      </c>
      <c r="U5909" s="14">
        <v>87</v>
      </c>
      <c r="V5909" s="14">
        <v>49</v>
      </c>
      <c r="W5909" s="14">
        <v>81</v>
      </c>
      <c r="X5909" s="14">
        <v>76</v>
      </c>
    </row>
    <row r="5910" spans="1:24" hidden="1" x14ac:dyDescent="0.3">
      <c r="A5910" s="14" t="s">
        <v>549</v>
      </c>
      <c r="B5910" s="14" t="s">
        <v>260</v>
      </c>
      <c r="C5910" s="14" t="s">
        <v>375</v>
      </c>
      <c r="D5910" s="14" t="s">
        <v>376</v>
      </c>
      <c r="E5910" s="14" t="s">
        <v>342</v>
      </c>
      <c r="F5910" s="14" t="s">
        <v>343</v>
      </c>
      <c r="G5910" s="14" t="s">
        <v>343</v>
      </c>
      <c r="H5910" s="14" t="s">
        <v>343</v>
      </c>
      <c r="U5910" s="14">
        <v>0.46</v>
      </c>
      <c r="V5910" s="14">
        <v>0.47</v>
      </c>
      <c r="W5910" s="14">
        <v>0.47</v>
      </c>
      <c r="X5910" s="14">
        <v>0.44</v>
      </c>
    </row>
    <row r="5911" spans="1:24" hidden="1" x14ac:dyDescent="0.3">
      <c r="A5911" s="14" t="s">
        <v>549</v>
      </c>
      <c r="B5911" s="14" t="s">
        <v>260</v>
      </c>
      <c r="C5911" s="14" t="s">
        <v>375</v>
      </c>
      <c r="D5911" s="14" t="s">
        <v>376</v>
      </c>
      <c r="E5911" s="14" t="s">
        <v>344</v>
      </c>
      <c r="F5911" s="14" t="s">
        <v>343</v>
      </c>
      <c r="G5911" s="14" t="s">
        <v>343</v>
      </c>
      <c r="H5911" s="14" t="s">
        <v>343</v>
      </c>
      <c r="U5911" s="14">
        <v>37</v>
      </c>
      <c r="V5911" s="14">
        <v>37</v>
      </c>
      <c r="W5911" s="14">
        <v>41</v>
      </c>
      <c r="X5911" s="14">
        <v>49</v>
      </c>
    </row>
  </sheetData>
  <autoFilter ref="A1:X5911" xr:uid="{00000000-0009-0000-0000-000000000000}">
    <filterColumn colId="3">
      <filters>
        <filter val="Global Gender Gap Health and Survival Subindex"/>
      </filters>
    </filterColumn>
    <filterColumn colId="4">
      <filters>
        <filter val="Inde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E5E3-36C4-4CAD-9CA8-434DB181D005}">
  <dimension ref="A1:Q199"/>
  <sheetViews>
    <sheetView topLeftCell="A9" zoomScale="68" zoomScaleNormal="68" workbookViewId="0">
      <selection activeCell="B41" sqref="B41:N41"/>
    </sheetView>
  </sheetViews>
  <sheetFormatPr defaultRowHeight="14.4" x14ac:dyDescent="0.3"/>
  <cols>
    <col min="1" max="1" width="27.44140625" style="12" customWidth="1"/>
    <col min="2" max="12" width="19.77734375" style="13" customWidth="1"/>
    <col min="13" max="14" width="14.109375" style="14" bestFit="1" customWidth="1"/>
    <col min="15" max="16384" width="8.88671875" style="14"/>
  </cols>
  <sheetData>
    <row r="1" spans="1:17" x14ac:dyDescent="0.3">
      <c r="A1" s="12" t="s">
        <v>22</v>
      </c>
      <c r="B1" s="12">
        <v>2007</v>
      </c>
      <c r="C1" s="18">
        <v>2008</v>
      </c>
      <c r="D1" s="18">
        <v>2009</v>
      </c>
      <c r="E1" s="18">
        <v>2010</v>
      </c>
      <c r="F1" s="18">
        <v>2011</v>
      </c>
      <c r="G1" s="18">
        <v>2012</v>
      </c>
      <c r="H1" s="18">
        <v>2013</v>
      </c>
      <c r="I1" s="18">
        <v>2014</v>
      </c>
      <c r="J1" s="18">
        <v>2015</v>
      </c>
      <c r="K1" s="18">
        <v>2016</v>
      </c>
      <c r="L1" s="18">
        <v>2017</v>
      </c>
      <c r="M1" s="18">
        <v>2018</v>
      </c>
      <c r="N1" s="18">
        <v>2019</v>
      </c>
      <c r="O1" s="18">
        <v>2020</v>
      </c>
      <c r="P1" s="18">
        <v>2021</v>
      </c>
      <c r="Q1" s="18"/>
    </row>
    <row r="2" spans="1:17" x14ac:dyDescent="0.3">
      <c r="A2" s="12" t="s">
        <v>24</v>
      </c>
      <c r="B2" s="15">
        <v>5.3</v>
      </c>
      <c r="C2" s="15">
        <v>5.3</v>
      </c>
      <c r="D2" s="15">
        <v>5.9</v>
      </c>
      <c r="E2" s="15">
        <v>8</v>
      </c>
      <c r="F2" s="15">
        <v>8</v>
      </c>
      <c r="G2" s="15">
        <v>8.1</v>
      </c>
      <c r="H2" s="15">
        <v>8</v>
      </c>
      <c r="I2" s="15">
        <v>6.5</v>
      </c>
      <c r="J2" s="15">
        <v>5.5</v>
      </c>
      <c r="K2" s="15">
        <v>6</v>
      </c>
      <c r="L2" s="15">
        <v>6.5</v>
      </c>
      <c r="M2" s="15">
        <v>6.77</v>
      </c>
      <c r="N2" s="15">
        <v>8.1550000000000011</v>
      </c>
    </row>
    <row r="3" spans="1:17" x14ac:dyDescent="0.3">
      <c r="A3" s="12" t="s">
        <v>27</v>
      </c>
      <c r="B3" s="15">
        <v>0.8</v>
      </c>
      <c r="C3" s="15">
        <v>1.3</v>
      </c>
      <c r="D3" s="15">
        <v>1.3</v>
      </c>
      <c r="E3" s="15">
        <v>1.3</v>
      </c>
      <c r="F3" s="15">
        <v>1.4</v>
      </c>
      <c r="G3" s="15">
        <v>1.5</v>
      </c>
      <c r="H3" s="15">
        <v>2.2000000000000002</v>
      </c>
      <c r="I3" s="15">
        <v>1</v>
      </c>
      <c r="J3" s="15">
        <v>2.5</v>
      </c>
      <c r="K3" s="15">
        <v>1.1000000000000001</v>
      </c>
      <c r="L3" s="15">
        <v>1.6</v>
      </c>
      <c r="M3" s="15">
        <v>1.8900000000000001</v>
      </c>
      <c r="N3" s="15">
        <v>1.8900000000000001</v>
      </c>
    </row>
    <row r="4" spans="1:17" x14ac:dyDescent="0.3">
      <c r="A4" s="12" t="s">
        <v>28</v>
      </c>
      <c r="B4" s="15">
        <v>5.6</v>
      </c>
      <c r="C4" s="15">
        <v>6.2</v>
      </c>
      <c r="D4" s="15">
        <v>7</v>
      </c>
      <c r="E4" s="15">
        <v>6.9</v>
      </c>
      <c r="F4" s="15">
        <v>7.5</v>
      </c>
      <c r="G4" s="15">
        <v>6.9</v>
      </c>
      <c r="H4" s="15">
        <v>6.1</v>
      </c>
      <c r="I4" s="15">
        <v>5.8</v>
      </c>
      <c r="J4" s="15">
        <v>7.2</v>
      </c>
      <c r="K4" s="15">
        <v>7.8</v>
      </c>
      <c r="L4" s="15">
        <v>8</v>
      </c>
      <c r="M4" s="15">
        <v>8.4350000000000005</v>
      </c>
      <c r="N4" s="15">
        <v>8.120000000000001</v>
      </c>
    </row>
    <row r="5" spans="1:17" x14ac:dyDescent="0.3">
      <c r="A5" s="12" t="s">
        <v>30</v>
      </c>
      <c r="B5" s="15">
        <v>0.9</v>
      </c>
      <c r="C5" s="15">
        <v>0.8</v>
      </c>
      <c r="D5" s="15">
        <v>0.7</v>
      </c>
      <c r="E5" s="15">
        <v>0.7</v>
      </c>
      <c r="F5" s="15">
        <v>0.7</v>
      </c>
      <c r="G5" s="15">
        <v>1.2</v>
      </c>
      <c r="H5" s="15">
        <v>1.2</v>
      </c>
      <c r="I5" s="15">
        <v>0.9</v>
      </c>
      <c r="J5" s="15">
        <v>2.2999999999999998</v>
      </c>
      <c r="K5" s="15">
        <v>2.2999999999999998</v>
      </c>
      <c r="L5" s="15">
        <v>2.4</v>
      </c>
      <c r="M5" s="15">
        <v>2.36</v>
      </c>
      <c r="N5" s="15">
        <v>2.5249999999999999</v>
      </c>
    </row>
    <row r="6" spans="1:17" x14ac:dyDescent="0.3">
      <c r="A6" s="12" t="s">
        <v>31</v>
      </c>
      <c r="B6" s="15">
        <v>3.3</v>
      </c>
      <c r="C6" s="15">
        <v>3.6</v>
      </c>
      <c r="D6" s="15">
        <v>3.2</v>
      </c>
      <c r="E6" s="15">
        <v>3.7</v>
      </c>
      <c r="F6" s="15">
        <v>4.9000000000000004</v>
      </c>
      <c r="G6" s="15">
        <v>4.0999999999999996</v>
      </c>
      <c r="H6" s="15">
        <v>5</v>
      </c>
      <c r="I6" s="15">
        <v>2.7</v>
      </c>
      <c r="J6" s="15">
        <v>4.3</v>
      </c>
      <c r="K6" s="15">
        <v>4.2</v>
      </c>
      <c r="L6" s="15">
        <v>4.0999999999999996</v>
      </c>
      <c r="M6" s="15">
        <v>2.7650000000000001</v>
      </c>
      <c r="N6" s="15">
        <v>3.1150000000000002</v>
      </c>
    </row>
    <row r="7" spans="1:17" x14ac:dyDescent="0.3">
      <c r="A7" s="12" t="s">
        <v>33</v>
      </c>
      <c r="B7" s="15">
        <v>1.1000000000000001</v>
      </c>
      <c r="C7" s="15">
        <v>1.1000000000000001</v>
      </c>
      <c r="D7" s="15">
        <v>1.2</v>
      </c>
      <c r="E7" s="15">
        <v>1.2</v>
      </c>
      <c r="F7" s="15">
        <v>2.2999999999999998</v>
      </c>
      <c r="G7" s="15">
        <v>2.2999999999999998</v>
      </c>
      <c r="H7" s="15">
        <v>2.2999999999999998</v>
      </c>
      <c r="I7" s="15">
        <v>1.9</v>
      </c>
      <c r="J7" s="15">
        <v>2.4</v>
      </c>
      <c r="K7" s="15">
        <v>2.7</v>
      </c>
      <c r="L7" s="15">
        <v>2.2000000000000002</v>
      </c>
      <c r="M7" s="15">
        <v>0.76500000000000001</v>
      </c>
      <c r="N7" s="15">
        <v>0.76500000000000001</v>
      </c>
    </row>
    <row r="8" spans="1:17" x14ac:dyDescent="0.3">
      <c r="A8" s="12" t="s">
        <v>34</v>
      </c>
      <c r="B8" s="15">
        <v>1.7</v>
      </c>
      <c r="C8" s="15">
        <v>1.7</v>
      </c>
      <c r="D8" s="15">
        <v>2.1</v>
      </c>
      <c r="E8" s="15">
        <v>1.6</v>
      </c>
      <c r="F8" s="15">
        <v>1.9</v>
      </c>
      <c r="G8" s="15">
        <v>1.9</v>
      </c>
      <c r="H8" s="15">
        <v>2</v>
      </c>
      <c r="I8" s="15">
        <v>2.5</v>
      </c>
      <c r="J8" s="15">
        <v>2.6</v>
      </c>
      <c r="K8" s="15">
        <v>2.6</v>
      </c>
      <c r="L8" s="15">
        <v>2.7</v>
      </c>
      <c r="M8" s="15">
        <v>2.2400000000000002</v>
      </c>
      <c r="N8" s="15">
        <v>2.74</v>
      </c>
    </row>
    <row r="9" spans="1:17" x14ac:dyDescent="0.3">
      <c r="A9" s="12" t="s">
        <v>35</v>
      </c>
      <c r="B9" s="15">
        <v>3.4</v>
      </c>
      <c r="C9" s="15">
        <v>4</v>
      </c>
      <c r="D9" s="15">
        <v>4.4000000000000004</v>
      </c>
      <c r="E9" s="15">
        <v>4.7</v>
      </c>
      <c r="F9" s="15">
        <v>5.9</v>
      </c>
      <c r="G9" s="15">
        <v>6</v>
      </c>
      <c r="H9" s="15">
        <v>5.2</v>
      </c>
      <c r="I9" s="15">
        <v>4.5</v>
      </c>
      <c r="J9" s="15">
        <v>3.8</v>
      </c>
      <c r="K9" s="15">
        <v>3.8</v>
      </c>
      <c r="L9" s="15">
        <v>3.7</v>
      </c>
      <c r="M9" s="15">
        <v>3.67</v>
      </c>
      <c r="N9" s="15">
        <v>3.7</v>
      </c>
    </row>
    <row r="10" spans="1:17" x14ac:dyDescent="0.3">
      <c r="A10" s="12" t="s">
        <v>37</v>
      </c>
      <c r="B10" s="15">
        <v>1.3</v>
      </c>
      <c r="C10" s="15">
        <v>0.9</v>
      </c>
      <c r="D10" s="15">
        <v>0.6</v>
      </c>
      <c r="E10" s="15">
        <v>1.7</v>
      </c>
      <c r="F10" s="15">
        <v>2.2000000000000002</v>
      </c>
      <c r="G10" s="15">
        <v>1.6</v>
      </c>
      <c r="H10" s="15">
        <v>1.4</v>
      </c>
      <c r="I10" s="15">
        <v>1</v>
      </c>
      <c r="J10" s="15">
        <v>1.1000000000000001</v>
      </c>
      <c r="K10" s="15">
        <v>1.2</v>
      </c>
      <c r="L10" s="15">
        <v>1.1000000000000001</v>
      </c>
      <c r="M10" s="15">
        <v>1.92</v>
      </c>
      <c r="N10" s="15">
        <v>1.585</v>
      </c>
    </row>
    <row r="11" spans="1:17" x14ac:dyDescent="0.3">
      <c r="A11" s="12" t="s">
        <v>38</v>
      </c>
      <c r="B11" s="15">
        <v>2.6</v>
      </c>
      <c r="C11" s="15">
        <v>3.1</v>
      </c>
      <c r="D11" s="15">
        <v>3.5</v>
      </c>
      <c r="E11" s="15">
        <v>3.2</v>
      </c>
      <c r="F11" s="15">
        <v>2.5</v>
      </c>
      <c r="G11" s="15">
        <v>3.8</v>
      </c>
      <c r="H11" s="15">
        <v>3.1</v>
      </c>
      <c r="I11" s="15">
        <v>3.4</v>
      </c>
      <c r="J11" s="15">
        <v>4.0999999999999996</v>
      </c>
      <c r="K11" s="15">
        <v>3.9</v>
      </c>
      <c r="L11" s="15">
        <v>4.2</v>
      </c>
      <c r="M11" s="15">
        <v>4.5199999999999996</v>
      </c>
      <c r="N11" s="15">
        <v>4.585</v>
      </c>
    </row>
    <row r="12" spans="1:17" x14ac:dyDescent="0.3">
      <c r="A12" s="12" t="s">
        <v>39</v>
      </c>
      <c r="B12" s="15">
        <v>5</v>
      </c>
      <c r="C12" s="15">
        <v>5.2</v>
      </c>
      <c r="D12" s="15">
        <v>5.3</v>
      </c>
      <c r="E12" s="15">
        <v>6.9</v>
      </c>
      <c r="F12" s="15">
        <v>6.5</v>
      </c>
      <c r="G12" s="15">
        <v>7.3</v>
      </c>
      <c r="H12" s="15">
        <v>7.3</v>
      </c>
      <c r="I12" s="15">
        <v>7.5</v>
      </c>
      <c r="J12" s="15">
        <v>6.8</v>
      </c>
      <c r="K12" s="15">
        <v>6.9</v>
      </c>
      <c r="L12" s="15">
        <v>6.8</v>
      </c>
      <c r="M12" s="15">
        <v>6.9850000000000003</v>
      </c>
      <c r="N12" s="15">
        <v>6.7350000000000003</v>
      </c>
    </row>
    <row r="13" spans="1:17" x14ac:dyDescent="0.3">
      <c r="A13" s="12" t="s">
        <v>40</v>
      </c>
      <c r="B13" s="15">
        <v>1.4</v>
      </c>
      <c r="C13" s="15">
        <v>1.2</v>
      </c>
      <c r="D13" s="15">
        <v>1.6</v>
      </c>
      <c r="E13" s="15">
        <v>3</v>
      </c>
      <c r="F13" s="15">
        <v>2.8</v>
      </c>
      <c r="G13" s="15">
        <v>3.3</v>
      </c>
      <c r="H13" s="15">
        <v>3</v>
      </c>
      <c r="I13" s="15">
        <v>3.6</v>
      </c>
      <c r="J13" s="15">
        <v>3.6</v>
      </c>
      <c r="K13" s="15">
        <v>3</v>
      </c>
      <c r="L13" s="15">
        <v>3</v>
      </c>
      <c r="M13" s="15">
        <v>3.4250000000000003</v>
      </c>
      <c r="N13" s="15">
        <v>3.4250000000000003</v>
      </c>
    </row>
    <row r="14" spans="1:17" x14ac:dyDescent="0.3">
      <c r="A14" s="12" t="s">
        <v>41</v>
      </c>
      <c r="B14" s="15">
        <v>4.3</v>
      </c>
      <c r="C14" s="15">
        <v>4</v>
      </c>
      <c r="D14" s="15">
        <v>4.2</v>
      </c>
      <c r="E14" s="15">
        <v>4.2</v>
      </c>
      <c r="F14" s="15">
        <v>6.2</v>
      </c>
      <c r="G14" s="15">
        <v>6.5</v>
      </c>
      <c r="H14" s="15">
        <v>6.5</v>
      </c>
      <c r="I14" s="15">
        <v>6.2</v>
      </c>
      <c r="J14" s="15">
        <v>5.9</v>
      </c>
      <c r="K14" s="15">
        <v>6.1</v>
      </c>
      <c r="L14" s="15">
        <v>6.2</v>
      </c>
      <c r="M14" s="15">
        <v>6.29</v>
      </c>
      <c r="N14" s="15">
        <v>6.4550000000000001</v>
      </c>
    </row>
    <row r="15" spans="1:17" x14ac:dyDescent="0.3">
      <c r="A15" s="12" t="s">
        <v>42</v>
      </c>
      <c r="B15" s="15">
        <v>4</v>
      </c>
      <c r="C15" s="15">
        <v>4.5999999999999996</v>
      </c>
      <c r="D15" s="15">
        <v>5.0999999999999996</v>
      </c>
      <c r="E15" s="15">
        <v>5.6</v>
      </c>
      <c r="F15" s="15">
        <v>6.1</v>
      </c>
      <c r="G15" s="15">
        <v>5.3</v>
      </c>
      <c r="H15" s="15">
        <v>5.2</v>
      </c>
      <c r="I15" s="15">
        <v>4.3</v>
      </c>
      <c r="J15" s="15">
        <v>5</v>
      </c>
      <c r="K15" s="15">
        <v>4.9000000000000004</v>
      </c>
      <c r="L15" s="15">
        <v>4.8</v>
      </c>
      <c r="M15" s="15">
        <v>4.7850000000000001</v>
      </c>
      <c r="N15" s="15">
        <v>5.1400000000000006</v>
      </c>
    </row>
    <row r="16" spans="1:17" x14ac:dyDescent="0.3">
      <c r="A16" s="12" t="s">
        <v>43</v>
      </c>
      <c r="B16" s="15">
        <v>0.8</v>
      </c>
      <c r="C16" s="15">
        <v>0.8</v>
      </c>
      <c r="D16" s="15">
        <v>0.8</v>
      </c>
      <c r="E16" s="15">
        <v>0.8</v>
      </c>
      <c r="F16" s="15">
        <v>1.4</v>
      </c>
      <c r="G16" s="15">
        <v>1.6</v>
      </c>
      <c r="H16" s="15">
        <v>1.5</v>
      </c>
      <c r="I16" s="15">
        <v>1.5</v>
      </c>
      <c r="J16" s="15">
        <v>2.2000000000000002</v>
      </c>
      <c r="K16" s="15">
        <v>2.2999999999999998</v>
      </c>
      <c r="L16" s="15">
        <v>2.2999999999999998</v>
      </c>
      <c r="M16" s="15">
        <v>1.99</v>
      </c>
      <c r="N16" s="15">
        <v>0.66</v>
      </c>
    </row>
    <row r="17" spans="1:14" x14ac:dyDescent="0.3">
      <c r="A17" s="12" t="s">
        <v>44</v>
      </c>
      <c r="B17" s="15">
        <v>5.9</v>
      </c>
      <c r="C17" s="15">
        <v>6.1</v>
      </c>
      <c r="D17" s="15">
        <v>6.4</v>
      </c>
      <c r="E17" s="15">
        <v>6.8</v>
      </c>
      <c r="F17" s="15">
        <v>6.3</v>
      </c>
      <c r="G17" s="15">
        <v>6.3</v>
      </c>
      <c r="H17" s="15">
        <v>6.3</v>
      </c>
      <c r="I17" s="15">
        <v>5.8</v>
      </c>
      <c r="J17" s="15">
        <v>6.4</v>
      </c>
      <c r="K17" s="15">
        <v>6.4</v>
      </c>
      <c r="L17" s="15">
        <v>6.4</v>
      </c>
      <c r="M17" s="15">
        <v>5.78</v>
      </c>
      <c r="N17" s="15">
        <v>6.2149999999999999</v>
      </c>
    </row>
    <row r="18" spans="1:14" x14ac:dyDescent="0.3">
      <c r="A18" s="12" t="s">
        <v>45</v>
      </c>
      <c r="B18" s="15">
        <v>4</v>
      </c>
      <c r="C18" s="15">
        <v>3.9</v>
      </c>
      <c r="D18" s="15">
        <v>3.6</v>
      </c>
      <c r="E18" s="15">
        <v>3.7</v>
      </c>
      <c r="F18" s="15">
        <v>3.9</v>
      </c>
      <c r="G18" s="15">
        <v>4.7</v>
      </c>
      <c r="H18" s="15">
        <v>3.8</v>
      </c>
      <c r="I18" s="15">
        <v>3.5</v>
      </c>
      <c r="J18" s="15">
        <v>3.9</v>
      </c>
      <c r="K18" s="15">
        <v>4</v>
      </c>
      <c r="L18" s="15">
        <v>3.8</v>
      </c>
      <c r="M18" s="15">
        <v>3.3</v>
      </c>
      <c r="N18" s="15">
        <v>3.6</v>
      </c>
    </row>
    <row r="19" spans="1:14" x14ac:dyDescent="0.3">
      <c r="A19" s="12" t="s">
        <v>46</v>
      </c>
      <c r="B19" s="15">
        <v>1.3</v>
      </c>
      <c r="C19" s="15">
        <v>1.1000000000000001</v>
      </c>
      <c r="D19" s="15">
        <v>0.8</v>
      </c>
      <c r="E19" s="15">
        <v>0.8</v>
      </c>
      <c r="F19" s="15">
        <v>1.2</v>
      </c>
      <c r="G19" s="15">
        <v>1.4</v>
      </c>
      <c r="H19" s="15">
        <v>1.1000000000000001</v>
      </c>
      <c r="I19" s="15">
        <v>1.2</v>
      </c>
      <c r="J19" s="15">
        <v>1.1000000000000001</v>
      </c>
      <c r="K19" s="15">
        <v>1.1000000000000001</v>
      </c>
      <c r="L19" s="15">
        <v>1.1000000000000001</v>
      </c>
      <c r="M19" s="15">
        <v>1.4650000000000001</v>
      </c>
      <c r="N19" s="15">
        <v>1.365</v>
      </c>
    </row>
    <row r="20" spans="1:14" x14ac:dyDescent="0.3">
      <c r="A20" s="12" t="s">
        <v>47</v>
      </c>
      <c r="B20" s="15">
        <v>0.3</v>
      </c>
      <c r="C20" s="15">
        <v>0.3</v>
      </c>
      <c r="D20" s="15">
        <v>0.3</v>
      </c>
      <c r="E20" s="15">
        <v>0.5</v>
      </c>
      <c r="F20" s="15">
        <v>0.5</v>
      </c>
      <c r="G20" s="15">
        <v>0.3</v>
      </c>
      <c r="H20" s="15">
        <v>0.3</v>
      </c>
      <c r="I20" s="15">
        <v>0.4</v>
      </c>
      <c r="J20" s="15">
        <v>0.7</v>
      </c>
      <c r="K20" s="15">
        <v>1.2</v>
      </c>
      <c r="L20" s="15">
        <v>1.2</v>
      </c>
      <c r="M20" s="15">
        <v>1.345</v>
      </c>
      <c r="N20" s="15">
        <v>1.345</v>
      </c>
    </row>
    <row r="21" spans="1:14" x14ac:dyDescent="0.3">
      <c r="A21" s="12" t="s">
        <v>49</v>
      </c>
      <c r="B21" s="15">
        <v>4.4000000000000004</v>
      </c>
      <c r="C21" s="15">
        <v>4.4000000000000004</v>
      </c>
      <c r="D21" s="15">
        <v>4.7</v>
      </c>
      <c r="E21" s="15">
        <v>3.6</v>
      </c>
      <c r="F21" s="15">
        <v>4.3</v>
      </c>
      <c r="G21" s="15">
        <v>5.0999999999999996</v>
      </c>
      <c r="H21" s="15">
        <v>5</v>
      </c>
      <c r="I21" s="15">
        <v>4.5</v>
      </c>
      <c r="J21" s="15">
        <v>5.2</v>
      </c>
      <c r="K21" s="15">
        <v>4.5999999999999996</v>
      </c>
      <c r="L21" s="15">
        <v>4.5999999999999996</v>
      </c>
      <c r="M21" s="15">
        <v>4.8049999999999997</v>
      </c>
      <c r="N21" s="15">
        <v>4.3499999999999996</v>
      </c>
    </row>
    <row r="22" spans="1:14" x14ac:dyDescent="0.3">
      <c r="A22" s="12" t="s">
        <v>305</v>
      </c>
      <c r="B22" s="15">
        <v>1</v>
      </c>
      <c r="C22" s="15">
        <v>1</v>
      </c>
      <c r="D22" s="15">
        <v>0.8</v>
      </c>
      <c r="E22" s="15">
        <v>1</v>
      </c>
      <c r="F22" s="15">
        <v>1.1000000000000001</v>
      </c>
      <c r="G22" s="15">
        <v>1.4</v>
      </c>
      <c r="H22" s="15">
        <v>1.5</v>
      </c>
      <c r="I22" s="15">
        <v>1.9</v>
      </c>
      <c r="J22" s="15">
        <v>1</v>
      </c>
      <c r="K22" s="15">
        <v>1</v>
      </c>
      <c r="L22" s="15">
        <v>1</v>
      </c>
      <c r="M22" s="15">
        <v>0.94499999999999995</v>
      </c>
      <c r="N22" s="15">
        <v>0.90999999999999992</v>
      </c>
    </row>
    <row r="23" spans="1:14" x14ac:dyDescent="0.3">
      <c r="A23" s="12" t="s">
        <v>51</v>
      </c>
      <c r="B23" s="15">
        <v>1.5</v>
      </c>
      <c r="C23" s="15">
        <v>1.7</v>
      </c>
      <c r="D23" s="15">
        <v>1.8</v>
      </c>
      <c r="E23" s="15">
        <v>2</v>
      </c>
      <c r="F23" s="15">
        <v>2</v>
      </c>
      <c r="G23" s="15">
        <v>2.2999999999999998</v>
      </c>
      <c r="H23" s="15">
        <v>2.2999999999999998</v>
      </c>
      <c r="I23" s="15">
        <v>2</v>
      </c>
      <c r="J23" s="15">
        <v>2.1</v>
      </c>
      <c r="K23" s="15">
        <v>3</v>
      </c>
      <c r="L23" s="15">
        <v>2.9</v>
      </c>
      <c r="M23" s="15">
        <v>2.8149999999999999</v>
      </c>
      <c r="N23" s="15">
        <v>3.33</v>
      </c>
    </row>
    <row r="24" spans="1:14" x14ac:dyDescent="0.3">
      <c r="A24" s="12" t="s">
        <v>52</v>
      </c>
      <c r="B24" s="15">
        <v>0.9</v>
      </c>
      <c r="C24" s="15">
        <v>0.8</v>
      </c>
      <c r="D24" s="15">
        <v>0.7</v>
      </c>
      <c r="E24" s="15">
        <v>1.2</v>
      </c>
      <c r="F24" s="15">
        <v>0.6</v>
      </c>
      <c r="G24" s="15">
        <v>0.5</v>
      </c>
      <c r="H24" s="15">
        <v>0.7</v>
      </c>
      <c r="I24" s="15">
        <v>0.8</v>
      </c>
      <c r="J24" s="15">
        <v>1.1000000000000001</v>
      </c>
      <c r="K24" s="15">
        <v>1.6</v>
      </c>
      <c r="L24" s="15">
        <v>1.3</v>
      </c>
      <c r="M24" s="15">
        <v>2</v>
      </c>
      <c r="N24" s="15">
        <v>1.6</v>
      </c>
    </row>
    <row r="25" spans="1:14" x14ac:dyDescent="0.3">
      <c r="A25" s="12" t="s">
        <v>53</v>
      </c>
      <c r="B25" s="15">
        <v>0.4</v>
      </c>
      <c r="C25" s="15">
        <v>0.6</v>
      </c>
      <c r="D25" s="15">
        <v>1</v>
      </c>
      <c r="E25" s="15">
        <v>1</v>
      </c>
      <c r="F25" s="15">
        <v>0.4</v>
      </c>
      <c r="G25" s="15">
        <v>0.6</v>
      </c>
      <c r="H25" s="15">
        <v>0.2</v>
      </c>
      <c r="I25" s="15">
        <v>0.7</v>
      </c>
      <c r="J25" s="15">
        <v>0.7</v>
      </c>
      <c r="K25" s="15">
        <v>1.4</v>
      </c>
      <c r="L25" s="15">
        <v>1.3</v>
      </c>
      <c r="M25" s="15">
        <v>2.4550000000000001</v>
      </c>
      <c r="N25" s="15">
        <v>2.4800000000000004</v>
      </c>
    </row>
    <row r="26" spans="1:14" x14ac:dyDescent="0.3">
      <c r="A26" s="12" t="s">
        <v>306</v>
      </c>
      <c r="B26" s="15">
        <v>7.2</v>
      </c>
      <c r="C26" s="15">
        <v>6.7</v>
      </c>
      <c r="D26" s="15">
        <v>5.8</v>
      </c>
      <c r="E26" s="15">
        <v>6.5</v>
      </c>
      <c r="F26" s="15">
        <v>6.8</v>
      </c>
      <c r="G26" s="15">
        <v>7</v>
      </c>
      <c r="H26" s="15">
        <v>6.9</v>
      </c>
      <c r="I26" s="15">
        <v>5.6</v>
      </c>
      <c r="J26" s="15">
        <v>6.9</v>
      </c>
      <c r="K26" s="15">
        <v>7.2</v>
      </c>
      <c r="L26" s="15">
        <v>6.6</v>
      </c>
      <c r="M26" s="15">
        <v>7.2349999999999994</v>
      </c>
      <c r="N26" s="15">
        <v>6.5049999999999999</v>
      </c>
    </row>
    <row r="27" spans="1:14" x14ac:dyDescent="0.3">
      <c r="A27" s="12" t="s">
        <v>56</v>
      </c>
      <c r="B27" s="15">
        <v>4</v>
      </c>
      <c r="C27" s="15">
        <v>4.9000000000000004</v>
      </c>
      <c r="D27" s="15">
        <v>4.9000000000000004</v>
      </c>
      <c r="E27" s="15">
        <v>3.3</v>
      </c>
      <c r="F27" s="15">
        <v>3.9</v>
      </c>
      <c r="G27" s="15">
        <v>5.2</v>
      </c>
      <c r="H27" s="15">
        <v>5.4</v>
      </c>
      <c r="I27" s="15">
        <v>5.5</v>
      </c>
      <c r="J27" s="15">
        <v>5</v>
      </c>
      <c r="K27" s="15">
        <v>5.7</v>
      </c>
      <c r="L27" s="15">
        <v>5.3</v>
      </c>
      <c r="M27" s="15">
        <v>4.4799999999999995</v>
      </c>
      <c r="N27" s="15">
        <v>4.6549999999999994</v>
      </c>
    </row>
    <row r="28" spans="1:14" x14ac:dyDescent="0.3">
      <c r="A28" s="12" t="s">
        <v>57</v>
      </c>
      <c r="B28" s="15">
        <v>0.3</v>
      </c>
      <c r="C28" s="15">
        <v>0.7</v>
      </c>
      <c r="D28" s="15">
        <v>0.8</v>
      </c>
      <c r="E28" s="15">
        <v>1.3</v>
      </c>
      <c r="F28" s="15">
        <v>0.8</v>
      </c>
      <c r="G28" s="15">
        <v>0.8</v>
      </c>
      <c r="H28" s="15">
        <v>1.3</v>
      </c>
      <c r="I28" s="15">
        <v>0.4</v>
      </c>
      <c r="J28" s="15">
        <v>1.6</v>
      </c>
      <c r="K28" s="15">
        <v>1.2</v>
      </c>
      <c r="L28" s="15">
        <v>1.8</v>
      </c>
      <c r="M28" s="15">
        <v>2.6850000000000001</v>
      </c>
      <c r="N28" s="15">
        <v>2.95</v>
      </c>
    </row>
    <row r="29" spans="1:14" x14ac:dyDescent="0.3">
      <c r="A29" s="12" t="s">
        <v>58</v>
      </c>
      <c r="B29" s="15">
        <v>0.4</v>
      </c>
      <c r="C29" s="15">
        <v>0.3</v>
      </c>
      <c r="D29" s="15">
        <v>0.2</v>
      </c>
      <c r="E29" s="15">
        <v>0.7</v>
      </c>
      <c r="F29" s="15">
        <v>0.2</v>
      </c>
      <c r="G29" s="15">
        <v>0.2</v>
      </c>
      <c r="H29" s="15">
        <v>2.2999999999999998</v>
      </c>
      <c r="I29" s="15">
        <v>2.9</v>
      </c>
      <c r="J29" s="15">
        <v>2.9</v>
      </c>
      <c r="K29" s="15">
        <v>2.9</v>
      </c>
      <c r="L29" s="15">
        <v>2.4</v>
      </c>
      <c r="M29" s="15">
        <v>2.7750000000000004</v>
      </c>
      <c r="N29" s="15">
        <v>3.2750000000000004</v>
      </c>
    </row>
    <row r="30" spans="1:14" x14ac:dyDescent="0.3">
      <c r="A30" s="12" t="s">
        <v>59</v>
      </c>
      <c r="B30" s="15">
        <v>2.9</v>
      </c>
      <c r="C30" s="15">
        <v>2.9</v>
      </c>
      <c r="D30" s="15">
        <v>2.6</v>
      </c>
      <c r="E30" s="15">
        <v>2.7</v>
      </c>
      <c r="F30" s="15">
        <v>2.4</v>
      </c>
      <c r="G30" s="15">
        <v>2.4</v>
      </c>
      <c r="H30" s="15">
        <v>2.2000000000000002</v>
      </c>
      <c r="I30" s="15">
        <v>2.4</v>
      </c>
      <c r="J30" s="15">
        <v>3.4</v>
      </c>
      <c r="K30" s="15">
        <v>3.6</v>
      </c>
      <c r="L30" s="15">
        <v>3.2</v>
      </c>
      <c r="M30" s="15">
        <v>3.4650000000000003</v>
      </c>
      <c r="N30" s="15">
        <v>3.43</v>
      </c>
    </row>
    <row r="31" spans="1:14" x14ac:dyDescent="0.3">
      <c r="A31" s="12" t="s">
        <v>60</v>
      </c>
      <c r="B31" s="15">
        <v>1.1000000000000001</v>
      </c>
      <c r="C31" s="15">
        <v>0.7</v>
      </c>
      <c r="D31" s="15">
        <v>0.8</v>
      </c>
      <c r="E31" s="15">
        <v>0.6</v>
      </c>
      <c r="F31" s="15">
        <v>2.2000000000000002</v>
      </c>
      <c r="G31" s="15">
        <v>1.3</v>
      </c>
      <c r="H31" s="15">
        <v>1.8</v>
      </c>
      <c r="I31" s="15">
        <v>0.4</v>
      </c>
      <c r="J31" s="15">
        <v>3.2</v>
      </c>
      <c r="K31" s="15">
        <v>3</v>
      </c>
      <c r="L31" s="15">
        <v>3.2</v>
      </c>
      <c r="M31" s="15">
        <v>2.66</v>
      </c>
      <c r="N31" s="15">
        <v>2.56</v>
      </c>
    </row>
    <row r="32" spans="1:14" x14ac:dyDescent="0.3">
      <c r="A32" s="12" t="s">
        <v>61</v>
      </c>
      <c r="B32" s="15">
        <v>1</v>
      </c>
      <c r="C32" s="15">
        <v>1.3</v>
      </c>
      <c r="D32" s="15">
        <v>1.4</v>
      </c>
      <c r="E32" s="15">
        <v>1.6</v>
      </c>
      <c r="F32" s="15">
        <v>1.9</v>
      </c>
      <c r="G32" s="15">
        <v>1.9</v>
      </c>
      <c r="H32" s="15">
        <v>1.2</v>
      </c>
      <c r="I32" s="15">
        <v>1.2</v>
      </c>
      <c r="J32" s="15">
        <v>1.2</v>
      </c>
      <c r="K32" s="15">
        <v>1.2</v>
      </c>
      <c r="L32" s="15">
        <v>1.2</v>
      </c>
      <c r="M32" s="15">
        <v>2.0350000000000001</v>
      </c>
      <c r="N32" s="15">
        <v>2.1350000000000002</v>
      </c>
    </row>
    <row r="33" spans="1:14" x14ac:dyDescent="0.3">
      <c r="A33" s="12" t="s">
        <v>307</v>
      </c>
      <c r="B33" s="15">
        <v>0.3</v>
      </c>
      <c r="C33" s="15">
        <v>0.3</v>
      </c>
      <c r="D33" s="15">
        <v>0.3</v>
      </c>
      <c r="E33" s="15">
        <v>0.3</v>
      </c>
      <c r="F33" s="15">
        <v>0.3</v>
      </c>
      <c r="G33" s="15">
        <v>0.3</v>
      </c>
      <c r="H33" s="15">
        <v>0.3</v>
      </c>
      <c r="I33" s="15">
        <v>0.4</v>
      </c>
      <c r="J33" s="15">
        <v>0.3</v>
      </c>
      <c r="K33" s="15">
        <v>1.1000000000000001</v>
      </c>
      <c r="L33" s="15">
        <v>0.5</v>
      </c>
      <c r="M33" s="15">
        <v>0.94000000000000006</v>
      </c>
      <c r="N33" s="15">
        <v>0.77500000000000002</v>
      </c>
    </row>
    <row r="34" spans="1:14" x14ac:dyDescent="0.3">
      <c r="A34" s="12" t="s">
        <v>64</v>
      </c>
      <c r="B34" s="15">
        <v>3.7</v>
      </c>
      <c r="C34" s="15">
        <v>2.9</v>
      </c>
      <c r="D34" s="15">
        <v>3.3</v>
      </c>
      <c r="E34" s="15">
        <v>4.4000000000000004</v>
      </c>
      <c r="F34" s="15">
        <v>4.8</v>
      </c>
      <c r="G34" s="15">
        <v>4.7</v>
      </c>
      <c r="H34" s="15">
        <v>4.2</v>
      </c>
      <c r="I34" s="15">
        <v>2.2999999999999998</v>
      </c>
      <c r="J34" s="15">
        <v>2.9</v>
      </c>
      <c r="K34" s="15">
        <v>3.1</v>
      </c>
      <c r="L34" s="15">
        <v>2.6</v>
      </c>
      <c r="M34" s="15">
        <v>2.7450000000000001</v>
      </c>
      <c r="N34" s="15">
        <v>3.4550000000000001</v>
      </c>
    </row>
    <row r="35" spans="1:14" x14ac:dyDescent="0.3">
      <c r="A35" s="12" t="s">
        <v>65</v>
      </c>
      <c r="B35" s="15">
        <v>4.2</v>
      </c>
      <c r="C35" s="15">
        <v>3.9</v>
      </c>
      <c r="D35" s="15">
        <v>3.7</v>
      </c>
      <c r="E35" s="15">
        <v>6</v>
      </c>
      <c r="F35" s="15">
        <v>5.5</v>
      </c>
      <c r="G35" s="15">
        <v>4.5999999999999996</v>
      </c>
      <c r="H35" s="15">
        <v>3</v>
      </c>
      <c r="I35" s="15">
        <v>1.6</v>
      </c>
      <c r="J35" s="15">
        <v>3</v>
      </c>
      <c r="K35" s="15">
        <v>3.5</v>
      </c>
      <c r="L35" s="15">
        <v>3.9</v>
      </c>
      <c r="M35" s="15">
        <v>3.85</v>
      </c>
      <c r="N35" s="15">
        <v>4.55</v>
      </c>
    </row>
    <row r="36" spans="1:14" x14ac:dyDescent="0.3">
      <c r="A36" s="12" t="s">
        <v>67</v>
      </c>
      <c r="B36" s="15">
        <v>1.2</v>
      </c>
      <c r="C36" s="15">
        <v>1.2</v>
      </c>
      <c r="D36" s="15">
        <v>1.3</v>
      </c>
      <c r="E36" s="15">
        <v>1.3</v>
      </c>
      <c r="F36" s="15">
        <v>1.6</v>
      </c>
      <c r="G36" s="15">
        <v>1.2</v>
      </c>
      <c r="H36" s="15">
        <v>1.6</v>
      </c>
      <c r="I36" s="15">
        <v>1.3</v>
      </c>
      <c r="J36" s="15">
        <v>1.3</v>
      </c>
      <c r="K36" s="15">
        <v>2.2000000000000002</v>
      </c>
      <c r="L36" s="15">
        <v>1.3</v>
      </c>
      <c r="M36" s="15">
        <v>1.7350000000000001</v>
      </c>
      <c r="N36" s="15">
        <v>1.5349999999999999</v>
      </c>
    </row>
    <row r="37" spans="1:14" x14ac:dyDescent="0.3">
      <c r="A37" s="12" t="s">
        <v>68</v>
      </c>
      <c r="B37" s="15">
        <v>7.8</v>
      </c>
      <c r="C37" s="15">
        <v>7.7</v>
      </c>
      <c r="D37" s="15">
        <v>7.9</v>
      </c>
      <c r="E37" s="15">
        <v>7.5</v>
      </c>
      <c r="F37" s="15">
        <v>8.4</v>
      </c>
      <c r="G37" s="15">
        <v>8.6</v>
      </c>
      <c r="H37" s="15">
        <v>9.1</v>
      </c>
      <c r="I37" s="15">
        <v>8.6</v>
      </c>
      <c r="J37" s="15">
        <v>8.6</v>
      </c>
      <c r="K37" s="15">
        <v>8.8000000000000007</v>
      </c>
      <c r="L37" s="15">
        <v>8.9</v>
      </c>
      <c r="M37" s="15">
        <v>9.3350000000000009</v>
      </c>
      <c r="N37" s="15">
        <v>9.0850000000000009</v>
      </c>
    </row>
    <row r="38" spans="1:14" x14ac:dyDescent="0.3">
      <c r="A38" s="12" t="s">
        <v>71</v>
      </c>
      <c r="B38" s="15">
        <v>1.8</v>
      </c>
      <c r="C38" s="15">
        <v>2.1</v>
      </c>
      <c r="D38" s="15">
        <v>2</v>
      </c>
      <c r="E38" s="15">
        <v>2.8</v>
      </c>
      <c r="F38" s="15">
        <v>2.5</v>
      </c>
      <c r="G38" s="15">
        <v>1.5</v>
      </c>
      <c r="H38" s="15">
        <v>1.6</v>
      </c>
      <c r="I38" s="15">
        <v>1.6</v>
      </c>
      <c r="J38" s="15">
        <v>1.7</v>
      </c>
      <c r="K38" s="15">
        <v>3.1</v>
      </c>
      <c r="L38" s="15">
        <v>2</v>
      </c>
      <c r="M38" s="15">
        <v>1.375</v>
      </c>
      <c r="N38" s="15">
        <v>2.11</v>
      </c>
    </row>
    <row r="39" spans="1:14" x14ac:dyDescent="0.3">
      <c r="A39" s="12" t="s">
        <v>72</v>
      </c>
      <c r="B39" s="15">
        <v>5.4</v>
      </c>
      <c r="C39" s="15">
        <v>4.3</v>
      </c>
      <c r="D39" s="15">
        <v>3.8</v>
      </c>
      <c r="E39" s="15">
        <v>3.6</v>
      </c>
      <c r="F39" s="15">
        <v>3.9</v>
      </c>
      <c r="G39" s="15">
        <v>3.2</v>
      </c>
      <c r="H39" s="15">
        <v>4</v>
      </c>
      <c r="I39" s="15">
        <v>3.6</v>
      </c>
      <c r="J39" s="15">
        <v>6.1</v>
      </c>
      <c r="K39" s="15">
        <v>6.3</v>
      </c>
      <c r="L39" s="15">
        <v>7.4</v>
      </c>
      <c r="M39" s="15">
        <v>4.62</v>
      </c>
      <c r="N39" s="15">
        <v>4.4549999999999992</v>
      </c>
    </row>
    <row r="40" spans="1:14" x14ac:dyDescent="0.3">
      <c r="A40" s="12" t="s">
        <v>73</v>
      </c>
      <c r="B40" s="15">
        <v>0.7</v>
      </c>
      <c r="C40" s="15">
        <v>0.6</v>
      </c>
      <c r="D40" s="15">
        <v>0.6</v>
      </c>
      <c r="E40" s="15">
        <v>1</v>
      </c>
      <c r="F40" s="15">
        <v>0.5</v>
      </c>
      <c r="G40" s="15">
        <v>0.7</v>
      </c>
      <c r="H40" s="15">
        <v>0.7</v>
      </c>
      <c r="I40" s="15">
        <v>1.1000000000000001</v>
      </c>
      <c r="J40" s="15">
        <v>2</v>
      </c>
      <c r="K40" s="15">
        <v>3.2</v>
      </c>
      <c r="L40" s="15">
        <v>1.9</v>
      </c>
      <c r="M40" s="15">
        <v>2.7399999999999998</v>
      </c>
      <c r="N40" s="15">
        <v>2.7399999999999998</v>
      </c>
    </row>
    <row r="41" spans="1:14" x14ac:dyDescent="0.3">
      <c r="A41" s="12" t="s">
        <v>308</v>
      </c>
      <c r="B41" s="15">
        <v>1.3</v>
      </c>
      <c r="C41" s="15">
        <v>1.7</v>
      </c>
      <c r="D41" s="15">
        <v>1.4</v>
      </c>
      <c r="E41" s="15">
        <v>2.8</v>
      </c>
      <c r="F41" s="15">
        <v>2.1</v>
      </c>
      <c r="G41" s="15">
        <v>1.2</v>
      </c>
      <c r="H41" s="15">
        <v>1.1000000000000001</v>
      </c>
      <c r="I41" s="15">
        <v>1.2</v>
      </c>
      <c r="J41" s="15">
        <v>2.4</v>
      </c>
      <c r="K41" s="15">
        <v>1.9</v>
      </c>
      <c r="L41" s="15">
        <v>3</v>
      </c>
      <c r="M41" s="15">
        <v>2.89</v>
      </c>
      <c r="N41" s="15">
        <v>3.375</v>
      </c>
    </row>
    <row r="42" spans="1:14" x14ac:dyDescent="0.3">
      <c r="A42" s="12" t="s">
        <v>75</v>
      </c>
      <c r="B42" s="15">
        <v>1</v>
      </c>
      <c r="C42" s="15">
        <v>2</v>
      </c>
      <c r="D42" s="15">
        <v>2.5</v>
      </c>
      <c r="E42" s="15">
        <v>2.6</v>
      </c>
      <c r="F42" s="15">
        <v>3.3</v>
      </c>
      <c r="G42" s="15">
        <v>3.1</v>
      </c>
      <c r="H42" s="15">
        <v>2.8</v>
      </c>
      <c r="I42" s="15">
        <v>2.6</v>
      </c>
      <c r="J42" s="15">
        <v>2.9</v>
      </c>
      <c r="K42" s="15">
        <v>3.2</v>
      </c>
      <c r="L42" s="15">
        <v>3.2</v>
      </c>
      <c r="M42" s="15">
        <v>5.5949999999999998</v>
      </c>
      <c r="N42" s="15">
        <v>5.26</v>
      </c>
    </row>
    <row r="43" spans="1:14" x14ac:dyDescent="0.3">
      <c r="A43" s="12" t="s">
        <v>309</v>
      </c>
      <c r="B43" s="15">
        <v>1.9</v>
      </c>
      <c r="C43" s="15">
        <v>2.1</v>
      </c>
      <c r="D43" s="15">
        <v>2.1</v>
      </c>
      <c r="E43" s="15">
        <v>2</v>
      </c>
      <c r="F43" s="15">
        <v>3.7</v>
      </c>
      <c r="G43" s="15">
        <v>1</v>
      </c>
      <c r="H43" s="15">
        <v>0.7</v>
      </c>
      <c r="I43" s="15">
        <v>1.3</v>
      </c>
      <c r="J43" s="15">
        <v>0.9</v>
      </c>
      <c r="K43" s="15">
        <v>1.7</v>
      </c>
      <c r="L43" s="15">
        <v>1</v>
      </c>
      <c r="M43" s="15">
        <v>2.8650000000000002</v>
      </c>
      <c r="N43" s="15">
        <v>4.0650000000000004</v>
      </c>
    </row>
    <row r="44" spans="1:14" x14ac:dyDescent="0.3">
      <c r="A44" s="12" t="s">
        <v>77</v>
      </c>
      <c r="B44" s="15">
        <v>0.7</v>
      </c>
      <c r="C44" s="15">
        <v>1.5</v>
      </c>
      <c r="D44" s="15">
        <v>2</v>
      </c>
      <c r="E44" s="15">
        <v>2.7</v>
      </c>
      <c r="F44" s="15">
        <v>2.2999999999999998</v>
      </c>
      <c r="G44" s="15">
        <v>2.9</v>
      </c>
      <c r="H44" s="15">
        <v>1.5</v>
      </c>
      <c r="I44" s="15">
        <v>1.4</v>
      </c>
      <c r="J44" s="15">
        <v>1.4</v>
      </c>
      <c r="K44" s="15">
        <v>1.7</v>
      </c>
      <c r="L44" s="15">
        <v>2.4</v>
      </c>
      <c r="M44" s="15">
        <v>2.3149999999999999</v>
      </c>
      <c r="N44" s="15">
        <v>2.3149999999999999</v>
      </c>
    </row>
    <row r="45" spans="1:14" x14ac:dyDescent="0.3">
      <c r="A45" s="12" t="s">
        <v>78</v>
      </c>
      <c r="B45" s="15">
        <v>4.5</v>
      </c>
      <c r="C45" s="15">
        <v>4.5</v>
      </c>
      <c r="D45" s="15">
        <v>4.2</v>
      </c>
      <c r="E45" s="15">
        <v>4.8</v>
      </c>
      <c r="F45" s="15">
        <v>5.3</v>
      </c>
      <c r="G45" s="15">
        <v>5</v>
      </c>
      <c r="H45" s="15">
        <v>5.2</v>
      </c>
      <c r="I45" s="15">
        <v>4.5</v>
      </c>
      <c r="J45" s="15">
        <v>4.9000000000000004</v>
      </c>
      <c r="K45" s="15">
        <v>5</v>
      </c>
      <c r="L45" s="15">
        <v>4.3</v>
      </c>
      <c r="M45" s="15">
        <v>2.2850000000000001</v>
      </c>
      <c r="N45" s="15">
        <v>1.17</v>
      </c>
    </row>
    <row r="46" spans="1:14" x14ac:dyDescent="0.3">
      <c r="A46" s="12" t="s">
        <v>80</v>
      </c>
      <c r="B46" s="15">
        <v>1.2</v>
      </c>
      <c r="C46" s="15">
        <v>1.6</v>
      </c>
      <c r="D46" s="15">
        <v>1.9</v>
      </c>
      <c r="E46" s="15">
        <v>2.8</v>
      </c>
      <c r="F46" s="15">
        <v>2.6</v>
      </c>
      <c r="G46" s="15">
        <v>2.1</v>
      </c>
      <c r="H46" s="15">
        <v>2.5</v>
      </c>
      <c r="I46" s="15">
        <v>2.6</v>
      </c>
      <c r="J46" s="15">
        <v>2.2999999999999998</v>
      </c>
      <c r="K46" s="15">
        <v>2.7</v>
      </c>
      <c r="L46" s="15">
        <v>2.5</v>
      </c>
      <c r="M46" s="15">
        <v>4.4349999999999996</v>
      </c>
      <c r="N46" s="15">
        <v>4.4000000000000004</v>
      </c>
    </row>
    <row r="47" spans="1:14" x14ac:dyDescent="0.3">
      <c r="A47" s="12" t="s">
        <v>310</v>
      </c>
      <c r="B47" s="15">
        <v>1</v>
      </c>
      <c r="C47" s="15">
        <v>1.1000000000000001</v>
      </c>
      <c r="D47" s="15">
        <v>1.7</v>
      </c>
      <c r="E47" s="15">
        <v>1.1000000000000001</v>
      </c>
      <c r="F47" s="15">
        <v>1.5</v>
      </c>
      <c r="G47" s="15">
        <v>1.8</v>
      </c>
      <c r="H47" s="15">
        <v>1.1000000000000001</v>
      </c>
      <c r="I47" s="15">
        <v>2.5</v>
      </c>
      <c r="J47" s="15">
        <v>2.2000000000000002</v>
      </c>
      <c r="K47" s="15">
        <v>2.5</v>
      </c>
      <c r="L47" s="15">
        <v>3.3</v>
      </c>
      <c r="M47" s="15">
        <v>4.2450000000000001</v>
      </c>
      <c r="N47" s="15">
        <v>3.7450000000000001</v>
      </c>
    </row>
    <row r="48" spans="1:14" x14ac:dyDescent="0.3">
      <c r="A48" s="12" t="s">
        <v>84</v>
      </c>
      <c r="B48" s="15">
        <v>2.5</v>
      </c>
      <c r="C48" s="15">
        <v>2.4</v>
      </c>
      <c r="D48" s="15">
        <v>2.6</v>
      </c>
      <c r="E48" s="15">
        <v>3.4</v>
      </c>
      <c r="F48" s="15">
        <v>3.7</v>
      </c>
      <c r="G48" s="15">
        <v>3.1</v>
      </c>
      <c r="H48" s="15">
        <v>3.2</v>
      </c>
      <c r="I48" s="15">
        <v>3.5</v>
      </c>
      <c r="J48" s="15">
        <v>3.7</v>
      </c>
      <c r="K48" s="15">
        <v>4.0999999999999996</v>
      </c>
      <c r="L48" s="15">
        <v>4</v>
      </c>
      <c r="M48" s="15">
        <v>2.23</v>
      </c>
      <c r="N48" s="15">
        <v>2.395</v>
      </c>
    </row>
    <row r="49" spans="1:14" x14ac:dyDescent="0.3">
      <c r="A49" s="12" t="s">
        <v>85</v>
      </c>
      <c r="B49" s="15">
        <v>2.4</v>
      </c>
      <c r="C49" s="15">
        <v>1.6</v>
      </c>
      <c r="D49" s="15">
        <v>1.2</v>
      </c>
      <c r="E49" s="15">
        <v>2.1</v>
      </c>
      <c r="F49" s="15">
        <v>2.6</v>
      </c>
      <c r="G49" s="15">
        <v>4.2</v>
      </c>
      <c r="H49" s="15">
        <v>5.0999999999999996</v>
      </c>
      <c r="I49" s="15">
        <v>4</v>
      </c>
      <c r="J49" s="15">
        <v>3.4</v>
      </c>
      <c r="K49" s="15">
        <v>4.4000000000000004</v>
      </c>
      <c r="L49" s="15">
        <v>4</v>
      </c>
      <c r="M49" s="15">
        <v>1.35</v>
      </c>
      <c r="N49" s="15">
        <v>1.615</v>
      </c>
    </row>
    <row r="50" spans="1:14" x14ac:dyDescent="0.3">
      <c r="A50" s="12" t="s">
        <v>86</v>
      </c>
      <c r="B50" s="15">
        <v>0.8</v>
      </c>
      <c r="C50" s="15">
        <v>0.8</v>
      </c>
      <c r="D50" s="15">
        <v>1</v>
      </c>
      <c r="E50" s="15">
        <v>0.9</v>
      </c>
      <c r="F50" s="15">
        <v>1.3</v>
      </c>
      <c r="G50" s="15">
        <v>1.1000000000000001</v>
      </c>
      <c r="H50" s="15">
        <v>1.3</v>
      </c>
      <c r="I50" s="15">
        <v>1.5</v>
      </c>
      <c r="J50" s="15">
        <v>1.8</v>
      </c>
      <c r="K50" s="15">
        <v>2.1</v>
      </c>
      <c r="L50" s="15">
        <v>1.6</v>
      </c>
      <c r="M50" s="15">
        <v>2.04</v>
      </c>
      <c r="N50" s="15">
        <v>1.625</v>
      </c>
    </row>
    <row r="51" spans="1:14" x14ac:dyDescent="0.3">
      <c r="A51" s="12" t="s">
        <v>87</v>
      </c>
      <c r="B51" s="15">
        <v>0.6</v>
      </c>
      <c r="C51" s="15">
        <v>0.5</v>
      </c>
      <c r="D51" s="15">
        <v>0.7</v>
      </c>
      <c r="E51" s="15">
        <v>0.6</v>
      </c>
      <c r="F51" s="15">
        <v>1.1000000000000001</v>
      </c>
      <c r="G51" s="15">
        <v>1.2</v>
      </c>
      <c r="H51" s="15">
        <v>1.5</v>
      </c>
      <c r="I51" s="15">
        <v>1.3</v>
      </c>
      <c r="J51" s="15">
        <v>1.5</v>
      </c>
      <c r="K51" s="15">
        <v>1.7</v>
      </c>
      <c r="L51" s="15">
        <v>1.3</v>
      </c>
      <c r="M51" s="15">
        <v>7.335</v>
      </c>
      <c r="N51" s="15">
        <v>7.6050000000000004</v>
      </c>
    </row>
    <row r="52" spans="1:14" x14ac:dyDescent="0.3">
      <c r="A52" s="12" t="s">
        <v>88</v>
      </c>
      <c r="B52" s="15">
        <v>1.1000000000000001</v>
      </c>
      <c r="C52" s="15">
        <v>1.3</v>
      </c>
      <c r="D52" s="15">
        <v>1</v>
      </c>
      <c r="E52" s="15">
        <v>0.8</v>
      </c>
      <c r="F52" s="15">
        <v>0.8</v>
      </c>
      <c r="G52" s="15">
        <v>0.8</v>
      </c>
      <c r="H52" s="15">
        <v>0.7</v>
      </c>
      <c r="I52" s="15">
        <v>0.8</v>
      </c>
      <c r="J52" s="15">
        <v>1.6</v>
      </c>
      <c r="K52" s="15">
        <v>2.1</v>
      </c>
      <c r="L52" s="15">
        <v>2.5</v>
      </c>
      <c r="M52" s="15">
        <v>2.3250000000000002</v>
      </c>
      <c r="N52" s="15">
        <v>2.7250000000000001</v>
      </c>
    </row>
    <row r="53" spans="1:14" x14ac:dyDescent="0.3">
      <c r="A53" s="12" t="s">
        <v>89</v>
      </c>
      <c r="B53" s="15">
        <v>7.2</v>
      </c>
      <c r="C53" s="15">
        <v>7.6</v>
      </c>
      <c r="D53" s="15">
        <v>8.3000000000000007</v>
      </c>
      <c r="E53" s="15">
        <v>8.6999999999999993</v>
      </c>
      <c r="F53" s="15">
        <v>8.9</v>
      </c>
      <c r="G53" s="15">
        <v>8.8000000000000007</v>
      </c>
      <c r="H53" s="15">
        <v>8.1999999999999993</v>
      </c>
      <c r="I53" s="15">
        <v>8.3000000000000007</v>
      </c>
      <c r="J53" s="15">
        <v>8.6999999999999993</v>
      </c>
      <c r="K53" s="15">
        <v>7.9</v>
      </c>
      <c r="L53" s="15">
        <v>8</v>
      </c>
      <c r="M53" s="15">
        <v>4.0999999999999996</v>
      </c>
      <c r="N53" s="15">
        <v>3.6349999999999998</v>
      </c>
    </row>
    <row r="54" spans="1:14" x14ac:dyDescent="0.3">
      <c r="A54" s="12" t="s">
        <v>90</v>
      </c>
      <c r="B54" s="15">
        <v>0.6</v>
      </c>
      <c r="C54" s="15">
        <v>0.9</v>
      </c>
      <c r="D54" s="15">
        <v>1.3</v>
      </c>
      <c r="E54" s="15">
        <v>1.4</v>
      </c>
      <c r="F54" s="15">
        <v>1.7</v>
      </c>
      <c r="G54" s="15">
        <v>1.5</v>
      </c>
      <c r="H54" s="15">
        <v>1.5</v>
      </c>
      <c r="I54" s="15">
        <v>1.4</v>
      </c>
      <c r="J54" s="15">
        <v>1.7</v>
      </c>
      <c r="K54" s="15">
        <v>2</v>
      </c>
      <c r="L54" s="15">
        <v>2</v>
      </c>
      <c r="M54" s="15">
        <v>6.7350000000000003</v>
      </c>
      <c r="N54" s="15">
        <v>6.5350000000000001</v>
      </c>
    </row>
    <row r="55" spans="1:14" x14ac:dyDescent="0.3">
      <c r="A55" s="12" t="s">
        <v>91</v>
      </c>
      <c r="B55" s="15">
        <v>2.6</v>
      </c>
      <c r="C55" s="15">
        <v>2.2000000000000002</v>
      </c>
      <c r="D55" s="15">
        <v>1.8</v>
      </c>
      <c r="E55" s="15">
        <v>2.4</v>
      </c>
      <c r="F55" s="15">
        <v>2.5</v>
      </c>
      <c r="G55" s="15">
        <v>2.6</v>
      </c>
      <c r="H55" s="15">
        <v>2.1</v>
      </c>
      <c r="I55" s="15">
        <v>3.6</v>
      </c>
      <c r="J55" s="15">
        <v>3.9</v>
      </c>
      <c r="K55" s="15">
        <v>2.9</v>
      </c>
      <c r="L55" s="15">
        <v>3.3</v>
      </c>
      <c r="M55" s="15">
        <v>1.36</v>
      </c>
      <c r="N55" s="15">
        <v>1.325</v>
      </c>
    </row>
    <row r="56" spans="1:14" x14ac:dyDescent="0.3">
      <c r="A56" s="12" t="s">
        <v>92</v>
      </c>
      <c r="B56" s="15">
        <v>7</v>
      </c>
      <c r="C56" s="15">
        <v>7</v>
      </c>
      <c r="D56" s="15">
        <v>7.5</v>
      </c>
      <c r="E56" s="15">
        <v>7.7</v>
      </c>
      <c r="F56" s="15">
        <v>7.3</v>
      </c>
      <c r="G56" s="15">
        <v>7.9</v>
      </c>
      <c r="H56" s="15">
        <v>6.9</v>
      </c>
      <c r="I56" s="15">
        <v>6.5</v>
      </c>
      <c r="J56" s="15">
        <v>6.7</v>
      </c>
      <c r="K56" s="15">
        <v>7.4</v>
      </c>
      <c r="L56" s="15">
        <v>7.6</v>
      </c>
      <c r="M56" s="15">
        <v>2.5750000000000002</v>
      </c>
      <c r="N56" s="15">
        <v>2.5750000000000002</v>
      </c>
    </row>
    <row r="57" spans="1:14" x14ac:dyDescent="0.3">
      <c r="A57" s="12" t="s">
        <v>93</v>
      </c>
      <c r="B57" s="15">
        <v>1.1000000000000001</v>
      </c>
      <c r="C57" s="15">
        <v>1</v>
      </c>
      <c r="D57" s="15">
        <v>0.9</v>
      </c>
      <c r="E57" s="15">
        <v>1.4</v>
      </c>
      <c r="F57" s="15">
        <v>1.2</v>
      </c>
      <c r="G57" s="15">
        <v>1.4</v>
      </c>
      <c r="H57" s="15">
        <v>1.4</v>
      </c>
      <c r="I57" s="15">
        <v>1.4</v>
      </c>
      <c r="J57" s="15">
        <v>1.2</v>
      </c>
      <c r="K57" s="15">
        <v>1.2</v>
      </c>
      <c r="L57" s="15">
        <v>1.2</v>
      </c>
      <c r="M57" s="15">
        <v>4.125</v>
      </c>
      <c r="N57" s="15">
        <v>3.9050000000000002</v>
      </c>
    </row>
    <row r="58" spans="1:14" x14ac:dyDescent="0.3">
      <c r="A58" s="12" t="s">
        <v>95</v>
      </c>
      <c r="B58" s="15">
        <v>2.6</v>
      </c>
      <c r="C58" s="15">
        <v>2.7</v>
      </c>
      <c r="D58" s="15">
        <v>3.2</v>
      </c>
      <c r="E58" s="15">
        <v>4.3</v>
      </c>
      <c r="F58" s="15">
        <v>4.9000000000000004</v>
      </c>
      <c r="G58" s="15">
        <v>5.3</v>
      </c>
      <c r="H58" s="15">
        <v>4.5999999999999996</v>
      </c>
      <c r="I58" s="15">
        <v>3.6</v>
      </c>
      <c r="J58" s="15">
        <v>3.1</v>
      </c>
      <c r="K58" s="15">
        <v>4.7</v>
      </c>
      <c r="L58" s="15">
        <v>4.0999999999999996</v>
      </c>
      <c r="M58" s="15">
        <v>0.41500000000000004</v>
      </c>
      <c r="N58" s="15">
        <v>0.41500000000000004</v>
      </c>
    </row>
    <row r="59" spans="1:14" x14ac:dyDescent="0.3">
      <c r="A59" s="12" t="s">
        <v>97</v>
      </c>
      <c r="B59" s="15">
        <v>0.9</v>
      </c>
      <c r="C59" s="15">
        <v>0.7</v>
      </c>
      <c r="D59" s="15">
        <v>0.7</v>
      </c>
      <c r="E59" s="15">
        <v>3</v>
      </c>
      <c r="F59" s="15">
        <v>2</v>
      </c>
      <c r="G59" s="15">
        <v>2.2999999999999998</v>
      </c>
      <c r="H59" s="15">
        <v>1.7</v>
      </c>
      <c r="I59" s="15">
        <v>2.8</v>
      </c>
      <c r="J59" s="15">
        <v>1.5</v>
      </c>
      <c r="K59" s="15">
        <v>1.8</v>
      </c>
      <c r="L59" s="15">
        <v>1.5</v>
      </c>
      <c r="M59" s="15">
        <v>2.7850000000000001</v>
      </c>
      <c r="N59" s="15">
        <v>2.2850000000000001</v>
      </c>
    </row>
    <row r="60" spans="1:14" x14ac:dyDescent="0.3">
      <c r="A60" s="12" t="s">
        <v>98</v>
      </c>
      <c r="B60" s="15">
        <v>0.6</v>
      </c>
      <c r="C60" s="15">
        <v>0.8</v>
      </c>
      <c r="D60" s="15">
        <v>1.1000000000000001</v>
      </c>
      <c r="E60" s="15">
        <v>1.1000000000000001</v>
      </c>
      <c r="F60" s="15">
        <v>1.6</v>
      </c>
      <c r="G60" s="15">
        <v>1.6</v>
      </c>
      <c r="H60" s="15">
        <v>2.2999999999999998</v>
      </c>
      <c r="I60" s="15">
        <v>1.3</v>
      </c>
      <c r="J60" s="15">
        <v>2</v>
      </c>
      <c r="K60" s="15">
        <v>2.5</v>
      </c>
      <c r="L60" s="15">
        <v>2.6</v>
      </c>
      <c r="M60" s="15">
        <v>3.31</v>
      </c>
      <c r="N60" s="15">
        <v>3.4849999999999999</v>
      </c>
    </row>
    <row r="61" spans="1:14" x14ac:dyDescent="0.3">
      <c r="A61" s="12" t="s">
        <v>99</v>
      </c>
      <c r="B61" s="15">
        <v>3.3</v>
      </c>
      <c r="C61" s="15">
        <v>3.4</v>
      </c>
      <c r="D61" s="15">
        <v>4.3</v>
      </c>
      <c r="E61" s="15">
        <v>4.0999999999999996</v>
      </c>
      <c r="F61" s="15">
        <v>3.9</v>
      </c>
      <c r="G61" s="15">
        <v>4.3</v>
      </c>
      <c r="H61" s="15">
        <v>4.2</v>
      </c>
      <c r="I61" s="15">
        <v>4.4000000000000004</v>
      </c>
      <c r="J61" s="15">
        <v>5.2</v>
      </c>
      <c r="K61" s="15">
        <v>5.2</v>
      </c>
      <c r="L61" s="15">
        <v>4.9000000000000004</v>
      </c>
      <c r="M61" s="15">
        <v>5.375</v>
      </c>
      <c r="N61" s="15">
        <v>5.375</v>
      </c>
    </row>
    <row r="62" spans="1:14" x14ac:dyDescent="0.3">
      <c r="A62" s="12" t="s">
        <v>102</v>
      </c>
      <c r="B62" s="15">
        <v>1.7</v>
      </c>
      <c r="C62" s="15">
        <v>1.3</v>
      </c>
      <c r="D62" s="15">
        <v>1.3</v>
      </c>
      <c r="E62" s="15">
        <v>1.9</v>
      </c>
      <c r="F62" s="15">
        <v>4.5999999999999996</v>
      </c>
      <c r="G62" s="15">
        <v>1.2</v>
      </c>
      <c r="H62" s="15">
        <v>0.5</v>
      </c>
      <c r="I62" s="15">
        <v>1</v>
      </c>
      <c r="J62" s="15">
        <v>1</v>
      </c>
      <c r="K62" s="15">
        <v>0.6</v>
      </c>
      <c r="L62" s="15">
        <v>0.9</v>
      </c>
      <c r="M62" s="15">
        <v>1.22</v>
      </c>
      <c r="N62" s="15">
        <v>0.78500000000000003</v>
      </c>
    </row>
    <row r="63" spans="1:14" x14ac:dyDescent="0.3">
      <c r="A63" s="12" t="s">
        <v>103</v>
      </c>
      <c r="B63" s="15">
        <v>0.5</v>
      </c>
      <c r="C63" s="15">
        <v>0.8</v>
      </c>
      <c r="D63" s="15">
        <v>1.1000000000000001</v>
      </c>
      <c r="E63" s="15">
        <v>1.8</v>
      </c>
      <c r="F63" s="15">
        <v>1.7</v>
      </c>
      <c r="G63" s="15">
        <v>1.6</v>
      </c>
      <c r="H63" s="15">
        <v>1.8</v>
      </c>
      <c r="I63" s="15">
        <v>1.8</v>
      </c>
      <c r="J63" s="15">
        <v>1.7</v>
      </c>
      <c r="K63" s="15">
        <v>3.8</v>
      </c>
      <c r="L63" s="15">
        <v>0.7</v>
      </c>
      <c r="M63" s="15">
        <v>1.48</v>
      </c>
      <c r="N63" s="15">
        <v>0.94</v>
      </c>
    </row>
    <row r="64" spans="1:14" x14ac:dyDescent="0.3">
      <c r="A64" s="12" t="s">
        <v>104</v>
      </c>
      <c r="B64" s="15">
        <v>2.2000000000000002</v>
      </c>
      <c r="C64" s="15">
        <v>2.8</v>
      </c>
      <c r="D64" s="15">
        <v>2.9</v>
      </c>
      <c r="E64" s="15">
        <v>2.9</v>
      </c>
      <c r="F64" s="15">
        <v>2</v>
      </c>
      <c r="G64" s="15">
        <v>2.8</v>
      </c>
      <c r="H64" s="15">
        <v>3.1</v>
      </c>
      <c r="I64" s="15">
        <v>3.6</v>
      </c>
      <c r="J64" s="15">
        <v>4.2</v>
      </c>
      <c r="K64" s="15">
        <v>3.7</v>
      </c>
      <c r="L64" s="15">
        <v>3.5</v>
      </c>
      <c r="M64" s="15">
        <v>3.875</v>
      </c>
      <c r="N64" s="15">
        <v>3.8149999999999999</v>
      </c>
    </row>
    <row r="65" spans="1:14" x14ac:dyDescent="0.3">
      <c r="A65" s="12" t="s">
        <v>105</v>
      </c>
      <c r="B65" s="15">
        <v>3.1</v>
      </c>
      <c r="C65" s="15">
        <v>3.2</v>
      </c>
      <c r="D65" s="15">
        <v>3.1</v>
      </c>
      <c r="E65" s="15">
        <v>4</v>
      </c>
      <c r="F65" s="15">
        <v>3.5</v>
      </c>
      <c r="G65" s="15">
        <v>3.8</v>
      </c>
      <c r="H65" s="15">
        <v>4.5</v>
      </c>
      <c r="I65" s="15">
        <v>3.4</v>
      </c>
      <c r="J65" s="15">
        <v>3.7</v>
      </c>
      <c r="K65" s="15">
        <v>3</v>
      </c>
      <c r="L65" s="15">
        <v>3.2</v>
      </c>
      <c r="M65" s="15">
        <v>3.25</v>
      </c>
      <c r="N65" s="15">
        <v>2.8149999999999999</v>
      </c>
    </row>
    <row r="66" spans="1:14" x14ac:dyDescent="0.3">
      <c r="A66" s="12" t="s">
        <v>106</v>
      </c>
      <c r="B66" s="15">
        <v>1.2</v>
      </c>
      <c r="C66" s="15">
        <v>0.8</v>
      </c>
      <c r="D66" s="15">
        <v>0.7</v>
      </c>
      <c r="E66" s="15">
        <v>1</v>
      </c>
      <c r="F66" s="15">
        <v>0.4</v>
      </c>
      <c r="G66" s="15">
        <v>0.8</v>
      </c>
      <c r="H66" s="15">
        <v>1.3</v>
      </c>
      <c r="I66" s="15">
        <v>0.8</v>
      </c>
      <c r="J66" s="15">
        <v>2</v>
      </c>
      <c r="K66" s="15">
        <v>1.6</v>
      </c>
      <c r="L66" s="15">
        <v>1.6</v>
      </c>
      <c r="M66" s="15">
        <v>1.57</v>
      </c>
      <c r="N66" s="15">
        <v>1.135</v>
      </c>
    </row>
    <row r="67" spans="1:14" x14ac:dyDescent="0.3">
      <c r="A67" s="12" t="s">
        <v>108</v>
      </c>
      <c r="B67" s="15">
        <v>5.2</v>
      </c>
      <c r="C67" s="15">
        <v>4.9000000000000004</v>
      </c>
      <c r="D67" s="15">
        <v>4.2</v>
      </c>
      <c r="E67" s="15">
        <v>5.5</v>
      </c>
      <c r="F67" s="15">
        <v>5.4</v>
      </c>
      <c r="G67" s="15">
        <v>5</v>
      </c>
      <c r="H67" s="15">
        <v>4.4000000000000004</v>
      </c>
      <c r="I67" s="15">
        <v>4.4000000000000004</v>
      </c>
      <c r="J67" s="15">
        <v>4.2</v>
      </c>
      <c r="K67" s="15">
        <v>4.5</v>
      </c>
      <c r="L67" s="15">
        <v>4.3</v>
      </c>
      <c r="M67" s="15">
        <v>3.92</v>
      </c>
      <c r="N67" s="15">
        <v>4.17</v>
      </c>
    </row>
    <row r="68" spans="1:14" x14ac:dyDescent="0.3">
      <c r="A68" s="12" t="s">
        <v>109</v>
      </c>
      <c r="B68" s="15">
        <v>0.5</v>
      </c>
      <c r="C68" s="15">
        <v>0.5</v>
      </c>
      <c r="D68" s="15">
        <v>0.5</v>
      </c>
      <c r="E68" s="15">
        <v>0.8</v>
      </c>
      <c r="F68" s="15">
        <v>0.8</v>
      </c>
      <c r="G68" s="15">
        <v>0.8</v>
      </c>
      <c r="H68" s="15">
        <v>0.8</v>
      </c>
      <c r="I68" s="15">
        <v>0.8</v>
      </c>
      <c r="J68" s="15">
        <v>1.9</v>
      </c>
      <c r="K68" s="15">
        <v>2.2000000000000002</v>
      </c>
      <c r="L68" s="15">
        <v>2.2000000000000002</v>
      </c>
      <c r="M68" s="15">
        <v>1.9949999999999999</v>
      </c>
      <c r="N68" s="15">
        <v>1.66</v>
      </c>
    </row>
    <row r="69" spans="1:14" x14ac:dyDescent="0.3">
      <c r="A69" s="12" t="s">
        <v>112</v>
      </c>
      <c r="B69" s="15">
        <v>1.2</v>
      </c>
      <c r="C69" s="15">
        <v>1</v>
      </c>
      <c r="D69" s="15">
        <v>0.9</v>
      </c>
      <c r="E69" s="15">
        <v>1</v>
      </c>
      <c r="F69" s="15">
        <v>1.3</v>
      </c>
      <c r="G69" s="15">
        <v>1.3</v>
      </c>
      <c r="H69" s="15">
        <v>1.9</v>
      </c>
      <c r="I69" s="15">
        <v>2.1</v>
      </c>
      <c r="J69" s="15">
        <v>1.7</v>
      </c>
      <c r="K69" s="15">
        <v>2.2999999999999998</v>
      </c>
      <c r="L69" s="15">
        <v>2.2000000000000002</v>
      </c>
      <c r="M69" s="15">
        <v>1.9350000000000003</v>
      </c>
      <c r="N69" s="15">
        <v>2.6850000000000005</v>
      </c>
    </row>
    <row r="70" spans="1:14" x14ac:dyDescent="0.3">
      <c r="A70" s="12" t="s">
        <v>114</v>
      </c>
      <c r="B70" s="15">
        <v>1.5</v>
      </c>
      <c r="C70" s="15">
        <v>1.3</v>
      </c>
      <c r="D70" s="15">
        <v>1.4</v>
      </c>
      <c r="E70" s="15">
        <v>2.9</v>
      </c>
      <c r="F70" s="15">
        <v>2.7</v>
      </c>
      <c r="G70" s="15">
        <v>2.9</v>
      </c>
      <c r="H70" s="15">
        <v>2.1</v>
      </c>
      <c r="I70" s="15">
        <v>0</v>
      </c>
      <c r="J70" s="15">
        <v>0</v>
      </c>
      <c r="K70" s="15">
        <v>2.6</v>
      </c>
      <c r="L70" s="15">
        <v>2.5</v>
      </c>
      <c r="M70" s="15">
        <v>3.2700000000000005</v>
      </c>
      <c r="N70" s="15">
        <v>3.09</v>
      </c>
    </row>
    <row r="71" spans="1:14" x14ac:dyDescent="0.3">
      <c r="A71" s="12" t="s">
        <v>115</v>
      </c>
      <c r="B71" s="15">
        <v>1.6</v>
      </c>
      <c r="C71" s="15">
        <v>0.9</v>
      </c>
      <c r="D71" s="15">
        <v>0.3</v>
      </c>
      <c r="E71" s="15">
        <v>0.3</v>
      </c>
      <c r="F71" s="15">
        <v>0.3</v>
      </c>
      <c r="G71" s="15">
        <v>0.3</v>
      </c>
      <c r="H71" s="15">
        <v>0.8</v>
      </c>
      <c r="I71" s="15">
        <v>0.4</v>
      </c>
      <c r="J71" s="15">
        <v>0.4</v>
      </c>
      <c r="K71" s="15">
        <v>0.3</v>
      </c>
      <c r="L71" s="15">
        <v>0.4</v>
      </c>
      <c r="M71" s="15">
        <v>0.44500000000000001</v>
      </c>
      <c r="N71" s="15">
        <v>0.79500000000000004</v>
      </c>
    </row>
    <row r="72" spans="1:14" x14ac:dyDescent="0.3">
      <c r="A72" s="12" t="s">
        <v>116</v>
      </c>
      <c r="B72" s="15">
        <v>0.7</v>
      </c>
      <c r="C72" s="15">
        <v>0.7</v>
      </c>
      <c r="D72" s="15">
        <v>0.5</v>
      </c>
      <c r="E72" s="15">
        <v>2.1</v>
      </c>
      <c r="F72" s="15">
        <v>1.4</v>
      </c>
      <c r="G72" s="15">
        <v>1.1000000000000001</v>
      </c>
      <c r="H72" s="15">
        <v>1.2</v>
      </c>
      <c r="I72" s="15">
        <v>1.2</v>
      </c>
      <c r="J72" s="15">
        <v>1.3</v>
      </c>
      <c r="K72" s="15">
        <v>1.3</v>
      </c>
      <c r="L72" s="15">
        <v>2.5</v>
      </c>
      <c r="M72" s="15">
        <v>2.4550000000000001</v>
      </c>
      <c r="N72" s="15">
        <v>3.0550000000000002</v>
      </c>
    </row>
    <row r="73" spans="1:14" x14ac:dyDescent="0.3">
      <c r="A73" s="12" t="s">
        <v>117</v>
      </c>
      <c r="B73" s="15">
        <v>1.8</v>
      </c>
      <c r="C73" s="15">
        <v>1.2</v>
      </c>
      <c r="D73" s="15">
        <v>0.8</v>
      </c>
      <c r="E73" s="15">
        <v>0.8</v>
      </c>
      <c r="F73" s="15">
        <v>1.6</v>
      </c>
      <c r="G73" s="15">
        <v>1.9</v>
      </c>
      <c r="H73" s="15">
        <v>1.5</v>
      </c>
      <c r="I73" s="15">
        <v>1.9</v>
      </c>
      <c r="J73" s="15">
        <v>1.9</v>
      </c>
      <c r="K73" s="15">
        <v>2.2999999999999998</v>
      </c>
      <c r="L73" s="15">
        <v>2.7</v>
      </c>
      <c r="M73" s="15">
        <v>2.3550000000000004</v>
      </c>
      <c r="N73" s="15">
        <v>2.8050000000000002</v>
      </c>
    </row>
    <row r="74" spans="1:14" x14ac:dyDescent="0.3">
      <c r="A74" s="12" t="s">
        <v>118</v>
      </c>
      <c r="B74" s="15">
        <v>1.3</v>
      </c>
      <c r="C74" s="15">
        <v>1.1000000000000001</v>
      </c>
      <c r="D74" s="15">
        <v>1.8</v>
      </c>
      <c r="E74" s="15">
        <v>1.6</v>
      </c>
      <c r="F74" s="15">
        <v>2.4</v>
      </c>
      <c r="G74" s="15">
        <v>2.2000000000000002</v>
      </c>
      <c r="H74" s="15">
        <v>2</v>
      </c>
      <c r="I74" s="15">
        <v>2.6</v>
      </c>
      <c r="J74" s="15">
        <v>2.5</v>
      </c>
      <c r="K74" s="15">
        <v>2.8</v>
      </c>
      <c r="L74" s="15">
        <v>3.3</v>
      </c>
      <c r="M74" s="15">
        <v>2.0249999999999999</v>
      </c>
      <c r="N74" s="15">
        <v>1.6900000000000002</v>
      </c>
    </row>
    <row r="75" spans="1:14" x14ac:dyDescent="0.3">
      <c r="A75" s="12" t="s">
        <v>311</v>
      </c>
      <c r="B75" s="15">
        <v>1</v>
      </c>
      <c r="C75" s="15">
        <v>1.5</v>
      </c>
      <c r="D75" s="15">
        <v>2.2000000000000002</v>
      </c>
      <c r="E75" s="15">
        <v>1.2</v>
      </c>
      <c r="F75" s="15">
        <v>2.1</v>
      </c>
      <c r="G75" s="15">
        <v>2.6</v>
      </c>
      <c r="H75" s="15">
        <v>2.9</v>
      </c>
      <c r="I75" s="15">
        <v>2.2999999999999998</v>
      </c>
      <c r="J75" s="15">
        <v>1.9</v>
      </c>
      <c r="K75" s="15">
        <v>1.9</v>
      </c>
      <c r="L75" s="15">
        <v>1.8</v>
      </c>
      <c r="M75" s="15">
        <v>1.87</v>
      </c>
      <c r="N75" s="15">
        <v>3.7850000000000001</v>
      </c>
    </row>
    <row r="76" spans="1:14" x14ac:dyDescent="0.3">
      <c r="A76" s="12" t="s">
        <v>119</v>
      </c>
      <c r="B76" s="15">
        <v>0.3</v>
      </c>
      <c r="C76" s="15">
        <v>0.5</v>
      </c>
      <c r="D76" s="15">
        <v>0.6</v>
      </c>
      <c r="E76" s="15">
        <v>0.8</v>
      </c>
      <c r="F76" s="15">
        <v>1</v>
      </c>
      <c r="G76" s="15">
        <v>2.4</v>
      </c>
      <c r="H76" s="15">
        <v>2.9</v>
      </c>
      <c r="I76" s="15">
        <v>2.8</v>
      </c>
      <c r="J76" s="15">
        <v>2.2000000000000002</v>
      </c>
      <c r="K76" s="15">
        <v>3.3</v>
      </c>
      <c r="L76" s="15">
        <v>3.3</v>
      </c>
      <c r="M76" s="15">
        <v>3.1</v>
      </c>
      <c r="N76" s="15">
        <v>2.2850000000000001</v>
      </c>
    </row>
    <row r="77" spans="1:14" x14ac:dyDescent="0.3">
      <c r="A77" s="12" t="s">
        <v>120</v>
      </c>
      <c r="B77" s="15">
        <v>2.6</v>
      </c>
      <c r="C77" s="15">
        <v>2.5</v>
      </c>
      <c r="D77" s="15">
        <v>2.1</v>
      </c>
      <c r="E77" s="15">
        <v>2.8</v>
      </c>
      <c r="F77" s="15">
        <v>2.1</v>
      </c>
      <c r="G77" s="15">
        <v>3.2</v>
      </c>
      <c r="H77" s="15">
        <v>3.4</v>
      </c>
      <c r="I77" s="15">
        <v>2.6</v>
      </c>
      <c r="J77" s="15">
        <v>3.6</v>
      </c>
      <c r="K77" s="15">
        <v>3.7</v>
      </c>
      <c r="L77" s="15">
        <v>3.7</v>
      </c>
      <c r="M77" s="15">
        <v>3.62</v>
      </c>
      <c r="N77" s="15">
        <v>3.605</v>
      </c>
    </row>
    <row r="78" spans="1:14" x14ac:dyDescent="0.3">
      <c r="A78" s="12" t="s">
        <v>121</v>
      </c>
      <c r="B78" s="15">
        <v>4.8</v>
      </c>
      <c r="C78" s="15">
        <v>5.3</v>
      </c>
      <c r="D78" s="15">
        <v>5.4</v>
      </c>
      <c r="E78" s="15">
        <v>5.3</v>
      </c>
      <c r="F78" s="15">
        <v>5.0999999999999996</v>
      </c>
      <c r="G78" s="15">
        <v>5.5</v>
      </c>
      <c r="H78" s="15">
        <v>5</v>
      </c>
      <c r="I78" s="15">
        <v>4.5</v>
      </c>
      <c r="J78" s="15">
        <v>5.0999999999999996</v>
      </c>
      <c r="K78" s="15">
        <v>5.0999999999999996</v>
      </c>
      <c r="L78" s="15">
        <v>5.4</v>
      </c>
      <c r="M78" s="15">
        <v>5.75</v>
      </c>
      <c r="N78" s="15">
        <v>5.55</v>
      </c>
    </row>
    <row r="79" spans="1:14" x14ac:dyDescent="0.3">
      <c r="A79" s="12" t="s">
        <v>122</v>
      </c>
      <c r="B79" s="15">
        <v>6.2</v>
      </c>
      <c r="C79" s="15">
        <v>6.8</v>
      </c>
      <c r="D79" s="15">
        <v>7.2</v>
      </c>
      <c r="E79" s="15">
        <v>8.6</v>
      </c>
      <c r="F79" s="15">
        <v>8.1999999999999993</v>
      </c>
      <c r="G79" s="15">
        <v>8.3000000000000007</v>
      </c>
      <c r="H79" s="15">
        <v>8.5</v>
      </c>
      <c r="I79" s="15">
        <v>7.9</v>
      </c>
      <c r="J79" s="15">
        <v>7.6</v>
      </c>
      <c r="K79" s="15">
        <v>8.5</v>
      </c>
      <c r="L79" s="15">
        <v>7.9</v>
      </c>
      <c r="M79" s="15">
        <v>7.87</v>
      </c>
      <c r="N79" s="15">
        <v>7.37</v>
      </c>
    </row>
    <row r="80" spans="1:14" x14ac:dyDescent="0.3">
      <c r="A80" s="12" t="s">
        <v>312</v>
      </c>
      <c r="B80" s="15">
        <v>7.9</v>
      </c>
      <c r="C80" s="15">
        <v>8.3000000000000007</v>
      </c>
      <c r="D80" s="15">
        <v>8.3000000000000007</v>
      </c>
      <c r="E80" s="15">
        <v>7.9</v>
      </c>
      <c r="F80" s="15">
        <v>8.5</v>
      </c>
      <c r="G80" s="15">
        <v>8.6</v>
      </c>
      <c r="H80" s="15">
        <v>8.3000000000000007</v>
      </c>
      <c r="I80" s="15">
        <v>8</v>
      </c>
      <c r="J80" s="15">
        <v>8.5</v>
      </c>
      <c r="K80" s="15">
        <v>8.5</v>
      </c>
      <c r="L80" s="15">
        <v>8.4</v>
      </c>
      <c r="M80" s="15">
        <v>8.1549999999999994</v>
      </c>
      <c r="N80" s="15">
        <v>8.1549999999999994</v>
      </c>
    </row>
    <row r="81" spans="1:14" x14ac:dyDescent="0.3">
      <c r="A81" s="12" t="s">
        <v>124</v>
      </c>
      <c r="B81" s="15">
        <v>5.0999999999999996</v>
      </c>
      <c r="C81" s="15">
        <v>5.0999999999999996</v>
      </c>
      <c r="D81" s="15">
        <v>5.3</v>
      </c>
      <c r="E81" s="15">
        <v>4.5999999999999996</v>
      </c>
      <c r="F81" s="15">
        <v>5</v>
      </c>
      <c r="G81" s="15">
        <v>6.8</v>
      </c>
      <c r="H81" s="15">
        <v>6.4</v>
      </c>
      <c r="I81" s="15">
        <v>6.4</v>
      </c>
      <c r="J81" s="15">
        <v>7.3</v>
      </c>
      <c r="K81" s="15">
        <v>6.8</v>
      </c>
      <c r="L81" s="15">
        <v>6.4</v>
      </c>
      <c r="M81" s="15">
        <v>5.9550000000000001</v>
      </c>
      <c r="N81" s="15">
        <v>6.4550000000000001</v>
      </c>
    </row>
    <row r="82" spans="1:14" x14ac:dyDescent="0.3">
      <c r="A82" s="12" t="s">
        <v>125</v>
      </c>
      <c r="B82" s="15">
        <v>0.6</v>
      </c>
      <c r="C82" s="15">
        <v>1.2</v>
      </c>
      <c r="D82" s="15">
        <v>1.2</v>
      </c>
      <c r="E82" s="15">
        <v>0.6</v>
      </c>
      <c r="F82" s="15">
        <v>1.1000000000000001</v>
      </c>
      <c r="G82" s="15">
        <v>1.1000000000000001</v>
      </c>
      <c r="H82" s="15">
        <v>1.5</v>
      </c>
      <c r="I82" s="15">
        <v>0.8</v>
      </c>
      <c r="J82" s="15">
        <v>1</v>
      </c>
      <c r="K82" s="15">
        <v>0.8</v>
      </c>
      <c r="L82" s="15">
        <v>1</v>
      </c>
      <c r="M82" s="15">
        <v>0.96499999999999997</v>
      </c>
      <c r="N82" s="15">
        <v>0.96</v>
      </c>
    </row>
    <row r="83" spans="1:14" x14ac:dyDescent="0.3">
      <c r="A83" s="12" t="s">
        <v>127</v>
      </c>
      <c r="B83" s="15">
        <v>3.9</v>
      </c>
      <c r="C83" s="15">
        <v>4.5</v>
      </c>
      <c r="D83" s="15">
        <v>4.7</v>
      </c>
      <c r="E83" s="15">
        <v>6.1</v>
      </c>
      <c r="F83" s="15">
        <v>6</v>
      </c>
      <c r="G83" s="15">
        <v>6.5</v>
      </c>
      <c r="H83" s="15">
        <v>5.7</v>
      </c>
      <c r="I83" s="15">
        <v>5.5</v>
      </c>
      <c r="J83" s="15">
        <v>6</v>
      </c>
      <c r="K83" s="15">
        <v>6.5</v>
      </c>
      <c r="L83" s="15">
        <v>5.5</v>
      </c>
      <c r="M83" s="15">
        <v>6.45</v>
      </c>
      <c r="N83" s="15">
        <v>5.7149999999999999</v>
      </c>
    </row>
    <row r="84" spans="1:14" x14ac:dyDescent="0.3">
      <c r="A84" s="12" t="s">
        <v>128</v>
      </c>
      <c r="B84" s="15">
        <v>2</v>
      </c>
      <c r="C84" s="15">
        <v>2.2000000000000002</v>
      </c>
      <c r="D84" s="15">
        <v>2.2000000000000002</v>
      </c>
      <c r="E84" s="15">
        <v>2.6</v>
      </c>
      <c r="F84" s="15">
        <v>2.8</v>
      </c>
      <c r="G84" s="15">
        <v>2.6</v>
      </c>
      <c r="H84" s="15">
        <v>2</v>
      </c>
      <c r="I84" s="15">
        <v>2.2999999999999998</v>
      </c>
      <c r="J84" s="15">
        <v>3</v>
      </c>
      <c r="K84" s="15">
        <v>3</v>
      </c>
      <c r="L84" s="15">
        <v>2.9</v>
      </c>
      <c r="M84" s="15">
        <v>2.9299999999999997</v>
      </c>
      <c r="N84" s="15">
        <v>2.9299999999999997</v>
      </c>
    </row>
    <row r="85" spans="1:14" x14ac:dyDescent="0.3">
      <c r="A85" s="12" t="s">
        <v>129</v>
      </c>
      <c r="B85" s="15">
        <v>1</v>
      </c>
      <c r="C85" s="15">
        <v>0.9</v>
      </c>
      <c r="D85" s="15">
        <v>1</v>
      </c>
      <c r="E85" s="15">
        <v>1.4</v>
      </c>
      <c r="F85" s="15">
        <v>2.1</v>
      </c>
      <c r="G85" s="15">
        <v>2.2000000000000002</v>
      </c>
      <c r="H85" s="15">
        <v>1.5</v>
      </c>
      <c r="I85" s="15">
        <v>1.2</v>
      </c>
      <c r="J85" s="15">
        <v>1.4</v>
      </c>
      <c r="K85" s="15">
        <v>1.4</v>
      </c>
      <c r="L85" s="15">
        <v>1.4</v>
      </c>
      <c r="M85" s="15">
        <v>1.2849999999999999</v>
      </c>
      <c r="N85" s="15">
        <v>1.17</v>
      </c>
    </row>
    <row r="86" spans="1:14" x14ac:dyDescent="0.3">
      <c r="A86" s="12" t="s">
        <v>130</v>
      </c>
      <c r="B86" s="15">
        <v>0.2</v>
      </c>
      <c r="C86" s="15">
        <v>0.3</v>
      </c>
      <c r="D86" s="15">
        <v>0.3</v>
      </c>
      <c r="E86" s="15">
        <v>2</v>
      </c>
      <c r="F86" s="15">
        <v>1.9</v>
      </c>
      <c r="G86" s="15">
        <v>0.7</v>
      </c>
      <c r="H86" s="15">
        <v>1.1000000000000001</v>
      </c>
      <c r="I86" s="15">
        <v>0.7</v>
      </c>
      <c r="J86" s="15">
        <v>0.8</v>
      </c>
      <c r="K86" s="15">
        <v>0.8</v>
      </c>
      <c r="L86" s="15">
        <v>0.9</v>
      </c>
      <c r="M86" s="15">
        <v>1.95</v>
      </c>
      <c r="N86" s="15">
        <v>2.35</v>
      </c>
    </row>
    <row r="87" spans="1:14" x14ac:dyDescent="0.3">
      <c r="A87" s="12" t="s">
        <v>132</v>
      </c>
      <c r="B87" s="15">
        <v>4.5999999999999996</v>
      </c>
      <c r="C87" s="15">
        <v>5.3</v>
      </c>
      <c r="D87" s="15">
        <v>5.4</v>
      </c>
      <c r="E87" s="15">
        <v>6.5</v>
      </c>
      <c r="F87" s="15">
        <v>6</v>
      </c>
      <c r="G87" s="15">
        <v>5.7</v>
      </c>
      <c r="H87" s="15">
        <v>6.2</v>
      </c>
      <c r="I87" s="15">
        <v>5.5</v>
      </c>
      <c r="J87" s="15">
        <v>5.6</v>
      </c>
      <c r="K87" s="15">
        <v>5.9</v>
      </c>
      <c r="L87" s="15">
        <v>5.3</v>
      </c>
      <c r="M87" s="15">
        <v>0.51500000000000001</v>
      </c>
      <c r="N87" s="15">
        <v>0.8</v>
      </c>
    </row>
    <row r="88" spans="1:14" x14ac:dyDescent="0.3">
      <c r="A88" s="12" t="s">
        <v>133</v>
      </c>
      <c r="B88" s="15">
        <v>5.6</v>
      </c>
      <c r="C88" s="15">
        <v>5</v>
      </c>
      <c r="D88" s="15">
        <v>4.5999999999999996</v>
      </c>
      <c r="E88" s="15">
        <v>5.7</v>
      </c>
      <c r="F88" s="15">
        <v>5.7</v>
      </c>
      <c r="G88" s="15">
        <v>6.7</v>
      </c>
      <c r="H88" s="15">
        <v>6</v>
      </c>
      <c r="I88" s="15">
        <v>7.5</v>
      </c>
      <c r="J88" s="15">
        <v>6.7</v>
      </c>
      <c r="K88" s="15">
        <v>7.5</v>
      </c>
      <c r="L88" s="15">
        <v>7.1</v>
      </c>
      <c r="M88" s="15">
        <v>4.8</v>
      </c>
      <c r="N88" s="15">
        <v>5.47</v>
      </c>
    </row>
    <row r="89" spans="1:14" x14ac:dyDescent="0.3">
      <c r="A89" s="12" t="s">
        <v>134</v>
      </c>
      <c r="B89" s="15">
        <v>2.9</v>
      </c>
      <c r="C89" s="15">
        <v>2.9</v>
      </c>
      <c r="D89" s="15">
        <v>3.4</v>
      </c>
      <c r="E89" s="15">
        <v>4.7</v>
      </c>
      <c r="F89" s="15">
        <v>5.5</v>
      </c>
      <c r="G89" s="15">
        <v>4.3</v>
      </c>
      <c r="H89" s="15">
        <v>3.7</v>
      </c>
      <c r="I89" s="15">
        <v>3.6</v>
      </c>
      <c r="J89" s="15">
        <v>3.3</v>
      </c>
      <c r="K89" s="15">
        <v>3.3</v>
      </c>
      <c r="L89" s="15">
        <v>3.3</v>
      </c>
      <c r="M89" s="15">
        <v>6.9850000000000003</v>
      </c>
      <c r="N89" s="15">
        <v>6.9550000000000001</v>
      </c>
    </row>
    <row r="90" spans="1:14" x14ac:dyDescent="0.3">
      <c r="A90" s="12" t="s">
        <v>135</v>
      </c>
      <c r="B90" s="15">
        <v>0.3</v>
      </c>
      <c r="C90" s="15">
        <v>0.6</v>
      </c>
      <c r="D90" s="15">
        <v>0.8</v>
      </c>
      <c r="E90" s="15">
        <v>0.5</v>
      </c>
      <c r="F90" s="15">
        <v>0.5</v>
      </c>
      <c r="G90" s="15">
        <v>0.5</v>
      </c>
      <c r="H90" s="15">
        <v>0.9</v>
      </c>
      <c r="I90" s="15">
        <v>0.9</v>
      </c>
      <c r="J90" s="15">
        <v>0.9</v>
      </c>
      <c r="K90" s="15">
        <v>0.9</v>
      </c>
      <c r="L90" s="15">
        <v>0.9</v>
      </c>
      <c r="M90" s="15">
        <v>3.165</v>
      </c>
      <c r="N90" s="15">
        <v>3.52</v>
      </c>
    </row>
    <row r="91" spans="1:14" x14ac:dyDescent="0.3">
      <c r="A91" s="12" t="s">
        <v>313</v>
      </c>
      <c r="B91" s="15">
        <v>1.9</v>
      </c>
      <c r="C91" s="15">
        <v>2</v>
      </c>
      <c r="D91" s="15">
        <v>1.9</v>
      </c>
      <c r="E91" s="15">
        <v>1.7</v>
      </c>
      <c r="F91" s="15">
        <v>1.8</v>
      </c>
      <c r="G91" s="15">
        <v>1.5</v>
      </c>
      <c r="H91" s="15">
        <v>2.5</v>
      </c>
      <c r="I91" s="15">
        <v>2.6</v>
      </c>
      <c r="J91" s="15">
        <v>3.2</v>
      </c>
      <c r="K91" s="15">
        <v>3.1</v>
      </c>
      <c r="L91" s="15">
        <v>2.7</v>
      </c>
      <c r="M91" s="15">
        <v>1.125</v>
      </c>
      <c r="N91" s="15">
        <v>1.375</v>
      </c>
    </row>
    <row r="92" spans="1:14" x14ac:dyDescent="0.3">
      <c r="A92" s="12" t="s">
        <v>136</v>
      </c>
      <c r="B92" s="15">
        <v>4.8</v>
      </c>
      <c r="C92" s="15">
        <v>5</v>
      </c>
      <c r="D92" s="15">
        <v>5.5</v>
      </c>
      <c r="E92" s="15">
        <v>4.7</v>
      </c>
      <c r="F92" s="15">
        <v>5.5</v>
      </c>
      <c r="G92" s="15">
        <v>5.0999999999999996</v>
      </c>
      <c r="H92" s="15">
        <v>5.4</v>
      </c>
      <c r="I92" s="15">
        <v>5.4</v>
      </c>
      <c r="J92" s="15">
        <v>5.9</v>
      </c>
      <c r="K92" s="15">
        <v>6.4</v>
      </c>
      <c r="L92" s="15">
        <v>6.1</v>
      </c>
      <c r="M92" s="15">
        <v>2.835</v>
      </c>
      <c r="N92" s="15">
        <v>2.835</v>
      </c>
    </row>
    <row r="93" spans="1:14" x14ac:dyDescent="0.3">
      <c r="A93" s="12" t="s">
        <v>137</v>
      </c>
      <c r="B93" s="15">
        <v>3.9</v>
      </c>
      <c r="C93" s="15">
        <v>3.7</v>
      </c>
      <c r="D93" s="15">
        <v>4.5999999999999996</v>
      </c>
      <c r="E93" s="15">
        <v>6.5</v>
      </c>
      <c r="F93" s="15">
        <v>6.2</v>
      </c>
      <c r="G93" s="15">
        <v>6.5</v>
      </c>
      <c r="H93" s="15">
        <v>5.7</v>
      </c>
      <c r="I93" s="15">
        <v>6</v>
      </c>
      <c r="J93" s="15">
        <v>6.4</v>
      </c>
      <c r="K93" s="15">
        <v>6.5</v>
      </c>
      <c r="L93" s="15">
        <v>5.7</v>
      </c>
      <c r="M93" s="15">
        <v>5.8549999999999995</v>
      </c>
      <c r="N93" s="15">
        <v>5.6049999999999995</v>
      </c>
    </row>
    <row r="94" spans="1:14" x14ac:dyDescent="0.3">
      <c r="A94" s="12" t="s">
        <v>314</v>
      </c>
      <c r="B94" s="15">
        <v>6.3</v>
      </c>
      <c r="C94" s="15">
        <v>5.2</v>
      </c>
      <c r="D94" s="15">
        <v>5.6</v>
      </c>
      <c r="E94" s="15">
        <v>5.7</v>
      </c>
      <c r="F94" s="15">
        <v>5.5</v>
      </c>
      <c r="G94" s="15">
        <v>5.6</v>
      </c>
      <c r="H94" s="15">
        <v>6.1</v>
      </c>
      <c r="I94" s="15">
        <v>7</v>
      </c>
      <c r="J94" s="15">
        <v>5.7</v>
      </c>
      <c r="K94" s="15">
        <v>6.9</v>
      </c>
      <c r="L94" s="15">
        <v>6.9</v>
      </c>
      <c r="M94" s="15">
        <v>5.7</v>
      </c>
      <c r="N94" s="15">
        <v>5.7</v>
      </c>
    </row>
    <row r="95" spans="1:14" x14ac:dyDescent="0.3">
      <c r="A95" s="12" t="s">
        <v>139</v>
      </c>
      <c r="B95" s="15">
        <v>2.2999999999999998</v>
      </c>
      <c r="C95" s="15">
        <v>2.4</v>
      </c>
      <c r="D95" s="15">
        <v>2.2000000000000002</v>
      </c>
      <c r="E95" s="15">
        <v>2</v>
      </c>
      <c r="F95" s="15">
        <v>2.9</v>
      </c>
      <c r="G95" s="15">
        <v>2.6</v>
      </c>
      <c r="H95" s="15">
        <v>2.9</v>
      </c>
      <c r="I95" s="15">
        <v>2.8</v>
      </c>
      <c r="J95" s="15">
        <v>2.6</v>
      </c>
      <c r="K95" s="15">
        <v>2.4</v>
      </c>
      <c r="L95" s="15">
        <v>2.6</v>
      </c>
      <c r="M95" s="15">
        <v>5.99</v>
      </c>
      <c r="N95" s="15">
        <v>6.46</v>
      </c>
    </row>
    <row r="96" spans="1:14" x14ac:dyDescent="0.3">
      <c r="A96" s="12" t="s">
        <v>140</v>
      </c>
      <c r="B96" s="15">
        <v>1.4</v>
      </c>
      <c r="C96" s="15">
        <v>1.8</v>
      </c>
      <c r="D96" s="15">
        <v>2.5</v>
      </c>
      <c r="E96" s="15">
        <v>3.7</v>
      </c>
      <c r="F96" s="15">
        <v>3.6</v>
      </c>
      <c r="G96" s="15">
        <v>3.1</v>
      </c>
      <c r="H96" s="15">
        <v>4</v>
      </c>
      <c r="I96" s="15">
        <v>3.7</v>
      </c>
      <c r="J96" s="15">
        <v>3.1</v>
      </c>
      <c r="K96" s="15">
        <v>4</v>
      </c>
      <c r="L96" s="15">
        <v>3.5</v>
      </c>
      <c r="M96" s="15">
        <v>2.4</v>
      </c>
      <c r="N96" s="15">
        <v>2.4</v>
      </c>
    </row>
    <row r="97" spans="1:14" x14ac:dyDescent="0.3">
      <c r="A97" s="12" t="s">
        <v>141</v>
      </c>
      <c r="B97" s="15">
        <v>0.4</v>
      </c>
      <c r="C97" s="15">
        <v>0.5</v>
      </c>
      <c r="D97" s="15">
        <v>0.6</v>
      </c>
      <c r="E97" s="15">
        <v>0.6</v>
      </c>
      <c r="F97" s="15">
        <v>0.6</v>
      </c>
      <c r="G97" s="15">
        <v>0.4</v>
      </c>
      <c r="H97" s="15">
        <v>0.5</v>
      </c>
      <c r="I97" s="15">
        <v>0.7</v>
      </c>
      <c r="J97" s="15">
        <v>0.8</v>
      </c>
      <c r="K97" s="15">
        <v>0.7</v>
      </c>
      <c r="L97" s="15">
        <v>0.7</v>
      </c>
      <c r="M97" s="15">
        <v>4.0650000000000004</v>
      </c>
      <c r="N97" s="15">
        <v>3.7949999999999999</v>
      </c>
    </row>
    <row r="98" spans="1:14" x14ac:dyDescent="0.3">
      <c r="A98" s="12" t="s">
        <v>142</v>
      </c>
      <c r="B98" s="15">
        <v>1.7</v>
      </c>
      <c r="C98" s="15">
        <v>1.1000000000000001</v>
      </c>
      <c r="D98" s="15">
        <v>0.5</v>
      </c>
      <c r="E98" s="15">
        <v>1.7</v>
      </c>
      <c r="F98" s="15">
        <v>1.2</v>
      </c>
      <c r="G98" s="15">
        <v>1.5</v>
      </c>
      <c r="H98" s="15">
        <v>1.4</v>
      </c>
      <c r="I98" s="15">
        <v>1.4</v>
      </c>
      <c r="J98" s="15">
        <v>1.6</v>
      </c>
      <c r="K98" s="15">
        <v>1.7</v>
      </c>
      <c r="L98" s="15">
        <v>2.6</v>
      </c>
      <c r="M98" s="15">
        <v>1.25</v>
      </c>
      <c r="N98" s="15">
        <v>1.05</v>
      </c>
    </row>
    <row r="99" spans="1:14" x14ac:dyDescent="0.3">
      <c r="A99" s="12" t="s">
        <v>143</v>
      </c>
      <c r="B99" s="15">
        <v>5.0999999999999996</v>
      </c>
      <c r="C99" s="15">
        <v>5.6</v>
      </c>
      <c r="D99" s="15">
        <v>6.4</v>
      </c>
      <c r="E99" s="15">
        <v>5.8</v>
      </c>
      <c r="F99" s="15">
        <v>6.2</v>
      </c>
      <c r="G99" s="15">
        <v>5.5</v>
      </c>
      <c r="H99" s="15">
        <v>4.7</v>
      </c>
      <c r="I99" s="15">
        <v>4.7</v>
      </c>
      <c r="J99" s="15">
        <v>3.9</v>
      </c>
      <c r="K99" s="15">
        <v>3.4</v>
      </c>
      <c r="L99" s="15">
        <v>4.0999999999999996</v>
      </c>
      <c r="M99" s="15">
        <v>1.4900000000000002</v>
      </c>
      <c r="N99" s="15">
        <v>1.3900000000000001</v>
      </c>
    </row>
    <row r="100" spans="1:14" x14ac:dyDescent="0.3">
      <c r="A100" s="12" t="s">
        <v>144</v>
      </c>
      <c r="B100" s="15">
        <v>1.3</v>
      </c>
      <c r="C100" s="15">
        <v>1.4</v>
      </c>
      <c r="D100" s="15">
        <v>1.4</v>
      </c>
      <c r="E100" s="15">
        <v>1.4</v>
      </c>
      <c r="F100" s="15">
        <v>1.7</v>
      </c>
      <c r="G100" s="15">
        <v>2</v>
      </c>
      <c r="H100" s="15">
        <v>1.9</v>
      </c>
      <c r="I100" s="15">
        <v>2.1</v>
      </c>
      <c r="J100" s="15">
        <v>2.2000000000000002</v>
      </c>
      <c r="K100" s="15">
        <v>2.5</v>
      </c>
      <c r="L100" s="15">
        <v>2.5</v>
      </c>
      <c r="M100" s="15">
        <v>5.835</v>
      </c>
      <c r="N100" s="15">
        <v>6.0049999999999999</v>
      </c>
    </row>
    <row r="101" spans="1:14" x14ac:dyDescent="0.3">
      <c r="A101" s="12" t="s">
        <v>145</v>
      </c>
      <c r="B101" s="15">
        <v>1.7</v>
      </c>
      <c r="C101" s="15">
        <v>1.8</v>
      </c>
      <c r="D101" s="15">
        <v>2.2000000000000002</v>
      </c>
      <c r="E101" s="15">
        <v>1.6</v>
      </c>
      <c r="F101" s="15">
        <v>2.2999999999999998</v>
      </c>
      <c r="G101" s="15">
        <v>2.6</v>
      </c>
      <c r="H101" s="15">
        <v>2.2999999999999998</v>
      </c>
      <c r="I101" s="15">
        <v>2.1</v>
      </c>
      <c r="J101" s="15">
        <v>2.2999999999999998</v>
      </c>
      <c r="K101" s="15">
        <v>2.1</v>
      </c>
      <c r="L101" s="15">
        <v>2.5</v>
      </c>
      <c r="M101" s="15">
        <v>2.4849999999999999</v>
      </c>
      <c r="N101" s="15">
        <v>1.9849999999999999</v>
      </c>
    </row>
    <row r="102" spans="1:14" x14ac:dyDescent="0.3">
      <c r="A102" s="12" t="s">
        <v>146</v>
      </c>
      <c r="B102" s="15">
        <v>0.8</v>
      </c>
      <c r="C102" s="15">
        <v>0.8</v>
      </c>
      <c r="D102" s="15">
        <v>0.7</v>
      </c>
      <c r="E102" s="15">
        <v>1.2</v>
      </c>
      <c r="F102" s="15">
        <v>1.3</v>
      </c>
      <c r="G102" s="15">
        <v>1.6</v>
      </c>
      <c r="H102" s="15">
        <v>1.5</v>
      </c>
      <c r="I102" s="15">
        <v>1.5</v>
      </c>
      <c r="J102" s="15">
        <v>2.2999999999999998</v>
      </c>
      <c r="K102" s="15">
        <v>2.1</v>
      </c>
      <c r="L102" s="15">
        <v>2.5</v>
      </c>
      <c r="M102" s="15">
        <v>2.25</v>
      </c>
      <c r="N102" s="15">
        <v>2.75</v>
      </c>
    </row>
    <row r="103" spans="1:14" x14ac:dyDescent="0.3">
      <c r="A103" s="12" t="s">
        <v>315</v>
      </c>
      <c r="B103" s="15">
        <v>1.3</v>
      </c>
      <c r="C103" s="15">
        <v>1.5</v>
      </c>
      <c r="D103" s="15">
        <v>1.8</v>
      </c>
      <c r="E103" s="15">
        <v>0.6</v>
      </c>
      <c r="F103" s="15">
        <v>0.8</v>
      </c>
      <c r="G103" s="15">
        <v>0.8</v>
      </c>
      <c r="H103" s="15">
        <v>0.8</v>
      </c>
      <c r="I103" s="15">
        <v>0.8</v>
      </c>
      <c r="J103" s="15">
        <v>0.8</v>
      </c>
      <c r="K103" s="15">
        <v>0.8</v>
      </c>
      <c r="L103" s="15">
        <v>1</v>
      </c>
      <c r="M103" s="15">
        <v>2.85</v>
      </c>
      <c r="N103" s="15">
        <v>3.1</v>
      </c>
    </row>
    <row r="104" spans="1:14" x14ac:dyDescent="0.3">
      <c r="A104" s="12" t="s">
        <v>316</v>
      </c>
      <c r="B104" s="15">
        <v>2.2000000000000002</v>
      </c>
      <c r="C104" s="15">
        <v>1.8</v>
      </c>
      <c r="D104" s="15">
        <v>1.1000000000000001</v>
      </c>
      <c r="E104" s="15">
        <v>2.8</v>
      </c>
      <c r="F104" s="15">
        <v>2.6</v>
      </c>
      <c r="G104" s="15">
        <v>3</v>
      </c>
      <c r="H104" s="15">
        <v>2.5</v>
      </c>
      <c r="I104" s="15">
        <v>3.2</v>
      </c>
      <c r="J104" s="15">
        <v>3.1</v>
      </c>
      <c r="K104" s="15">
        <v>2.2999999999999998</v>
      </c>
      <c r="L104" s="15">
        <v>2.2000000000000002</v>
      </c>
      <c r="M104" s="15">
        <v>0.8</v>
      </c>
      <c r="N104" s="15">
        <v>0.38</v>
      </c>
    </row>
    <row r="105" spans="1:14" x14ac:dyDescent="0.3">
      <c r="A105" s="12" t="s">
        <v>147</v>
      </c>
      <c r="B105" s="15">
        <v>1.8</v>
      </c>
      <c r="C105" s="15">
        <v>2</v>
      </c>
      <c r="D105" s="15">
        <v>2.1</v>
      </c>
      <c r="E105" s="15">
        <v>3.3</v>
      </c>
      <c r="F105" s="15">
        <v>2.5</v>
      </c>
      <c r="G105" s="15">
        <v>3.3</v>
      </c>
      <c r="H105" s="15">
        <v>3.4</v>
      </c>
      <c r="I105" s="15">
        <v>3.1</v>
      </c>
      <c r="J105" s="15">
        <v>2.9</v>
      </c>
      <c r="K105" s="15">
        <v>2.2999999999999998</v>
      </c>
      <c r="L105" s="15">
        <v>3</v>
      </c>
      <c r="M105" s="15">
        <v>2.75</v>
      </c>
      <c r="N105" s="15">
        <v>3.25</v>
      </c>
    </row>
    <row r="106" spans="1:14" x14ac:dyDescent="0.3">
      <c r="A106" s="12" t="s">
        <v>148</v>
      </c>
      <c r="B106" s="15">
        <v>0.4</v>
      </c>
      <c r="C106" s="15">
        <v>0.4</v>
      </c>
      <c r="D106" s="15">
        <v>0.8</v>
      </c>
      <c r="E106" s="15">
        <v>1</v>
      </c>
      <c r="F106" s="15">
        <v>2</v>
      </c>
      <c r="G106" s="15">
        <v>1.8</v>
      </c>
      <c r="H106" s="15">
        <v>0.8</v>
      </c>
      <c r="I106" s="15">
        <v>1.1000000000000001</v>
      </c>
      <c r="J106" s="15">
        <v>1</v>
      </c>
      <c r="K106" s="15">
        <v>2.1</v>
      </c>
      <c r="L106" s="15">
        <v>2.1</v>
      </c>
      <c r="M106" s="15">
        <v>2.2200000000000002</v>
      </c>
      <c r="N106" s="15">
        <v>2.2200000000000002</v>
      </c>
    </row>
    <row r="107" spans="1:14" x14ac:dyDescent="0.3">
      <c r="A107" s="12" t="s">
        <v>149</v>
      </c>
      <c r="B107" s="15">
        <v>6.4</v>
      </c>
      <c r="C107" s="15">
        <v>6.8</v>
      </c>
      <c r="D107" s="15">
        <v>7.6</v>
      </c>
      <c r="E107" s="15">
        <v>6.4</v>
      </c>
      <c r="F107" s="15">
        <v>7.1</v>
      </c>
      <c r="G107" s="15">
        <v>7.6</v>
      </c>
      <c r="H107" s="15">
        <v>7.9</v>
      </c>
      <c r="I107" s="15">
        <v>7</v>
      </c>
      <c r="J107" s="15">
        <v>8</v>
      </c>
      <c r="K107" s="15">
        <v>8.1999999999999993</v>
      </c>
      <c r="L107" s="15">
        <v>8.3000000000000007</v>
      </c>
      <c r="M107" s="15">
        <v>8.4550000000000001</v>
      </c>
      <c r="N107" s="15">
        <v>7.7050000000000001</v>
      </c>
    </row>
    <row r="108" spans="1:14" x14ac:dyDescent="0.3">
      <c r="A108" s="12" t="s">
        <v>150</v>
      </c>
      <c r="B108" s="15">
        <v>6.5</v>
      </c>
      <c r="C108" s="15">
        <v>7.2</v>
      </c>
      <c r="D108" s="15">
        <v>7.6</v>
      </c>
      <c r="E108" s="15">
        <v>8.6</v>
      </c>
      <c r="F108" s="15">
        <v>8.1</v>
      </c>
      <c r="G108" s="15">
        <v>8.1</v>
      </c>
      <c r="H108" s="15">
        <v>6.5</v>
      </c>
      <c r="I108" s="15">
        <v>6.8</v>
      </c>
      <c r="J108" s="15">
        <v>6.6</v>
      </c>
      <c r="K108" s="15">
        <v>8.1999999999999993</v>
      </c>
      <c r="L108" s="15">
        <v>8.1999999999999993</v>
      </c>
      <c r="M108" s="15">
        <v>6.7</v>
      </c>
      <c r="N108" s="15">
        <v>6.6</v>
      </c>
    </row>
    <row r="109" spans="1:14" x14ac:dyDescent="0.3">
      <c r="A109" s="12" t="s">
        <v>151</v>
      </c>
      <c r="B109" s="15">
        <v>0.9</v>
      </c>
      <c r="C109" s="15">
        <v>0.9</v>
      </c>
      <c r="D109" s="15">
        <v>0.7</v>
      </c>
      <c r="E109" s="15">
        <v>0.9</v>
      </c>
      <c r="F109" s="15">
        <v>1.7</v>
      </c>
      <c r="G109" s="15">
        <v>1.7</v>
      </c>
      <c r="H109" s="15">
        <v>1.8</v>
      </c>
      <c r="I109" s="15">
        <v>0.5</v>
      </c>
      <c r="J109" s="15">
        <v>0.9</v>
      </c>
      <c r="K109" s="15">
        <v>0.6</v>
      </c>
      <c r="L109" s="15">
        <v>1.2</v>
      </c>
      <c r="M109" s="15">
        <v>2.5300000000000002</v>
      </c>
      <c r="N109" s="15">
        <v>2.3650000000000002</v>
      </c>
    </row>
    <row r="110" spans="1:14" x14ac:dyDescent="0.3">
      <c r="A110" s="12" t="s">
        <v>152</v>
      </c>
      <c r="B110" s="15">
        <v>1.2</v>
      </c>
      <c r="C110" s="15">
        <v>1.2</v>
      </c>
      <c r="D110" s="15">
        <v>1.2</v>
      </c>
      <c r="E110" s="15">
        <v>1.7</v>
      </c>
      <c r="F110" s="15">
        <v>1</v>
      </c>
      <c r="G110" s="15">
        <v>1.3</v>
      </c>
      <c r="H110" s="15">
        <v>1.1000000000000001</v>
      </c>
      <c r="I110" s="15">
        <v>1</v>
      </c>
      <c r="J110" s="15">
        <v>2</v>
      </c>
      <c r="K110" s="15">
        <v>2.2000000000000002</v>
      </c>
      <c r="L110" s="15">
        <v>2.1</v>
      </c>
      <c r="M110" s="15">
        <v>2.15</v>
      </c>
      <c r="N110" s="15">
        <v>1.98</v>
      </c>
    </row>
    <row r="111" spans="1:14" x14ac:dyDescent="0.3">
      <c r="A111" s="12" t="s">
        <v>153</v>
      </c>
      <c r="B111" s="15">
        <v>0.2</v>
      </c>
      <c r="C111" s="15">
        <v>0.3</v>
      </c>
      <c r="D111" s="15">
        <v>0.3</v>
      </c>
      <c r="E111" s="15">
        <v>0.2</v>
      </c>
      <c r="F111" s="15">
        <v>0.2</v>
      </c>
      <c r="G111" s="15">
        <v>0.2</v>
      </c>
      <c r="H111" s="15">
        <v>0.2</v>
      </c>
      <c r="I111" s="15">
        <v>0.2</v>
      </c>
      <c r="J111" s="15">
        <v>0.2</v>
      </c>
      <c r="K111" s="15">
        <v>0.5</v>
      </c>
      <c r="L111" s="15">
        <v>0.6</v>
      </c>
      <c r="M111" s="15">
        <v>0.39</v>
      </c>
      <c r="N111" s="15">
        <v>0.39</v>
      </c>
    </row>
    <row r="112" spans="1:14" x14ac:dyDescent="0.3">
      <c r="A112" s="12" t="s">
        <v>155</v>
      </c>
      <c r="B112" s="15">
        <v>6.5</v>
      </c>
      <c r="C112" s="15">
        <v>6.5</v>
      </c>
      <c r="D112" s="15">
        <v>6.2</v>
      </c>
      <c r="E112" s="15">
        <v>6.2</v>
      </c>
      <c r="F112" s="15">
        <v>5.8</v>
      </c>
      <c r="G112" s="15">
        <v>6.5</v>
      </c>
      <c r="H112" s="15">
        <v>5.9</v>
      </c>
      <c r="I112" s="15">
        <v>5.5</v>
      </c>
      <c r="J112" s="15">
        <v>6.6</v>
      </c>
      <c r="K112" s="15">
        <v>6.6</v>
      </c>
      <c r="L112" s="15">
        <v>6.7</v>
      </c>
      <c r="M112" s="15">
        <v>6.2</v>
      </c>
      <c r="N112" s="15">
        <v>6.1</v>
      </c>
    </row>
    <row r="113" spans="1:14" x14ac:dyDescent="0.3">
      <c r="A113" s="12" t="s">
        <v>156</v>
      </c>
      <c r="B113" s="15">
        <v>1.4</v>
      </c>
      <c r="C113" s="15">
        <v>1.2</v>
      </c>
      <c r="D113" s="15">
        <v>1.2</v>
      </c>
      <c r="E113" s="15">
        <v>1.2</v>
      </c>
      <c r="F113" s="15">
        <v>1.4</v>
      </c>
      <c r="G113" s="15">
        <v>1.2</v>
      </c>
      <c r="H113" s="15">
        <v>1.4</v>
      </c>
      <c r="I113" s="15">
        <v>1.2</v>
      </c>
      <c r="J113" s="15">
        <v>1.5</v>
      </c>
      <c r="K113" s="15">
        <v>1.3</v>
      </c>
      <c r="L113" s="15">
        <v>1.5</v>
      </c>
      <c r="M113" s="15">
        <v>1.52</v>
      </c>
      <c r="N113" s="15">
        <v>1.6850000000000001</v>
      </c>
    </row>
    <row r="114" spans="1:14" x14ac:dyDescent="0.3">
      <c r="A114" s="12" t="s">
        <v>158</v>
      </c>
      <c r="B114" s="15">
        <v>4.7</v>
      </c>
      <c r="C114" s="15">
        <v>4.0999999999999996</v>
      </c>
      <c r="D114" s="15">
        <v>3.8</v>
      </c>
      <c r="E114" s="15">
        <v>3.5</v>
      </c>
      <c r="F114" s="15">
        <v>3.6</v>
      </c>
      <c r="G114" s="15">
        <v>3.9</v>
      </c>
      <c r="H114" s="15">
        <v>3.4</v>
      </c>
      <c r="I114" s="15">
        <v>4.0999999999999996</v>
      </c>
      <c r="J114" s="15">
        <v>3.9</v>
      </c>
      <c r="K114" s="15">
        <v>4.4000000000000004</v>
      </c>
      <c r="L114" s="15">
        <v>4.0999999999999996</v>
      </c>
      <c r="M114" s="15">
        <v>3.3450000000000002</v>
      </c>
      <c r="N114" s="15">
        <v>3.4950000000000001</v>
      </c>
    </row>
    <row r="115" spans="1:14" x14ac:dyDescent="0.3">
      <c r="A115" s="12" t="s">
        <v>317</v>
      </c>
      <c r="B115" s="15">
        <v>0.2</v>
      </c>
      <c r="C115" s="15">
        <v>0.2</v>
      </c>
      <c r="D115" s="15">
        <v>0.2</v>
      </c>
      <c r="E115" s="15">
        <v>0.2</v>
      </c>
      <c r="F115" s="15">
        <v>0.2</v>
      </c>
      <c r="G115" s="15">
        <v>0.2</v>
      </c>
      <c r="H115" s="15">
        <v>0.2</v>
      </c>
      <c r="I115" s="15">
        <v>0.2</v>
      </c>
      <c r="J115" s="15">
        <v>0.5</v>
      </c>
      <c r="K115" s="15">
        <v>0.5</v>
      </c>
      <c r="L115" s="15">
        <v>0.7</v>
      </c>
      <c r="M115" s="15">
        <v>4.6100000000000003</v>
      </c>
      <c r="N115" s="15">
        <v>4.71</v>
      </c>
    </row>
    <row r="116" spans="1:14" x14ac:dyDescent="0.3">
      <c r="A116" s="12" t="s">
        <v>318</v>
      </c>
      <c r="B116" s="15">
        <v>4.2</v>
      </c>
      <c r="C116" s="15">
        <v>4.5999999999999996</v>
      </c>
      <c r="D116" s="15">
        <v>4.9000000000000004</v>
      </c>
      <c r="E116" s="15">
        <v>4.8</v>
      </c>
      <c r="F116" s="15">
        <v>4.4000000000000004</v>
      </c>
      <c r="G116" s="15">
        <v>4.5999999999999996</v>
      </c>
      <c r="H116" s="15">
        <v>4.4000000000000004</v>
      </c>
      <c r="I116" s="15">
        <v>3.5</v>
      </c>
      <c r="J116" s="15">
        <v>5.0999999999999996</v>
      </c>
      <c r="K116" s="15">
        <v>4.5999999999999996</v>
      </c>
      <c r="L116" s="15">
        <v>4.4000000000000004</v>
      </c>
      <c r="M116" s="15">
        <v>2.46</v>
      </c>
      <c r="N116" s="15">
        <v>2.13</v>
      </c>
    </row>
    <row r="117" spans="1:14" x14ac:dyDescent="0.3">
      <c r="A117" s="12" t="s">
        <v>160</v>
      </c>
      <c r="B117" s="15">
        <v>2.5</v>
      </c>
      <c r="C117" s="15">
        <v>2.6</v>
      </c>
      <c r="D117" s="15">
        <v>2.6</v>
      </c>
      <c r="E117" s="15">
        <v>1.8</v>
      </c>
      <c r="F117" s="15">
        <v>2</v>
      </c>
      <c r="G117" s="15">
        <v>2</v>
      </c>
      <c r="H117" s="15">
        <v>2</v>
      </c>
      <c r="I117" s="15">
        <v>1.5</v>
      </c>
      <c r="J117" s="15">
        <v>2.5</v>
      </c>
      <c r="K117" s="15">
        <v>2.5</v>
      </c>
      <c r="L117" s="15">
        <v>2.8</v>
      </c>
      <c r="M117" s="15">
        <v>3.04</v>
      </c>
      <c r="N117" s="15">
        <v>3.125</v>
      </c>
    </row>
    <row r="118" spans="1:14" x14ac:dyDescent="0.3">
      <c r="A118" s="12" t="s">
        <v>161</v>
      </c>
      <c r="B118" s="15">
        <v>1.9</v>
      </c>
      <c r="C118" s="15">
        <v>2</v>
      </c>
      <c r="D118" s="15">
        <v>2.4</v>
      </c>
      <c r="E118" s="15">
        <v>3.4</v>
      </c>
      <c r="F118" s="15">
        <v>4.5</v>
      </c>
      <c r="G118" s="15">
        <v>3.4</v>
      </c>
      <c r="H118" s="15">
        <v>2.8</v>
      </c>
      <c r="I118" s="15">
        <v>2.5</v>
      </c>
      <c r="J118" s="15">
        <v>3</v>
      </c>
      <c r="K118" s="15">
        <v>2.5</v>
      </c>
      <c r="L118" s="15">
        <v>3.1</v>
      </c>
      <c r="M118" s="15">
        <v>3.5650000000000004</v>
      </c>
      <c r="N118" s="15">
        <v>2.7950000000000004</v>
      </c>
    </row>
    <row r="119" spans="1:14" x14ac:dyDescent="0.3">
      <c r="A119" s="12" t="s">
        <v>162</v>
      </c>
      <c r="B119" s="15">
        <v>0.9</v>
      </c>
      <c r="C119" s="15">
        <v>1.2</v>
      </c>
      <c r="D119" s="15">
        <v>1.2</v>
      </c>
      <c r="E119" s="15">
        <v>0.4</v>
      </c>
      <c r="F119" s="15">
        <v>0.9</v>
      </c>
      <c r="G119" s="15">
        <v>2.4</v>
      </c>
      <c r="H119" s="15">
        <v>1.9</v>
      </c>
      <c r="I119" s="15">
        <v>1.5</v>
      </c>
      <c r="J119" s="15">
        <v>2.9</v>
      </c>
      <c r="K119" s="15">
        <v>2.2999999999999998</v>
      </c>
      <c r="L119" s="15">
        <v>2.2000000000000002</v>
      </c>
      <c r="M119" s="15">
        <v>6.1849999999999996</v>
      </c>
      <c r="N119" s="15">
        <v>6.2050000000000001</v>
      </c>
    </row>
    <row r="120" spans="1:14" x14ac:dyDescent="0.3">
      <c r="A120" s="12" t="s">
        <v>164</v>
      </c>
      <c r="B120" s="15">
        <v>4.9000000000000004</v>
      </c>
      <c r="C120" s="15">
        <v>5.3</v>
      </c>
      <c r="D120" s="15">
        <v>5.4</v>
      </c>
      <c r="E120" s="15">
        <v>6.2</v>
      </c>
      <c r="F120" s="15">
        <v>5.9</v>
      </c>
      <c r="G120" s="15">
        <v>7</v>
      </c>
      <c r="H120" s="15">
        <v>6.3</v>
      </c>
      <c r="I120" s="15">
        <v>5.3</v>
      </c>
      <c r="J120" s="15">
        <v>7.5</v>
      </c>
      <c r="K120" s="15">
        <v>7.4</v>
      </c>
      <c r="L120" s="15">
        <v>7</v>
      </c>
      <c r="M120" s="15">
        <v>2.605</v>
      </c>
      <c r="N120" s="15">
        <v>2.87</v>
      </c>
    </row>
    <row r="121" spans="1:14" x14ac:dyDescent="0.3">
      <c r="A121" s="12" t="s">
        <v>165</v>
      </c>
      <c r="B121" s="15">
        <v>1</v>
      </c>
      <c r="C121" s="15">
        <v>0.9</v>
      </c>
      <c r="D121" s="15">
        <v>0.9</v>
      </c>
      <c r="E121" s="15">
        <v>1.1000000000000001</v>
      </c>
      <c r="F121" s="15">
        <v>1.2</v>
      </c>
      <c r="G121" s="15">
        <v>1.7</v>
      </c>
      <c r="H121" s="15">
        <v>1.9</v>
      </c>
      <c r="I121" s="15">
        <v>1.5</v>
      </c>
      <c r="J121" s="15">
        <v>0.6</v>
      </c>
      <c r="K121" s="15">
        <v>1.1000000000000001</v>
      </c>
      <c r="L121" s="15">
        <v>1.4</v>
      </c>
      <c r="M121" s="15">
        <v>7.78</v>
      </c>
      <c r="N121" s="15">
        <v>7.7149999999999999</v>
      </c>
    </row>
    <row r="122" spans="1:14" x14ac:dyDescent="0.3">
      <c r="A122" s="12" t="s">
        <v>166</v>
      </c>
      <c r="B122" s="15">
        <v>7.9</v>
      </c>
      <c r="C122" s="15">
        <v>7.5</v>
      </c>
      <c r="D122" s="15">
        <v>7.5</v>
      </c>
      <c r="E122" s="15">
        <v>7.3</v>
      </c>
      <c r="F122" s="15">
        <v>7.3</v>
      </c>
      <c r="G122" s="15">
        <v>7.7</v>
      </c>
      <c r="H122" s="15">
        <v>7.7</v>
      </c>
      <c r="I122" s="15">
        <v>6.5</v>
      </c>
      <c r="J122" s="15">
        <v>6.4</v>
      </c>
      <c r="K122" s="15">
        <v>6.9</v>
      </c>
      <c r="L122" s="15">
        <v>6.9</v>
      </c>
      <c r="M122" s="15">
        <v>1.2849999999999999</v>
      </c>
      <c r="N122" s="15">
        <v>1.1199999999999999</v>
      </c>
    </row>
    <row r="123" spans="1:14" x14ac:dyDescent="0.3">
      <c r="A123" s="12" t="s">
        <v>167</v>
      </c>
      <c r="B123" s="15">
        <v>0.3</v>
      </c>
      <c r="C123" s="15">
        <v>0.2</v>
      </c>
      <c r="D123" s="15">
        <v>0.3</v>
      </c>
      <c r="E123" s="15">
        <v>0.7</v>
      </c>
      <c r="F123" s="15">
        <v>0.5</v>
      </c>
      <c r="G123" s="15">
        <v>0.7</v>
      </c>
      <c r="H123" s="15">
        <v>0.4</v>
      </c>
      <c r="I123" s="15">
        <v>0.7</v>
      </c>
      <c r="J123" s="15">
        <v>1.6</v>
      </c>
      <c r="K123" s="15">
        <v>1.6</v>
      </c>
      <c r="L123" s="15">
        <v>0.9</v>
      </c>
      <c r="M123" s="15">
        <v>1.55</v>
      </c>
      <c r="N123" s="15">
        <v>1.55</v>
      </c>
    </row>
    <row r="124" spans="1:14" x14ac:dyDescent="0.3">
      <c r="A124" s="12" t="s">
        <v>168</v>
      </c>
      <c r="B124" s="15">
        <v>2</v>
      </c>
      <c r="C124" s="15">
        <v>1.7</v>
      </c>
      <c r="D124" s="15">
        <v>1.1000000000000001</v>
      </c>
      <c r="E124" s="15">
        <v>1.1000000000000001</v>
      </c>
      <c r="F124" s="15">
        <v>0.5</v>
      </c>
      <c r="G124" s="15">
        <v>1</v>
      </c>
      <c r="H124" s="15">
        <v>1.3</v>
      </c>
      <c r="I124" s="15">
        <v>0.8</v>
      </c>
      <c r="J124" s="15">
        <v>1.5</v>
      </c>
      <c r="K124" s="15">
        <v>2.1</v>
      </c>
      <c r="L124" s="15">
        <v>1.5</v>
      </c>
      <c r="M124" s="15">
        <v>4.6850000000000005</v>
      </c>
      <c r="N124" s="15">
        <v>5.4350000000000005</v>
      </c>
    </row>
    <row r="125" spans="1:14" x14ac:dyDescent="0.3">
      <c r="A125" s="12" t="s">
        <v>169</v>
      </c>
      <c r="B125" s="15">
        <v>3.4</v>
      </c>
      <c r="C125" s="15">
        <v>3.8</v>
      </c>
      <c r="D125" s="15">
        <v>3.8</v>
      </c>
      <c r="E125" s="15">
        <v>3.3</v>
      </c>
      <c r="F125" s="15">
        <v>4</v>
      </c>
      <c r="G125" s="15">
        <v>3.5</v>
      </c>
      <c r="H125" s="15">
        <v>3.9</v>
      </c>
      <c r="I125" s="15">
        <v>3.1</v>
      </c>
      <c r="J125" s="15">
        <v>4.7</v>
      </c>
      <c r="K125" s="15">
        <v>5.2</v>
      </c>
      <c r="L125" s="15">
        <v>4.5999999999999996</v>
      </c>
      <c r="M125" s="15">
        <v>2.8</v>
      </c>
      <c r="N125" s="15">
        <v>3.8</v>
      </c>
    </row>
    <row r="126" spans="1:14" x14ac:dyDescent="0.3">
      <c r="A126" s="12" t="s">
        <v>170</v>
      </c>
      <c r="B126" s="15">
        <v>0.4</v>
      </c>
      <c r="C126" s="15">
        <v>0.4</v>
      </c>
      <c r="D126" s="15">
        <v>0.8</v>
      </c>
      <c r="E126" s="15">
        <v>1.3</v>
      </c>
      <c r="F126" s="15">
        <v>2</v>
      </c>
      <c r="G126" s="15">
        <v>1.9</v>
      </c>
      <c r="H126" s="15">
        <v>1.9</v>
      </c>
      <c r="I126" s="15">
        <v>1.4</v>
      </c>
      <c r="J126" s="15">
        <v>2.2000000000000002</v>
      </c>
      <c r="K126" s="15">
        <v>1.6</v>
      </c>
      <c r="L126" s="15">
        <v>2.6</v>
      </c>
      <c r="M126" s="15">
        <v>0.18</v>
      </c>
      <c r="N126" s="15">
        <v>0.34500000000000003</v>
      </c>
    </row>
    <row r="127" spans="1:14" x14ac:dyDescent="0.3">
      <c r="A127" s="12" t="s">
        <v>172</v>
      </c>
      <c r="B127" s="15">
        <v>0.3</v>
      </c>
      <c r="C127" s="15">
        <v>0.4</v>
      </c>
      <c r="D127" s="15">
        <v>0.4</v>
      </c>
      <c r="E127" s="15">
        <v>0.6</v>
      </c>
      <c r="F127" s="15">
        <v>0.6</v>
      </c>
      <c r="G127" s="15">
        <v>0.2</v>
      </c>
      <c r="H127" s="15">
        <v>0.8</v>
      </c>
      <c r="I127" s="15">
        <v>0</v>
      </c>
      <c r="J127" s="15">
        <v>0.2</v>
      </c>
      <c r="K127" s="15">
        <v>0.5</v>
      </c>
      <c r="L127" s="15">
        <v>0.5</v>
      </c>
      <c r="M127" s="15">
        <v>2.74</v>
      </c>
      <c r="N127" s="15">
        <v>3.7750000000000004</v>
      </c>
    </row>
    <row r="128" spans="1:14" x14ac:dyDescent="0.3">
      <c r="A128" s="12" t="s">
        <v>173</v>
      </c>
      <c r="B128" s="15">
        <v>2.1</v>
      </c>
      <c r="C128" s="15">
        <v>1.6</v>
      </c>
      <c r="D128" s="15">
        <v>1.1000000000000001</v>
      </c>
      <c r="E128" s="15">
        <v>3.1</v>
      </c>
      <c r="F128" s="15">
        <v>2.5</v>
      </c>
      <c r="G128" s="15">
        <v>2.7</v>
      </c>
      <c r="H128" s="15">
        <v>2.4</v>
      </c>
      <c r="I128" s="15">
        <v>2.6</v>
      </c>
      <c r="J128" s="15">
        <v>1.8</v>
      </c>
      <c r="K128" s="15">
        <v>2.1</v>
      </c>
      <c r="L128" s="15">
        <v>1.7</v>
      </c>
      <c r="M128" s="15">
        <v>3.98</v>
      </c>
      <c r="N128" s="15">
        <v>3.81</v>
      </c>
    </row>
    <row r="129" spans="1:14" x14ac:dyDescent="0.3">
      <c r="A129" s="12" t="s">
        <v>174</v>
      </c>
      <c r="B129" s="15">
        <v>1.7</v>
      </c>
      <c r="C129" s="15">
        <v>1.6</v>
      </c>
      <c r="D129" s="15">
        <v>1.8</v>
      </c>
      <c r="E129" s="15">
        <v>5.8</v>
      </c>
      <c r="F129" s="15">
        <v>5.6</v>
      </c>
      <c r="G129" s="15">
        <v>2</v>
      </c>
      <c r="H129" s="15">
        <v>1.7</v>
      </c>
      <c r="I129" s="15">
        <v>1.4</v>
      </c>
      <c r="J129" s="15">
        <v>3.6</v>
      </c>
      <c r="K129" s="15">
        <v>3.6</v>
      </c>
      <c r="L129" s="15">
        <v>3.7</v>
      </c>
      <c r="M129" s="15">
        <v>4.3050000000000006</v>
      </c>
      <c r="N129" s="15">
        <v>4.29</v>
      </c>
    </row>
    <row r="130" spans="1:14" x14ac:dyDescent="0.3">
      <c r="A130" s="12" t="s">
        <v>175</v>
      </c>
      <c r="B130" s="15">
        <v>3.7</v>
      </c>
      <c r="C130" s="15">
        <v>3.6</v>
      </c>
      <c r="D130" s="15">
        <v>4</v>
      </c>
      <c r="E130" s="15">
        <v>5.8</v>
      </c>
      <c r="F130" s="15">
        <v>5.6</v>
      </c>
      <c r="G130" s="15">
        <v>4.5</v>
      </c>
      <c r="H130" s="15">
        <v>4.0999999999999996</v>
      </c>
      <c r="I130" s="15">
        <v>4.3</v>
      </c>
      <c r="J130" s="15">
        <v>4.2</v>
      </c>
      <c r="K130" s="15">
        <v>4.4000000000000004</v>
      </c>
      <c r="L130" s="15">
        <v>4.9000000000000004</v>
      </c>
      <c r="M130" s="15">
        <v>2.19</v>
      </c>
      <c r="N130" s="15">
        <v>3.71</v>
      </c>
    </row>
    <row r="131" spans="1:14" x14ac:dyDescent="0.3">
      <c r="A131" s="12" t="s">
        <v>180</v>
      </c>
      <c r="B131" s="15">
        <v>1.5</v>
      </c>
      <c r="C131" s="15">
        <v>1.2</v>
      </c>
      <c r="D131" s="15">
        <v>1.4</v>
      </c>
      <c r="E131" s="15">
        <v>2.4</v>
      </c>
      <c r="F131" s="15">
        <v>2.5</v>
      </c>
      <c r="G131" s="15">
        <v>2.2999999999999998</v>
      </c>
      <c r="H131" s="15">
        <v>2.5</v>
      </c>
      <c r="I131" s="15">
        <v>2.6</v>
      </c>
      <c r="J131" s="15">
        <v>3</v>
      </c>
      <c r="K131" s="15">
        <v>2.5</v>
      </c>
      <c r="L131" s="15">
        <v>2.9</v>
      </c>
      <c r="M131" s="15">
        <v>3.05</v>
      </c>
      <c r="N131" s="15">
        <v>3.0300000000000002</v>
      </c>
    </row>
    <row r="132" spans="1:14" x14ac:dyDescent="0.3">
      <c r="A132" s="12" t="s">
        <v>181</v>
      </c>
      <c r="B132" s="15">
        <v>3.9</v>
      </c>
      <c r="C132" s="15">
        <v>4.5</v>
      </c>
      <c r="D132" s="15">
        <v>4.9000000000000004</v>
      </c>
      <c r="E132" s="15">
        <v>5.3</v>
      </c>
      <c r="F132" s="15">
        <v>5.5</v>
      </c>
      <c r="G132" s="15">
        <v>6</v>
      </c>
      <c r="H132" s="15">
        <v>5.2</v>
      </c>
      <c r="I132" s="15">
        <v>4.7</v>
      </c>
      <c r="J132" s="15">
        <v>4.8</v>
      </c>
      <c r="K132" s="15">
        <v>5.4</v>
      </c>
      <c r="L132" s="15">
        <v>5.4</v>
      </c>
      <c r="M132" s="15">
        <v>5.3</v>
      </c>
      <c r="N132" s="15">
        <v>5.3849999999999998</v>
      </c>
    </row>
    <row r="133" spans="1:14" x14ac:dyDescent="0.3">
      <c r="A133" s="12" t="s">
        <v>182</v>
      </c>
      <c r="B133" s="15">
        <v>5.8</v>
      </c>
      <c r="C133" s="15">
        <v>6.5</v>
      </c>
      <c r="D133" s="15">
        <v>7.1</v>
      </c>
      <c r="E133" s="15">
        <v>6.3</v>
      </c>
      <c r="F133" s="15">
        <v>7.3</v>
      </c>
      <c r="G133" s="15">
        <v>7.1</v>
      </c>
      <c r="H133" s="15">
        <v>6.4</v>
      </c>
      <c r="I133" s="15">
        <v>6.5</v>
      </c>
      <c r="J133" s="15">
        <v>6.2</v>
      </c>
      <c r="K133" s="15">
        <v>6.5</v>
      </c>
      <c r="L133" s="15">
        <v>6.6</v>
      </c>
      <c r="M133" s="15">
        <v>6.39</v>
      </c>
      <c r="N133" s="15">
        <v>6.79</v>
      </c>
    </row>
    <row r="134" spans="1:14" x14ac:dyDescent="0.3">
      <c r="A134" s="12" t="s">
        <v>183</v>
      </c>
      <c r="B134" s="15">
        <v>0.6</v>
      </c>
      <c r="C134" s="15">
        <v>0.5</v>
      </c>
      <c r="D134" s="15">
        <v>0.5</v>
      </c>
      <c r="E134" s="15">
        <v>0.2</v>
      </c>
      <c r="F134" s="15">
        <v>0.6</v>
      </c>
      <c r="G134" s="15">
        <v>0.7</v>
      </c>
      <c r="H134" s="15">
        <v>0.2</v>
      </c>
      <c r="I134" s="15">
        <v>0.2</v>
      </c>
      <c r="J134" s="15">
        <v>0.2</v>
      </c>
      <c r="K134" s="15">
        <v>0.2</v>
      </c>
      <c r="L134" s="15">
        <v>0.4</v>
      </c>
      <c r="M134" s="15">
        <v>0.45000000000000007</v>
      </c>
      <c r="N134" s="15">
        <v>0.45000000000000007</v>
      </c>
    </row>
    <row r="135" spans="1:14" x14ac:dyDescent="0.3">
      <c r="A135" s="12" t="s">
        <v>184</v>
      </c>
      <c r="B135" s="15">
        <v>3.3</v>
      </c>
      <c r="C135" s="15">
        <v>3.3</v>
      </c>
      <c r="D135" s="15">
        <v>3.4</v>
      </c>
      <c r="E135" s="15">
        <v>3.5</v>
      </c>
      <c r="F135" s="15">
        <v>3.7</v>
      </c>
      <c r="G135" s="15">
        <v>3.6</v>
      </c>
      <c r="H135" s="15">
        <v>4.5</v>
      </c>
      <c r="I135" s="15">
        <v>4.2</v>
      </c>
      <c r="J135" s="15">
        <v>4.3</v>
      </c>
      <c r="K135" s="15">
        <v>4.4000000000000004</v>
      </c>
      <c r="L135" s="15">
        <v>4.3</v>
      </c>
      <c r="M135" s="15">
        <v>4.74</v>
      </c>
      <c r="N135" s="15">
        <v>3.7549999999999999</v>
      </c>
    </row>
    <row r="136" spans="1:14" x14ac:dyDescent="0.3">
      <c r="A136" s="12" t="s">
        <v>185</v>
      </c>
      <c r="B136" s="15">
        <v>0.7</v>
      </c>
      <c r="C136" s="15">
        <v>0.7</v>
      </c>
      <c r="D136" s="15">
        <v>0.9</v>
      </c>
      <c r="E136" s="15">
        <v>1.1000000000000001</v>
      </c>
      <c r="F136" s="15">
        <v>0.8</v>
      </c>
      <c r="G136" s="15">
        <v>1.1000000000000001</v>
      </c>
      <c r="H136" s="15">
        <v>1.3</v>
      </c>
      <c r="I136" s="15">
        <v>1.8</v>
      </c>
      <c r="J136" s="15">
        <v>2.4</v>
      </c>
      <c r="K136" s="15">
        <v>3.2</v>
      </c>
      <c r="L136" s="15">
        <v>2.6</v>
      </c>
      <c r="M136" s="15">
        <v>1.49</v>
      </c>
      <c r="N136" s="15">
        <v>1.325</v>
      </c>
    </row>
    <row r="137" spans="1:14" x14ac:dyDescent="0.3">
      <c r="A137" s="12" t="s">
        <v>186</v>
      </c>
      <c r="B137" s="15">
        <v>0.8</v>
      </c>
      <c r="C137" s="15">
        <v>0.9</v>
      </c>
      <c r="D137" s="15">
        <v>1.1000000000000001</v>
      </c>
      <c r="E137" s="15">
        <v>1.1000000000000001</v>
      </c>
      <c r="F137" s="15">
        <v>0.9</v>
      </c>
      <c r="G137" s="15">
        <v>1.5</v>
      </c>
      <c r="H137" s="15">
        <v>1</v>
      </c>
      <c r="I137" s="15">
        <v>1.2</v>
      </c>
      <c r="J137" s="15">
        <v>1</v>
      </c>
      <c r="K137" s="15">
        <v>1.2</v>
      </c>
      <c r="L137" s="15">
        <v>1.4</v>
      </c>
      <c r="M137" s="15">
        <v>1.5250000000000001</v>
      </c>
      <c r="N137" s="15">
        <v>0.92000000000000015</v>
      </c>
    </row>
    <row r="138" spans="1:14" x14ac:dyDescent="0.3">
      <c r="A138" s="12" t="s">
        <v>187</v>
      </c>
      <c r="B138" s="15">
        <v>0.6</v>
      </c>
      <c r="C138" s="15">
        <v>1.1000000000000001</v>
      </c>
      <c r="D138" s="15">
        <v>1.4</v>
      </c>
      <c r="E138" s="15">
        <v>1</v>
      </c>
      <c r="F138" s="15">
        <v>1.1000000000000001</v>
      </c>
      <c r="G138" s="15">
        <v>1.2</v>
      </c>
      <c r="H138" s="15">
        <v>1.1000000000000001</v>
      </c>
      <c r="I138" s="15">
        <v>1.3</v>
      </c>
      <c r="J138" s="15">
        <v>1.3</v>
      </c>
      <c r="K138" s="15">
        <v>2.2000000000000002</v>
      </c>
      <c r="L138" s="15">
        <v>1.9</v>
      </c>
      <c r="M138" s="15">
        <v>1.56</v>
      </c>
      <c r="N138" s="15">
        <v>2.0550000000000002</v>
      </c>
    </row>
    <row r="139" spans="1:14" x14ac:dyDescent="0.3">
      <c r="A139" s="12" t="s">
        <v>188</v>
      </c>
      <c r="B139" s="15">
        <v>1.8</v>
      </c>
      <c r="C139" s="15">
        <v>1.9</v>
      </c>
      <c r="D139" s="15">
        <v>1.7</v>
      </c>
      <c r="E139" s="15">
        <v>2.6</v>
      </c>
      <c r="F139" s="15">
        <v>2.1</v>
      </c>
      <c r="G139" s="15">
        <v>2.1</v>
      </c>
      <c r="H139" s="15">
        <v>2.9</v>
      </c>
      <c r="I139" s="15">
        <v>2.9</v>
      </c>
      <c r="J139" s="15">
        <v>2.7</v>
      </c>
      <c r="K139" s="15">
        <v>2.5</v>
      </c>
      <c r="L139" s="15">
        <v>2</v>
      </c>
      <c r="M139" s="15">
        <v>1.625</v>
      </c>
      <c r="N139" s="15">
        <v>1.625</v>
      </c>
    </row>
    <row r="140" spans="1:14" x14ac:dyDescent="0.3">
      <c r="A140" s="12" t="s">
        <v>189</v>
      </c>
      <c r="B140" s="15">
        <v>1.6</v>
      </c>
      <c r="C140" s="15">
        <v>1.2</v>
      </c>
      <c r="D140" s="15">
        <v>1</v>
      </c>
      <c r="E140" s="15">
        <v>1.2</v>
      </c>
      <c r="F140" s="15">
        <v>0.9</v>
      </c>
      <c r="G140" s="15">
        <v>1</v>
      </c>
      <c r="H140" s="15">
        <v>1</v>
      </c>
      <c r="I140" s="15">
        <v>0.7</v>
      </c>
      <c r="J140" s="15">
        <v>0.8</v>
      </c>
      <c r="K140" s="15">
        <v>1.3</v>
      </c>
      <c r="L140" s="15">
        <v>1</v>
      </c>
      <c r="M140" s="15">
        <v>2.29</v>
      </c>
      <c r="N140" s="15">
        <v>2.1950000000000003</v>
      </c>
    </row>
    <row r="141" spans="1:14" x14ac:dyDescent="0.3">
      <c r="A141" s="12" t="s">
        <v>191</v>
      </c>
      <c r="B141" s="15">
        <v>1</v>
      </c>
      <c r="C141" s="15">
        <v>1</v>
      </c>
      <c r="D141" s="15">
        <v>1.1000000000000001</v>
      </c>
      <c r="E141" s="15">
        <v>1.7</v>
      </c>
      <c r="F141" s="15">
        <v>1.6</v>
      </c>
      <c r="G141" s="15">
        <v>2.2000000000000002</v>
      </c>
      <c r="H141" s="15">
        <v>2.2000000000000002</v>
      </c>
      <c r="I141" s="15">
        <v>2.8</v>
      </c>
      <c r="J141" s="15">
        <v>2.7</v>
      </c>
      <c r="K141" s="15">
        <v>3.3</v>
      </c>
      <c r="L141" s="15">
        <v>2.9</v>
      </c>
      <c r="M141" s="15">
        <v>3.31</v>
      </c>
      <c r="N141" s="15">
        <v>3.31</v>
      </c>
    </row>
    <row r="142" spans="1:14" x14ac:dyDescent="0.3">
      <c r="A142" s="12" t="s">
        <v>192</v>
      </c>
      <c r="B142" s="15">
        <v>0.3</v>
      </c>
      <c r="C142" s="15">
        <v>0.6</v>
      </c>
      <c r="D142" s="15">
        <v>0.5</v>
      </c>
      <c r="E142" s="15">
        <v>0.8</v>
      </c>
      <c r="F142" s="15">
        <v>0.8</v>
      </c>
      <c r="G142" s="15">
        <v>1.3</v>
      </c>
      <c r="H142" s="15">
        <v>1.1000000000000001</v>
      </c>
      <c r="I142" s="15">
        <v>0.9</v>
      </c>
      <c r="J142" s="15">
        <v>0.6</v>
      </c>
      <c r="K142" s="15">
        <v>0.6</v>
      </c>
      <c r="L142" s="15">
        <v>1</v>
      </c>
      <c r="M142" s="15">
        <v>0.58499999999999996</v>
      </c>
      <c r="N142" s="15">
        <v>0.58499999999999996</v>
      </c>
    </row>
    <row r="143" spans="1:14" x14ac:dyDescent="0.3">
      <c r="A143" s="12" t="s">
        <v>194</v>
      </c>
      <c r="B143" s="15">
        <v>3.3</v>
      </c>
      <c r="C143" s="15">
        <v>3.9</v>
      </c>
      <c r="D143" s="15">
        <v>4.7</v>
      </c>
      <c r="E143" s="15">
        <v>5.6</v>
      </c>
      <c r="F143" s="15">
        <v>5.7</v>
      </c>
      <c r="G143" s="15">
        <v>6</v>
      </c>
      <c r="H143" s="15">
        <v>6</v>
      </c>
      <c r="I143" s="15">
        <v>4.9000000000000004</v>
      </c>
      <c r="J143" s="15">
        <v>5.8</v>
      </c>
      <c r="K143" s="15">
        <v>6.2</v>
      </c>
      <c r="L143" s="15">
        <v>5.6</v>
      </c>
      <c r="M143" s="15">
        <v>6.0049999999999999</v>
      </c>
      <c r="N143" s="15">
        <v>6.0549999999999997</v>
      </c>
    </row>
    <row r="144" spans="1:14" x14ac:dyDescent="0.3">
      <c r="A144" s="12" t="s">
        <v>198</v>
      </c>
      <c r="B144" s="15">
        <v>4.8</v>
      </c>
      <c r="C144" s="15">
        <v>4.4000000000000004</v>
      </c>
      <c r="D144" s="15">
        <v>3.9</v>
      </c>
      <c r="E144" s="15">
        <v>4.4000000000000004</v>
      </c>
      <c r="F144" s="15">
        <v>4.5</v>
      </c>
      <c r="G144" s="15">
        <v>4</v>
      </c>
      <c r="H144" s="15">
        <v>4.5</v>
      </c>
      <c r="I144" s="15">
        <v>2.8</v>
      </c>
      <c r="J144" s="15">
        <v>3.5</v>
      </c>
      <c r="K144" s="15">
        <v>4.7</v>
      </c>
      <c r="L144" s="15">
        <v>4.8</v>
      </c>
      <c r="M144" s="15">
        <v>1.45</v>
      </c>
      <c r="N144" s="15">
        <v>1.5</v>
      </c>
    </row>
    <row r="145" spans="1:14" x14ac:dyDescent="0.3">
      <c r="A145" s="12" t="s">
        <v>319</v>
      </c>
      <c r="B145" s="15">
        <v>5.8</v>
      </c>
      <c r="C145" s="15">
        <v>6</v>
      </c>
      <c r="D145" s="15">
        <v>6.5</v>
      </c>
      <c r="E145" s="15">
        <v>7.2</v>
      </c>
      <c r="F145" s="15">
        <v>7</v>
      </c>
      <c r="G145" s="15">
        <v>7.7</v>
      </c>
      <c r="H145" s="15">
        <v>7.4</v>
      </c>
      <c r="I145" s="15">
        <v>6.7</v>
      </c>
      <c r="J145" s="15">
        <v>8.1999999999999993</v>
      </c>
      <c r="K145" s="15">
        <v>8.1</v>
      </c>
      <c r="L145" s="15">
        <v>8.1</v>
      </c>
      <c r="M145" s="15">
        <v>5.29</v>
      </c>
      <c r="N145" s="15">
        <v>4.79</v>
      </c>
    </row>
    <row r="146" spans="1:14" x14ac:dyDescent="0.3">
      <c r="A146" s="12" t="s">
        <v>200</v>
      </c>
      <c r="B146" s="15">
        <v>2</v>
      </c>
      <c r="C146" s="15">
        <v>2</v>
      </c>
      <c r="D146" s="15">
        <v>2.4</v>
      </c>
      <c r="E146" s="15">
        <v>3.8</v>
      </c>
      <c r="F146" s="15">
        <v>3.1</v>
      </c>
      <c r="G146" s="15">
        <v>5.0999999999999996</v>
      </c>
      <c r="H146" s="15">
        <v>4.8</v>
      </c>
      <c r="I146" s="15">
        <v>3.5</v>
      </c>
      <c r="J146" s="15">
        <v>4.7</v>
      </c>
      <c r="K146" s="15">
        <v>4.3</v>
      </c>
      <c r="L146" s="15">
        <v>3.7</v>
      </c>
      <c r="M146" s="15">
        <v>8.18</v>
      </c>
      <c r="N146" s="15">
        <v>8.26</v>
      </c>
    </row>
    <row r="147" spans="1:14" x14ac:dyDescent="0.3">
      <c r="A147" s="12" t="s">
        <v>202</v>
      </c>
      <c r="B147" s="15">
        <v>0.6</v>
      </c>
      <c r="C147" s="15">
        <v>0.6</v>
      </c>
      <c r="D147" s="15">
        <v>0.5</v>
      </c>
      <c r="E147" s="15">
        <v>0.7</v>
      </c>
      <c r="F147" s="15">
        <v>1.3</v>
      </c>
      <c r="G147" s="15">
        <v>1.3</v>
      </c>
      <c r="H147" s="15">
        <v>2</v>
      </c>
      <c r="I147" s="15">
        <v>2</v>
      </c>
      <c r="J147" s="15">
        <v>2.1</v>
      </c>
      <c r="K147" s="15">
        <v>2.2000000000000002</v>
      </c>
      <c r="L147" s="15">
        <v>2.2000000000000002</v>
      </c>
      <c r="M147" s="15">
        <v>3.7149999999999999</v>
      </c>
      <c r="N147" s="15">
        <v>3.2149999999999999</v>
      </c>
    </row>
    <row r="148" spans="1:14" x14ac:dyDescent="0.3">
      <c r="A148" s="12" t="s">
        <v>203</v>
      </c>
      <c r="B148" s="15">
        <v>0.6</v>
      </c>
      <c r="C148" s="15">
        <v>0.8</v>
      </c>
      <c r="D148" s="15">
        <v>0.9</v>
      </c>
      <c r="E148" s="15">
        <v>1.3</v>
      </c>
      <c r="F148" s="15">
        <v>1.5</v>
      </c>
      <c r="G148" s="15">
        <v>1.5</v>
      </c>
      <c r="H148" s="15">
        <v>1.8</v>
      </c>
      <c r="I148" s="15">
        <v>1.8</v>
      </c>
      <c r="J148" s="15">
        <v>1.5</v>
      </c>
      <c r="K148" s="15">
        <v>1.8</v>
      </c>
      <c r="L148" s="15">
        <v>1.9</v>
      </c>
      <c r="M148" s="15">
        <v>1.0649999999999999</v>
      </c>
      <c r="N148" s="15">
        <v>0.96499999999999997</v>
      </c>
    </row>
    <row r="149" spans="1:14" x14ac:dyDescent="0.3">
      <c r="A149" s="12" t="s">
        <v>320</v>
      </c>
      <c r="B149" s="15">
        <v>0.6</v>
      </c>
      <c r="C149" s="15">
        <v>0.6</v>
      </c>
      <c r="D149" s="15">
        <v>0.6</v>
      </c>
      <c r="E149" s="15">
        <v>0.7</v>
      </c>
      <c r="F149" s="15">
        <v>1.1000000000000001</v>
      </c>
      <c r="G149" s="15">
        <v>0.9</v>
      </c>
      <c r="H149" s="15">
        <v>1.6</v>
      </c>
      <c r="I149" s="15">
        <v>1.6</v>
      </c>
      <c r="J149" s="15">
        <v>1.1000000000000001</v>
      </c>
      <c r="K149" s="15">
        <v>1.4</v>
      </c>
      <c r="L149" s="15">
        <v>1.4</v>
      </c>
      <c r="M149" s="15">
        <v>0.55500000000000005</v>
      </c>
      <c r="N149" s="15">
        <v>0.55500000000000005</v>
      </c>
    </row>
    <row r="150" spans="1:14" x14ac:dyDescent="0.3">
      <c r="A150" s="12" t="s">
        <v>208</v>
      </c>
      <c r="B150" s="15">
        <v>0.8</v>
      </c>
      <c r="C150" s="15">
        <v>0.6</v>
      </c>
      <c r="D150" s="15">
        <v>0.7</v>
      </c>
      <c r="E150" s="15">
        <v>1.4</v>
      </c>
      <c r="F150" s="15">
        <v>0.8</v>
      </c>
      <c r="G150" s="15">
        <v>0.8</v>
      </c>
      <c r="H150" s="15">
        <v>0.8</v>
      </c>
      <c r="I150" s="15">
        <v>0.8</v>
      </c>
      <c r="J150" s="15">
        <v>0.8</v>
      </c>
      <c r="K150" s="15">
        <v>1.1000000000000001</v>
      </c>
      <c r="L150" s="15">
        <v>1.3</v>
      </c>
      <c r="M150" s="15">
        <v>0.87</v>
      </c>
      <c r="N150" s="15">
        <v>0.87</v>
      </c>
    </row>
    <row r="151" spans="1:14" x14ac:dyDescent="0.3">
      <c r="A151" s="12" t="s">
        <v>209</v>
      </c>
      <c r="B151" s="15">
        <v>0.1</v>
      </c>
      <c r="C151" s="15">
        <v>0.1</v>
      </c>
      <c r="D151" s="15">
        <v>0.1</v>
      </c>
      <c r="E151" s="15">
        <v>0.1</v>
      </c>
      <c r="F151" s="15">
        <v>0.1</v>
      </c>
      <c r="G151" s="15">
        <v>0.3</v>
      </c>
      <c r="H151" s="15">
        <v>0.3</v>
      </c>
      <c r="I151" s="15">
        <v>0.3</v>
      </c>
      <c r="J151" s="15">
        <v>0.6</v>
      </c>
      <c r="K151" s="15">
        <v>0.7</v>
      </c>
      <c r="L151" s="15">
        <v>0.6</v>
      </c>
      <c r="M151" s="15">
        <v>6.6150000000000002</v>
      </c>
      <c r="N151" s="15">
        <v>6.6150000000000002</v>
      </c>
    </row>
    <row r="152" spans="1:14" x14ac:dyDescent="0.3">
      <c r="A152" s="12" t="s">
        <v>210</v>
      </c>
      <c r="B152" s="15">
        <v>0.2</v>
      </c>
      <c r="C152" s="15">
        <v>0.2</v>
      </c>
      <c r="D152" s="15">
        <v>0.2</v>
      </c>
      <c r="E152" s="15">
        <v>0.2</v>
      </c>
      <c r="F152" s="15">
        <v>0.2</v>
      </c>
      <c r="G152" s="15">
        <v>0.2</v>
      </c>
      <c r="H152" s="15">
        <v>0.3</v>
      </c>
      <c r="I152" s="15">
        <v>0.2</v>
      </c>
      <c r="J152" s="15">
        <v>0.5</v>
      </c>
      <c r="K152" s="15">
        <v>0.5</v>
      </c>
      <c r="L152" s="15">
        <v>0.5</v>
      </c>
      <c r="M152" s="15">
        <v>0.9</v>
      </c>
      <c r="N152" s="15">
        <v>0.71</v>
      </c>
    </row>
    <row r="153" spans="1:14" x14ac:dyDescent="0.3">
      <c r="A153" s="12" t="s">
        <v>211</v>
      </c>
      <c r="B153" s="15">
        <v>8</v>
      </c>
      <c r="C153" s="15">
        <v>8.4</v>
      </c>
      <c r="D153" s="15">
        <v>8.3000000000000007</v>
      </c>
      <c r="E153" s="15">
        <v>8.6</v>
      </c>
      <c r="F153" s="15">
        <v>8.6</v>
      </c>
      <c r="G153" s="15">
        <v>8.6</v>
      </c>
      <c r="H153" s="15">
        <v>7.8</v>
      </c>
      <c r="I153" s="15">
        <v>7.6</v>
      </c>
      <c r="J153" s="15">
        <v>7.7</v>
      </c>
      <c r="K153" s="15">
        <v>7.7</v>
      </c>
      <c r="L153" s="15">
        <v>7.8</v>
      </c>
      <c r="M153" s="15">
        <v>3.085</v>
      </c>
      <c r="N153" s="15">
        <v>3.335</v>
      </c>
    </row>
    <row r="154" spans="1:14" x14ac:dyDescent="0.3">
      <c r="A154" s="12" t="s">
        <v>212</v>
      </c>
      <c r="B154" s="15">
        <v>0.5</v>
      </c>
      <c r="C154" s="15">
        <v>0.4</v>
      </c>
      <c r="D154" s="15">
        <v>0.9</v>
      </c>
      <c r="E154" s="15">
        <v>1.6</v>
      </c>
      <c r="F154" s="15">
        <v>1.5</v>
      </c>
      <c r="G154" s="15">
        <v>1.4</v>
      </c>
      <c r="H154" s="15">
        <v>1.2</v>
      </c>
      <c r="I154" s="15">
        <v>1.1000000000000001</v>
      </c>
      <c r="J154" s="15">
        <v>0.8</v>
      </c>
      <c r="K154" s="15">
        <v>1.1000000000000001</v>
      </c>
      <c r="L154" s="15">
        <v>1.2</v>
      </c>
      <c r="M154" s="15">
        <v>2.5649999999999999</v>
      </c>
      <c r="N154" s="15">
        <v>2.7</v>
      </c>
    </row>
    <row r="155" spans="1:14" x14ac:dyDescent="0.3">
      <c r="A155" s="12" t="s">
        <v>213</v>
      </c>
      <c r="B155" s="15">
        <v>3.1</v>
      </c>
      <c r="C155" s="15">
        <v>3.4</v>
      </c>
      <c r="D155" s="15">
        <v>4.2</v>
      </c>
      <c r="E155" s="15">
        <v>3.5</v>
      </c>
      <c r="F155" s="15">
        <v>4</v>
      </c>
      <c r="G155" s="15">
        <v>3.6</v>
      </c>
      <c r="H155" s="15">
        <v>3.4</v>
      </c>
      <c r="I155" s="15">
        <v>3.8</v>
      </c>
      <c r="J155" s="15">
        <v>3</v>
      </c>
      <c r="K155" s="15">
        <v>3.1</v>
      </c>
      <c r="L155" s="15">
        <v>4.2</v>
      </c>
      <c r="M155" s="15">
        <v>2.2850000000000001</v>
      </c>
      <c r="N155" s="15">
        <v>2.1150000000000002</v>
      </c>
    </row>
    <row r="156" spans="1:14" x14ac:dyDescent="0.3">
      <c r="A156" s="12" t="s">
        <v>214</v>
      </c>
      <c r="B156" s="15">
        <v>1.3</v>
      </c>
      <c r="C156" s="15">
        <v>1.4</v>
      </c>
      <c r="D156" s="15">
        <v>1.2</v>
      </c>
      <c r="E156" s="15">
        <v>1.3</v>
      </c>
      <c r="F156" s="15">
        <v>1.8</v>
      </c>
      <c r="G156" s="15">
        <v>2.2000000000000002</v>
      </c>
      <c r="H156" s="15">
        <v>2.2999999999999998</v>
      </c>
      <c r="I156" s="15">
        <v>1.5</v>
      </c>
      <c r="J156" s="15">
        <v>2.2999999999999998</v>
      </c>
      <c r="K156" s="15">
        <v>2.5</v>
      </c>
      <c r="L156" s="15">
        <v>2.6</v>
      </c>
      <c r="M156" s="15">
        <v>6.8950000000000005</v>
      </c>
      <c r="N156" s="15">
        <v>6.8950000000000005</v>
      </c>
    </row>
    <row r="157" spans="1:14" x14ac:dyDescent="0.3">
      <c r="A157" s="12" t="s">
        <v>215</v>
      </c>
      <c r="B157" s="15">
        <v>0</v>
      </c>
      <c r="C157" s="15">
        <v>0</v>
      </c>
      <c r="D157" s="15">
        <v>0</v>
      </c>
      <c r="E157" s="15">
        <v>0</v>
      </c>
      <c r="F157" s="15">
        <v>0.3</v>
      </c>
      <c r="G157" s="15">
        <v>0.3</v>
      </c>
      <c r="H157" s="15">
        <v>1.4</v>
      </c>
      <c r="I157" s="15">
        <v>0.8</v>
      </c>
      <c r="J157" s="15">
        <v>2.1</v>
      </c>
      <c r="K157" s="15">
        <v>2.6</v>
      </c>
      <c r="L157" s="15">
        <v>3.4</v>
      </c>
      <c r="M157" s="15">
        <v>2.8049999999999997</v>
      </c>
      <c r="N157" s="15">
        <v>2.9699999999999998</v>
      </c>
    </row>
    <row r="158" spans="1:14" x14ac:dyDescent="0.3">
      <c r="A158" s="12" t="s">
        <v>216</v>
      </c>
      <c r="B158" s="15">
        <v>4.5999999999999996</v>
      </c>
      <c r="C158" s="15">
        <v>4.7</v>
      </c>
      <c r="D158" s="15">
        <v>4.5</v>
      </c>
      <c r="E158" s="15">
        <v>5</v>
      </c>
      <c r="F158" s="15">
        <v>6</v>
      </c>
      <c r="G158" s="15">
        <v>5.3</v>
      </c>
      <c r="H158" s="15">
        <v>6.6</v>
      </c>
      <c r="I158" s="15">
        <v>6.4</v>
      </c>
      <c r="J158" s="15">
        <v>6.6</v>
      </c>
      <c r="K158" s="15">
        <v>7.1</v>
      </c>
      <c r="L158" s="15">
        <v>7.1</v>
      </c>
      <c r="M158" s="15">
        <v>1.7549999999999999</v>
      </c>
      <c r="N158" s="15">
        <v>2.52</v>
      </c>
    </row>
    <row r="159" spans="1:14" x14ac:dyDescent="0.3">
      <c r="A159" s="12" t="s">
        <v>218</v>
      </c>
      <c r="B159" s="15">
        <v>2.8</v>
      </c>
      <c r="C159" s="15">
        <v>2.8</v>
      </c>
      <c r="D159" s="15">
        <v>2.8</v>
      </c>
      <c r="E159" s="15">
        <v>2.6</v>
      </c>
      <c r="F159" s="15">
        <v>3.2</v>
      </c>
      <c r="G159" s="15">
        <v>3.4</v>
      </c>
      <c r="H159" s="15">
        <v>3</v>
      </c>
      <c r="I159" s="15">
        <v>3.4</v>
      </c>
      <c r="J159" s="15">
        <v>2.5</v>
      </c>
      <c r="K159" s="15">
        <v>2.5</v>
      </c>
      <c r="L159" s="15">
        <v>3</v>
      </c>
      <c r="M159" s="15">
        <v>1.07</v>
      </c>
      <c r="N159" s="15">
        <v>1.07</v>
      </c>
    </row>
    <row r="160" spans="1:14" x14ac:dyDescent="0.3">
      <c r="A160" s="12" t="s">
        <v>219</v>
      </c>
      <c r="B160" s="15">
        <v>0.6</v>
      </c>
      <c r="C160" s="15">
        <v>0.9</v>
      </c>
      <c r="D160" s="15">
        <v>1.1000000000000001</v>
      </c>
      <c r="E160" s="15">
        <v>1</v>
      </c>
      <c r="F160" s="15">
        <v>0.6</v>
      </c>
      <c r="G160" s="15">
        <v>0.9</v>
      </c>
      <c r="H160" s="15">
        <v>0.7</v>
      </c>
      <c r="I160" s="15">
        <v>1</v>
      </c>
      <c r="J160" s="15">
        <v>1.4</v>
      </c>
      <c r="K160" s="15">
        <v>1.7</v>
      </c>
      <c r="L160" s="15">
        <v>2.6</v>
      </c>
      <c r="M160" s="15">
        <v>4.67</v>
      </c>
      <c r="N160" s="15">
        <v>4.67</v>
      </c>
    </row>
    <row r="161" spans="1:14" x14ac:dyDescent="0.3">
      <c r="A161" s="12" t="s">
        <v>220</v>
      </c>
      <c r="B161" s="15">
        <v>0.6</v>
      </c>
      <c r="C161" s="15">
        <v>0.7</v>
      </c>
      <c r="D161" s="15">
        <v>0.7</v>
      </c>
      <c r="E161" s="15">
        <v>0.9</v>
      </c>
      <c r="F161" s="15">
        <v>0.7</v>
      </c>
      <c r="G161" s="15">
        <v>0.9</v>
      </c>
      <c r="H161" s="15">
        <v>1</v>
      </c>
      <c r="I161" s="15">
        <v>1</v>
      </c>
      <c r="J161" s="15">
        <v>1</v>
      </c>
      <c r="K161" s="15">
        <v>1</v>
      </c>
      <c r="L161" s="15">
        <v>1</v>
      </c>
      <c r="M161" s="15">
        <v>2.1100000000000003</v>
      </c>
      <c r="N161" s="15">
        <v>1.2750000000000001</v>
      </c>
    </row>
    <row r="162" spans="1:14" x14ac:dyDescent="0.3">
      <c r="A162" s="12" t="s">
        <v>221</v>
      </c>
      <c r="B162" s="15">
        <v>4.4000000000000004</v>
      </c>
      <c r="C162" s="15">
        <v>4.5</v>
      </c>
      <c r="D162" s="15">
        <v>5.4</v>
      </c>
      <c r="E162" s="15">
        <v>5.2</v>
      </c>
      <c r="F162" s="15">
        <v>7.4</v>
      </c>
      <c r="G162" s="15">
        <v>7.8</v>
      </c>
      <c r="H162" s="15">
        <v>4</v>
      </c>
      <c r="I162" s="15">
        <v>2.9</v>
      </c>
      <c r="J162" s="15">
        <v>4.5999999999999996</v>
      </c>
      <c r="K162" s="15">
        <v>4.5</v>
      </c>
      <c r="L162" s="15">
        <v>4.4000000000000004</v>
      </c>
      <c r="M162" s="15">
        <v>2.355</v>
      </c>
      <c r="N162" s="15">
        <v>2.19</v>
      </c>
    </row>
    <row r="163" spans="1:14" x14ac:dyDescent="0.3">
      <c r="A163" s="12" t="s">
        <v>222</v>
      </c>
      <c r="B163" s="15">
        <v>0.6</v>
      </c>
      <c r="C163" s="15">
        <v>0.7</v>
      </c>
      <c r="D163" s="15">
        <v>1</v>
      </c>
      <c r="E163" s="15">
        <v>0.7</v>
      </c>
      <c r="F163" s="15">
        <v>0.7</v>
      </c>
      <c r="G163" s="15">
        <v>0.5</v>
      </c>
      <c r="H163" s="15">
        <v>0.7</v>
      </c>
      <c r="I163" s="15">
        <v>0.8</v>
      </c>
      <c r="J163" s="15">
        <v>1</v>
      </c>
      <c r="K163" s="15">
        <v>0.8</v>
      </c>
      <c r="L163" s="15">
        <v>0.9</v>
      </c>
      <c r="M163" s="15">
        <v>3.1950000000000003</v>
      </c>
      <c r="N163" s="15">
        <v>3.8600000000000003</v>
      </c>
    </row>
    <row r="164" spans="1:14" x14ac:dyDescent="0.3">
      <c r="A164" s="12" t="s">
        <v>321</v>
      </c>
      <c r="B164" s="15">
        <v>1.6</v>
      </c>
      <c r="C164" s="15">
        <v>1.5</v>
      </c>
      <c r="D164" s="15">
        <v>1.3</v>
      </c>
      <c r="E164" s="15">
        <v>1.9</v>
      </c>
      <c r="F164" s="15">
        <v>1.8</v>
      </c>
      <c r="G164" s="15">
        <v>1.8</v>
      </c>
      <c r="H164" s="15">
        <v>2</v>
      </c>
      <c r="I164" s="15">
        <v>2</v>
      </c>
      <c r="J164" s="15">
        <v>2.4</v>
      </c>
      <c r="K164" s="15">
        <v>2.4</v>
      </c>
      <c r="L164" s="15">
        <v>2.4</v>
      </c>
      <c r="M164" s="15">
        <v>3.81</v>
      </c>
      <c r="N164" s="15">
        <v>3.8600000000000003</v>
      </c>
    </row>
    <row r="165" spans="1:14" x14ac:dyDescent="0.3">
      <c r="A165" s="12" t="s">
        <v>223</v>
      </c>
      <c r="B165" s="15">
        <v>0</v>
      </c>
      <c r="C165" s="15">
        <v>0</v>
      </c>
      <c r="D165" s="15">
        <v>0</v>
      </c>
      <c r="E165" s="15">
        <v>0</v>
      </c>
      <c r="F165" s="15">
        <v>1.2</v>
      </c>
      <c r="G165" s="15">
        <v>1.5</v>
      </c>
      <c r="H165" s="15">
        <v>3.4</v>
      </c>
      <c r="I165" s="15">
        <v>2.4</v>
      </c>
      <c r="J165" s="15">
        <v>1.8</v>
      </c>
      <c r="K165" s="15">
        <v>1.3</v>
      </c>
      <c r="L165" s="15">
        <v>3</v>
      </c>
      <c r="M165" s="15">
        <v>5.4349999999999996</v>
      </c>
      <c r="N165" s="15">
        <v>6.35</v>
      </c>
    </row>
    <row r="166" spans="1:14" x14ac:dyDescent="0.3">
      <c r="A166" s="12" t="s">
        <v>224</v>
      </c>
      <c r="B166" s="15">
        <v>2</v>
      </c>
      <c r="C166" s="15">
        <v>1.9</v>
      </c>
      <c r="D166" s="15">
        <v>1.5</v>
      </c>
      <c r="E166" s="15">
        <v>2.7</v>
      </c>
      <c r="F166" s="15">
        <v>2.9</v>
      </c>
      <c r="G166" s="15">
        <v>2.8</v>
      </c>
      <c r="H166" s="15">
        <v>3</v>
      </c>
      <c r="I166" s="15">
        <v>3</v>
      </c>
      <c r="J166" s="15">
        <v>2.7</v>
      </c>
      <c r="K166" s="15">
        <v>3</v>
      </c>
      <c r="L166" s="15">
        <v>4.5</v>
      </c>
      <c r="M166" s="15">
        <v>0.97500000000000009</v>
      </c>
      <c r="N166" s="15">
        <v>0.97500000000000009</v>
      </c>
    </row>
    <row r="167" spans="1:14" x14ac:dyDescent="0.3">
      <c r="A167" s="12" t="s">
        <v>225</v>
      </c>
      <c r="B167" s="15">
        <v>4</v>
      </c>
      <c r="C167" s="15">
        <v>4.0999999999999996</v>
      </c>
      <c r="D167" s="15">
        <v>3.9</v>
      </c>
      <c r="E167" s="15">
        <v>6</v>
      </c>
      <c r="F167" s="15">
        <v>5.4</v>
      </c>
      <c r="G167" s="15">
        <v>5.9</v>
      </c>
      <c r="H167" s="15">
        <v>5.3</v>
      </c>
      <c r="I167" s="15">
        <v>5</v>
      </c>
      <c r="J167" s="15">
        <v>4.2</v>
      </c>
      <c r="K167" s="15">
        <v>4.0999999999999996</v>
      </c>
      <c r="L167" s="15">
        <v>3.8</v>
      </c>
      <c r="M167" s="15">
        <v>2.4250000000000003</v>
      </c>
      <c r="N167" s="15">
        <v>2.31</v>
      </c>
    </row>
    <row r="168" spans="1:14" x14ac:dyDescent="0.3">
      <c r="A168" s="12" t="s">
        <v>226</v>
      </c>
      <c r="B168" s="15">
        <v>5.7</v>
      </c>
      <c r="C168" s="15">
        <v>5.7</v>
      </c>
      <c r="D168" s="15">
        <v>5.5</v>
      </c>
      <c r="E168" s="15">
        <v>5.4</v>
      </c>
      <c r="F168" s="15">
        <v>6.6</v>
      </c>
      <c r="G168" s="15">
        <v>6.9</v>
      </c>
      <c r="H168" s="15">
        <v>7</v>
      </c>
      <c r="I168" s="15">
        <v>6.4</v>
      </c>
      <c r="J168" s="15">
        <v>6.1</v>
      </c>
      <c r="K168" s="15">
        <v>5.9</v>
      </c>
      <c r="L168" s="15">
        <v>6.7</v>
      </c>
      <c r="M168" s="15">
        <v>0.92500000000000004</v>
      </c>
      <c r="N168" s="15">
        <v>0.95500000000000007</v>
      </c>
    </row>
    <row r="169" spans="1:14" x14ac:dyDescent="0.3">
      <c r="A169" s="12" t="s">
        <v>227</v>
      </c>
      <c r="B169" s="15">
        <v>0</v>
      </c>
      <c r="C169" s="15">
        <v>0.1</v>
      </c>
      <c r="D169" s="15">
        <v>0.4</v>
      </c>
      <c r="E169" s="15">
        <v>0.9</v>
      </c>
      <c r="F169" s="15">
        <v>1.3</v>
      </c>
      <c r="G169" s="15">
        <v>0.5</v>
      </c>
      <c r="H169" s="15">
        <v>0.2</v>
      </c>
      <c r="I169" s="15">
        <v>0.2</v>
      </c>
      <c r="J169" s="15">
        <v>0.4</v>
      </c>
      <c r="K169" s="15">
        <v>0.9</v>
      </c>
      <c r="L169" s="15">
        <v>0.9</v>
      </c>
      <c r="M169" s="15">
        <v>5.81</v>
      </c>
      <c r="N169" s="15">
        <v>3.1700000000000004</v>
      </c>
    </row>
    <row r="170" spans="1:14" x14ac:dyDescent="0.3">
      <c r="A170" s="12" t="s">
        <v>322</v>
      </c>
      <c r="B170" s="15">
        <v>1.5</v>
      </c>
      <c r="C170" s="15">
        <v>1.6</v>
      </c>
      <c r="D170" s="15">
        <v>1.6</v>
      </c>
      <c r="E170" s="15">
        <v>2.4</v>
      </c>
      <c r="F170" s="15">
        <v>2.4</v>
      </c>
      <c r="G170" s="15">
        <v>2.1</v>
      </c>
      <c r="H170" s="15">
        <v>2.1</v>
      </c>
      <c r="I170" s="15">
        <v>2.1</v>
      </c>
      <c r="J170" s="15">
        <v>2.2000000000000002</v>
      </c>
      <c r="K170" s="15">
        <v>2.9</v>
      </c>
      <c r="L170" s="15">
        <v>2.4</v>
      </c>
      <c r="M170" s="15">
        <v>0.90500000000000003</v>
      </c>
      <c r="N170" s="15">
        <v>1.1400000000000001</v>
      </c>
    </row>
    <row r="171" spans="1:14" x14ac:dyDescent="0.3">
      <c r="A171" s="12" t="s">
        <v>229</v>
      </c>
      <c r="B171" s="15">
        <v>1.2</v>
      </c>
      <c r="C171" s="15">
        <v>1.4</v>
      </c>
      <c r="D171" s="15">
        <v>1.6</v>
      </c>
      <c r="E171" s="15">
        <v>1.5</v>
      </c>
      <c r="F171" s="15">
        <v>2.1</v>
      </c>
      <c r="G171" s="15">
        <v>1.9</v>
      </c>
      <c r="H171" s="15">
        <v>3.6</v>
      </c>
      <c r="I171" s="15">
        <v>2.4</v>
      </c>
      <c r="J171" s="15">
        <v>1.9</v>
      </c>
      <c r="K171" s="15">
        <v>2.8</v>
      </c>
      <c r="L171" s="15">
        <v>2.2999999999999998</v>
      </c>
      <c r="M171" s="15">
        <v>3.08</v>
      </c>
      <c r="N171" s="15">
        <v>2.3149999999999999</v>
      </c>
    </row>
    <row r="172" spans="1:14" x14ac:dyDescent="0.3">
      <c r="A172" s="12" t="s">
        <v>230</v>
      </c>
      <c r="B172" s="15">
        <v>1.2</v>
      </c>
      <c r="C172" s="15">
        <v>1</v>
      </c>
      <c r="D172" s="15">
        <v>1.2</v>
      </c>
      <c r="E172" s="15">
        <v>2.2999999999999998</v>
      </c>
      <c r="F172" s="15">
        <v>2.2000000000000002</v>
      </c>
      <c r="G172" s="15">
        <v>2.1</v>
      </c>
      <c r="H172" s="15">
        <v>2.6</v>
      </c>
      <c r="I172" s="15">
        <v>2.4</v>
      </c>
      <c r="J172" s="15">
        <v>2.9</v>
      </c>
      <c r="K172" s="15">
        <v>2.7</v>
      </c>
      <c r="L172" s="15">
        <v>2.5</v>
      </c>
      <c r="M172" s="15">
        <v>2.3849999999999998</v>
      </c>
      <c r="N172" s="15">
        <v>2.5499999999999998</v>
      </c>
    </row>
    <row r="173" spans="1:14" x14ac:dyDescent="0.3">
      <c r="A173" s="12" t="s">
        <v>323</v>
      </c>
      <c r="B173" s="15">
        <v>4.5</v>
      </c>
      <c r="C173" s="15">
        <v>5.2</v>
      </c>
      <c r="D173" s="15">
        <v>6.5</v>
      </c>
      <c r="E173" s="15">
        <v>7.3</v>
      </c>
      <c r="F173" s="15">
        <v>7.5</v>
      </c>
      <c r="G173" s="15">
        <v>8</v>
      </c>
      <c r="H173" s="15">
        <v>7.4</v>
      </c>
      <c r="I173" s="15">
        <v>7.6</v>
      </c>
      <c r="J173" s="15">
        <v>7.6</v>
      </c>
      <c r="K173" s="15">
        <v>7.8</v>
      </c>
      <c r="L173" s="15">
        <v>8.3000000000000007</v>
      </c>
      <c r="M173" s="15">
        <v>7.5100000000000007</v>
      </c>
      <c r="N173" s="15">
        <v>8.01</v>
      </c>
    </row>
    <row r="174" spans="1:14" x14ac:dyDescent="0.3">
      <c r="A174" s="12" t="s">
        <v>324</v>
      </c>
      <c r="B174" s="15">
        <v>0.5</v>
      </c>
      <c r="C174" s="15">
        <v>0.5</v>
      </c>
      <c r="D174" s="15">
        <v>0.6</v>
      </c>
      <c r="E174" s="15">
        <v>1</v>
      </c>
      <c r="F174" s="15">
        <v>0.6</v>
      </c>
      <c r="G174" s="15">
        <v>1.2</v>
      </c>
      <c r="H174" s="15">
        <v>0.9</v>
      </c>
      <c r="I174" s="15">
        <v>0.7</v>
      </c>
      <c r="J174" s="15">
        <v>1.2</v>
      </c>
      <c r="K174" s="15">
        <v>2.2000000000000002</v>
      </c>
      <c r="L174" s="15">
        <v>1.7</v>
      </c>
      <c r="M174" s="15">
        <v>1.47</v>
      </c>
      <c r="N174" s="15">
        <v>0.95000000000000007</v>
      </c>
    </row>
    <row r="175" spans="1:14" x14ac:dyDescent="0.3">
      <c r="A175" s="12" t="s">
        <v>232</v>
      </c>
      <c r="B175" s="15">
        <v>4.5</v>
      </c>
      <c r="C175" s="15">
        <v>5.5</v>
      </c>
      <c r="D175" s="15">
        <v>6.7</v>
      </c>
      <c r="E175" s="15">
        <v>6.5</v>
      </c>
      <c r="F175" s="15">
        <v>5.6</v>
      </c>
      <c r="G175" s="15">
        <v>7.2</v>
      </c>
      <c r="H175" s="15">
        <v>6.8</v>
      </c>
      <c r="I175" s="15">
        <v>6.6</v>
      </c>
      <c r="J175" s="15">
        <v>7.1</v>
      </c>
      <c r="K175" s="15">
        <v>7.5</v>
      </c>
      <c r="L175" s="15">
        <v>7.5</v>
      </c>
      <c r="M175" s="15">
        <v>7.5299999999999994</v>
      </c>
      <c r="N175" s="15">
        <v>7.7799999999999994</v>
      </c>
    </row>
    <row r="176" spans="1:14" x14ac:dyDescent="0.3">
      <c r="A176" s="12" t="s">
        <v>325</v>
      </c>
      <c r="B176" s="15">
        <v>2.1</v>
      </c>
      <c r="C176" s="15">
        <v>2.9</v>
      </c>
      <c r="D176" s="15">
        <v>3.1</v>
      </c>
      <c r="E176" s="15">
        <v>3.9</v>
      </c>
      <c r="F176" s="15">
        <v>3.7</v>
      </c>
      <c r="G176" s="15">
        <v>3.4</v>
      </c>
      <c r="H176" s="15">
        <v>3.3</v>
      </c>
      <c r="I176" s="15">
        <v>3.1</v>
      </c>
      <c r="J176" s="15">
        <v>3.4</v>
      </c>
      <c r="K176" s="15">
        <v>4.5999999999999996</v>
      </c>
      <c r="L176" s="15">
        <v>4.7</v>
      </c>
      <c r="M176" s="15">
        <v>5.0549999999999997</v>
      </c>
      <c r="N176" s="15">
        <v>5.22</v>
      </c>
    </row>
    <row r="177" spans="1:14" x14ac:dyDescent="0.3">
      <c r="A177" s="12" t="s">
        <v>233</v>
      </c>
      <c r="B177" s="15">
        <v>2.6</v>
      </c>
      <c r="C177" s="15">
        <v>3.3</v>
      </c>
      <c r="D177" s="15">
        <v>3.7</v>
      </c>
      <c r="E177" s="15">
        <v>3.5</v>
      </c>
      <c r="F177" s="15">
        <v>3.4</v>
      </c>
      <c r="G177" s="15">
        <v>3.6</v>
      </c>
      <c r="H177" s="15">
        <v>4.4000000000000004</v>
      </c>
      <c r="I177" s="15">
        <v>4.4000000000000004</v>
      </c>
      <c r="J177" s="15">
        <v>4.4000000000000004</v>
      </c>
      <c r="K177" s="15">
        <v>5.3</v>
      </c>
      <c r="L177" s="15">
        <v>4.5999999999999996</v>
      </c>
      <c r="M177" s="15">
        <v>5.09</v>
      </c>
      <c r="N177" s="15">
        <v>5.09</v>
      </c>
    </row>
    <row r="178" spans="1:14" x14ac:dyDescent="0.3">
      <c r="A178" s="12" t="s">
        <v>234</v>
      </c>
      <c r="B178" s="15">
        <v>0.9</v>
      </c>
      <c r="C178" s="15">
        <v>0.6</v>
      </c>
      <c r="D178" s="15">
        <v>0.2</v>
      </c>
      <c r="E178" s="15">
        <v>0.5</v>
      </c>
      <c r="F178" s="15">
        <v>1</v>
      </c>
      <c r="G178" s="15">
        <v>1.1000000000000001</v>
      </c>
      <c r="H178" s="15">
        <v>1.4</v>
      </c>
      <c r="I178" s="15">
        <v>1.5</v>
      </c>
      <c r="J178" s="15">
        <v>1.6</v>
      </c>
      <c r="K178" s="15">
        <v>1.6</v>
      </c>
      <c r="L178" s="15">
        <v>1</v>
      </c>
      <c r="M178" s="15">
        <v>1.0550000000000002</v>
      </c>
      <c r="N178" s="15">
        <v>0.90500000000000003</v>
      </c>
    </row>
    <row r="179" spans="1:14" x14ac:dyDescent="0.3">
      <c r="A179" s="12" t="s">
        <v>235</v>
      </c>
      <c r="B179" s="15">
        <v>2.8</v>
      </c>
      <c r="C179" s="15">
        <v>1.9</v>
      </c>
      <c r="D179" s="15">
        <v>0.9</v>
      </c>
      <c r="E179" s="15">
        <v>1.4</v>
      </c>
      <c r="F179" s="15">
        <v>1.7</v>
      </c>
      <c r="G179" s="15">
        <v>1.7</v>
      </c>
      <c r="H179" s="15">
        <v>1.5</v>
      </c>
      <c r="I179" s="15">
        <v>1.9</v>
      </c>
      <c r="J179" s="15">
        <v>2</v>
      </c>
      <c r="K179" s="15">
        <v>2</v>
      </c>
      <c r="L179" s="15">
        <v>2.1</v>
      </c>
      <c r="M179" s="15">
        <v>2.46</v>
      </c>
      <c r="N179" s="15">
        <v>2.71</v>
      </c>
    </row>
    <row r="180" spans="1:14" x14ac:dyDescent="0.3">
      <c r="A180" s="12" t="s">
        <v>237</v>
      </c>
      <c r="B180" s="15">
        <v>2</v>
      </c>
      <c r="C180" s="15">
        <v>1.8</v>
      </c>
      <c r="D180" s="15">
        <v>1.6</v>
      </c>
      <c r="E180" s="15">
        <v>1.8</v>
      </c>
      <c r="F180" s="15">
        <v>1.7</v>
      </c>
      <c r="G180" s="15">
        <v>1.6</v>
      </c>
      <c r="H180" s="15">
        <v>1.8</v>
      </c>
      <c r="I180" s="15">
        <v>1.8</v>
      </c>
      <c r="J180" s="15">
        <v>1.5</v>
      </c>
      <c r="K180" s="15">
        <v>1.6</v>
      </c>
      <c r="L180" s="15">
        <v>1.6</v>
      </c>
      <c r="M180" s="15">
        <v>1.6099999999999999</v>
      </c>
      <c r="N180" s="15">
        <v>2.0249999999999999</v>
      </c>
    </row>
    <row r="181" spans="1:14" x14ac:dyDescent="0.3">
      <c r="A181" s="12" t="s">
        <v>238</v>
      </c>
      <c r="B181" s="15">
        <v>0.3</v>
      </c>
      <c r="C181" s="15">
        <v>0.7</v>
      </c>
      <c r="D181" s="15">
        <v>0.9</v>
      </c>
      <c r="E181" s="15">
        <v>0.9</v>
      </c>
      <c r="F181" s="15">
        <v>1.2</v>
      </c>
      <c r="G181" s="15">
        <v>1.2</v>
      </c>
      <c r="H181" s="15">
        <v>1.1000000000000001</v>
      </c>
      <c r="I181" s="15">
        <v>1.1000000000000001</v>
      </c>
      <c r="J181" s="15">
        <v>1</v>
      </c>
      <c r="K181" s="15">
        <v>0.8</v>
      </c>
      <c r="L181" s="15">
        <v>0.8</v>
      </c>
      <c r="M181" s="15">
        <v>1.02</v>
      </c>
      <c r="N181" s="15">
        <v>1.175</v>
      </c>
    </row>
    <row r="182" spans="1:14" x14ac:dyDescent="0.3">
      <c r="A182" s="12" t="s">
        <v>239</v>
      </c>
      <c r="B182" s="15">
        <v>4.8</v>
      </c>
      <c r="C182" s="15">
        <v>5.3</v>
      </c>
      <c r="D182" s="15">
        <v>5.5</v>
      </c>
      <c r="E182" s="15">
        <v>7.7</v>
      </c>
      <c r="F182" s="15">
        <v>5.8</v>
      </c>
      <c r="G182" s="15">
        <v>5.0999999999999996</v>
      </c>
      <c r="H182" s="15">
        <v>4.9000000000000004</v>
      </c>
      <c r="I182" s="15">
        <v>4.7</v>
      </c>
      <c r="J182" s="15">
        <v>4.0999999999999996</v>
      </c>
      <c r="K182" s="15">
        <v>5.7</v>
      </c>
      <c r="L182" s="15">
        <v>5.0999999999999996</v>
      </c>
      <c r="M182" s="15">
        <v>6.17</v>
      </c>
      <c r="N182" s="15">
        <v>5.8199999999999994</v>
      </c>
    </row>
    <row r="183" spans="1:14" x14ac:dyDescent="0.3">
      <c r="A183" s="12" t="s">
        <v>326</v>
      </c>
      <c r="B183" s="15">
        <v>6.6</v>
      </c>
      <c r="C183" s="15">
        <v>6.4</v>
      </c>
      <c r="D183" s="15">
        <v>6.3</v>
      </c>
      <c r="E183" s="15">
        <v>5.8</v>
      </c>
      <c r="F183" s="15">
        <v>5.3</v>
      </c>
      <c r="G183" s="15">
        <v>6.4</v>
      </c>
      <c r="H183" s="15">
        <v>7.4</v>
      </c>
      <c r="I183" s="15">
        <v>8.1</v>
      </c>
      <c r="J183" s="15">
        <v>6.8</v>
      </c>
      <c r="K183" s="15">
        <v>7</v>
      </c>
      <c r="L183" s="15">
        <v>7.1</v>
      </c>
      <c r="M183" s="15">
        <v>6.23</v>
      </c>
      <c r="N183" s="15">
        <v>6.23</v>
      </c>
    </row>
    <row r="184" spans="1:14" x14ac:dyDescent="0.3">
      <c r="A184" s="12" t="s">
        <v>241</v>
      </c>
      <c r="B184" s="15">
        <v>5.6</v>
      </c>
      <c r="C184" s="15">
        <v>6</v>
      </c>
      <c r="D184" s="15">
        <v>6.6</v>
      </c>
      <c r="E184" s="15">
        <v>5.6</v>
      </c>
      <c r="F184" s="15">
        <v>6.2</v>
      </c>
      <c r="G184" s="15">
        <v>5.8</v>
      </c>
      <c r="H184" s="15">
        <v>6.4</v>
      </c>
      <c r="I184" s="15">
        <v>7.1</v>
      </c>
      <c r="J184" s="15">
        <v>6.9</v>
      </c>
      <c r="K184" s="15">
        <v>7.9</v>
      </c>
      <c r="L184" s="15">
        <v>7.9</v>
      </c>
      <c r="M184" s="15">
        <v>6.12</v>
      </c>
      <c r="N184" s="15">
        <v>7.12</v>
      </c>
    </row>
    <row r="185" spans="1:14" x14ac:dyDescent="0.3">
      <c r="A185" s="12" t="s">
        <v>243</v>
      </c>
      <c r="B185" s="15">
        <v>1.8</v>
      </c>
      <c r="C185" s="15">
        <v>2.2999999999999998</v>
      </c>
      <c r="D185" s="15">
        <v>2.9</v>
      </c>
      <c r="E185" s="15">
        <v>2.9</v>
      </c>
      <c r="F185" s="15">
        <v>1.6</v>
      </c>
      <c r="G185" s="15">
        <v>3.3</v>
      </c>
      <c r="H185" s="15">
        <v>3.3</v>
      </c>
      <c r="I185" s="15">
        <v>3.1</v>
      </c>
      <c r="J185" s="15">
        <v>3.3</v>
      </c>
      <c r="K185" s="15">
        <v>3</v>
      </c>
      <c r="L185" s="15">
        <v>2</v>
      </c>
      <c r="M185" s="15">
        <v>1.95</v>
      </c>
      <c r="N185" s="15">
        <v>2.2000000000000002</v>
      </c>
    </row>
    <row r="186" spans="1:14" x14ac:dyDescent="0.3">
      <c r="A186" s="12" t="s">
        <v>244</v>
      </c>
      <c r="B186" s="15">
        <v>2.4</v>
      </c>
      <c r="C186" s="15">
        <v>2.6</v>
      </c>
      <c r="D186" s="15">
        <v>3.4</v>
      </c>
      <c r="E186" s="15">
        <v>3.4</v>
      </c>
      <c r="F186" s="15">
        <v>2.9</v>
      </c>
      <c r="G186" s="15">
        <v>2.5</v>
      </c>
      <c r="H186" s="15">
        <v>3.7</v>
      </c>
      <c r="I186" s="15">
        <v>4.8</v>
      </c>
      <c r="J186" s="15">
        <v>2.9</v>
      </c>
      <c r="K186" s="15">
        <v>4.0999999999999996</v>
      </c>
      <c r="L186" s="15">
        <v>2.4</v>
      </c>
      <c r="M186" s="15">
        <v>2.5250000000000004</v>
      </c>
      <c r="N186" s="15">
        <v>2.5250000000000004</v>
      </c>
    </row>
    <row r="187" spans="1:14" x14ac:dyDescent="0.3">
      <c r="A187" s="12" t="s">
        <v>245</v>
      </c>
      <c r="B187" s="15">
        <v>2.6</v>
      </c>
      <c r="C187" s="15">
        <v>2.6</v>
      </c>
      <c r="D187" s="15">
        <v>2.4</v>
      </c>
      <c r="E187" s="15">
        <v>4</v>
      </c>
      <c r="F187" s="15">
        <v>3.9</v>
      </c>
      <c r="G187" s="15">
        <v>4.4000000000000004</v>
      </c>
      <c r="H187" s="15">
        <v>4.0999999999999996</v>
      </c>
      <c r="I187" s="15">
        <v>4</v>
      </c>
      <c r="J187" s="15">
        <v>4.4000000000000004</v>
      </c>
      <c r="K187" s="15">
        <v>4.2</v>
      </c>
      <c r="L187" s="15">
        <v>3.8</v>
      </c>
      <c r="M187" s="15">
        <v>4.18</v>
      </c>
      <c r="N187" s="15">
        <v>4.0799999999999992</v>
      </c>
    </row>
    <row r="188" spans="1:14" x14ac:dyDescent="0.3">
      <c r="A188" s="12" t="s">
        <v>246</v>
      </c>
      <c r="B188" s="15">
        <v>3.9</v>
      </c>
      <c r="C188" s="15">
        <v>4.0999999999999996</v>
      </c>
      <c r="D188" s="15">
        <v>4.3</v>
      </c>
      <c r="E188" s="15">
        <v>4.3</v>
      </c>
      <c r="F188" s="15">
        <v>5.5</v>
      </c>
      <c r="G188" s="15">
        <v>6</v>
      </c>
      <c r="H188" s="15">
        <v>4.5999999999999996</v>
      </c>
      <c r="I188" s="15">
        <v>4.2</v>
      </c>
      <c r="J188" s="15">
        <v>6</v>
      </c>
      <c r="K188" s="15">
        <v>5.9</v>
      </c>
      <c r="L188" s="15">
        <v>5.8</v>
      </c>
      <c r="M188" s="15">
        <v>5.7299999999999995</v>
      </c>
      <c r="N188" s="15">
        <v>5.9799999999999995</v>
      </c>
    </row>
    <row r="189" spans="1:14" x14ac:dyDescent="0.3">
      <c r="A189" s="12" t="s">
        <v>327</v>
      </c>
      <c r="B189" s="15">
        <v>1.6</v>
      </c>
      <c r="C189" s="15">
        <v>2.2000000000000002</v>
      </c>
      <c r="D189" s="15">
        <v>2.8</v>
      </c>
      <c r="E189" s="15">
        <v>4.3</v>
      </c>
      <c r="F189" s="15">
        <v>3</v>
      </c>
      <c r="G189" s="15">
        <v>3</v>
      </c>
      <c r="H189" s="15">
        <v>1.7</v>
      </c>
      <c r="I189" s="15">
        <v>1.6</v>
      </c>
      <c r="J189" s="15">
        <v>2.2000000000000002</v>
      </c>
      <c r="K189" s="15">
        <v>2.2999999999999998</v>
      </c>
      <c r="L189" s="15">
        <v>2.6</v>
      </c>
      <c r="M189" s="15">
        <v>2.75</v>
      </c>
      <c r="N189" s="15">
        <v>3.4</v>
      </c>
    </row>
    <row r="190" spans="1:14" x14ac:dyDescent="0.3">
      <c r="A190" s="12" t="s">
        <v>328</v>
      </c>
      <c r="B190" s="15">
        <v>1.6</v>
      </c>
      <c r="C190" s="15">
        <v>1.6</v>
      </c>
      <c r="D190" s="15">
        <v>1.6</v>
      </c>
      <c r="E190" s="15">
        <v>2.7</v>
      </c>
      <c r="F190" s="15">
        <v>3</v>
      </c>
      <c r="G190" s="15">
        <v>3.7</v>
      </c>
      <c r="H190" s="15">
        <v>3</v>
      </c>
      <c r="I190" s="15">
        <v>2.7</v>
      </c>
      <c r="J190" s="15">
        <v>3.7</v>
      </c>
      <c r="K190" s="15">
        <v>3.2</v>
      </c>
      <c r="L190" s="15">
        <v>3.3</v>
      </c>
      <c r="M190" s="15">
        <v>2.7</v>
      </c>
      <c r="N190" s="15">
        <v>2.3650000000000002</v>
      </c>
    </row>
    <row r="191" spans="1:14" x14ac:dyDescent="0.3">
      <c r="A191" s="12" t="s">
        <v>251</v>
      </c>
      <c r="B191" s="15">
        <v>0.3</v>
      </c>
      <c r="C191" s="15">
        <v>0.4</v>
      </c>
      <c r="D191" s="15">
        <v>0.4</v>
      </c>
      <c r="E191" s="15">
        <v>0.9</v>
      </c>
      <c r="F191" s="15">
        <v>1.2</v>
      </c>
      <c r="G191" s="15">
        <v>0.8</v>
      </c>
      <c r="H191" s="15">
        <v>0.8</v>
      </c>
      <c r="I191" s="15">
        <v>0.4</v>
      </c>
      <c r="J191" s="15">
        <v>0.4</v>
      </c>
      <c r="K191" s="15">
        <v>0.8</v>
      </c>
      <c r="L191" s="15">
        <v>1.1000000000000001</v>
      </c>
      <c r="M191" s="15">
        <v>1.07</v>
      </c>
      <c r="N191" s="15">
        <v>0.90500000000000003</v>
      </c>
    </row>
    <row r="192" spans="1:14" x14ac:dyDescent="0.3">
      <c r="A192" s="12" t="s">
        <v>252</v>
      </c>
      <c r="B192" s="15">
        <v>7.7</v>
      </c>
      <c r="C192" s="15">
        <v>8</v>
      </c>
      <c r="D192" s="15">
        <v>8.3000000000000007</v>
      </c>
      <c r="E192" s="15">
        <v>7.9</v>
      </c>
      <c r="F192" s="15">
        <v>7</v>
      </c>
      <c r="G192" s="15">
        <v>7.6</v>
      </c>
      <c r="H192" s="15">
        <v>8.3000000000000007</v>
      </c>
      <c r="I192" s="15">
        <v>8.1999999999999993</v>
      </c>
      <c r="J192" s="15">
        <v>8</v>
      </c>
      <c r="K192" s="15">
        <v>7.8</v>
      </c>
      <c r="L192" s="15">
        <v>8</v>
      </c>
      <c r="M192" s="15">
        <v>7.2200000000000006</v>
      </c>
      <c r="N192" s="15">
        <v>7.9700000000000006</v>
      </c>
    </row>
    <row r="193" spans="1:14" x14ac:dyDescent="0.3">
      <c r="A193" s="12" t="s">
        <v>253</v>
      </c>
      <c r="B193" s="15">
        <v>1</v>
      </c>
      <c r="C193" s="15">
        <v>0.9</v>
      </c>
      <c r="D193" s="15">
        <v>0.9</v>
      </c>
      <c r="E193" s="15">
        <v>1</v>
      </c>
      <c r="F193" s="15">
        <v>1.2</v>
      </c>
      <c r="G193" s="15">
        <v>1.2</v>
      </c>
      <c r="H193" s="15">
        <v>1.2</v>
      </c>
      <c r="I193" s="15">
        <v>1.2</v>
      </c>
      <c r="J193" s="15">
        <v>1.2</v>
      </c>
      <c r="K193" s="15">
        <v>1.5</v>
      </c>
      <c r="L193" s="15">
        <v>1.5</v>
      </c>
      <c r="M193" s="15">
        <v>1.2550000000000001</v>
      </c>
      <c r="N193" s="15">
        <v>1.49</v>
      </c>
    </row>
    <row r="194" spans="1:14" x14ac:dyDescent="0.3">
      <c r="A194" s="12" t="s">
        <v>329</v>
      </c>
      <c r="B194" s="15">
        <v>3.6</v>
      </c>
      <c r="C194" s="15">
        <v>3.2</v>
      </c>
      <c r="D194" s="15">
        <v>2.7</v>
      </c>
      <c r="E194" s="15">
        <v>3.5</v>
      </c>
      <c r="F194" s="15">
        <v>3.3</v>
      </c>
      <c r="G194" s="15">
        <v>3.9</v>
      </c>
      <c r="H194" s="15">
        <v>2.9</v>
      </c>
      <c r="I194" s="15">
        <v>2.9</v>
      </c>
      <c r="J194" s="15">
        <v>2.7</v>
      </c>
      <c r="K194" s="15">
        <v>3.2</v>
      </c>
      <c r="L194" s="15">
        <v>3.9</v>
      </c>
      <c r="M194" s="15">
        <v>2.91</v>
      </c>
      <c r="N194" s="15">
        <v>2.81</v>
      </c>
    </row>
    <row r="195" spans="1:14" x14ac:dyDescent="0.3">
      <c r="A195" s="12" t="s">
        <v>330</v>
      </c>
      <c r="B195" s="15">
        <v>6.6</v>
      </c>
      <c r="C195" s="15">
        <v>6.3</v>
      </c>
      <c r="D195" s="15">
        <v>6.2</v>
      </c>
      <c r="E195" s="15">
        <v>7</v>
      </c>
      <c r="F195" s="15">
        <v>6.6</v>
      </c>
      <c r="G195" s="15">
        <v>6.7</v>
      </c>
      <c r="H195" s="15">
        <v>6.1</v>
      </c>
      <c r="I195" s="15">
        <v>6.1</v>
      </c>
      <c r="J195" s="15">
        <v>6.6</v>
      </c>
      <c r="K195" s="15">
        <v>6.5</v>
      </c>
      <c r="L195" s="15">
        <v>7.6</v>
      </c>
      <c r="M195" s="15">
        <v>6.17</v>
      </c>
      <c r="N195" s="15">
        <v>6.335</v>
      </c>
    </row>
    <row r="196" spans="1:14" x14ac:dyDescent="0.3">
      <c r="A196" s="12" t="s">
        <v>257</v>
      </c>
      <c r="B196" s="15">
        <v>4.8</v>
      </c>
      <c r="C196" s="15">
        <v>4.8</v>
      </c>
      <c r="D196" s="15">
        <v>5</v>
      </c>
      <c r="E196" s="15">
        <v>5.9</v>
      </c>
      <c r="F196" s="15">
        <v>5.3</v>
      </c>
      <c r="G196" s="15">
        <v>6.1</v>
      </c>
      <c r="H196" s="15">
        <v>6.2</v>
      </c>
      <c r="I196" s="15">
        <v>6.2</v>
      </c>
      <c r="J196" s="15">
        <v>6.5</v>
      </c>
      <c r="K196" s="15">
        <v>7</v>
      </c>
      <c r="L196" s="15">
        <v>6.5</v>
      </c>
      <c r="M196" s="15">
        <v>5.84</v>
      </c>
      <c r="N196" s="15">
        <v>5.835</v>
      </c>
    </row>
    <row r="197" spans="1:14" x14ac:dyDescent="0.3">
      <c r="A197" s="12" t="s">
        <v>258</v>
      </c>
      <c r="B197" s="15">
        <v>4.3</v>
      </c>
      <c r="C197" s="15">
        <v>4.9000000000000004</v>
      </c>
      <c r="D197" s="15">
        <v>5.9</v>
      </c>
      <c r="E197" s="15">
        <v>7</v>
      </c>
      <c r="F197" s="15">
        <v>6.9</v>
      </c>
      <c r="G197" s="15">
        <v>6.3</v>
      </c>
      <c r="H197" s="15">
        <v>5.8</v>
      </c>
      <c r="I197" s="15">
        <v>4.7</v>
      </c>
      <c r="J197" s="15">
        <v>4.7</v>
      </c>
      <c r="K197" s="15">
        <v>5.5</v>
      </c>
      <c r="L197" s="15">
        <v>4.7</v>
      </c>
      <c r="M197" s="15">
        <v>5.7549999999999999</v>
      </c>
      <c r="N197" s="15">
        <v>5.5200000000000005</v>
      </c>
    </row>
    <row r="198" spans="1:14" x14ac:dyDescent="0.3">
      <c r="A198" s="12" t="s">
        <v>259</v>
      </c>
      <c r="B198" s="15">
        <v>2</v>
      </c>
      <c r="C198" s="15">
        <v>1.7</v>
      </c>
      <c r="D198" s="15">
        <v>1.5</v>
      </c>
      <c r="E198" s="15">
        <v>2.5</v>
      </c>
      <c r="F198" s="15">
        <v>1.8</v>
      </c>
      <c r="G198" s="15">
        <v>3</v>
      </c>
      <c r="H198" s="15">
        <v>2.9</v>
      </c>
      <c r="I198" s="15">
        <v>3.2</v>
      </c>
      <c r="J198" s="15">
        <v>3</v>
      </c>
      <c r="K198" s="15">
        <v>2.2999999999999998</v>
      </c>
      <c r="L198" s="15">
        <v>3.2</v>
      </c>
      <c r="M198" s="15">
        <v>3.1550000000000002</v>
      </c>
      <c r="N198" s="15">
        <v>3.49</v>
      </c>
    </row>
    <row r="199" spans="1:14" x14ac:dyDescent="0.3">
      <c r="A199" s="12" t="s">
        <v>260</v>
      </c>
      <c r="B199" s="15">
        <v>2.9</v>
      </c>
      <c r="C199" s="15">
        <v>3</v>
      </c>
      <c r="D199" s="15">
        <v>3.5</v>
      </c>
      <c r="E199" s="15">
        <v>4.4000000000000004</v>
      </c>
      <c r="F199" s="15">
        <v>3.6</v>
      </c>
      <c r="G199" s="15">
        <v>2.5</v>
      </c>
      <c r="H199" s="15">
        <v>2.8</v>
      </c>
      <c r="I199" s="15">
        <v>3.4</v>
      </c>
      <c r="J199" s="15">
        <v>2.8</v>
      </c>
      <c r="K199" s="15">
        <v>2.7</v>
      </c>
      <c r="L199" s="15">
        <v>2.8</v>
      </c>
      <c r="M199" s="15">
        <v>2.4700000000000002</v>
      </c>
      <c r="N199" s="15">
        <v>2.0900000000000003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86E0-D321-4968-930D-A9131E3DB390}">
  <dimension ref="A1:S286"/>
  <sheetViews>
    <sheetView showGridLines="0" topLeftCell="A16" workbookViewId="0">
      <selection activeCell="C56" sqref="C56:Q56"/>
    </sheetView>
  </sheetViews>
  <sheetFormatPr defaultRowHeight="13.2" x14ac:dyDescent="0.25"/>
  <cols>
    <col min="1" max="1" width="26.6640625" customWidth="1"/>
    <col min="2" max="2" width="2.44140625" customWidth="1"/>
    <col min="18" max="19" width="0" hidden="1" customWidth="1"/>
  </cols>
  <sheetData>
    <row r="1" spans="1:19" hidden="1" x14ac:dyDescent="0.25">
      <c r="A1" s="1" t="e">
        <f ca="1">DotStatQuery(B1)</f>
        <v>#NAME?</v>
      </c>
      <c r="B1" s="1" t="s">
        <v>0</v>
      </c>
    </row>
    <row r="2" spans="1:19" ht="23.4" x14ac:dyDescent="0.25">
      <c r="A2" s="2" t="s">
        <v>1</v>
      </c>
    </row>
    <row r="3" spans="1:19" x14ac:dyDescent="0.25">
      <c r="A3" s="61" t="s">
        <v>2</v>
      </c>
      <c r="B3" s="62"/>
      <c r="C3" s="63" t="s">
        <v>3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5"/>
    </row>
    <row r="4" spans="1:19" x14ac:dyDescent="0.25">
      <c r="A4" s="66" t="s">
        <v>4</v>
      </c>
      <c r="B4" s="67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</row>
    <row r="5" spans="1:19" ht="13.8" x14ac:dyDescent="0.3">
      <c r="A5" s="4" t="s">
        <v>22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</row>
    <row r="6" spans="1:19" ht="13.8" hidden="1" x14ac:dyDescent="0.3">
      <c r="A6" s="6" t="s">
        <v>24</v>
      </c>
      <c r="B6" s="5" t="s">
        <v>23</v>
      </c>
      <c r="C6" s="7" t="s">
        <v>25</v>
      </c>
      <c r="D6" s="7" t="s">
        <v>25</v>
      </c>
      <c r="E6" s="7" t="s">
        <v>25</v>
      </c>
      <c r="F6" s="7" t="s">
        <v>25</v>
      </c>
      <c r="G6" s="7" t="s">
        <v>25</v>
      </c>
      <c r="H6" s="7" t="s">
        <v>25</v>
      </c>
      <c r="I6" s="7" t="s">
        <v>25</v>
      </c>
      <c r="J6" s="7" t="s">
        <v>25</v>
      </c>
      <c r="K6" s="7" t="s">
        <v>25</v>
      </c>
      <c r="L6" s="7" t="s">
        <v>25</v>
      </c>
      <c r="M6" s="7" t="s">
        <v>25</v>
      </c>
      <c r="N6" s="7" t="s">
        <v>25</v>
      </c>
      <c r="O6" s="7" t="s">
        <v>25</v>
      </c>
      <c r="P6" s="7" t="s">
        <v>25</v>
      </c>
      <c r="Q6" s="7" t="s">
        <v>25</v>
      </c>
      <c r="R6" s="7" t="s">
        <v>25</v>
      </c>
      <c r="S6" s="7" t="s">
        <v>25</v>
      </c>
    </row>
    <row r="7" spans="1:19" ht="13.8" hidden="1" x14ac:dyDescent="0.3">
      <c r="A7" s="6" t="s">
        <v>26</v>
      </c>
      <c r="B7" s="5" t="s">
        <v>23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</row>
    <row r="8" spans="1:19" ht="13.8" hidden="1" x14ac:dyDescent="0.3">
      <c r="A8" s="6" t="s">
        <v>27</v>
      </c>
      <c r="B8" s="5" t="s">
        <v>23</v>
      </c>
      <c r="C8" s="7" t="s">
        <v>25</v>
      </c>
      <c r="D8" s="7" t="s">
        <v>25</v>
      </c>
      <c r="E8" s="7" t="s">
        <v>25</v>
      </c>
      <c r="F8" s="7" t="s">
        <v>25</v>
      </c>
      <c r="G8" s="7" t="s">
        <v>25</v>
      </c>
      <c r="H8" s="7" t="s">
        <v>25</v>
      </c>
      <c r="I8" s="7" t="s">
        <v>25</v>
      </c>
      <c r="J8" s="7" t="s">
        <v>25</v>
      </c>
      <c r="K8" s="7" t="s">
        <v>25</v>
      </c>
      <c r="L8" s="7" t="s">
        <v>25</v>
      </c>
      <c r="M8" s="7" t="s">
        <v>25</v>
      </c>
      <c r="N8" s="7" t="s">
        <v>25</v>
      </c>
      <c r="O8" s="7" t="s">
        <v>25</v>
      </c>
      <c r="P8" s="7" t="s">
        <v>25</v>
      </c>
      <c r="Q8" s="7" t="s">
        <v>25</v>
      </c>
      <c r="R8" s="7" t="s">
        <v>25</v>
      </c>
      <c r="S8" s="7" t="s">
        <v>25</v>
      </c>
    </row>
    <row r="9" spans="1:19" ht="13.8" hidden="1" x14ac:dyDescent="0.3">
      <c r="A9" s="6" t="s">
        <v>28</v>
      </c>
      <c r="B9" s="5" t="s">
        <v>23</v>
      </c>
      <c r="C9" s="8" t="s">
        <v>25</v>
      </c>
      <c r="D9" s="8" t="s">
        <v>25</v>
      </c>
      <c r="E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</row>
    <row r="10" spans="1:19" ht="13.8" hidden="1" x14ac:dyDescent="0.3">
      <c r="A10" s="6" t="s">
        <v>29</v>
      </c>
      <c r="B10" s="5" t="s">
        <v>23</v>
      </c>
      <c r="C10" s="7" t="s">
        <v>25</v>
      </c>
      <c r="D10" s="7" t="s">
        <v>25</v>
      </c>
      <c r="E10" s="7" t="s">
        <v>25</v>
      </c>
      <c r="F10" s="7" t="s">
        <v>25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25</v>
      </c>
    </row>
    <row r="11" spans="1:19" ht="13.8" x14ac:dyDescent="0.3">
      <c r="A11" s="6" t="s">
        <v>30</v>
      </c>
      <c r="B11" s="5" t="s">
        <v>23</v>
      </c>
      <c r="C11" s="8">
        <v>0.40816000000000002</v>
      </c>
      <c r="D11" s="8" t="s">
        <v>25</v>
      </c>
      <c r="E11" s="8">
        <v>0.40283999999999998</v>
      </c>
      <c r="F11" s="8">
        <v>0.43486999999999998</v>
      </c>
      <c r="G11" s="8">
        <v>0.43197000000000002</v>
      </c>
      <c r="H11" s="8" t="s">
        <v>25</v>
      </c>
      <c r="I11" s="8">
        <v>0.45618999999999998</v>
      </c>
      <c r="J11" s="8">
        <v>0.42460999999999999</v>
      </c>
      <c r="K11" s="8">
        <v>0.43232999999999999</v>
      </c>
      <c r="L11" s="8">
        <v>0.41139999999999999</v>
      </c>
      <c r="M11" s="8">
        <v>0.38322000000000001</v>
      </c>
      <c r="N11" s="8">
        <v>0.38590000000000002</v>
      </c>
      <c r="O11" s="8">
        <v>0.37258999999999998</v>
      </c>
      <c r="P11" s="8" t="s">
        <v>25</v>
      </c>
      <c r="Q11" s="8" t="s">
        <v>25</v>
      </c>
      <c r="R11" s="8">
        <v>0.32217000000000001</v>
      </c>
      <c r="S11" s="8">
        <v>0.26178000000000001</v>
      </c>
    </row>
    <row r="12" spans="1:19" ht="13.8" hidden="1" x14ac:dyDescent="0.3">
      <c r="A12" s="6" t="s">
        <v>31</v>
      </c>
      <c r="B12" s="5" t="s">
        <v>23</v>
      </c>
      <c r="C12" s="7" t="s">
        <v>25</v>
      </c>
      <c r="D12" s="7" t="s">
        <v>25</v>
      </c>
      <c r="E12" s="7" t="s">
        <v>25</v>
      </c>
      <c r="F12" s="7" t="s">
        <v>25</v>
      </c>
      <c r="G12" s="7" t="s">
        <v>25</v>
      </c>
      <c r="H12" s="7" t="s">
        <v>25</v>
      </c>
      <c r="I12" s="7" t="s">
        <v>25</v>
      </c>
      <c r="J12" s="7" t="s">
        <v>25</v>
      </c>
      <c r="K12" s="7" t="s">
        <v>25</v>
      </c>
      <c r="L12" s="7" t="s">
        <v>25</v>
      </c>
      <c r="M12" s="7" t="s">
        <v>25</v>
      </c>
      <c r="N12" s="7" t="s">
        <v>25</v>
      </c>
      <c r="O12" s="7" t="s">
        <v>25</v>
      </c>
      <c r="P12" s="7" t="s">
        <v>25</v>
      </c>
      <c r="Q12" s="7" t="s">
        <v>25</v>
      </c>
      <c r="R12" s="7" t="s">
        <v>25</v>
      </c>
      <c r="S12" s="7" t="s">
        <v>25</v>
      </c>
    </row>
    <row r="13" spans="1:19" ht="13.8" hidden="1" x14ac:dyDescent="0.3">
      <c r="A13" s="6" t="s">
        <v>32</v>
      </c>
      <c r="B13" s="5" t="s">
        <v>23</v>
      </c>
      <c r="C13" s="8">
        <v>3.099E-2</v>
      </c>
      <c r="D13" s="8">
        <v>4.5589999999999999E-2</v>
      </c>
      <c r="E13" s="8" t="s">
        <v>25</v>
      </c>
      <c r="F13" s="8" t="s">
        <v>25</v>
      </c>
      <c r="G13" s="8" t="s">
        <v>25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25</v>
      </c>
      <c r="S13" s="8" t="s">
        <v>25</v>
      </c>
    </row>
    <row r="14" spans="1:19" ht="13.8" hidden="1" x14ac:dyDescent="0.3">
      <c r="A14" s="6" t="s">
        <v>33</v>
      </c>
      <c r="B14" s="5" t="s">
        <v>23</v>
      </c>
      <c r="C14" s="7" t="s">
        <v>25</v>
      </c>
      <c r="D14" s="7" t="s">
        <v>25</v>
      </c>
      <c r="E14" s="7">
        <v>5.8199999999999997E-3</v>
      </c>
      <c r="F14" s="7" t="s">
        <v>25</v>
      </c>
      <c r="G14" s="7" t="s">
        <v>25</v>
      </c>
      <c r="H14" s="7">
        <v>6.0400000000000002E-3</v>
      </c>
      <c r="I14" s="7">
        <v>7.1199999999999996E-3</v>
      </c>
      <c r="J14" s="7" t="s">
        <v>25</v>
      </c>
      <c r="K14" s="7" t="s">
        <v>25</v>
      </c>
      <c r="L14" s="7" t="s">
        <v>25</v>
      </c>
      <c r="M14" s="7" t="s">
        <v>25</v>
      </c>
      <c r="N14" s="7" t="s">
        <v>25</v>
      </c>
      <c r="O14" s="7" t="s">
        <v>25</v>
      </c>
      <c r="P14" s="7" t="s">
        <v>25</v>
      </c>
      <c r="Q14" s="7" t="s">
        <v>25</v>
      </c>
      <c r="R14" s="7" t="s">
        <v>25</v>
      </c>
      <c r="S14" s="7" t="s">
        <v>25</v>
      </c>
    </row>
    <row r="15" spans="1:19" ht="13.8" x14ac:dyDescent="0.3">
      <c r="A15" s="6" t="s">
        <v>34</v>
      </c>
      <c r="B15" s="5" t="s">
        <v>23</v>
      </c>
      <c r="C15" s="8"/>
      <c r="D15" s="8">
        <v>0.38913999999999999</v>
      </c>
      <c r="E15" s="8">
        <v>0.41891</v>
      </c>
      <c r="F15" s="8">
        <v>0.37331999999999999</v>
      </c>
      <c r="G15" s="8">
        <v>0.42995</v>
      </c>
      <c r="H15" s="8">
        <v>0.41815999999999998</v>
      </c>
      <c r="I15" s="8">
        <v>0.44611000000000001</v>
      </c>
      <c r="J15" s="8">
        <v>0.43203999999999998</v>
      </c>
      <c r="K15" s="8">
        <v>0.46729999999999999</v>
      </c>
      <c r="L15" s="8">
        <v>0.47815000000000002</v>
      </c>
      <c r="M15" s="8">
        <v>0.47920000000000001</v>
      </c>
      <c r="N15" s="8">
        <v>0.54613999999999996</v>
      </c>
      <c r="O15" s="8">
        <v>0.49125000000000002</v>
      </c>
      <c r="P15" s="8">
        <v>0.56447999999999998</v>
      </c>
      <c r="Q15" s="8">
        <v>0.51942999999999995</v>
      </c>
      <c r="R15" s="8">
        <v>0.54052999999999995</v>
      </c>
      <c r="S15" s="8" t="s">
        <v>25</v>
      </c>
    </row>
    <row r="16" spans="1:19" ht="13.8" x14ac:dyDescent="0.3">
      <c r="A16" s="6" t="s">
        <v>35</v>
      </c>
      <c r="B16" s="5" t="s">
        <v>23</v>
      </c>
      <c r="C16" s="7" t="s">
        <v>25</v>
      </c>
      <c r="D16" s="7">
        <v>0.26705000000000001</v>
      </c>
      <c r="E16" s="7">
        <v>0.43420999999999998</v>
      </c>
      <c r="F16" s="7" t="s">
        <v>25</v>
      </c>
      <c r="G16" s="7">
        <v>0.28305999999999998</v>
      </c>
      <c r="H16" s="7">
        <v>0.28092</v>
      </c>
      <c r="I16" s="7">
        <v>0.2903</v>
      </c>
      <c r="J16" s="7" t="s">
        <v>25</v>
      </c>
      <c r="K16" s="7">
        <v>0.33001000000000003</v>
      </c>
      <c r="L16" s="7">
        <v>0.3286</v>
      </c>
      <c r="M16" s="7">
        <v>0.32483000000000001</v>
      </c>
      <c r="N16" s="7" t="s">
        <v>25</v>
      </c>
      <c r="O16" s="7" t="s">
        <v>25</v>
      </c>
      <c r="P16" s="7">
        <v>0.32906999999999997</v>
      </c>
      <c r="Q16" s="7">
        <v>0.37430999999999998</v>
      </c>
      <c r="R16" s="7">
        <v>0.34553</v>
      </c>
      <c r="S16" s="7">
        <v>4.224E-2</v>
      </c>
    </row>
    <row r="17" spans="1:19" ht="13.8" x14ac:dyDescent="0.3">
      <c r="A17" s="6" t="s">
        <v>36</v>
      </c>
      <c r="B17" s="5" t="s">
        <v>23</v>
      </c>
      <c r="C17" s="8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8">
        <v>0.35514000000000001</v>
      </c>
      <c r="I17" s="8">
        <v>0.34821000000000002</v>
      </c>
      <c r="J17" s="8">
        <v>0.34046999999999999</v>
      </c>
      <c r="K17" s="8">
        <v>0.30353999999999998</v>
      </c>
      <c r="L17" s="8">
        <v>0.31257000000000001</v>
      </c>
      <c r="M17" s="8">
        <v>0.31563000000000002</v>
      </c>
      <c r="N17" s="8">
        <v>0.30741000000000002</v>
      </c>
      <c r="O17" s="8">
        <v>0.42884</v>
      </c>
      <c r="P17" s="8" t="s">
        <v>25</v>
      </c>
      <c r="Q17" s="8" t="s">
        <v>25</v>
      </c>
      <c r="R17" s="8" t="s">
        <v>25</v>
      </c>
      <c r="S17" s="8" t="s">
        <v>25</v>
      </c>
    </row>
    <row r="18" spans="1:19" ht="13.8" hidden="1" x14ac:dyDescent="0.3">
      <c r="A18" s="6" t="s">
        <v>37</v>
      </c>
      <c r="B18" s="5" t="s">
        <v>23</v>
      </c>
      <c r="C18" s="7" t="s">
        <v>25</v>
      </c>
      <c r="D18" s="7" t="s">
        <v>25</v>
      </c>
      <c r="E18" s="7" t="s">
        <v>25</v>
      </c>
      <c r="F18" s="7" t="s">
        <v>25</v>
      </c>
      <c r="G18" s="7" t="s">
        <v>25</v>
      </c>
      <c r="H18" s="7" t="s">
        <v>25</v>
      </c>
      <c r="I18" s="7" t="s">
        <v>25</v>
      </c>
      <c r="J18" s="7" t="s">
        <v>25</v>
      </c>
      <c r="K18" s="7" t="s">
        <v>25</v>
      </c>
      <c r="L18" s="7" t="s">
        <v>25</v>
      </c>
      <c r="M18" s="7" t="s">
        <v>25</v>
      </c>
      <c r="N18" s="7" t="s">
        <v>25</v>
      </c>
      <c r="O18" s="7" t="s">
        <v>25</v>
      </c>
      <c r="P18" s="7">
        <v>0.29237999999999997</v>
      </c>
      <c r="Q18" s="7">
        <v>0.29825000000000002</v>
      </c>
      <c r="R18" s="7" t="s">
        <v>25</v>
      </c>
      <c r="S18" s="7" t="s">
        <v>25</v>
      </c>
    </row>
    <row r="19" spans="1:19" ht="13.8" x14ac:dyDescent="0.3">
      <c r="A19" s="6" t="s">
        <v>38</v>
      </c>
      <c r="B19" s="5" t="s">
        <v>23</v>
      </c>
      <c r="C19" s="8">
        <v>0.39019999999999999</v>
      </c>
      <c r="D19" s="8">
        <v>0.43945000000000001</v>
      </c>
      <c r="E19" s="8">
        <v>0.52595000000000003</v>
      </c>
      <c r="F19" s="8">
        <v>0.58872999999999998</v>
      </c>
      <c r="G19" s="8">
        <v>0.57196999999999998</v>
      </c>
      <c r="H19" s="8">
        <v>0.45484000000000002</v>
      </c>
      <c r="I19" s="8">
        <v>0.46576000000000001</v>
      </c>
      <c r="J19" s="8">
        <v>0.47771999999999998</v>
      </c>
      <c r="K19" s="8">
        <v>0.48098000000000002</v>
      </c>
      <c r="L19" s="8">
        <v>0.49841999999999997</v>
      </c>
      <c r="M19" s="8">
        <v>0.50631999999999999</v>
      </c>
      <c r="N19" s="8">
        <v>0.49273</v>
      </c>
      <c r="O19" s="8">
        <v>0.49580000000000002</v>
      </c>
      <c r="P19" s="8">
        <v>0.54666000000000003</v>
      </c>
      <c r="Q19" s="8">
        <v>0.53529000000000004</v>
      </c>
      <c r="R19" s="8" t="s">
        <v>25</v>
      </c>
      <c r="S19" s="8" t="s">
        <v>25</v>
      </c>
    </row>
    <row r="20" spans="1:19" ht="13.8" x14ac:dyDescent="0.3">
      <c r="A20" s="6" t="s">
        <v>39</v>
      </c>
      <c r="B20" s="5" t="s">
        <v>23</v>
      </c>
      <c r="C20" s="7">
        <v>0.16283</v>
      </c>
      <c r="D20" s="7">
        <v>0.1681</v>
      </c>
      <c r="E20" s="7">
        <v>0.21801999999999999</v>
      </c>
      <c r="F20" s="7">
        <v>0.19606999999999999</v>
      </c>
      <c r="G20" s="7">
        <v>0.16943</v>
      </c>
      <c r="H20" s="7" t="s">
        <v>25</v>
      </c>
      <c r="I20" s="7" t="s">
        <v>25</v>
      </c>
      <c r="J20" s="7" t="s">
        <v>25</v>
      </c>
      <c r="K20" s="7">
        <v>0.27990999999999999</v>
      </c>
      <c r="L20" s="7">
        <v>0.30457000000000001</v>
      </c>
      <c r="M20" s="7">
        <v>0.27934999999999999</v>
      </c>
      <c r="N20" s="7">
        <v>0.21661</v>
      </c>
      <c r="O20" s="7">
        <v>0.27294000000000002</v>
      </c>
      <c r="P20" s="7">
        <v>0.29221000000000003</v>
      </c>
      <c r="Q20" s="7">
        <v>0.30085000000000001</v>
      </c>
      <c r="R20" s="7">
        <v>0.27395999999999998</v>
      </c>
      <c r="S20" s="7" t="s">
        <v>25</v>
      </c>
    </row>
    <row r="21" spans="1:19" ht="13.8" hidden="1" x14ac:dyDescent="0.3">
      <c r="A21" s="6" t="s">
        <v>40</v>
      </c>
      <c r="B21" s="5" t="s">
        <v>23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  <c r="R21" s="8" t="s">
        <v>25</v>
      </c>
      <c r="S21" s="8" t="s">
        <v>25</v>
      </c>
    </row>
    <row r="22" spans="1:19" ht="13.8" hidden="1" x14ac:dyDescent="0.3">
      <c r="A22" s="6" t="s">
        <v>41</v>
      </c>
      <c r="B22" s="5" t="s">
        <v>23</v>
      </c>
      <c r="C22" s="7" t="s">
        <v>25</v>
      </c>
      <c r="D22" s="7" t="s">
        <v>25</v>
      </c>
      <c r="E22" s="7" t="s">
        <v>25</v>
      </c>
      <c r="F22" s="7" t="s">
        <v>25</v>
      </c>
      <c r="G22" s="7" t="s">
        <v>25</v>
      </c>
      <c r="H22" s="7" t="s">
        <v>25</v>
      </c>
      <c r="I22" s="7" t="s">
        <v>25</v>
      </c>
      <c r="J22" s="7" t="s">
        <v>25</v>
      </c>
      <c r="K22" s="7" t="s">
        <v>25</v>
      </c>
      <c r="L22" s="7" t="s">
        <v>25</v>
      </c>
      <c r="M22" s="7" t="s">
        <v>25</v>
      </c>
      <c r="N22" s="7" t="s">
        <v>25</v>
      </c>
      <c r="O22" s="7" t="s">
        <v>25</v>
      </c>
      <c r="P22" s="7" t="s">
        <v>25</v>
      </c>
      <c r="Q22" s="7" t="s">
        <v>25</v>
      </c>
      <c r="R22" s="7" t="s">
        <v>25</v>
      </c>
      <c r="S22" s="7" t="s">
        <v>25</v>
      </c>
    </row>
    <row r="23" spans="1:19" ht="13.8" hidden="1" x14ac:dyDescent="0.3">
      <c r="A23" s="6" t="s">
        <v>42</v>
      </c>
      <c r="B23" s="5" t="s">
        <v>23</v>
      </c>
      <c r="C23" s="8" t="s">
        <v>25</v>
      </c>
      <c r="D23" s="8" t="s">
        <v>25</v>
      </c>
      <c r="E23" s="8" t="s">
        <v>25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  <c r="Q23" s="8" t="s">
        <v>25</v>
      </c>
      <c r="R23" s="8">
        <v>0.10946</v>
      </c>
      <c r="S23" s="8">
        <v>0.11487</v>
      </c>
    </row>
    <row r="24" spans="1:19" ht="13.8" hidden="1" x14ac:dyDescent="0.3">
      <c r="A24" s="6" t="s">
        <v>43</v>
      </c>
      <c r="B24" s="5" t="s">
        <v>23</v>
      </c>
      <c r="C24" s="7" t="s">
        <v>25</v>
      </c>
      <c r="D24" s="7">
        <v>1.8689999999999998E-2</v>
      </c>
      <c r="E24" s="7" t="s">
        <v>25</v>
      </c>
      <c r="F24" s="7" t="s">
        <v>25</v>
      </c>
      <c r="G24" s="7" t="s">
        <v>25</v>
      </c>
      <c r="H24" s="7" t="s">
        <v>25</v>
      </c>
      <c r="I24" s="7" t="s">
        <v>25</v>
      </c>
      <c r="J24" s="7" t="s">
        <v>25</v>
      </c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25</v>
      </c>
      <c r="Q24" s="7" t="s">
        <v>25</v>
      </c>
      <c r="R24" s="7" t="s">
        <v>25</v>
      </c>
      <c r="S24" s="7" t="s">
        <v>25</v>
      </c>
    </row>
    <row r="25" spans="1:19" ht="13.8" x14ac:dyDescent="0.3">
      <c r="A25" s="6" t="s">
        <v>44</v>
      </c>
      <c r="B25" s="5" t="s">
        <v>23</v>
      </c>
      <c r="C25" s="8">
        <v>0.97497</v>
      </c>
      <c r="D25" s="8" t="s">
        <v>25</v>
      </c>
      <c r="E25" s="8">
        <v>0.91239999999999999</v>
      </c>
      <c r="F25" s="8">
        <v>0.99136000000000002</v>
      </c>
      <c r="G25" s="8">
        <v>0.98597000000000001</v>
      </c>
      <c r="H25" s="8" t="s">
        <v>25</v>
      </c>
      <c r="I25" s="8" t="s">
        <v>25</v>
      </c>
      <c r="J25" s="8" t="s">
        <v>25</v>
      </c>
      <c r="K25" s="8" t="s">
        <v>25</v>
      </c>
      <c r="L25" s="8" t="s">
        <v>25</v>
      </c>
      <c r="M25" s="8">
        <v>1.1485300000000001</v>
      </c>
      <c r="N25" s="8" t="s">
        <v>25</v>
      </c>
      <c r="O25" s="8">
        <v>1.1827000000000001</v>
      </c>
      <c r="P25" s="8">
        <v>1.1977100000000001</v>
      </c>
      <c r="Q25" s="8">
        <v>1.1066199999999999</v>
      </c>
      <c r="R25" s="8">
        <v>1.1049599999999999</v>
      </c>
      <c r="S25" s="8">
        <v>1.15825</v>
      </c>
    </row>
    <row r="26" spans="1:19" ht="13.8" x14ac:dyDescent="0.3">
      <c r="A26" s="6" t="s">
        <v>45</v>
      </c>
      <c r="B26" s="5" t="s">
        <v>23</v>
      </c>
      <c r="C26" s="7" t="s">
        <v>25</v>
      </c>
      <c r="D26" s="7">
        <v>0.58199999999999996</v>
      </c>
      <c r="E26" s="7">
        <v>0.58950000000000002</v>
      </c>
      <c r="F26" s="7">
        <v>0.61048999999999998</v>
      </c>
      <c r="G26" s="7">
        <v>0.61480000000000001</v>
      </c>
      <c r="H26" s="7" t="s">
        <v>25</v>
      </c>
      <c r="I26" s="7">
        <v>0.70567999999999997</v>
      </c>
      <c r="J26" s="7">
        <v>0.69862000000000002</v>
      </c>
      <c r="K26" s="7">
        <v>0.68944000000000005</v>
      </c>
      <c r="L26" s="7">
        <v>0.69655</v>
      </c>
      <c r="M26" s="7">
        <v>0.68555999999999995</v>
      </c>
      <c r="N26" s="7">
        <v>0.69137999999999999</v>
      </c>
      <c r="O26" s="7">
        <v>0.68032000000000004</v>
      </c>
      <c r="P26" s="7">
        <v>0.72353000000000001</v>
      </c>
      <c r="Q26" s="7">
        <v>0.69320000000000004</v>
      </c>
      <c r="R26" s="7" t="s">
        <v>25</v>
      </c>
      <c r="S26" s="7" t="s">
        <v>25</v>
      </c>
    </row>
    <row r="27" spans="1:19" ht="13.8" x14ac:dyDescent="0.3">
      <c r="A27" s="6" t="s">
        <v>46</v>
      </c>
      <c r="B27" s="5" t="s">
        <v>23</v>
      </c>
      <c r="C27" s="8" t="s">
        <v>25</v>
      </c>
      <c r="D27" s="8">
        <v>6.9800000000000001E-2</v>
      </c>
      <c r="E27" s="8">
        <v>8.3769999999999997E-2</v>
      </c>
      <c r="F27" s="8">
        <v>7.979E-2</v>
      </c>
      <c r="G27" s="8" t="s">
        <v>25</v>
      </c>
      <c r="H27" s="8" t="s">
        <v>25</v>
      </c>
      <c r="I27" s="8">
        <v>7.4090000000000003E-2</v>
      </c>
      <c r="J27" s="8" t="s">
        <v>25</v>
      </c>
      <c r="K27" s="8">
        <v>0.26254</v>
      </c>
      <c r="L27" s="8">
        <v>0.27373999999999998</v>
      </c>
      <c r="M27" s="8">
        <v>0.27028999999999997</v>
      </c>
      <c r="N27" s="8">
        <v>0.28469</v>
      </c>
      <c r="O27" s="8">
        <v>0.27943000000000001</v>
      </c>
      <c r="P27" s="8">
        <v>0.27282000000000001</v>
      </c>
      <c r="Q27" s="8">
        <v>0.32862999999999998</v>
      </c>
      <c r="R27" s="8">
        <v>0.25392999999999999</v>
      </c>
      <c r="S27" s="8">
        <v>0.30662</v>
      </c>
    </row>
    <row r="28" spans="1:19" ht="13.8" x14ac:dyDescent="0.3">
      <c r="A28" s="6" t="s">
        <v>47</v>
      </c>
      <c r="B28" s="5" t="s">
        <v>23</v>
      </c>
      <c r="C28" s="7">
        <v>3.9390000000000001E-2</v>
      </c>
      <c r="D28" s="7">
        <v>3.5400000000000001E-2</v>
      </c>
      <c r="E28" s="7">
        <v>4.2380000000000001E-2</v>
      </c>
      <c r="F28" s="7">
        <v>9.3890000000000001E-2</v>
      </c>
      <c r="G28" s="7" t="s">
        <v>25</v>
      </c>
      <c r="H28" s="7">
        <v>7.6480000000000006E-2</v>
      </c>
      <c r="I28" s="7">
        <v>8.2250000000000004E-2</v>
      </c>
      <c r="J28" s="7">
        <v>0.1341</v>
      </c>
      <c r="K28" s="7">
        <v>0.13666</v>
      </c>
      <c r="L28" s="7" t="s">
        <v>25</v>
      </c>
      <c r="M28" s="7" t="s">
        <v>25</v>
      </c>
      <c r="N28" s="7" t="s">
        <v>25</v>
      </c>
      <c r="O28" s="7" t="s">
        <v>25</v>
      </c>
      <c r="P28" s="7" t="s">
        <v>25</v>
      </c>
      <c r="Q28" s="7" t="s">
        <v>25</v>
      </c>
      <c r="R28" s="7" t="s">
        <v>25</v>
      </c>
      <c r="S28" s="7" t="s">
        <v>25</v>
      </c>
    </row>
    <row r="29" spans="1:19" ht="13.8" x14ac:dyDescent="0.3">
      <c r="A29" s="6" t="s">
        <v>48</v>
      </c>
      <c r="B29" s="5" t="s">
        <v>23</v>
      </c>
      <c r="C29" s="8" t="s">
        <v>25</v>
      </c>
      <c r="D29" s="8" t="s">
        <v>25</v>
      </c>
      <c r="E29" s="8" t="s">
        <v>25</v>
      </c>
      <c r="F29" s="8">
        <v>0.20477000000000001</v>
      </c>
      <c r="G29" s="8" t="s">
        <v>25</v>
      </c>
      <c r="H29" s="8" t="s">
        <v>25</v>
      </c>
      <c r="I29" s="8" t="s">
        <v>25</v>
      </c>
      <c r="J29" s="8">
        <v>0.11522</v>
      </c>
      <c r="K29" s="8">
        <v>0.10549</v>
      </c>
      <c r="L29" s="8">
        <v>9.4060000000000005E-2</v>
      </c>
      <c r="M29" s="8">
        <v>8.5620000000000002E-2</v>
      </c>
      <c r="N29" s="8">
        <v>8.1390000000000004E-2</v>
      </c>
      <c r="O29" s="8">
        <v>8.1659999999999996E-2</v>
      </c>
      <c r="P29" s="8">
        <v>7.1620000000000003E-2</v>
      </c>
      <c r="Q29" s="8">
        <v>6.898E-2</v>
      </c>
      <c r="R29" s="8">
        <v>6.6650000000000001E-2</v>
      </c>
      <c r="S29" s="8">
        <v>6.2920000000000004E-2</v>
      </c>
    </row>
    <row r="30" spans="1:19" ht="13.8" x14ac:dyDescent="0.3">
      <c r="A30" s="6" t="s">
        <v>49</v>
      </c>
      <c r="B30" s="5" t="s">
        <v>23</v>
      </c>
      <c r="C30" s="7" t="s">
        <v>25</v>
      </c>
      <c r="D30" s="7" t="s">
        <v>25</v>
      </c>
      <c r="E30" s="7" t="s">
        <v>25</v>
      </c>
      <c r="F30" s="7" t="s">
        <v>25</v>
      </c>
      <c r="G30" s="7" t="s">
        <v>25</v>
      </c>
      <c r="H30" s="7" t="s">
        <v>25</v>
      </c>
      <c r="I30" s="7" t="s">
        <v>25</v>
      </c>
      <c r="J30" s="7" t="s">
        <v>25</v>
      </c>
      <c r="K30" s="7" t="s">
        <v>25</v>
      </c>
      <c r="L30" s="7" t="s">
        <v>25</v>
      </c>
      <c r="M30" s="7" t="s">
        <v>25</v>
      </c>
      <c r="N30" s="7">
        <v>6.3499999999999997E-3</v>
      </c>
      <c r="O30" s="7">
        <v>5.4200000000000003E-3</v>
      </c>
      <c r="P30" s="7">
        <v>2.452E-2</v>
      </c>
      <c r="Q30" s="7">
        <v>0.45508999999999999</v>
      </c>
      <c r="R30" s="7">
        <v>0.32783000000000001</v>
      </c>
      <c r="S30" s="7">
        <v>0.30257000000000001</v>
      </c>
    </row>
    <row r="31" spans="1:19" ht="13.8" x14ac:dyDescent="0.3">
      <c r="A31" s="6" t="s">
        <v>50</v>
      </c>
      <c r="B31" s="5" t="s">
        <v>23</v>
      </c>
      <c r="C31" s="8">
        <v>0.18959000000000001</v>
      </c>
      <c r="D31" s="8">
        <v>0.18909000000000001</v>
      </c>
      <c r="E31" s="8">
        <v>0.22819</v>
      </c>
      <c r="F31" s="8">
        <v>0.22750000000000001</v>
      </c>
      <c r="G31" s="8">
        <v>0.26129999999999998</v>
      </c>
      <c r="H31" s="8">
        <v>0.28687000000000001</v>
      </c>
      <c r="I31" s="8">
        <v>0.31752000000000002</v>
      </c>
      <c r="J31" s="8">
        <v>0.36873</v>
      </c>
      <c r="K31" s="8">
        <v>0.42363000000000001</v>
      </c>
      <c r="L31" s="8">
        <v>0.41983999999999999</v>
      </c>
      <c r="M31" s="8">
        <v>0.42270999999999997</v>
      </c>
      <c r="N31" s="8">
        <v>0.39995999999999998</v>
      </c>
      <c r="O31" s="8">
        <v>0.40035999999999999</v>
      </c>
      <c r="P31" s="8">
        <v>0.38341999999999998</v>
      </c>
      <c r="Q31" s="8">
        <v>0.36188999999999999</v>
      </c>
      <c r="R31" s="8">
        <v>0.35731000000000002</v>
      </c>
      <c r="S31" s="8" t="s">
        <v>25</v>
      </c>
    </row>
    <row r="32" spans="1:19" ht="13.8" hidden="1" x14ac:dyDescent="0.3">
      <c r="A32" s="6" t="s">
        <v>51</v>
      </c>
      <c r="B32" s="5" t="s">
        <v>23</v>
      </c>
      <c r="C32" s="7" t="s">
        <v>25</v>
      </c>
      <c r="D32" s="7" t="s">
        <v>25</v>
      </c>
      <c r="E32" s="7" t="s">
        <v>25</v>
      </c>
      <c r="F32" s="7" t="s">
        <v>25</v>
      </c>
      <c r="G32" s="7" t="s">
        <v>25</v>
      </c>
      <c r="H32" s="7" t="s">
        <v>25</v>
      </c>
      <c r="I32" s="7" t="s">
        <v>25</v>
      </c>
      <c r="J32" s="7" t="s">
        <v>25</v>
      </c>
      <c r="K32" s="7" t="s">
        <v>25</v>
      </c>
      <c r="L32" s="7" t="s">
        <v>25</v>
      </c>
      <c r="M32" s="7" t="s">
        <v>25</v>
      </c>
      <c r="N32" s="7">
        <v>9.7729999999999997E-2</v>
      </c>
      <c r="O32" s="7" t="s">
        <v>25</v>
      </c>
      <c r="P32" s="7" t="s">
        <v>25</v>
      </c>
      <c r="Q32" s="7">
        <v>0.17279</v>
      </c>
      <c r="R32" s="7" t="s">
        <v>25</v>
      </c>
      <c r="S32" s="7" t="s">
        <v>25</v>
      </c>
    </row>
    <row r="33" spans="1:19" ht="13.8" hidden="1" x14ac:dyDescent="0.3">
      <c r="A33" s="6" t="s">
        <v>52</v>
      </c>
      <c r="B33" s="5" t="s">
        <v>23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8" t="s">
        <v>25</v>
      </c>
      <c r="I33" s="8" t="s">
        <v>25</v>
      </c>
      <c r="J33" s="8" t="s">
        <v>25</v>
      </c>
      <c r="K33" s="8" t="s">
        <v>25</v>
      </c>
      <c r="L33" s="8" t="s">
        <v>25</v>
      </c>
      <c r="M33" s="8" t="s">
        <v>25</v>
      </c>
      <c r="N33" s="8" t="s">
        <v>25</v>
      </c>
      <c r="O33" s="8" t="s">
        <v>25</v>
      </c>
      <c r="P33" s="8" t="s">
        <v>25</v>
      </c>
      <c r="Q33" s="8" t="s">
        <v>25</v>
      </c>
      <c r="R33" s="8" t="s">
        <v>25</v>
      </c>
      <c r="S33" s="8" t="s">
        <v>25</v>
      </c>
    </row>
    <row r="34" spans="1:19" ht="13.8" hidden="1" x14ac:dyDescent="0.3">
      <c r="A34" s="6" t="s">
        <v>53</v>
      </c>
      <c r="B34" s="5" t="s">
        <v>23</v>
      </c>
      <c r="C34" s="7">
        <v>0.39666000000000001</v>
      </c>
      <c r="D34" s="7">
        <v>0.40077000000000002</v>
      </c>
      <c r="E34" s="7">
        <v>0.38375999999999999</v>
      </c>
      <c r="F34" s="7">
        <v>0.42992999999999998</v>
      </c>
      <c r="G34" s="7">
        <v>0.50678999999999996</v>
      </c>
      <c r="H34" s="7" t="s">
        <v>25</v>
      </c>
      <c r="I34" s="7" t="s">
        <v>25</v>
      </c>
      <c r="J34" s="7" t="s">
        <v>25</v>
      </c>
      <c r="K34" s="7" t="s">
        <v>25</v>
      </c>
      <c r="L34" s="7" t="s">
        <v>25</v>
      </c>
      <c r="M34" s="7" t="s">
        <v>25</v>
      </c>
      <c r="N34" s="7" t="s">
        <v>25</v>
      </c>
      <c r="O34" s="7" t="s">
        <v>25</v>
      </c>
      <c r="P34" s="7" t="s">
        <v>25</v>
      </c>
      <c r="Q34" s="7" t="s">
        <v>25</v>
      </c>
      <c r="R34" s="7" t="s">
        <v>25</v>
      </c>
      <c r="S34" s="7" t="s">
        <v>25</v>
      </c>
    </row>
    <row r="35" spans="1:19" ht="13.8" hidden="1" x14ac:dyDescent="0.3">
      <c r="A35" s="6" t="s">
        <v>54</v>
      </c>
      <c r="B35" s="5" t="s">
        <v>23</v>
      </c>
      <c r="C35" s="8" t="s">
        <v>25</v>
      </c>
      <c r="D35" s="8" t="s">
        <v>25</v>
      </c>
      <c r="E35" s="8" t="s">
        <v>25</v>
      </c>
      <c r="F35" s="8" t="s">
        <v>25</v>
      </c>
      <c r="G35" s="8" t="s">
        <v>25</v>
      </c>
      <c r="H35" s="8" t="s">
        <v>25</v>
      </c>
      <c r="I35" s="8" t="s">
        <v>25</v>
      </c>
      <c r="J35" s="8" t="s">
        <v>25</v>
      </c>
      <c r="K35" s="8" t="s">
        <v>25</v>
      </c>
      <c r="L35" s="8" t="s">
        <v>25</v>
      </c>
      <c r="M35" s="8">
        <v>3.6859999999999997E-2</v>
      </c>
      <c r="N35" s="8" t="s">
        <v>25</v>
      </c>
      <c r="O35" s="8" t="s">
        <v>25</v>
      </c>
      <c r="P35" s="8" t="s">
        <v>25</v>
      </c>
      <c r="Q35" s="8" t="s">
        <v>25</v>
      </c>
      <c r="R35" s="8" t="s">
        <v>25</v>
      </c>
      <c r="S35" s="8" t="s">
        <v>25</v>
      </c>
    </row>
    <row r="36" spans="1:19" ht="13.8" hidden="1" x14ac:dyDescent="0.3">
      <c r="A36" s="6" t="s">
        <v>55</v>
      </c>
      <c r="B36" s="5" t="s">
        <v>23</v>
      </c>
      <c r="C36" s="7" t="s">
        <v>25</v>
      </c>
      <c r="D36" s="7" t="s">
        <v>25</v>
      </c>
      <c r="E36" s="7" t="s">
        <v>25</v>
      </c>
      <c r="F36" s="7" t="s">
        <v>25</v>
      </c>
      <c r="G36" s="7" t="s">
        <v>25</v>
      </c>
      <c r="H36" s="7" t="s">
        <v>25</v>
      </c>
      <c r="I36" s="7" t="s">
        <v>25</v>
      </c>
      <c r="J36" s="7" t="s">
        <v>25</v>
      </c>
      <c r="K36" s="7" t="s">
        <v>25</v>
      </c>
      <c r="L36" s="7">
        <v>3.2669999999999998E-2</v>
      </c>
      <c r="M36" s="7" t="s">
        <v>25</v>
      </c>
      <c r="N36" s="7" t="s">
        <v>25</v>
      </c>
      <c r="O36" s="7" t="s">
        <v>25</v>
      </c>
      <c r="P36" s="7" t="s">
        <v>25</v>
      </c>
      <c r="Q36" s="7" t="s">
        <v>25</v>
      </c>
      <c r="R36" s="7" t="s">
        <v>25</v>
      </c>
      <c r="S36" s="7" t="s">
        <v>25</v>
      </c>
    </row>
    <row r="37" spans="1:19" ht="13.8" x14ac:dyDescent="0.3">
      <c r="A37" s="6" t="s">
        <v>56</v>
      </c>
      <c r="B37" s="5" t="s">
        <v>23</v>
      </c>
      <c r="C37" s="8">
        <v>0.70248999999999995</v>
      </c>
      <c r="D37" s="8">
        <v>0.80444000000000004</v>
      </c>
      <c r="E37" s="8">
        <v>0.85268999999999995</v>
      </c>
      <c r="F37" s="8">
        <v>0.86909999999999998</v>
      </c>
      <c r="G37" s="8">
        <v>0.81330999999999998</v>
      </c>
      <c r="H37" s="8">
        <v>0.84543999999999997</v>
      </c>
      <c r="I37" s="8">
        <v>1.0282</v>
      </c>
      <c r="J37" s="8" t="s">
        <v>25</v>
      </c>
      <c r="K37" s="8" t="s">
        <v>25</v>
      </c>
      <c r="L37" s="8" t="s">
        <v>25</v>
      </c>
      <c r="M37" s="8">
        <v>0.93381000000000003</v>
      </c>
      <c r="N37" s="8">
        <v>0.91605999999999999</v>
      </c>
      <c r="O37" s="8">
        <v>0.9335</v>
      </c>
      <c r="P37" s="8">
        <v>0.97209999999999996</v>
      </c>
      <c r="Q37" s="8">
        <v>1.0318700000000001</v>
      </c>
      <c r="R37" s="8" t="s">
        <v>25</v>
      </c>
      <c r="S37" s="8" t="s">
        <v>25</v>
      </c>
    </row>
    <row r="38" spans="1:19" ht="13.8" hidden="1" x14ac:dyDescent="0.3">
      <c r="A38" s="6" t="s">
        <v>57</v>
      </c>
      <c r="B38" s="5" t="s">
        <v>23</v>
      </c>
      <c r="C38" s="7">
        <v>2.5399999999999999E-2</v>
      </c>
      <c r="D38" s="7" t="s">
        <v>25</v>
      </c>
      <c r="E38" s="7" t="s">
        <v>25</v>
      </c>
      <c r="F38" s="7" t="s">
        <v>25</v>
      </c>
      <c r="G38" s="7" t="s">
        <v>25</v>
      </c>
      <c r="H38" s="7" t="s">
        <v>25</v>
      </c>
      <c r="I38" s="7" t="s">
        <v>25</v>
      </c>
      <c r="J38" s="7" t="s">
        <v>25</v>
      </c>
      <c r="K38" s="7" t="s">
        <v>25</v>
      </c>
      <c r="L38" s="7">
        <v>2.3900000000000001E-2</v>
      </c>
      <c r="M38" s="7" t="s">
        <v>25</v>
      </c>
      <c r="N38" s="7" t="s">
        <v>25</v>
      </c>
      <c r="O38" s="7" t="s">
        <v>25</v>
      </c>
      <c r="P38" s="7" t="s">
        <v>25</v>
      </c>
      <c r="Q38" s="7" t="s">
        <v>25</v>
      </c>
      <c r="R38" s="7" t="s">
        <v>25</v>
      </c>
      <c r="S38" s="7" t="s">
        <v>25</v>
      </c>
    </row>
    <row r="39" spans="1:19" ht="13.8" hidden="1" x14ac:dyDescent="0.3">
      <c r="A39" s="6" t="s">
        <v>58</v>
      </c>
      <c r="B39" s="5" t="s">
        <v>23</v>
      </c>
      <c r="C39" s="8" t="s">
        <v>25</v>
      </c>
      <c r="D39" s="8" t="s">
        <v>25</v>
      </c>
      <c r="E39" s="8" t="s">
        <v>25</v>
      </c>
      <c r="F39" s="8" t="s">
        <v>25</v>
      </c>
      <c r="G39" s="8" t="s">
        <v>25</v>
      </c>
      <c r="H39" s="8" t="s">
        <v>25</v>
      </c>
      <c r="I39" s="8" t="s">
        <v>25</v>
      </c>
      <c r="J39" s="8" t="s">
        <v>25</v>
      </c>
      <c r="K39" s="8" t="s">
        <v>25</v>
      </c>
      <c r="L39" s="8" t="s">
        <v>25</v>
      </c>
      <c r="M39" s="8" t="s">
        <v>25</v>
      </c>
      <c r="N39" s="8" t="s">
        <v>25</v>
      </c>
      <c r="O39" s="8" t="s">
        <v>25</v>
      </c>
      <c r="P39" s="8" t="s">
        <v>25</v>
      </c>
      <c r="Q39" s="8" t="s">
        <v>25</v>
      </c>
      <c r="R39" s="8" t="s">
        <v>25</v>
      </c>
      <c r="S39" s="8" t="s">
        <v>25</v>
      </c>
    </row>
    <row r="40" spans="1:19" ht="13.8" x14ac:dyDescent="0.3">
      <c r="A40" s="6" t="s">
        <v>59</v>
      </c>
      <c r="B40" s="5" t="s">
        <v>23</v>
      </c>
      <c r="C40" s="7" t="s">
        <v>25</v>
      </c>
      <c r="D40" s="7" t="s">
        <v>25</v>
      </c>
      <c r="E40" s="7">
        <v>2.7140000000000001E-2</v>
      </c>
      <c r="F40" s="7">
        <v>2.6409999999999999E-2</v>
      </c>
      <c r="G40" s="7">
        <v>2.9229999999999999E-2</v>
      </c>
      <c r="H40" s="7">
        <v>5.1270000000000003E-2</v>
      </c>
      <c r="I40" s="7">
        <v>5.6370000000000003E-2</v>
      </c>
      <c r="J40" s="7">
        <v>7.9969999999999999E-2</v>
      </c>
      <c r="K40" s="7">
        <v>8.6110000000000006E-2</v>
      </c>
      <c r="L40" s="7">
        <v>0.10052</v>
      </c>
      <c r="M40" s="7">
        <v>0.12096</v>
      </c>
      <c r="N40" s="7">
        <v>0.15012</v>
      </c>
      <c r="O40" s="7" t="s">
        <v>25</v>
      </c>
      <c r="P40" s="7">
        <v>0.18776999999999999</v>
      </c>
      <c r="Q40" s="7">
        <v>0.20141999999999999</v>
      </c>
      <c r="R40" s="7" t="s">
        <v>25</v>
      </c>
      <c r="S40" s="7" t="s">
        <v>25</v>
      </c>
    </row>
    <row r="41" spans="1:19" ht="13.8" x14ac:dyDescent="0.3">
      <c r="A41" s="6" t="s">
        <v>60</v>
      </c>
      <c r="B41" s="5" t="s">
        <v>23</v>
      </c>
      <c r="C41" s="8" t="s">
        <v>25</v>
      </c>
      <c r="D41" s="8">
        <v>0.11261</v>
      </c>
      <c r="E41" s="8">
        <v>9.5530000000000004E-2</v>
      </c>
      <c r="F41" s="8">
        <v>0.11090999999999999</v>
      </c>
      <c r="G41" s="8">
        <v>8.8510000000000005E-2</v>
      </c>
      <c r="H41" s="8">
        <v>9.0700000000000003E-2</v>
      </c>
      <c r="I41" s="8">
        <v>0.10638</v>
      </c>
      <c r="J41" s="8">
        <v>6.3979999999999995E-2</v>
      </c>
      <c r="K41" s="8">
        <v>6.608E-2</v>
      </c>
      <c r="L41" s="8">
        <v>6.2829999999999997E-2</v>
      </c>
      <c r="M41" s="8">
        <v>6.6839999999999997E-2</v>
      </c>
      <c r="N41" s="8">
        <v>6.1510000000000002E-2</v>
      </c>
      <c r="O41" s="8">
        <v>6.5060000000000007E-2</v>
      </c>
      <c r="P41" s="8">
        <v>6.3630000000000006E-2</v>
      </c>
      <c r="Q41" s="8">
        <v>5.2699999999999997E-2</v>
      </c>
      <c r="R41" s="8">
        <v>5.6030000000000003E-2</v>
      </c>
      <c r="S41" s="8" t="s">
        <v>25</v>
      </c>
    </row>
    <row r="42" spans="1:19" ht="13.8" hidden="1" x14ac:dyDescent="0.3">
      <c r="A42" s="6" t="s">
        <v>61</v>
      </c>
      <c r="B42" s="5" t="s">
        <v>23</v>
      </c>
      <c r="C42" s="7" t="s">
        <v>25</v>
      </c>
      <c r="D42" s="7" t="s">
        <v>25</v>
      </c>
      <c r="E42" s="7" t="s">
        <v>25</v>
      </c>
      <c r="F42" s="7" t="s">
        <v>25</v>
      </c>
      <c r="G42" s="7" t="s">
        <v>25</v>
      </c>
      <c r="H42" s="7" t="s">
        <v>25</v>
      </c>
      <c r="I42" s="7" t="s">
        <v>25</v>
      </c>
      <c r="J42" s="7" t="s">
        <v>25</v>
      </c>
      <c r="K42" s="7" t="s">
        <v>25</v>
      </c>
      <c r="L42" s="7" t="s">
        <v>25</v>
      </c>
      <c r="M42" s="7" t="s">
        <v>25</v>
      </c>
      <c r="N42" s="7" t="s">
        <v>25</v>
      </c>
      <c r="O42" s="7" t="s">
        <v>25</v>
      </c>
      <c r="P42" s="7" t="s">
        <v>25</v>
      </c>
      <c r="Q42" s="7" t="s">
        <v>25</v>
      </c>
      <c r="R42" s="7" t="s">
        <v>25</v>
      </c>
      <c r="S42" s="7" t="s">
        <v>25</v>
      </c>
    </row>
    <row r="43" spans="1:19" ht="13.8" x14ac:dyDescent="0.3">
      <c r="A43" s="6" t="s">
        <v>62</v>
      </c>
      <c r="B43" s="5" t="s">
        <v>23</v>
      </c>
      <c r="C43" s="8">
        <v>1.6029999999999999E-2</v>
      </c>
      <c r="D43" s="8">
        <v>1.555E-2</v>
      </c>
      <c r="E43" s="8" t="s">
        <v>25</v>
      </c>
      <c r="F43" s="8" t="s">
        <v>25</v>
      </c>
      <c r="G43" s="8" t="s">
        <v>25</v>
      </c>
      <c r="H43" s="8" t="s">
        <v>25</v>
      </c>
      <c r="I43" s="8">
        <v>3.1640000000000001E-2</v>
      </c>
      <c r="J43" s="8">
        <v>7.2340000000000002E-2</v>
      </c>
      <c r="K43" s="8">
        <v>5.7020000000000001E-2</v>
      </c>
      <c r="L43" s="8">
        <v>5.033E-2</v>
      </c>
      <c r="M43" s="8">
        <v>4.752E-2</v>
      </c>
      <c r="N43" s="8">
        <v>1.5100000000000001E-2</v>
      </c>
      <c r="O43" s="8">
        <v>2.2179999999999998E-2</v>
      </c>
      <c r="P43" s="8" t="s">
        <v>25</v>
      </c>
      <c r="Q43" s="8">
        <v>2.0049999999999998E-2</v>
      </c>
      <c r="R43" s="8">
        <v>1.6E-2</v>
      </c>
      <c r="S43" s="8" t="s">
        <v>25</v>
      </c>
    </row>
    <row r="44" spans="1:19" ht="13.8" hidden="1" x14ac:dyDescent="0.3">
      <c r="A44" s="6" t="s">
        <v>63</v>
      </c>
      <c r="B44" s="5" t="s">
        <v>23</v>
      </c>
      <c r="C44" s="7" t="s">
        <v>25</v>
      </c>
      <c r="D44" s="7" t="s">
        <v>25</v>
      </c>
      <c r="E44" s="7" t="s">
        <v>25</v>
      </c>
      <c r="F44" s="7" t="s">
        <v>25</v>
      </c>
      <c r="G44" s="7" t="s">
        <v>25</v>
      </c>
      <c r="H44" s="7" t="s">
        <v>25</v>
      </c>
      <c r="I44" s="7" t="s">
        <v>25</v>
      </c>
      <c r="J44" s="7" t="s">
        <v>25</v>
      </c>
      <c r="K44" s="7" t="s">
        <v>25</v>
      </c>
      <c r="L44" s="7" t="s">
        <v>25</v>
      </c>
      <c r="M44" s="7" t="s">
        <v>25</v>
      </c>
      <c r="N44" s="7">
        <v>0.20866000000000001</v>
      </c>
      <c r="O44" s="7">
        <v>0.20094999999999999</v>
      </c>
      <c r="P44" s="7" t="s">
        <v>25</v>
      </c>
      <c r="Q44" s="7" t="s">
        <v>25</v>
      </c>
      <c r="R44" s="7" t="s">
        <v>25</v>
      </c>
      <c r="S44" s="7" t="s">
        <v>25</v>
      </c>
    </row>
    <row r="45" spans="1:19" ht="13.8" hidden="1" x14ac:dyDescent="0.3">
      <c r="A45" s="6" t="s">
        <v>64</v>
      </c>
      <c r="B45" s="5" t="s">
        <v>23</v>
      </c>
      <c r="C45" s="8">
        <v>2.2370000000000001E-2</v>
      </c>
      <c r="D45" s="8" t="s">
        <v>25</v>
      </c>
      <c r="E45" s="8">
        <v>2.988E-2</v>
      </c>
      <c r="F45" s="8">
        <v>2.5340000000000001E-2</v>
      </c>
      <c r="G45" s="8" t="s">
        <v>25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25</v>
      </c>
      <c r="M45" s="8" t="s">
        <v>25</v>
      </c>
      <c r="N45" s="8" t="s">
        <v>25</v>
      </c>
      <c r="O45" s="8" t="s">
        <v>25</v>
      </c>
      <c r="P45" s="8" t="s">
        <v>25</v>
      </c>
      <c r="Q45" s="8" t="s">
        <v>25</v>
      </c>
      <c r="R45" s="8" t="s">
        <v>25</v>
      </c>
      <c r="S45" s="8" t="s">
        <v>25</v>
      </c>
    </row>
    <row r="46" spans="1:19" ht="13.8" hidden="1" x14ac:dyDescent="0.3">
      <c r="A46" s="6" t="s">
        <v>65</v>
      </c>
      <c r="B46" s="5" t="s">
        <v>23</v>
      </c>
      <c r="C46" s="7" t="s">
        <v>25</v>
      </c>
      <c r="D46" s="7" t="s">
        <v>25</v>
      </c>
      <c r="E46" s="7" t="s">
        <v>25</v>
      </c>
      <c r="F46" s="7">
        <v>7.3400000000000002E-3</v>
      </c>
      <c r="G46" s="7">
        <v>7.2399999999999999E-3</v>
      </c>
      <c r="H46" s="7" t="s">
        <v>25</v>
      </c>
      <c r="I46" s="7" t="s">
        <v>25</v>
      </c>
      <c r="J46" s="7" t="s">
        <v>25</v>
      </c>
      <c r="K46" s="7" t="s">
        <v>25</v>
      </c>
      <c r="L46" s="7" t="s">
        <v>25</v>
      </c>
      <c r="M46" s="7" t="s">
        <v>25</v>
      </c>
      <c r="N46" s="7" t="s">
        <v>25</v>
      </c>
      <c r="O46" s="7" t="s">
        <v>25</v>
      </c>
      <c r="P46" s="7" t="s">
        <v>25</v>
      </c>
      <c r="Q46" s="7" t="s">
        <v>25</v>
      </c>
      <c r="R46" s="7" t="s">
        <v>25</v>
      </c>
      <c r="S46" s="7" t="s">
        <v>25</v>
      </c>
    </row>
    <row r="47" spans="1:19" ht="13.8" hidden="1" x14ac:dyDescent="0.3">
      <c r="A47" s="6" t="s">
        <v>66</v>
      </c>
      <c r="B47" s="5" t="s">
        <v>23</v>
      </c>
      <c r="C47" s="8" t="s">
        <v>25</v>
      </c>
      <c r="D47" s="8" t="s">
        <v>25</v>
      </c>
      <c r="E47" s="8" t="s">
        <v>25</v>
      </c>
      <c r="F47" s="8" t="s">
        <v>25</v>
      </c>
      <c r="G47" s="8" t="s">
        <v>25</v>
      </c>
      <c r="H47" s="8" t="s">
        <v>25</v>
      </c>
      <c r="I47" s="8" t="s">
        <v>25</v>
      </c>
      <c r="J47" s="8" t="s">
        <v>25</v>
      </c>
      <c r="K47" s="8" t="s">
        <v>25</v>
      </c>
      <c r="L47" s="8" t="s">
        <v>25</v>
      </c>
      <c r="M47" s="8" t="s">
        <v>25</v>
      </c>
      <c r="N47" s="8" t="s">
        <v>25</v>
      </c>
      <c r="O47" s="8" t="s">
        <v>25</v>
      </c>
      <c r="P47" s="8" t="s">
        <v>25</v>
      </c>
      <c r="Q47" s="8" t="s">
        <v>25</v>
      </c>
      <c r="R47" s="8" t="s">
        <v>25</v>
      </c>
      <c r="S47" s="8" t="s">
        <v>25</v>
      </c>
    </row>
    <row r="48" spans="1:19" ht="13.8" x14ac:dyDescent="0.3">
      <c r="A48" s="6" t="s">
        <v>67</v>
      </c>
      <c r="B48" s="5" t="s">
        <v>23</v>
      </c>
      <c r="C48" s="7">
        <v>0.35159000000000001</v>
      </c>
      <c r="D48" s="7">
        <v>0.42518</v>
      </c>
      <c r="E48" s="7">
        <v>0.54371999999999998</v>
      </c>
      <c r="F48" s="7">
        <v>0.56149000000000004</v>
      </c>
      <c r="G48" s="7">
        <v>0.52749000000000001</v>
      </c>
      <c r="H48" s="7">
        <v>0.63656999999999997</v>
      </c>
      <c r="I48" s="7" t="s">
        <v>25</v>
      </c>
      <c r="J48" s="7">
        <v>0.84272000000000002</v>
      </c>
      <c r="K48" s="7">
        <v>0.64644999999999997</v>
      </c>
      <c r="L48" s="7">
        <v>0.61362000000000005</v>
      </c>
      <c r="M48" s="7">
        <v>0.74956</v>
      </c>
      <c r="N48" s="7">
        <v>0.74465999999999999</v>
      </c>
      <c r="O48" s="7">
        <v>0.76420999999999994</v>
      </c>
      <c r="P48" s="7">
        <v>0.82428999999999997</v>
      </c>
      <c r="Q48" s="7">
        <v>0.61841000000000002</v>
      </c>
      <c r="R48" s="7" t="s">
        <v>25</v>
      </c>
      <c r="S48" s="7" t="s">
        <v>25</v>
      </c>
    </row>
    <row r="49" spans="1:19" ht="13.8" x14ac:dyDescent="0.3">
      <c r="A49" s="6" t="s">
        <v>68</v>
      </c>
      <c r="B49" s="5" t="s">
        <v>23</v>
      </c>
      <c r="C49" s="8" t="s">
        <v>25</v>
      </c>
      <c r="D49" s="8" t="s">
        <v>25</v>
      </c>
      <c r="E49" s="8" t="s">
        <v>25</v>
      </c>
      <c r="F49" s="8">
        <v>5.9290000000000002E-2</v>
      </c>
      <c r="G49" s="8">
        <v>8.5190000000000002E-2</v>
      </c>
      <c r="H49" s="8">
        <v>0.13882</v>
      </c>
      <c r="I49" s="8">
        <v>0.14543</v>
      </c>
      <c r="J49" s="8">
        <v>0.14513999999999999</v>
      </c>
      <c r="K49" s="8">
        <v>0.16446</v>
      </c>
      <c r="L49" s="8">
        <v>0.17766000000000001</v>
      </c>
      <c r="M49" s="8">
        <v>0.18792</v>
      </c>
      <c r="N49" s="8">
        <v>0.19297</v>
      </c>
      <c r="O49" s="8">
        <v>0.20354</v>
      </c>
      <c r="P49" s="8">
        <v>0.24997</v>
      </c>
      <c r="Q49" s="8">
        <v>0.23497999999999999</v>
      </c>
      <c r="R49" s="8">
        <v>0.24754000000000001</v>
      </c>
      <c r="S49" s="8" t="s">
        <v>25</v>
      </c>
    </row>
    <row r="50" spans="1:19" ht="20.399999999999999" x14ac:dyDescent="0.3">
      <c r="A50" s="6" t="s">
        <v>69</v>
      </c>
      <c r="B50" s="5" t="s">
        <v>23</v>
      </c>
      <c r="C50" s="7">
        <v>8.5680000000000006E-2</v>
      </c>
      <c r="D50" s="7">
        <v>0.10353</v>
      </c>
      <c r="E50" s="7">
        <v>0.12626999999999999</v>
      </c>
      <c r="F50" s="7">
        <v>0.13416</v>
      </c>
      <c r="G50" s="7">
        <v>0.13674</v>
      </c>
      <c r="H50" s="7">
        <v>0.13642000000000001</v>
      </c>
      <c r="I50" s="7">
        <v>0.13868</v>
      </c>
      <c r="J50" s="7">
        <v>0.15063000000000001</v>
      </c>
      <c r="K50" s="7">
        <v>0.15257000000000001</v>
      </c>
      <c r="L50" s="7">
        <v>0.15891</v>
      </c>
      <c r="M50" s="7">
        <v>0.17477999999999999</v>
      </c>
      <c r="N50" s="7">
        <v>0.21532999999999999</v>
      </c>
      <c r="O50" s="7">
        <v>0.23372000000000001</v>
      </c>
      <c r="P50" s="7">
        <v>0.24636</v>
      </c>
      <c r="Q50" s="7">
        <v>0.25944</v>
      </c>
      <c r="R50" s="7">
        <v>0.23832</v>
      </c>
      <c r="S50" s="7">
        <v>0.22237999999999999</v>
      </c>
    </row>
    <row r="51" spans="1:19" ht="20.399999999999999" hidden="1" x14ac:dyDescent="0.3">
      <c r="A51" s="6" t="s">
        <v>70</v>
      </c>
      <c r="B51" s="5" t="s">
        <v>23</v>
      </c>
      <c r="C51" s="8" t="s">
        <v>25</v>
      </c>
      <c r="D51" s="8" t="s">
        <v>25</v>
      </c>
      <c r="E51" s="8" t="s">
        <v>25</v>
      </c>
      <c r="F51" s="8" t="s">
        <v>25</v>
      </c>
      <c r="G51" s="8" t="s">
        <v>25</v>
      </c>
      <c r="H51" s="8" t="s">
        <v>25</v>
      </c>
      <c r="I51" s="8" t="s">
        <v>25</v>
      </c>
      <c r="J51" s="8" t="s">
        <v>25</v>
      </c>
      <c r="K51" s="8" t="s">
        <v>25</v>
      </c>
      <c r="L51" s="8" t="s">
        <v>25</v>
      </c>
      <c r="M51" s="8" t="s">
        <v>25</v>
      </c>
      <c r="N51" s="8" t="s">
        <v>25</v>
      </c>
      <c r="O51" s="8" t="s">
        <v>25</v>
      </c>
      <c r="P51" s="8" t="s">
        <v>25</v>
      </c>
      <c r="Q51" s="8" t="s">
        <v>25</v>
      </c>
      <c r="R51" s="8" t="s">
        <v>25</v>
      </c>
      <c r="S51" s="8" t="s">
        <v>25</v>
      </c>
    </row>
    <row r="52" spans="1:19" ht="13.8" hidden="1" x14ac:dyDescent="0.3">
      <c r="A52" s="6" t="s">
        <v>71</v>
      </c>
      <c r="B52" s="5" t="s">
        <v>23</v>
      </c>
      <c r="C52" s="7" t="s">
        <v>25</v>
      </c>
      <c r="D52" s="7" t="s">
        <v>25</v>
      </c>
      <c r="E52" s="7" t="s">
        <v>25</v>
      </c>
      <c r="F52" s="7" t="s">
        <v>25</v>
      </c>
      <c r="G52" s="7" t="s">
        <v>25</v>
      </c>
      <c r="H52" s="7" t="s">
        <v>25</v>
      </c>
      <c r="I52" s="7" t="s">
        <v>25</v>
      </c>
      <c r="J52" s="7" t="s">
        <v>25</v>
      </c>
      <c r="K52" s="7" t="s">
        <v>25</v>
      </c>
      <c r="L52" s="7" t="s">
        <v>25</v>
      </c>
      <c r="M52" s="7" t="s">
        <v>25</v>
      </c>
      <c r="N52" s="7" t="s">
        <v>25</v>
      </c>
      <c r="O52" s="7" t="s">
        <v>25</v>
      </c>
      <c r="P52" s="7" t="s">
        <v>25</v>
      </c>
      <c r="Q52" s="7" t="s">
        <v>25</v>
      </c>
      <c r="R52" s="7" t="s">
        <v>25</v>
      </c>
      <c r="S52" s="7" t="s">
        <v>25</v>
      </c>
    </row>
    <row r="53" spans="1:19" ht="13.8" hidden="1" x14ac:dyDescent="0.3">
      <c r="A53" s="6" t="s">
        <v>72</v>
      </c>
      <c r="B53" s="5" t="s">
        <v>23</v>
      </c>
      <c r="C53" s="8" t="s">
        <v>25</v>
      </c>
      <c r="D53" s="8" t="s">
        <v>25</v>
      </c>
      <c r="E53" s="8" t="s">
        <v>25</v>
      </c>
      <c r="F53" s="8" t="s">
        <v>25</v>
      </c>
      <c r="G53" s="8">
        <v>0.20649000000000001</v>
      </c>
      <c r="H53" s="8">
        <v>0.20215</v>
      </c>
      <c r="I53" s="8">
        <v>0.17046</v>
      </c>
      <c r="J53" s="8">
        <v>0.20108999999999999</v>
      </c>
      <c r="K53" s="8">
        <v>0.18003</v>
      </c>
      <c r="L53" s="8" t="s">
        <v>25</v>
      </c>
      <c r="M53" s="8" t="s">
        <v>25</v>
      </c>
      <c r="N53" s="8" t="s">
        <v>25</v>
      </c>
      <c r="O53" s="8" t="s">
        <v>25</v>
      </c>
      <c r="P53" s="8" t="s">
        <v>25</v>
      </c>
      <c r="Q53" s="8" t="s">
        <v>25</v>
      </c>
      <c r="R53" s="8" t="s">
        <v>25</v>
      </c>
      <c r="S53" s="8" t="s">
        <v>25</v>
      </c>
    </row>
    <row r="54" spans="1:19" ht="13.8" hidden="1" x14ac:dyDescent="0.3">
      <c r="A54" s="6" t="s">
        <v>73</v>
      </c>
      <c r="B54" s="5" t="s">
        <v>23</v>
      </c>
      <c r="C54" s="7" t="s">
        <v>25</v>
      </c>
      <c r="D54" s="7" t="s">
        <v>25</v>
      </c>
      <c r="E54" s="7" t="s">
        <v>25</v>
      </c>
      <c r="F54" s="7">
        <v>0.25957000000000002</v>
      </c>
      <c r="G54" s="7" t="s">
        <v>25</v>
      </c>
      <c r="H54" s="7" t="s">
        <v>25</v>
      </c>
      <c r="I54" s="7" t="s">
        <v>25</v>
      </c>
      <c r="J54" s="7" t="s">
        <v>25</v>
      </c>
      <c r="K54" s="7" t="s">
        <v>25</v>
      </c>
      <c r="L54" s="7" t="s">
        <v>25</v>
      </c>
      <c r="M54" s="7" t="s">
        <v>25</v>
      </c>
      <c r="N54" s="7" t="s">
        <v>25</v>
      </c>
      <c r="O54" s="7" t="s">
        <v>25</v>
      </c>
      <c r="P54" s="7" t="s">
        <v>25</v>
      </c>
      <c r="Q54" s="7" t="s">
        <v>25</v>
      </c>
      <c r="R54" s="7" t="s">
        <v>25</v>
      </c>
      <c r="S54" s="7" t="s">
        <v>25</v>
      </c>
    </row>
    <row r="55" spans="1:19" ht="13.8" hidden="1" x14ac:dyDescent="0.3">
      <c r="A55" s="6" t="s">
        <v>74</v>
      </c>
      <c r="B55" s="5" t="s">
        <v>23</v>
      </c>
      <c r="C55" s="8" t="s">
        <v>25</v>
      </c>
      <c r="D55" s="8" t="s">
        <v>25</v>
      </c>
      <c r="E55" s="8" t="s">
        <v>25</v>
      </c>
      <c r="F55" s="8" t="s">
        <v>25</v>
      </c>
      <c r="G55" s="8" t="s">
        <v>25</v>
      </c>
      <c r="H55" s="8">
        <v>0.31086999999999998</v>
      </c>
      <c r="I55" s="8">
        <v>0.34055999999999997</v>
      </c>
      <c r="J55" s="8" t="s">
        <v>25</v>
      </c>
      <c r="K55" s="8" t="s">
        <v>25</v>
      </c>
      <c r="L55" s="8" t="s">
        <v>25</v>
      </c>
      <c r="M55" s="8" t="s">
        <v>25</v>
      </c>
      <c r="N55" s="8" t="s">
        <v>25</v>
      </c>
      <c r="O55" s="8" t="s">
        <v>25</v>
      </c>
      <c r="P55" s="8" t="s">
        <v>25</v>
      </c>
      <c r="Q55" s="8" t="s">
        <v>25</v>
      </c>
      <c r="R55" s="8">
        <v>0.47306999999999999</v>
      </c>
      <c r="S55" s="8">
        <v>0.35214000000000001</v>
      </c>
    </row>
    <row r="56" spans="1:19" ht="13.8" x14ac:dyDescent="0.3">
      <c r="A56" s="6" t="s">
        <v>75</v>
      </c>
      <c r="B56" s="5" t="s">
        <v>23</v>
      </c>
      <c r="C56" s="7">
        <v>0.26099</v>
      </c>
      <c r="D56" s="7">
        <v>0.28082000000000001</v>
      </c>
      <c r="E56" s="7">
        <v>0.34308</v>
      </c>
      <c r="F56" s="7">
        <v>0.35566999999999999</v>
      </c>
      <c r="G56" s="7">
        <v>0.35798999999999997</v>
      </c>
      <c r="H56" s="7">
        <v>0.35177000000000003</v>
      </c>
      <c r="I56" s="7">
        <v>0.41741</v>
      </c>
      <c r="J56" s="7">
        <v>0.40576000000000001</v>
      </c>
      <c r="K56" s="7">
        <v>0.41232999999999997</v>
      </c>
      <c r="L56" s="7">
        <v>0.40201999999999999</v>
      </c>
      <c r="M56" s="7">
        <v>0.42327999999999999</v>
      </c>
      <c r="N56" s="7">
        <v>0.30296000000000001</v>
      </c>
      <c r="O56" s="7">
        <v>0.27696999999999999</v>
      </c>
      <c r="P56" s="7">
        <v>0.24829000000000001</v>
      </c>
      <c r="Q56" s="7">
        <v>0.22606000000000001</v>
      </c>
      <c r="R56" s="7" t="s">
        <v>25</v>
      </c>
      <c r="S56" s="7" t="s">
        <v>25</v>
      </c>
    </row>
    <row r="57" spans="1:19" ht="13.8" x14ac:dyDescent="0.3">
      <c r="A57" s="6" t="s">
        <v>76</v>
      </c>
      <c r="B57" s="5" t="s">
        <v>23</v>
      </c>
      <c r="C57" s="8">
        <v>5.3830000000000003E-2</v>
      </c>
      <c r="D57" s="8">
        <v>5.7209999999999997E-2</v>
      </c>
      <c r="E57" s="8">
        <v>6.1990000000000003E-2</v>
      </c>
      <c r="F57" s="8">
        <v>6.5030000000000004E-2</v>
      </c>
      <c r="G57" s="8">
        <v>5.3409999999999999E-2</v>
      </c>
      <c r="H57" s="8">
        <v>6.6909999999999997E-2</v>
      </c>
      <c r="I57" s="8">
        <v>6.7080000000000001E-2</v>
      </c>
      <c r="J57" s="8">
        <v>8.9520000000000002E-2</v>
      </c>
      <c r="K57" s="8">
        <v>0.1031</v>
      </c>
      <c r="L57" s="8">
        <v>0.10846</v>
      </c>
      <c r="M57" s="8">
        <v>0.10687000000000001</v>
      </c>
      <c r="N57" s="8">
        <v>0.11126</v>
      </c>
      <c r="O57" s="8">
        <v>6.7540000000000003E-2</v>
      </c>
      <c r="P57" s="8">
        <v>9.7339999999999996E-2</v>
      </c>
      <c r="Q57" s="8">
        <v>8.541E-2</v>
      </c>
      <c r="R57" s="8">
        <v>4.7730000000000002E-2</v>
      </c>
      <c r="S57" s="8">
        <v>5.3839999999999999E-2</v>
      </c>
    </row>
    <row r="58" spans="1:19" ht="13.8" hidden="1" x14ac:dyDescent="0.3">
      <c r="A58" s="6" t="s">
        <v>77</v>
      </c>
      <c r="B58" s="5" t="s">
        <v>23</v>
      </c>
      <c r="C58" s="7">
        <v>0.48899999999999999</v>
      </c>
      <c r="D58" s="7">
        <v>0.50985999999999998</v>
      </c>
      <c r="E58" s="7">
        <v>0.58082999999999996</v>
      </c>
      <c r="F58" s="7">
        <v>0.58240999999999998</v>
      </c>
      <c r="G58" s="7">
        <v>0.58040999999999998</v>
      </c>
      <c r="H58" s="7" t="s">
        <v>25</v>
      </c>
      <c r="I58" s="7" t="s">
        <v>25</v>
      </c>
      <c r="J58" s="7" t="s">
        <v>25</v>
      </c>
      <c r="K58" s="7" t="s">
        <v>25</v>
      </c>
      <c r="L58" s="7" t="s">
        <v>25</v>
      </c>
      <c r="M58" s="7" t="s">
        <v>25</v>
      </c>
      <c r="N58" s="7" t="s">
        <v>25</v>
      </c>
      <c r="O58" s="7" t="s">
        <v>25</v>
      </c>
      <c r="P58" s="7" t="s">
        <v>25</v>
      </c>
      <c r="Q58" s="7" t="s">
        <v>25</v>
      </c>
      <c r="R58" s="7" t="s">
        <v>25</v>
      </c>
      <c r="S58" s="7" t="s">
        <v>25</v>
      </c>
    </row>
    <row r="59" spans="1:19" ht="13.8" hidden="1" x14ac:dyDescent="0.3">
      <c r="A59" s="6" t="s">
        <v>78</v>
      </c>
      <c r="B59" s="5" t="s">
        <v>23</v>
      </c>
      <c r="C59" s="8">
        <v>0.96711999999999998</v>
      </c>
      <c r="D59" s="8">
        <v>0.97291000000000005</v>
      </c>
      <c r="E59" s="8">
        <v>0.85131000000000001</v>
      </c>
      <c r="F59" s="8">
        <v>0.87912999999999997</v>
      </c>
      <c r="G59" s="8" t="s">
        <v>25</v>
      </c>
      <c r="H59" s="8" t="s">
        <v>25</v>
      </c>
      <c r="I59" s="8" t="s">
        <v>25</v>
      </c>
      <c r="J59" s="8" t="s">
        <v>25</v>
      </c>
      <c r="K59" s="8" t="s">
        <v>25</v>
      </c>
      <c r="L59" s="8" t="s">
        <v>25</v>
      </c>
      <c r="M59" s="8" t="s">
        <v>25</v>
      </c>
      <c r="N59" s="8" t="s">
        <v>25</v>
      </c>
      <c r="O59" s="8" t="s">
        <v>25</v>
      </c>
      <c r="P59" s="8" t="s">
        <v>25</v>
      </c>
      <c r="Q59" s="8" t="s">
        <v>25</v>
      </c>
      <c r="R59" s="8" t="s">
        <v>25</v>
      </c>
      <c r="S59" s="8" t="s">
        <v>25</v>
      </c>
    </row>
    <row r="60" spans="1:19" ht="13.8" hidden="1" x14ac:dyDescent="0.3">
      <c r="A60" s="6" t="s">
        <v>79</v>
      </c>
      <c r="B60" s="5" t="s">
        <v>23</v>
      </c>
      <c r="C60" s="7" t="s">
        <v>25</v>
      </c>
      <c r="D60" s="7" t="s">
        <v>25</v>
      </c>
      <c r="E60" s="7" t="s">
        <v>25</v>
      </c>
      <c r="F60" s="7" t="s">
        <v>25</v>
      </c>
      <c r="G60" s="7" t="s">
        <v>25</v>
      </c>
      <c r="H60" s="7" t="s">
        <v>25</v>
      </c>
      <c r="I60" s="7">
        <v>0.47287000000000001</v>
      </c>
      <c r="J60" s="7" t="s">
        <v>25</v>
      </c>
      <c r="K60" s="7" t="s">
        <v>25</v>
      </c>
      <c r="L60" s="7" t="s">
        <v>25</v>
      </c>
      <c r="M60" s="7" t="s">
        <v>25</v>
      </c>
      <c r="N60" s="7" t="s">
        <v>25</v>
      </c>
      <c r="O60" s="7" t="s">
        <v>25</v>
      </c>
      <c r="P60" s="7" t="s">
        <v>25</v>
      </c>
      <c r="Q60" s="7" t="s">
        <v>25</v>
      </c>
      <c r="R60" s="7" t="s">
        <v>25</v>
      </c>
      <c r="S60" s="7" t="s">
        <v>25</v>
      </c>
    </row>
    <row r="61" spans="1:19" ht="13.8" x14ac:dyDescent="0.3">
      <c r="A61" s="6" t="s">
        <v>80</v>
      </c>
      <c r="B61" s="5" t="s">
        <v>23</v>
      </c>
      <c r="C61" s="8">
        <v>0.29808000000000001</v>
      </c>
      <c r="D61" s="8">
        <v>0.31957000000000002</v>
      </c>
      <c r="E61" s="8">
        <v>0.37074000000000001</v>
      </c>
      <c r="F61" s="8">
        <v>0.36047000000000001</v>
      </c>
      <c r="G61" s="8">
        <v>0.36703999999999998</v>
      </c>
      <c r="H61" s="8" t="s">
        <v>25</v>
      </c>
      <c r="I61" s="8">
        <v>0.35349000000000003</v>
      </c>
      <c r="J61" s="8">
        <v>0.35716999999999999</v>
      </c>
      <c r="K61" s="8">
        <v>0.3478</v>
      </c>
      <c r="L61" s="8">
        <v>0.32396999999999998</v>
      </c>
      <c r="M61" s="8">
        <v>0.31228</v>
      </c>
      <c r="N61" s="8" t="s">
        <v>25</v>
      </c>
      <c r="O61" s="8">
        <v>0.27816999999999997</v>
      </c>
      <c r="P61" s="8">
        <v>0.30047000000000001</v>
      </c>
      <c r="Q61" s="8">
        <v>0.28278999999999999</v>
      </c>
      <c r="R61" s="8" t="s">
        <v>25</v>
      </c>
      <c r="S61" s="8" t="s">
        <v>25</v>
      </c>
    </row>
    <row r="62" spans="1:19" ht="13.8" x14ac:dyDescent="0.3">
      <c r="A62" s="6" t="s">
        <v>81</v>
      </c>
      <c r="B62" s="5" t="s">
        <v>23</v>
      </c>
      <c r="C62" s="7">
        <v>0.36219000000000001</v>
      </c>
      <c r="D62" s="7">
        <v>0.38435000000000002</v>
      </c>
      <c r="E62" s="7">
        <v>0.46290999999999999</v>
      </c>
      <c r="F62" s="7">
        <v>0.46176</v>
      </c>
      <c r="G62" s="7">
        <v>0.46775</v>
      </c>
      <c r="H62" s="7">
        <v>0.51005999999999996</v>
      </c>
      <c r="I62" s="7">
        <v>0.53495000000000004</v>
      </c>
      <c r="J62" s="7">
        <v>0.54122999999999999</v>
      </c>
      <c r="K62" s="7">
        <v>0.51729999999999998</v>
      </c>
      <c r="L62" s="7">
        <v>0.48826000000000003</v>
      </c>
      <c r="M62" s="7">
        <v>0.52393000000000001</v>
      </c>
      <c r="N62" s="7">
        <v>0.55091000000000001</v>
      </c>
      <c r="O62" s="7">
        <v>0.57754000000000005</v>
      </c>
      <c r="P62" s="7">
        <v>0.62144999999999995</v>
      </c>
      <c r="Q62" s="7">
        <v>0.63941000000000003</v>
      </c>
      <c r="R62" s="7" t="s">
        <v>25</v>
      </c>
      <c r="S62" s="7" t="s">
        <v>25</v>
      </c>
    </row>
    <row r="63" spans="1:19" ht="20.399999999999999" hidden="1" x14ac:dyDescent="0.3">
      <c r="A63" s="6" t="s">
        <v>82</v>
      </c>
      <c r="B63" s="5" t="s">
        <v>23</v>
      </c>
      <c r="C63" s="8" t="s">
        <v>25</v>
      </c>
      <c r="D63" s="8" t="s">
        <v>25</v>
      </c>
      <c r="E63" s="8" t="s">
        <v>25</v>
      </c>
      <c r="F63" s="8" t="s">
        <v>25</v>
      </c>
      <c r="G63" s="8" t="s">
        <v>25</v>
      </c>
      <c r="H63" s="8" t="s">
        <v>25</v>
      </c>
      <c r="I63" s="8" t="s">
        <v>25</v>
      </c>
      <c r="J63" s="8" t="s">
        <v>25</v>
      </c>
      <c r="K63" s="8" t="s">
        <v>25</v>
      </c>
      <c r="L63" s="8" t="s">
        <v>25</v>
      </c>
      <c r="M63" s="8" t="s">
        <v>25</v>
      </c>
      <c r="N63" s="8" t="s">
        <v>25</v>
      </c>
      <c r="O63" s="8" t="s">
        <v>25</v>
      </c>
      <c r="P63" s="8" t="s">
        <v>25</v>
      </c>
      <c r="Q63" s="8" t="s">
        <v>25</v>
      </c>
      <c r="R63" s="8" t="s">
        <v>25</v>
      </c>
      <c r="S63" s="8" t="s">
        <v>25</v>
      </c>
    </row>
    <row r="64" spans="1:19" ht="13.8" hidden="1" x14ac:dyDescent="0.3">
      <c r="A64" s="6" t="s">
        <v>83</v>
      </c>
      <c r="B64" s="5" t="s">
        <v>23</v>
      </c>
      <c r="C64" s="7" t="s">
        <v>25</v>
      </c>
      <c r="D64" s="7" t="s">
        <v>25</v>
      </c>
      <c r="E64" s="7" t="s">
        <v>25</v>
      </c>
      <c r="F64" s="7">
        <v>9.7699999999999992E-3</v>
      </c>
      <c r="G64" s="7" t="s">
        <v>25</v>
      </c>
      <c r="H64" s="7" t="s">
        <v>25</v>
      </c>
      <c r="I64" s="7">
        <v>2.121E-2</v>
      </c>
      <c r="J64" s="7" t="s">
        <v>25</v>
      </c>
      <c r="K64" s="7" t="s">
        <v>25</v>
      </c>
      <c r="L64" s="7" t="s">
        <v>25</v>
      </c>
      <c r="M64" s="7" t="s">
        <v>25</v>
      </c>
      <c r="N64" s="7" t="s">
        <v>25</v>
      </c>
      <c r="O64" s="7" t="s">
        <v>25</v>
      </c>
      <c r="P64" s="7" t="s">
        <v>25</v>
      </c>
      <c r="Q64" s="7" t="s">
        <v>25</v>
      </c>
      <c r="R64" s="7" t="s">
        <v>25</v>
      </c>
      <c r="S64" s="7" t="s">
        <v>25</v>
      </c>
    </row>
    <row r="65" spans="1:19" ht="13.8" x14ac:dyDescent="0.3">
      <c r="A65" s="6" t="s">
        <v>84</v>
      </c>
      <c r="B65" s="5" t="s">
        <v>23</v>
      </c>
      <c r="C65" s="8">
        <v>0.64295999999999998</v>
      </c>
      <c r="D65" s="8">
        <v>0.64403999999999995</v>
      </c>
      <c r="E65" s="8">
        <v>0.94984999999999997</v>
      </c>
      <c r="F65" s="8">
        <v>0.98617999999999995</v>
      </c>
      <c r="G65" s="8">
        <v>1.33395</v>
      </c>
      <c r="H65" s="8" t="s">
        <v>25</v>
      </c>
      <c r="I65" s="8">
        <v>1.1781699999999999</v>
      </c>
      <c r="J65" s="8" t="s">
        <v>25</v>
      </c>
      <c r="K65" s="8" t="s">
        <v>25</v>
      </c>
      <c r="L65" s="8">
        <v>0.43078</v>
      </c>
      <c r="M65" s="8">
        <v>0.43694</v>
      </c>
      <c r="N65" s="8">
        <v>0.42754999999999999</v>
      </c>
      <c r="O65" s="8">
        <v>0.43819000000000002</v>
      </c>
      <c r="P65" s="8">
        <v>0.47199999999999998</v>
      </c>
      <c r="Q65" s="8">
        <v>0.47654000000000002</v>
      </c>
      <c r="R65" s="8" t="s">
        <v>25</v>
      </c>
      <c r="S65" s="8" t="s">
        <v>25</v>
      </c>
    </row>
    <row r="66" spans="1:19" ht="13.8" hidden="1" x14ac:dyDescent="0.3">
      <c r="A66" s="6" t="s">
        <v>85</v>
      </c>
      <c r="B66" s="5" t="s">
        <v>23</v>
      </c>
      <c r="C66" s="7" t="s">
        <v>25</v>
      </c>
      <c r="D66" s="7" t="s">
        <v>25</v>
      </c>
      <c r="E66" s="7" t="s">
        <v>25</v>
      </c>
      <c r="F66" s="7" t="s">
        <v>25</v>
      </c>
      <c r="G66" s="7" t="s">
        <v>25</v>
      </c>
      <c r="H66" s="7" t="s">
        <v>25</v>
      </c>
      <c r="I66" s="7" t="s">
        <v>25</v>
      </c>
      <c r="J66" s="7" t="s">
        <v>25</v>
      </c>
      <c r="K66" s="7" t="s">
        <v>25</v>
      </c>
      <c r="L66" s="7" t="s">
        <v>25</v>
      </c>
      <c r="M66" s="7" t="s">
        <v>25</v>
      </c>
      <c r="N66" s="7" t="s">
        <v>25</v>
      </c>
      <c r="O66" s="7" t="s">
        <v>25</v>
      </c>
      <c r="P66" s="7" t="s">
        <v>25</v>
      </c>
      <c r="Q66" s="7" t="s">
        <v>25</v>
      </c>
      <c r="R66" s="7" t="s">
        <v>25</v>
      </c>
      <c r="S66" s="7" t="s">
        <v>25</v>
      </c>
    </row>
    <row r="67" spans="1:19" ht="13.8" x14ac:dyDescent="0.3">
      <c r="A67" s="6" t="s">
        <v>86</v>
      </c>
      <c r="B67" s="5" t="s">
        <v>23</v>
      </c>
      <c r="C67" s="8" t="s">
        <v>25</v>
      </c>
      <c r="D67" s="8">
        <v>5.6499999999999996E-3</v>
      </c>
      <c r="E67" s="8">
        <v>6.11E-3</v>
      </c>
      <c r="F67" s="8">
        <v>5.8100000000000001E-3</v>
      </c>
      <c r="G67" s="8" t="s">
        <v>25</v>
      </c>
      <c r="H67" s="8">
        <v>6.1409999999999999E-2</v>
      </c>
      <c r="I67" s="8" t="s">
        <v>25</v>
      </c>
      <c r="J67" s="8" t="s">
        <v>25</v>
      </c>
      <c r="K67" s="8">
        <v>6.6030000000000005E-2</v>
      </c>
      <c r="L67" s="8" t="s">
        <v>25</v>
      </c>
      <c r="M67" s="8" t="s">
        <v>25</v>
      </c>
      <c r="N67" s="8" t="s">
        <v>25</v>
      </c>
      <c r="O67" s="8">
        <v>0.20562</v>
      </c>
      <c r="P67" s="8">
        <v>5.5480000000000002E-2</v>
      </c>
      <c r="Q67" s="8" t="s">
        <v>25</v>
      </c>
      <c r="R67" s="8" t="s">
        <v>25</v>
      </c>
      <c r="S67" s="8" t="s">
        <v>25</v>
      </c>
    </row>
    <row r="68" spans="1:19" ht="13.8" x14ac:dyDescent="0.3">
      <c r="A68" s="6" t="s">
        <v>87</v>
      </c>
      <c r="B68" s="5" t="s">
        <v>23</v>
      </c>
      <c r="C68" s="7">
        <v>8.6029999999999995E-2</v>
      </c>
      <c r="D68" s="7">
        <v>9.8629999999999995E-2</v>
      </c>
      <c r="E68" s="7">
        <v>0.11053</v>
      </c>
      <c r="F68" s="7">
        <v>9.6519999999999995E-2</v>
      </c>
      <c r="G68" s="7">
        <v>0.10228</v>
      </c>
      <c r="H68" s="7">
        <v>0.11513</v>
      </c>
      <c r="I68" s="7">
        <v>0.23852000000000001</v>
      </c>
      <c r="J68" s="7">
        <v>0.24659</v>
      </c>
      <c r="K68" s="7">
        <v>0.25978000000000001</v>
      </c>
      <c r="L68" s="7" t="s">
        <v>25</v>
      </c>
      <c r="M68" s="7" t="s">
        <v>25</v>
      </c>
      <c r="N68" s="7">
        <v>0.2752</v>
      </c>
      <c r="O68" s="7">
        <v>0.23677999999999999</v>
      </c>
      <c r="P68" s="7">
        <v>0.14821999999999999</v>
      </c>
      <c r="Q68" s="7">
        <v>0.19977</v>
      </c>
      <c r="R68" s="7">
        <v>0.35254000000000002</v>
      </c>
      <c r="S68" s="7">
        <v>0.29255999999999999</v>
      </c>
    </row>
    <row r="69" spans="1:19" ht="13.8" x14ac:dyDescent="0.3">
      <c r="A69" s="6" t="s">
        <v>88</v>
      </c>
      <c r="B69" s="5" t="s">
        <v>23</v>
      </c>
      <c r="C69" s="8" t="s">
        <v>25</v>
      </c>
      <c r="D69" s="8" t="s">
        <v>25</v>
      </c>
      <c r="E69" s="8">
        <v>1.02562</v>
      </c>
      <c r="F69" s="8">
        <v>0.98394999999999999</v>
      </c>
      <c r="G69" s="8" t="s">
        <v>25</v>
      </c>
      <c r="H69" s="8">
        <v>1.0721700000000001</v>
      </c>
      <c r="I69" s="8">
        <v>1.2136400000000001</v>
      </c>
      <c r="J69" s="8">
        <v>1.1710100000000001</v>
      </c>
      <c r="K69" s="8">
        <v>1.0783100000000001</v>
      </c>
      <c r="L69" s="8">
        <v>1.06691</v>
      </c>
      <c r="M69" s="8" t="s">
        <v>25</v>
      </c>
      <c r="N69" s="8">
        <v>1.16795</v>
      </c>
      <c r="O69" s="8">
        <v>1.1160099999999999</v>
      </c>
      <c r="P69" s="8">
        <v>1.10687</v>
      </c>
      <c r="Q69" s="8">
        <v>0.93572999999999995</v>
      </c>
      <c r="R69" s="8">
        <v>0.93359999999999999</v>
      </c>
      <c r="S69" s="8">
        <v>1.0152000000000001</v>
      </c>
    </row>
    <row r="70" spans="1:19" ht="13.8" hidden="1" x14ac:dyDescent="0.3">
      <c r="A70" s="6" t="s">
        <v>89</v>
      </c>
      <c r="B70" s="5" t="s">
        <v>23</v>
      </c>
      <c r="C70" s="7" t="s">
        <v>25</v>
      </c>
      <c r="D70" s="7" t="s">
        <v>25</v>
      </c>
      <c r="E70" s="7" t="s">
        <v>25</v>
      </c>
      <c r="F70" s="7" t="s">
        <v>25</v>
      </c>
      <c r="G70" s="7" t="s">
        <v>25</v>
      </c>
      <c r="H70" s="7" t="s">
        <v>25</v>
      </c>
      <c r="I70" s="7" t="s">
        <v>25</v>
      </c>
      <c r="J70" s="7" t="s">
        <v>25</v>
      </c>
      <c r="K70" s="7" t="s">
        <v>25</v>
      </c>
      <c r="L70" s="7" t="s">
        <v>25</v>
      </c>
      <c r="M70" s="7">
        <v>0.14019999999999999</v>
      </c>
      <c r="N70" s="7" t="s">
        <v>25</v>
      </c>
      <c r="O70" s="7">
        <v>9.0370000000000006E-2</v>
      </c>
      <c r="P70" s="7" t="s">
        <v>25</v>
      </c>
      <c r="Q70" s="7">
        <v>7.8880000000000006E-2</v>
      </c>
      <c r="R70" s="7">
        <v>7.8340000000000007E-2</v>
      </c>
      <c r="S70" s="7" t="s">
        <v>25</v>
      </c>
    </row>
    <row r="71" spans="1:19" ht="13.8" x14ac:dyDescent="0.3">
      <c r="A71" s="6" t="s">
        <v>90</v>
      </c>
      <c r="B71" s="5" t="s">
        <v>23</v>
      </c>
      <c r="C71" s="8">
        <v>0.33459</v>
      </c>
      <c r="D71" s="8">
        <v>0.40459000000000001</v>
      </c>
      <c r="E71" s="8">
        <v>0.41159000000000001</v>
      </c>
      <c r="F71" s="8">
        <v>0.31984000000000001</v>
      </c>
      <c r="G71" s="8" t="s">
        <v>25</v>
      </c>
      <c r="H71" s="8">
        <v>0.28362999999999999</v>
      </c>
      <c r="I71" s="8">
        <v>0.28323999999999999</v>
      </c>
      <c r="J71" s="8">
        <v>0.28447</v>
      </c>
      <c r="K71" s="8">
        <v>0.28343000000000002</v>
      </c>
      <c r="L71" s="8">
        <v>0.35367999999999999</v>
      </c>
      <c r="M71" s="8">
        <v>0.36763000000000001</v>
      </c>
      <c r="N71" s="8">
        <v>0.37019999999999997</v>
      </c>
      <c r="O71" s="8">
        <v>0.37286999999999998</v>
      </c>
      <c r="P71" s="8">
        <v>0.39237</v>
      </c>
      <c r="Q71" s="8">
        <v>0.38451999999999997</v>
      </c>
      <c r="R71" s="8">
        <v>0.38</v>
      </c>
      <c r="S71" s="8">
        <v>0.33496999999999999</v>
      </c>
    </row>
    <row r="72" spans="1:19" ht="13.8" hidden="1" x14ac:dyDescent="0.3">
      <c r="A72" s="6" t="s">
        <v>91</v>
      </c>
      <c r="B72" s="5" t="s">
        <v>23</v>
      </c>
      <c r="C72" s="7" t="s">
        <v>25</v>
      </c>
      <c r="D72" s="7" t="s">
        <v>25</v>
      </c>
      <c r="E72" s="7" t="s">
        <v>25</v>
      </c>
      <c r="F72" s="7" t="s">
        <v>25</v>
      </c>
      <c r="G72" s="7" t="s">
        <v>25</v>
      </c>
      <c r="H72" s="7" t="s">
        <v>25</v>
      </c>
      <c r="I72" s="7" t="s">
        <v>25</v>
      </c>
      <c r="J72" s="7" t="s">
        <v>25</v>
      </c>
      <c r="K72" s="7" t="s">
        <v>25</v>
      </c>
      <c r="L72" s="7" t="s">
        <v>25</v>
      </c>
      <c r="M72" s="7" t="s">
        <v>25</v>
      </c>
      <c r="N72" s="7" t="s">
        <v>25</v>
      </c>
      <c r="O72" s="7" t="s">
        <v>25</v>
      </c>
      <c r="P72" s="7" t="s">
        <v>25</v>
      </c>
      <c r="Q72" s="7" t="s">
        <v>25</v>
      </c>
      <c r="R72" s="7" t="s">
        <v>25</v>
      </c>
      <c r="S72" s="7" t="s">
        <v>25</v>
      </c>
    </row>
    <row r="73" spans="1:19" ht="13.8" hidden="1" x14ac:dyDescent="0.3">
      <c r="A73" s="6" t="s">
        <v>92</v>
      </c>
      <c r="B73" s="5" t="s">
        <v>23</v>
      </c>
      <c r="C73" s="8" t="s">
        <v>25</v>
      </c>
      <c r="D73" s="8" t="s">
        <v>25</v>
      </c>
      <c r="E73" s="8" t="s">
        <v>25</v>
      </c>
      <c r="F73" s="8" t="s">
        <v>25</v>
      </c>
      <c r="G73" s="8" t="s">
        <v>25</v>
      </c>
      <c r="H73" s="8" t="s">
        <v>25</v>
      </c>
      <c r="I73" s="8" t="s">
        <v>25</v>
      </c>
      <c r="J73" s="8" t="s">
        <v>25</v>
      </c>
      <c r="K73" s="8" t="s">
        <v>25</v>
      </c>
      <c r="L73" s="8" t="s">
        <v>25</v>
      </c>
      <c r="M73" s="8" t="s">
        <v>25</v>
      </c>
      <c r="N73" s="8" t="s">
        <v>25</v>
      </c>
      <c r="O73" s="8" t="s">
        <v>25</v>
      </c>
      <c r="P73" s="8" t="s">
        <v>25</v>
      </c>
      <c r="Q73" s="8" t="s">
        <v>25</v>
      </c>
      <c r="R73" s="8" t="s">
        <v>25</v>
      </c>
      <c r="S73" s="8" t="s">
        <v>25</v>
      </c>
    </row>
    <row r="74" spans="1:19" ht="13.8" hidden="1" x14ac:dyDescent="0.3">
      <c r="A74" s="6" t="s">
        <v>93</v>
      </c>
      <c r="B74" s="5" t="s">
        <v>23</v>
      </c>
      <c r="C74" s="7">
        <v>0.35998999999999998</v>
      </c>
      <c r="D74" s="7">
        <v>0.51410999999999996</v>
      </c>
      <c r="E74" s="7">
        <v>0.47297</v>
      </c>
      <c r="F74" s="7">
        <v>0.43304999999999999</v>
      </c>
      <c r="G74" s="7">
        <v>0.40333000000000002</v>
      </c>
      <c r="H74" s="7">
        <v>0.43035000000000001</v>
      </c>
      <c r="I74" s="7">
        <v>0.3523</v>
      </c>
      <c r="J74" s="7" t="s">
        <v>25</v>
      </c>
      <c r="K74" s="7" t="s">
        <v>25</v>
      </c>
      <c r="L74" s="7" t="s">
        <v>25</v>
      </c>
      <c r="M74" s="7" t="s">
        <v>25</v>
      </c>
      <c r="N74" s="7" t="s">
        <v>25</v>
      </c>
      <c r="O74" s="7" t="s">
        <v>25</v>
      </c>
      <c r="P74" s="7" t="s">
        <v>25</v>
      </c>
      <c r="Q74" s="7" t="s">
        <v>25</v>
      </c>
      <c r="R74" s="7" t="s">
        <v>25</v>
      </c>
      <c r="S74" s="7" t="s">
        <v>25</v>
      </c>
    </row>
    <row r="75" spans="1:19" ht="13.8" hidden="1" x14ac:dyDescent="0.3">
      <c r="A75" s="6" t="s">
        <v>94</v>
      </c>
      <c r="B75" s="5" t="s">
        <v>23</v>
      </c>
      <c r="C75" s="8" t="s">
        <v>25</v>
      </c>
      <c r="D75" s="8" t="s">
        <v>25</v>
      </c>
      <c r="E75" s="8" t="s">
        <v>25</v>
      </c>
      <c r="F75" s="8">
        <v>9.5300000000000003E-3</v>
      </c>
      <c r="G75" s="8">
        <v>1.099E-2</v>
      </c>
      <c r="H75" s="8" t="s">
        <v>25</v>
      </c>
      <c r="I75" s="8" t="s">
        <v>25</v>
      </c>
      <c r="J75" s="8">
        <v>8.0939999999999998E-2</v>
      </c>
      <c r="K75" s="8" t="s">
        <v>25</v>
      </c>
      <c r="L75" s="8" t="s">
        <v>25</v>
      </c>
      <c r="M75" s="8" t="s">
        <v>25</v>
      </c>
      <c r="N75" s="8" t="s">
        <v>25</v>
      </c>
      <c r="O75" s="8" t="s">
        <v>25</v>
      </c>
      <c r="P75" s="8" t="s">
        <v>25</v>
      </c>
      <c r="Q75" s="8" t="s">
        <v>25</v>
      </c>
      <c r="R75" s="8" t="s">
        <v>25</v>
      </c>
      <c r="S75" s="8" t="s">
        <v>25</v>
      </c>
    </row>
    <row r="76" spans="1:19" ht="13.8" hidden="1" x14ac:dyDescent="0.3">
      <c r="A76" s="6" t="s">
        <v>95</v>
      </c>
      <c r="B76" s="5" t="s">
        <v>23</v>
      </c>
      <c r="C76" s="7" t="s">
        <v>25</v>
      </c>
      <c r="D76" s="7" t="s">
        <v>25</v>
      </c>
      <c r="E76" s="7" t="s">
        <v>25</v>
      </c>
      <c r="F76" s="7" t="s">
        <v>25</v>
      </c>
      <c r="G76" s="7" t="s">
        <v>25</v>
      </c>
      <c r="H76" s="7">
        <v>1.9789999999999999E-2</v>
      </c>
      <c r="I76" s="7">
        <v>1.958E-2</v>
      </c>
      <c r="J76" s="7">
        <v>8.9370000000000005E-2</v>
      </c>
      <c r="K76" s="7" t="s">
        <v>25</v>
      </c>
      <c r="L76" s="7" t="s">
        <v>25</v>
      </c>
      <c r="M76" s="7" t="s">
        <v>25</v>
      </c>
      <c r="N76" s="7" t="s">
        <v>25</v>
      </c>
      <c r="O76" s="7" t="s">
        <v>25</v>
      </c>
      <c r="P76" s="7" t="s">
        <v>25</v>
      </c>
      <c r="Q76" s="7" t="s">
        <v>25</v>
      </c>
      <c r="R76" s="7" t="s">
        <v>25</v>
      </c>
      <c r="S76" s="7" t="s">
        <v>25</v>
      </c>
    </row>
    <row r="77" spans="1:19" ht="13.8" hidden="1" x14ac:dyDescent="0.3">
      <c r="A77" s="6" t="s">
        <v>96</v>
      </c>
      <c r="B77" s="5" t="s">
        <v>23</v>
      </c>
      <c r="C77" s="8" t="s">
        <v>25</v>
      </c>
      <c r="D77" s="8" t="s">
        <v>25</v>
      </c>
      <c r="E77" s="8" t="s">
        <v>25</v>
      </c>
      <c r="F77" s="8" t="s">
        <v>25</v>
      </c>
      <c r="G77" s="8" t="s">
        <v>25</v>
      </c>
      <c r="H77" s="8" t="s">
        <v>25</v>
      </c>
      <c r="I77" s="8" t="s">
        <v>25</v>
      </c>
      <c r="J77" s="8" t="s">
        <v>25</v>
      </c>
      <c r="K77" s="8" t="s">
        <v>25</v>
      </c>
      <c r="L77" s="8" t="s">
        <v>25</v>
      </c>
      <c r="M77" s="8" t="s">
        <v>25</v>
      </c>
      <c r="N77" s="8" t="s">
        <v>25</v>
      </c>
      <c r="O77" s="8" t="s">
        <v>25</v>
      </c>
      <c r="P77" s="8" t="s">
        <v>25</v>
      </c>
      <c r="Q77" s="8" t="s">
        <v>25</v>
      </c>
      <c r="R77" s="8" t="s">
        <v>25</v>
      </c>
      <c r="S77" s="8" t="s">
        <v>25</v>
      </c>
    </row>
    <row r="78" spans="1:19" ht="13.8" hidden="1" x14ac:dyDescent="0.3">
      <c r="A78" s="6" t="s">
        <v>97</v>
      </c>
      <c r="B78" s="5" t="s">
        <v>23</v>
      </c>
      <c r="C78" s="7" t="s">
        <v>25</v>
      </c>
      <c r="D78" s="7" t="s">
        <v>25</v>
      </c>
      <c r="E78" s="7" t="s">
        <v>25</v>
      </c>
      <c r="F78" s="7" t="s">
        <v>25</v>
      </c>
      <c r="G78" s="7">
        <v>1.8020000000000001E-2</v>
      </c>
      <c r="H78" s="7" t="s">
        <v>25</v>
      </c>
      <c r="I78" s="7" t="s">
        <v>25</v>
      </c>
      <c r="J78" s="7" t="s">
        <v>25</v>
      </c>
      <c r="K78" s="7" t="s">
        <v>25</v>
      </c>
      <c r="L78" s="7" t="s">
        <v>25</v>
      </c>
      <c r="M78" s="7" t="s">
        <v>25</v>
      </c>
      <c r="N78" s="7" t="s">
        <v>25</v>
      </c>
      <c r="O78" s="7" t="s">
        <v>25</v>
      </c>
      <c r="P78" s="7">
        <v>0.25439000000000001</v>
      </c>
      <c r="Q78" s="7">
        <v>0.26112000000000002</v>
      </c>
      <c r="R78" s="7">
        <v>0.16633999999999999</v>
      </c>
      <c r="S78" s="7">
        <v>0.14685000000000001</v>
      </c>
    </row>
    <row r="79" spans="1:19" ht="13.8" x14ac:dyDescent="0.3">
      <c r="A79" s="6" t="s">
        <v>98</v>
      </c>
      <c r="B79" s="5" t="s">
        <v>23</v>
      </c>
      <c r="C79" s="8">
        <v>0.32286999999999999</v>
      </c>
      <c r="D79" s="8">
        <v>0.34003</v>
      </c>
      <c r="E79" s="8">
        <v>0.38373000000000002</v>
      </c>
      <c r="F79" s="8">
        <v>0.37713999999999998</v>
      </c>
      <c r="G79" s="8">
        <v>0.38350000000000001</v>
      </c>
      <c r="H79" s="8">
        <v>0.74295</v>
      </c>
      <c r="I79" s="8">
        <v>0.76615</v>
      </c>
      <c r="J79" s="8">
        <v>0.76173000000000002</v>
      </c>
      <c r="K79" s="8">
        <v>0.75997000000000003</v>
      </c>
      <c r="L79" s="8">
        <v>0.75417000000000001</v>
      </c>
      <c r="M79" s="8">
        <v>0.71162999999999998</v>
      </c>
      <c r="N79" s="8">
        <v>0.74175000000000002</v>
      </c>
      <c r="O79" s="8">
        <v>0.77334999999999998</v>
      </c>
      <c r="P79" s="8">
        <v>0.78337999999999997</v>
      </c>
      <c r="Q79" s="8">
        <v>0.76536999999999999</v>
      </c>
      <c r="R79" s="8" t="s">
        <v>25</v>
      </c>
      <c r="S79" s="8" t="s">
        <v>25</v>
      </c>
    </row>
    <row r="80" spans="1:19" ht="13.8" hidden="1" x14ac:dyDescent="0.3">
      <c r="A80" s="6" t="s">
        <v>99</v>
      </c>
      <c r="B80" s="5" t="s">
        <v>23</v>
      </c>
      <c r="C80" s="7" t="s">
        <v>25</v>
      </c>
      <c r="D80" s="7" t="s">
        <v>25</v>
      </c>
      <c r="E80" s="7" t="s">
        <v>25</v>
      </c>
      <c r="F80" s="7" t="s">
        <v>25</v>
      </c>
      <c r="G80" s="7" t="s">
        <v>25</v>
      </c>
      <c r="H80" s="7" t="s">
        <v>25</v>
      </c>
      <c r="I80" s="7" t="s">
        <v>25</v>
      </c>
      <c r="J80" s="7" t="s">
        <v>25</v>
      </c>
      <c r="K80" s="7" t="s">
        <v>25</v>
      </c>
      <c r="L80" s="7" t="s">
        <v>25</v>
      </c>
      <c r="M80" s="7">
        <v>0.70284999999999997</v>
      </c>
      <c r="N80" s="7">
        <v>0.68735000000000002</v>
      </c>
      <c r="O80" s="7">
        <v>0.67100000000000004</v>
      </c>
      <c r="P80" s="7">
        <v>0.70440000000000003</v>
      </c>
      <c r="Q80" s="7">
        <v>0.67647999999999997</v>
      </c>
      <c r="R80" s="7" t="s">
        <v>25</v>
      </c>
      <c r="S80" s="7" t="s">
        <v>25</v>
      </c>
    </row>
    <row r="81" spans="1:19" ht="13.8" hidden="1" x14ac:dyDescent="0.3">
      <c r="A81" s="6" t="s">
        <v>100</v>
      </c>
      <c r="B81" s="5" t="s">
        <v>23</v>
      </c>
      <c r="C81" s="8" t="s">
        <v>25</v>
      </c>
      <c r="D81" s="8" t="s">
        <v>25</v>
      </c>
      <c r="E81" s="8" t="s">
        <v>25</v>
      </c>
      <c r="F81" s="8" t="s">
        <v>25</v>
      </c>
      <c r="G81" s="8" t="s">
        <v>25</v>
      </c>
      <c r="H81" s="8" t="s">
        <v>25</v>
      </c>
      <c r="I81" s="8" t="s">
        <v>25</v>
      </c>
      <c r="J81" s="8" t="s">
        <v>25</v>
      </c>
      <c r="K81" s="8" t="s">
        <v>25</v>
      </c>
      <c r="L81" s="8" t="s">
        <v>25</v>
      </c>
      <c r="M81" s="8" t="s">
        <v>25</v>
      </c>
      <c r="N81" s="8" t="s">
        <v>25</v>
      </c>
      <c r="O81" s="8" t="s">
        <v>25</v>
      </c>
      <c r="P81" s="8" t="s">
        <v>25</v>
      </c>
      <c r="Q81" s="8" t="s">
        <v>25</v>
      </c>
      <c r="R81" s="8" t="s">
        <v>25</v>
      </c>
      <c r="S81" s="8" t="s">
        <v>25</v>
      </c>
    </row>
    <row r="82" spans="1:19" ht="13.8" hidden="1" x14ac:dyDescent="0.3">
      <c r="A82" s="6" t="s">
        <v>101</v>
      </c>
      <c r="B82" s="5" t="s">
        <v>23</v>
      </c>
      <c r="C82" s="7" t="s">
        <v>25</v>
      </c>
      <c r="D82" s="7" t="s">
        <v>25</v>
      </c>
      <c r="E82" s="7" t="s">
        <v>25</v>
      </c>
      <c r="F82" s="7" t="s">
        <v>25</v>
      </c>
      <c r="G82" s="7" t="s">
        <v>25</v>
      </c>
      <c r="H82" s="7" t="s">
        <v>25</v>
      </c>
      <c r="I82" s="7" t="s">
        <v>25</v>
      </c>
      <c r="J82" s="7" t="s">
        <v>25</v>
      </c>
      <c r="K82" s="7" t="s">
        <v>25</v>
      </c>
      <c r="L82" s="7" t="s">
        <v>25</v>
      </c>
      <c r="M82" s="7" t="s">
        <v>25</v>
      </c>
      <c r="N82" s="7" t="s">
        <v>25</v>
      </c>
      <c r="O82" s="7" t="s">
        <v>25</v>
      </c>
      <c r="P82" s="7" t="s">
        <v>25</v>
      </c>
      <c r="Q82" s="7" t="s">
        <v>25</v>
      </c>
      <c r="R82" s="7" t="s">
        <v>25</v>
      </c>
      <c r="S82" s="7" t="s">
        <v>25</v>
      </c>
    </row>
    <row r="83" spans="1:19" ht="13.8" hidden="1" x14ac:dyDescent="0.3">
      <c r="A83" s="6" t="s">
        <v>102</v>
      </c>
      <c r="B83" s="5" t="s">
        <v>23</v>
      </c>
      <c r="C83" s="8" t="s">
        <v>25</v>
      </c>
      <c r="D83" s="8" t="s">
        <v>25</v>
      </c>
      <c r="E83" s="8" t="s">
        <v>25</v>
      </c>
      <c r="F83" s="8">
        <v>0.11226</v>
      </c>
      <c r="G83" s="8">
        <v>0.1242</v>
      </c>
      <c r="H83" s="8">
        <v>0.11473999999999999</v>
      </c>
      <c r="I83" s="8">
        <v>9.6199999999999994E-2</v>
      </c>
      <c r="J83" s="8">
        <v>0.10262</v>
      </c>
      <c r="K83" s="8" t="s">
        <v>25</v>
      </c>
      <c r="L83" s="8" t="s">
        <v>25</v>
      </c>
      <c r="M83" s="8" t="s">
        <v>25</v>
      </c>
      <c r="N83" s="8" t="s">
        <v>25</v>
      </c>
      <c r="O83" s="8" t="s">
        <v>25</v>
      </c>
      <c r="P83" s="8" t="s">
        <v>25</v>
      </c>
      <c r="Q83" s="8" t="s">
        <v>25</v>
      </c>
      <c r="R83" s="8" t="s">
        <v>25</v>
      </c>
      <c r="S83" s="8" t="s">
        <v>25</v>
      </c>
    </row>
    <row r="84" spans="1:19" ht="13.8" hidden="1" x14ac:dyDescent="0.3">
      <c r="A84" s="6" t="s">
        <v>103</v>
      </c>
      <c r="B84" s="5" t="s">
        <v>23</v>
      </c>
      <c r="C84" s="7" t="s">
        <v>25</v>
      </c>
      <c r="D84" s="7" t="s">
        <v>25</v>
      </c>
      <c r="E84" s="7" t="s">
        <v>25</v>
      </c>
      <c r="F84" s="7" t="s">
        <v>25</v>
      </c>
      <c r="G84" s="7" t="s">
        <v>25</v>
      </c>
      <c r="H84" s="7" t="s">
        <v>25</v>
      </c>
      <c r="I84" s="7" t="s">
        <v>25</v>
      </c>
      <c r="J84" s="7" t="s">
        <v>25</v>
      </c>
      <c r="K84" s="7" t="s">
        <v>25</v>
      </c>
      <c r="L84" s="7" t="s">
        <v>25</v>
      </c>
      <c r="M84" s="7" t="s">
        <v>25</v>
      </c>
      <c r="N84" s="7" t="s">
        <v>25</v>
      </c>
      <c r="O84" s="7" t="s">
        <v>25</v>
      </c>
      <c r="P84" s="7" t="s">
        <v>25</v>
      </c>
      <c r="Q84" s="7" t="s">
        <v>25</v>
      </c>
      <c r="R84" s="7" t="s">
        <v>25</v>
      </c>
      <c r="S84" s="7" t="s">
        <v>25</v>
      </c>
    </row>
    <row r="85" spans="1:19" ht="13.8" hidden="1" x14ac:dyDescent="0.3">
      <c r="A85" s="6" t="s">
        <v>104</v>
      </c>
      <c r="B85" s="5" t="s">
        <v>23</v>
      </c>
      <c r="C85" s="8" t="s">
        <v>25</v>
      </c>
      <c r="D85" s="8">
        <v>0.31159999999999999</v>
      </c>
      <c r="E85" s="8">
        <v>0.39563999999999999</v>
      </c>
      <c r="F85" s="8" t="s">
        <v>25</v>
      </c>
      <c r="G85" s="8">
        <v>0.24706</v>
      </c>
      <c r="H85" s="8">
        <v>0.26717000000000002</v>
      </c>
      <c r="I85" s="8" t="s">
        <v>25</v>
      </c>
      <c r="J85" s="8" t="s">
        <v>25</v>
      </c>
      <c r="K85" s="8" t="s">
        <v>25</v>
      </c>
      <c r="L85" s="8" t="s">
        <v>25</v>
      </c>
      <c r="M85" s="8" t="s">
        <v>25</v>
      </c>
      <c r="N85" s="8" t="s">
        <v>25</v>
      </c>
      <c r="O85" s="8" t="s">
        <v>25</v>
      </c>
      <c r="P85" s="8" t="s">
        <v>25</v>
      </c>
      <c r="Q85" s="8">
        <v>0.57040999999999997</v>
      </c>
      <c r="R85" s="8" t="s">
        <v>25</v>
      </c>
      <c r="S85" s="8" t="s">
        <v>25</v>
      </c>
    </row>
    <row r="86" spans="1:19" ht="13.8" x14ac:dyDescent="0.3">
      <c r="A86" s="6" t="s">
        <v>105</v>
      </c>
      <c r="B86" s="5" t="s">
        <v>23</v>
      </c>
      <c r="C86" s="7" t="s">
        <v>25</v>
      </c>
      <c r="D86" s="7">
        <v>0.33572000000000002</v>
      </c>
      <c r="E86" s="7" t="s">
        <v>25</v>
      </c>
      <c r="F86" s="7">
        <v>0.39787</v>
      </c>
      <c r="G86" s="7">
        <v>0.40249000000000001</v>
      </c>
      <c r="H86" s="7">
        <v>0.43464999999999998</v>
      </c>
      <c r="I86" s="7">
        <v>0.45023000000000002</v>
      </c>
      <c r="J86" s="7">
        <v>0.44817000000000001</v>
      </c>
      <c r="K86" s="7">
        <v>0.45319999999999999</v>
      </c>
      <c r="L86" s="7">
        <v>0.45918999999999999</v>
      </c>
      <c r="M86" s="7">
        <v>0.49007000000000001</v>
      </c>
      <c r="N86" s="7">
        <v>0.51319000000000004</v>
      </c>
      <c r="O86" s="7">
        <v>0.55201999999999996</v>
      </c>
      <c r="P86" s="7">
        <v>0.63944999999999996</v>
      </c>
      <c r="Q86" s="7">
        <v>0.68486999999999998</v>
      </c>
      <c r="R86" s="7" t="s">
        <v>25</v>
      </c>
      <c r="S86" s="7" t="s">
        <v>25</v>
      </c>
    </row>
    <row r="87" spans="1:19" ht="13.8" x14ac:dyDescent="0.3">
      <c r="A87" s="6" t="s">
        <v>106</v>
      </c>
      <c r="B87" s="5" t="s">
        <v>23</v>
      </c>
      <c r="C87" s="8">
        <v>0.27131</v>
      </c>
      <c r="D87" s="8">
        <v>0.32234000000000002</v>
      </c>
      <c r="E87" s="8">
        <v>0.26388</v>
      </c>
      <c r="F87" s="8">
        <v>0.33539999999999998</v>
      </c>
      <c r="G87" s="8">
        <v>0.29897000000000001</v>
      </c>
      <c r="H87" s="8">
        <v>0.66456000000000004</v>
      </c>
      <c r="I87" s="8">
        <v>0.29202</v>
      </c>
      <c r="J87" s="8">
        <v>0.32124000000000003</v>
      </c>
      <c r="K87" s="8" t="s">
        <v>25</v>
      </c>
      <c r="L87" s="8" t="s">
        <v>25</v>
      </c>
      <c r="M87" s="8" t="s">
        <v>25</v>
      </c>
      <c r="N87" s="8" t="s">
        <v>25</v>
      </c>
      <c r="O87" s="8" t="s">
        <v>25</v>
      </c>
      <c r="P87" s="8" t="s">
        <v>25</v>
      </c>
      <c r="Q87" s="8" t="s">
        <v>25</v>
      </c>
      <c r="R87" s="8" t="s">
        <v>25</v>
      </c>
      <c r="S87" s="8" t="s">
        <v>25</v>
      </c>
    </row>
    <row r="88" spans="1:19" ht="13.8" hidden="1" x14ac:dyDescent="0.3">
      <c r="A88" s="6" t="s">
        <v>107</v>
      </c>
      <c r="B88" s="5" t="s">
        <v>23</v>
      </c>
      <c r="C88" s="7" t="s">
        <v>25</v>
      </c>
      <c r="D88" s="7" t="s">
        <v>25</v>
      </c>
      <c r="E88" s="7" t="s">
        <v>25</v>
      </c>
      <c r="F88" s="7" t="s">
        <v>25</v>
      </c>
      <c r="G88" s="7" t="s">
        <v>25</v>
      </c>
      <c r="H88" s="7" t="s">
        <v>25</v>
      </c>
      <c r="I88" s="7" t="s">
        <v>25</v>
      </c>
      <c r="J88" s="7" t="s">
        <v>25</v>
      </c>
      <c r="K88" s="7" t="s">
        <v>25</v>
      </c>
      <c r="L88" s="7" t="s">
        <v>25</v>
      </c>
      <c r="M88" s="7" t="s">
        <v>25</v>
      </c>
      <c r="N88" s="7" t="s">
        <v>25</v>
      </c>
      <c r="O88" s="7" t="s">
        <v>25</v>
      </c>
      <c r="P88" s="7" t="s">
        <v>25</v>
      </c>
      <c r="Q88" s="7" t="s">
        <v>25</v>
      </c>
      <c r="R88" s="7" t="s">
        <v>25</v>
      </c>
      <c r="S88" s="7" t="s">
        <v>25</v>
      </c>
    </row>
    <row r="89" spans="1:19" ht="13.8" hidden="1" x14ac:dyDescent="0.3">
      <c r="A89" s="6" t="s">
        <v>108</v>
      </c>
      <c r="B89" s="5" t="s">
        <v>23</v>
      </c>
      <c r="C89" s="8" t="s">
        <v>25</v>
      </c>
      <c r="D89" s="8" t="s">
        <v>25</v>
      </c>
      <c r="E89" s="8" t="s">
        <v>25</v>
      </c>
      <c r="F89" s="8" t="s">
        <v>25</v>
      </c>
      <c r="G89" s="8" t="s">
        <v>25</v>
      </c>
      <c r="H89" s="8" t="s">
        <v>25</v>
      </c>
      <c r="I89" s="8" t="s">
        <v>25</v>
      </c>
      <c r="J89" s="8" t="s">
        <v>25</v>
      </c>
      <c r="K89" s="8">
        <v>0.26218000000000002</v>
      </c>
      <c r="L89" s="8">
        <v>0.27178999999999998</v>
      </c>
      <c r="M89" s="8">
        <v>0.25614999999999999</v>
      </c>
      <c r="N89" s="8">
        <v>0.26094000000000001</v>
      </c>
      <c r="O89" s="8">
        <v>0.27035999999999999</v>
      </c>
      <c r="P89" s="8" t="s">
        <v>25</v>
      </c>
      <c r="Q89" s="8" t="s">
        <v>25</v>
      </c>
      <c r="R89" s="8" t="s">
        <v>25</v>
      </c>
      <c r="S89" s="8" t="s">
        <v>25</v>
      </c>
    </row>
    <row r="90" spans="1:19" ht="13.8" hidden="1" x14ac:dyDescent="0.3">
      <c r="A90" s="6" t="s">
        <v>109</v>
      </c>
      <c r="B90" s="5" t="s">
        <v>23</v>
      </c>
      <c r="C90" s="7" t="s">
        <v>25</v>
      </c>
      <c r="D90" s="7" t="s">
        <v>25</v>
      </c>
      <c r="E90" s="7" t="s">
        <v>25</v>
      </c>
      <c r="F90" s="7" t="s">
        <v>25</v>
      </c>
      <c r="G90" s="7" t="s">
        <v>25</v>
      </c>
      <c r="H90" s="7" t="s">
        <v>25</v>
      </c>
      <c r="I90" s="7" t="s">
        <v>25</v>
      </c>
      <c r="J90" s="7" t="s">
        <v>25</v>
      </c>
      <c r="K90" s="7" t="s">
        <v>25</v>
      </c>
      <c r="L90" s="7" t="s">
        <v>25</v>
      </c>
      <c r="M90" s="7">
        <v>0.19411999999999999</v>
      </c>
      <c r="N90" s="7" t="s">
        <v>25</v>
      </c>
      <c r="O90" s="7" t="s">
        <v>25</v>
      </c>
      <c r="P90" s="7" t="s">
        <v>25</v>
      </c>
      <c r="Q90" s="7" t="s">
        <v>25</v>
      </c>
      <c r="R90" s="7" t="s">
        <v>25</v>
      </c>
      <c r="S90" s="7" t="s">
        <v>25</v>
      </c>
    </row>
    <row r="91" spans="1:19" ht="13.8" hidden="1" x14ac:dyDescent="0.3">
      <c r="A91" s="6" t="s">
        <v>110</v>
      </c>
      <c r="B91" s="5" t="s">
        <v>23</v>
      </c>
      <c r="C91" s="8" t="s">
        <v>25</v>
      </c>
      <c r="D91" s="8" t="s">
        <v>25</v>
      </c>
      <c r="E91" s="8" t="s">
        <v>25</v>
      </c>
      <c r="F91" s="8" t="s">
        <v>25</v>
      </c>
      <c r="G91" s="8" t="s">
        <v>25</v>
      </c>
      <c r="H91" s="8" t="s">
        <v>25</v>
      </c>
      <c r="I91" s="8" t="s">
        <v>25</v>
      </c>
      <c r="J91" s="8" t="s">
        <v>25</v>
      </c>
      <c r="K91" s="8" t="s">
        <v>25</v>
      </c>
      <c r="L91" s="8" t="s">
        <v>25</v>
      </c>
      <c r="M91" s="8" t="s">
        <v>25</v>
      </c>
      <c r="N91" s="8" t="s">
        <v>25</v>
      </c>
      <c r="O91" s="8" t="s">
        <v>25</v>
      </c>
      <c r="P91" s="8" t="s">
        <v>25</v>
      </c>
      <c r="Q91" s="8" t="s">
        <v>25</v>
      </c>
      <c r="R91" s="8" t="s">
        <v>25</v>
      </c>
      <c r="S91" s="8" t="s">
        <v>25</v>
      </c>
    </row>
    <row r="92" spans="1:19" ht="13.8" hidden="1" x14ac:dyDescent="0.3">
      <c r="A92" s="6" t="s">
        <v>111</v>
      </c>
      <c r="B92" s="5" t="s">
        <v>23</v>
      </c>
      <c r="C92" s="7" t="s">
        <v>25</v>
      </c>
      <c r="D92" s="7" t="s">
        <v>25</v>
      </c>
      <c r="E92" s="7" t="s">
        <v>25</v>
      </c>
      <c r="F92" s="7" t="s">
        <v>25</v>
      </c>
      <c r="G92" s="7" t="s">
        <v>25</v>
      </c>
      <c r="H92" s="7" t="s">
        <v>25</v>
      </c>
      <c r="I92" s="7" t="s">
        <v>25</v>
      </c>
      <c r="J92" s="7" t="s">
        <v>25</v>
      </c>
      <c r="K92" s="7" t="s">
        <v>25</v>
      </c>
      <c r="L92" s="7" t="s">
        <v>25</v>
      </c>
      <c r="M92" s="7" t="s">
        <v>25</v>
      </c>
      <c r="N92" s="7" t="s">
        <v>25</v>
      </c>
      <c r="O92" s="7" t="s">
        <v>25</v>
      </c>
      <c r="P92" s="7" t="s">
        <v>25</v>
      </c>
      <c r="Q92" s="7" t="s">
        <v>25</v>
      </c>
      <c r="R92" s="7" t="s">
        <v>25</v>
      </c>
      <c r="S92" s="7" t="s">
        <v>25</v>
      </c>
    </row>
    <row r="93" spans="1:19" ht="13.8" x14ac:dyDescent="0.3">
      <c r="A93" s="6" t="s">
        <v>112</v>
      </c>
      <c r="B93" s="5" t="s">
        <v>23</v>
      </c>
      <c r="C93" s="8">
        <v>0.27223000000000003</v>
      </c>
      <c r="D93" s="8">
        <v>0.32275999999999999</v>
      </c>
      <c r="E93" s="8" t="s">
        <v>25</v>
      </c>
      <c r="F93" s="8">
        <v>0.31929999999999997</v>
      </c>
      <c r="G93" s="8">
        <v>0.33550000000000002</v>
      </c>
      <c r="H93" s="8">
        <v>0.33056000000000002</v>
      </c>
      <c r="I93" s="8">
        <v>0.30487999999999998</v>
      </c>
      <c r="J93" s="8">
        <v>0.55513999999999997</v>
      </c>
      <c r="K93" s="8">
        <v>0.52290999999999999</v>
      </c>
      <c r="L93" s="8">
        <v>0.35580000000000001</v>
      </c>
      <c r="M93" s="8">
        <v>0.37540000000000001</v>
      </c>
      <c r="N93" s="8">
        <v>0.41003000000000001</v>
      </c>
      <c r="O93" s="8">
        <v>0.41889999999999999</v>
      </c>
      <c r="P93" s="8">
        <v>0.45845999999999998</v>
      </c>
      <c r="Q93" s="8">
        <v>0.42815999999999999</v>
      </c>
      <c r="R93" s="8">
        <v>0.45789000000000002</v>
      </c>
      <c r="S93" s="8">
        <v>0.45279999999999998</v>
      </c>
    </row>
    <row r="94" spans="1:19" ht="13.8" hidden="1" x14ac:dyDescent="0.3">
      <c r="A94" s="6" t="s">
        <v>113</v>
      </c>
      <c r="B94" s="5" t="s">
        <v>23</v>
      </c>
      <c r="C94" s="7" t="s">
        <v>25</v>
      </c>
      <c r="D94" s="7" t="s">
        <v>25</v>
      </c>
      <c r="E94" s="7" t="s">
        <v>25</v>
      </c>
      <c r="F94" s="7" t="s">
        <v>25</v>
      </c>
      <c r="G94" s="7" t="s">
        <v>25</v>
      </c>
      <c r="H94" s="7" t="s">
        <v>25</v>
      </c>
      <c r="I94" s="7" t="s">
        <v>25</v>
      </c>
      <c r="J94" s="7" t="s">
        <v>25</v>
      </c>
      <c r="K94" s="7" t="s">
        <v>25</v>
      </c>
      <c r="L94" s="7" t="s">
        <v>25</v>
      </c>
      <c r="M94" s="7" t="s">
        <v>25</v>
      </c>
      <c r="N94" s="7" t="s">
        <v>25</v>
      </c>
      <c r="O94" s="7" t="s">
        <v>25</v>
      </c>
      <c r="P94" s="7" t="s">
        <v>25</v>
      </c>
      <c r="Q94" s="7" t="s">
        <v>25</v>
      </c>
      <c r="R94" s="7" t="s">
        <v>25</v>
      </c>
      <c r="S94" s="7" t="s">
        <v>25</v>
      </c>
    </row>
    <row r="95" spans="1:19" ht="13.8" hidden="1" x14ac:dyDescent="0.3">
      <c r="A95" s="6" t="s">
        <v>114</v>
      </c>
      <c r="B95" s="5" t="s">
        <v>23</v>
      </c>
      <c r="C95" s="8" t="s">
        <v>25</v>
      </c>
      <c r="D95" s="8" t="s">
        <v>25</v>
      </c>
      <c r="E95" s="8" t="s">
        <v>25</v>
      </c>
      <c r="F95" s="8" t="s">
        <v>25</v>
      </c>
      <c r="G95" s="8" t="s">
        <v>25</v>
      </c>
      <c r="H95" s="8" t="s">
        <v>25</v>
      </c>
      <c r="I95" s="8" t="s">
        <v>25</v>
      </c>
      <c r="J95" s="8" t="s">
        <v>25</v>
      </c>
      <c r="K95" s="8" t="s">
        <v>25</v>
      </c>
      <c r="L95" s="8" t="s">
        <v>25</v>
      </c>
      <c r="M95" s="8" t="s">
        <v>25</v>
      </c>
      <c r="N95" s="8" t="s">
        <v>25</v>
      </c>
      <c r="O95" s="8" t="s">
        <v>25</v>
      </c>
      <c r="P95" s="8" t="s">
        <v>25</v>
      </c>
      <c r="Q95" s="8" t="s">
        <v>25</v>
      </c>
      <c r="R95" s="8" t="s">
        <v>25</v>
      </c>
      <c r="S95" s="8" t="s">
        <v>25</v>
      </c>
    </row>
    <row r="96" spans="1:19" ht="13.8" hidden="1" x14ac:dyDescent="0.3">
      <c r="A96" s="6" t="s">
        <v>115</v>
      </c>
      <c r="B96" s="5" t="s">
        <v>23</v>
      </c>
      <c r="C96" s="7" t="s">
        <v>25</v>
      </c>
      <c r="D96" s="7" t="s">
        <v>25</v>
      </c>
      <c r="E96" s="7" t="s">
        <v>25</v>
      </c>
      <c r="F96" s="7">
        <v>1.1270000000000001E-2</v>
      </c>
      <c r="G96" s="7">
        <v>1.3339999999999999E-2</v>
      </c>
      <c r="H96" s="7">
        <v>1.5970000000000002E-2</v>
      </c>
      <c r="I96" s="7">
        <v>1.5100000000000001E-2</v>
      </c>
      <c r="J96" s="7" t="s">
        <v>25</v>
      </c>
      <c r="K96" s="7" t="s">
        <v>25</v>
      </c>
      <c r="L96" s="7" t="s">
        <v>25</v>
      </c>
      <c r="M96" s="7" t="s">
        <v>25</v>
      </c>
      <c r="N96" s="7" t="s">
        <v>25</v>
      </c>
      <c r="O96" s="7" t="s">
        <v>25</v>
      </c>
      <c r="P96" s="7" t="s">
        <v>25</v>
      </c>
      <c r="Q96" s="7" t="s">
        <v>25</v>
      </c>
      <c r="R96" s="7" t="s">
        <v>25</v>
      </c>
      <c r="S96" s="7" t="s">
        <v>25</v>
      </c>
    </row>
    <row r="97" spans="1:19" ht="13.8" hidden="1" x14ac:dyDescent="0.3">
      <c r="A97" s="6" t="s">
        <v>116</v>
      </c>
      <c r="B97" s="5" t="s">
        <v>23</v>
      </c>
      <c r="C97" s="8">
        <v>0.28299999999999997</v>
      </c>
      <c r="D97" s="8" t="s">
        <v>25</v>
      </c>
      <c r="E97" s="8">
        <v>0.24809</v>
      </c>
      <c r="F97" s="8">
        <v>0.27672000000000002</v>
      </c>
      <c r="G97" s="8">
        <v>0.26352999999999999</v>
      </c>
      <c r="H97" s="8">
        <v>0.25925999999999999</v>
      </c>
      <c r="I97" s="8" t="s">
        <v>25</v>
      </c>
      <c r="J97" s="8" t="s">
        <v>25</v>
      </c>
      <c r="K97" s="8" t="s">
        <v>25</v>
      </c>
      <c r="L97" s="8" t="s">
        <v>25</v>
      </c>
      <c r="M97" s="8" t="s">
        <v>25</v>
      </c>
      <c r="N97" s="8" t="s">
        <v>25</v>
      </c>
      <c r="O97" s="8" t="s">
        <v>25</v>
      </c>
      <c r="P97" s="8" t="s">
        <v>25</v>
      </c>
      <c r="Q97" s="8" t="s">
        <v>25</v>
      </c>
      <c r="R97" s="8" t="s">
        <v>25</v>
      </c>
      <c r="S97" s="8" t="s">
        <v>25</v>
      </c>
    </row>
    <row r="98" spans="1:19" ht="13.8" hidden="1" x14ac:dyDescent="0.3">
      <c r="A98" s="6" t="s">
        <v>117</v>
      </c>
      <c r="B98" s="5" t="s">
        <v>23</v>
      </c>
      <c r="C98" s="7" t="s">
        <v>25</v>
      </c>
      <c r="D98" s="7" t="s">
        <v>25</v>
      </c>
      <c r="E98" s="7" t="s">
        <v>25</v>
      </c>
      <c r="F98" s="7" t="s">
        <v>25</v>
      </c>
      <c r="G98" s="7" t="s">
        <v>25</v>
      </c>
      <c r="H98" s="7" t="s">
        <v>25</v>
      </c>
      <c r="I98" s="7" t="s">
        <v>25</v>
      </c>
      <c r="J98" s="7" t="s">
        <v>25</v>
      </c>
      <c r="K98" s="7" t="s">
        <v>25</v>
      </c>
      <c r="L98" s="7" t="s">
        <v>25</v>
      </c>
      <c r="M98" s="7" t="s">
        <v>25</v>
      </c>
      <c r="N98" s="7" t="s">
        <v>25</v>
      </c>
      <c r="O98" s="7" t="s">
        <v>25</v>
      </c>
      <c r="P98" s="7" t="s">
        <v>25</v>
      </c>
      <c r="Q98" s="7" t="s">
        <v>25</v>
      </c>
      <c r="R98" s="7" t="s">
        <v>25</v>
      </c>
      <c r="S98" s="7" t="s">
        <v>25</v>
      </c>
    </row>
    <row r="99" spans="1:19" ht="13.8" hidden="1" x14ac:dyDescent="0.3">
      <c r="A99" s="6" t="s">
        <v>118</v>
      </c>
      <c r="B99" s="5" t="s">
        <v>23</v>
      </c>
      <c r="C99" s="8" t="s">
        <v>25</v>
      </c>
      <c r="D99" s="8" t="s">
        <v>25</v>
      </c>
      <c r="E99" s="8" t="s">
        <v>25</v>
      </c>
      <c r="F99" s="8">
        <v>0.47310999999999998</v>
      </c>
      <c r="G99" s="8" t="s">
        <v>25</v>
      </c>
      <c r="H99" s="8" t="s">
        <v>25</v>
      </c>
      <c r="I99" s="8">
        <v>0.43003000000000002</v>
      </c>
      <c r="J99" s="8" t="s">
        <v>25</v>
      </c>
      <c r="K99" s="8" t="s">
        <v>25</v>
      </c>
      <c r="L99" s="8" t="s">
        <v>25</v>
      </c>
      <c r="M99" s="8" t="s">
        <v>25</v>
      </c>
      <c r="N99" s="8" t="s">
        <v>25</v>
      </c>
      <c r="O99" s="8" t="s">
        <v>25</v>
      </c>
      <c r="P99" s="8" t="s">
        <v>25</v>
      </c>
      <c r="Q99" s="8" t="s">
        <v>25</v>
      </c>
      <c r="R99" s="8" t="s">
        <v>25</v>
      </c>
      <c r="S99" s="8">
        <v>0.35163</v>
      </c>
    </row>
    <row r="100" spans="1:19" ht="13.8" x14ac:dyDescent="0.3">
      <c r="A100" s="6" t="s">
        <v>119</v>
      </c>
      <c r="B100" s="5" t="s">
        <v>23</v>
      </c>
      <c r="C100" s="7">
        <v>0.67386999999999997</v>
      </c>
      <c r="D100" s="7">
        <v>0.68123999999999996</v>
      </c>
      <c r="E100" s="7">
        <v>0.69342000000000004</v>
      </c>
      <c r="F100" s="7">
        <v>0.68084999999999996</v>
      </c>
      <c r="G100" s="7">
        <v>0.60748999999999997</v>
      </c>
      <c r="H100" s="7">
        <v>0.62782000000000004</v>
      </c>
      <c r="I100" s="7">
        <v>0.64893999999999996</v>
      </c>
      <c r="J100" s="7" t="s">
        <v>25</v>
      </c>
      <c r="K100" s="7">
        <v>0.75478999999999996</v>
      </c>
      <c r="L100" s="7">
        <v>0.75366</v>
      </c>
      <c r="M100" s="7">
        <v>0.69662999999999997</v>
      </c>
      <c r="N100" s="7">
        <v>0.67261000000000004</v>
      </c>
      <c r="O100" s="7">
        <v>0.66871999999999998</v>
      </c>
      <c r="P100" s="7">
        <v>0.64522000000000002</v>
      </c>
      <c r="Q100" s="7">
        <v>0.59628000000000003</v>
      </c>
      <c r="R100" s="7" t="s">
        <v>25</v>
      </c>
      <c r="S100" s="7" t="s">
        <v>25</v>
      </c>
    </row>
    <row r="101" spans="1:19" ht="13.8" x14ac:dyDescent="0.3">
      <c r="A101" s="6" t="s">
        <v>120</v>
      </c>
      <c r="B101" s="5" t="s">
        <v>23</v>
      </c>
      <c r="C101" s="8">
        <v>0.63280999999999998</v>
      </c>
      <c r="D101" s="8">
        <v>0.69771000000000005</v>
      </c>
      <c r="E101" s="8">
        <v>0.72345999999999999</v>
      </c>
      <c r="F101" s="8">
        <v>0.66412000000000004</v>
      </c>
      <c r="G101" s="8">
        <v>0.67532999999999999</v>
      </c>
      <c r="H101" s="8">
        <v>0.85443000000000002</v>
      </c>
      <c r="I101" s="8">
        <v>0.86029</v>
      </c>
      <c r="J101" s="8">
        <v>0.89390000000000003</v>
      </c>
      <c r="K101" s="8">
        <v>0.86101000000000005</v>
      </c>
      <c r="L101" s="8">
        <v>0.84331999999999996</v>
      </c>
      <c r="M101" s="8">
        <v>0.89480999999999999</v>
      </c>
      <c r="N101" s="8">
        <v>0.91964000000000001</v>
      </c>
      <c r="O101" s="8">
        <v>0.90661999999999998</v>
      </c>
      <c r="P101" s="8">
        <v>1.02861</v>
      </c>
      <c r="Q101" s="8">
        <v>0.99638000000000004</v>
      </c>
      <c r="R101" s="8" t="s">
        <v>25</v>
      </c>
      <c r="S101" s="8" t="s">
        <v>25</v>
      </c>
    </row>
    <row r="102" spans="1:19" ht="13.8" x14ac:dyDescent="0.3">
      <c r="A102" s="6" t="s">
        <v>121</v>
      </c>
      <c r="B102" s="5" t="s">
        <v>23</v>
      </c>
      <c r="C102" s="7" t="s">
        <v>25</v>
      </c>
      <c r="D102" s="7" t="s">
        <v>25</v>
      </c>
      <c r="E102" s="7">
        <v>4.0129999999999999E-2</v>
      </c>
      <c r="F102" s="7">
        <v>3.5900000000000001E-2</v>
      </c>
      <c r="G102" s="7">
        <v>4.4920000000000002E-2</v>
      </c>
      <c r="H102" s="7">
        <v>4.6739999999999997E-2</v>
      </c>
      <c r="I102" s="7">
        <v>6.1219999999999997E-2</v>
      </c>
      <c r="J102" s="7" t="s">
        <v>25</v>
      </c>
      <c r="K102" s="7" t="s">
        <v>25</v>
      </c>
      <c r="L102" s="7">
        <v>8.7209999999999996E-2</v>
      </c>
      <c r="M102" s="7">
        <v>5.0999999999999997E-2</v>
      </c>
      <c r="N102" s="7">
        <v>7.7789999999999998E-2</v>
      </c>
      <c r="O102" s="7">
        <v>9.1880000000000003E-2</v>
      </c>
      <c r="P102" s="7">
        <v>8.5370000000000001E-2</v>
      </c>
      <c r="Q102" s="7">
        <v>9.9399999999999992E-3</v>
      </c>
      <c r="R102" s="7" t="s">
        <v>25</v>
      </c>
      <c r="S102" s="7" t="s">
        <v>25</v>
      </c>
    </row>
    <row r="103" spans="1:19" ht="13.8" hidden="1" x14ac:dyDescent="0.3">
      <c r="A103" s="6" t="s">
        <v>122</v>
      </c>
      <c r="B103" s="5" t="s">
        <v>23</v>
      </c>
      <c r="C103" s="8">
        <v>2.0279999999999999E-2</v>
      </c>
      <c r="D103" s="8">
        <v>2.002E-2</v>
      </c>
      <c r="E103" s="8">
        <v>2.3130000000000001E-2</v>
      </c>
      <c r="F103" s="8">
        <v>1.993E-2</v>
      </c>
      <c r="G103" s="8" t="s">
        <v>25</v>
      </c>
      <c r="H103" s="8">
        <v>7.5050000000000006E-2</v>
      </c>
      <c r="I103" s="8">
        <v>6.2050000000000001E-2</v>
      </c>
      <c r="J103" s="8">
        <v>5.7709999999999997E-2</v>
      </c>
      <c r="K103" s="8" t="s">
        <v>25</v>
      </c>
      <c r="L103" s="8" t="s">
        <v>25</v>
      </c>
      <c r="M103" s="8" t="s">
        <v>25</v>
      </c>
      <c r="N103" s="8" t="s">
        <v>25</v>
      </c>
      <c r="O103" s="8" t="s">
        <v>25</v>
      </c>
      <c r="P103" s="8" t="s">
        <v>25</v>
      </c>
      <c r="Q103" s="8" t="s">
        <v>25</v>
      </c>
      <c r="R103" s="8" t="s">
        <v>25</v>
      </c>
      <c r="S103" s="8" t="s">
        <v>25</v>
      </c>
    </row>
    <row r="104" spans="1:19" ht="13.8" x14ac:dyDescent="0.3">
      <c r="A104" s="6" t="s">
        <v>123</v>
      </c>
      <c r="B104" s="5" t="s">
        <v>23</v>
      </c>
      <c r="C104" s="7">
        <v>3.9030000000000002E-2</v>
      </c>
      <c r="D104" s="7">
        <v>3.7339999999999998E-2</v>
      </c>
      <c r="E104" s="7">
        <v>3.1989999999999998E-2</v>
      </c>
      <c r="F104" s="7">
        <v>3.5560000000000001E-2</v>
      </c>
      <c r="G104" s="7">
        <v>5.8090000000000003E-2</v>
      </c>
      <c r="H104" s="7">
        <v>3.007E-2</v>
      </c>
      <c r="I104" s="7" t="s">
        <v>25</v>
      </c>
      <c r="J104" s="7">
        <v>5.1399999999999996E-3</v>
      </c>
      <c r="K104" s="7">
        <v>6.45E-3</v>
      </c>
      <c r="L104" s="7">
        <v>9.9399999999999992E-3</v>
      </c>
      <c r="M104" s="7">
        <v>1.221E-2</v>
      </c>
      <c r="N104" s="7">
        <v>1.4200000000000001E-2</v>
      </c>
      <c r="O104" s="7">
        <v>1.146E-2</v>
      </c>
      <c r="P104" s="7">
        <v>1.1939999999999999E-2</v>
      </c>
      <c r="Q104" s="7" t="s">
        <v>25</v>
      </c>
      <c r="R104" s="7">
        <v>7.0800000000000004E-3</v>
      </c>
      <c r="S104" s="7" t="s">
        <v>25</v>
      </c>
    </row>
    <row r="105" spans="1:19" ht="13.8" hidden="1" x14ac:dyDescent="0.3">
      <c r="A105" s="6" t="s">
        <v>124</v>
      </c>
      <c r="B105" s="5" t="s">
        <v>23</v>
      </c>
      <c r="C105" s="8" t="s">
        <v>25</v>
      </c>
      <c r="D105" s="8" t="s">
        <v>25</v>
      </c>
      <c r="E105" s="8" t="s">
        <v>25</v>
      </c>
      <c r="F105" s="8" t="s">
        <v>25</v>
      </c>
      <c r="G105" s="8" t="s">
        <v>25</v>
      </c>
      <c r="H105" s="8" t="s">
        <v>25</v>
      </c>
      <c r="I105" s="8" t="s">
        <v>25</v>
      </c>
      <c r="J105" s="8" t="s">
        <v>25</v>
      </c>
      <c r="K105" s="8" t="s">
        <v>25</v>
      </c>
      <c r="L105" s="8" t="s">
        <v>25</v>
      </c>
      <c r="M105" s="8" t="s">
        <v>25</v>
      </c>
      <c r="N105" s="8" t="s">
        <v>25</v>
      </c>
      <c r="O105" s="8" t="s">
        <v>25</v>
      </c>
      <c r="P105" s="8" t="s">
        <v>25</v>
      </c>
      <c r="Q105" s="8" t="s">
        <v>25</v>
      </c>
      <c r="R105" s="8" t="s">
        <v>25</v>
      </c>
      <c r="S105" s="8" t="s">
        <v>25</v>
      </c>
    </row>
    <row r="106" spans="1:19" ht="13.8" hidden="1" x14ac:dyDescent="0.3">
      <c r="A106" s="6" t="s">
        <v>125</v>
      </c>
      <c r="B106" s="5" t="s">
        <v>23</v>
      </c>
      <c r="C106" s="7" t="s">
        <v>25</v>
      </c>
      <c r="D106" s="7" t="s">
        <v>25</v>
      </c>
      <c r="E106" s="7">
        <v>4.8590000000000001E-2</v>
      </c>
      <c r="F106" s="7">
        <v>9.4829999999999998E-2</v>
      </c>
      <c r="G106" s="7">
        <v>9.7720000000000001E-2</v>
      </c>
      <c r="H106" s="7">
        <v>0.10678</v>
      </c>
      <c r="I106" s="7">
        <v>0.10826</v>
      </c>
      <c r="J106" s="7">
        <v>9.8599999999999993E-2</v>
      </c>
      <c r="K106" s="7">
        <v>7.3889999999999997E-2</v>
      </c>
      <c r="L106" s="7" t="s">
        <v>25</v>
      </c>
      <c r="M106" s="7" t="s">
        <v>25</v>
      </c>
      <c r="N106" s="7" t="s">
        <v>25</v>
      </c>
      <c r="O106" s="7" t="s">
        <v>25</v>
      </c>
      <c r="P106" s="7" t="s">
        <v>25</v>
      </c>
      <c r="Q106" s="7" t="s">
        <v>25</v>
      </c>
      <c r="R106" s="7" t="s">
        <v>25</v>
      </c>
      <c r="S106" s="7" t="s">
        <v>25</v>
      </c>
    </row>
    <row r="107" spans="1:19" ht="13.8" hidden="1" x14ac:dyDescent="0.3">
      <c r="A107" s="6" t="s">
        <v>126</v>
      </c>
      <c r="B107" s="5" t="s">
        <v>23</v>
      </c>
      <c r="C107" s="8" t="s">
        <v>25</v>
      </c>
      <c r="D107" s="8" t="s">
        <v>25</v>
      </c>
      <c r="E107" s="8" t="s">
        <v>25</v>
      </c>
      <c r="F107" s="8" t="s">
        <v>25</v>
      </c>
      <c r="G107" s="8" t="s">
        <v>25</v>
      </c>
      <c r="H107" s="8" t="s">
        <v>25</v>
      </c>
      <c r="I107" s="8" t="s">
        <v>25</v>
      </c>
      <c r="J107" s="8" t="s">
        <v>25</v>
      </c>
      <c r="K107" s="8" t="s">
        <v>25</v>
      </c>
      <c r="L107" s="8" t="s">
        <v>25</v>
      </c>
      <c r="M107" s="8" t="s">
        <v>25</v>
      </c>
      <c r="N107" s="8" t="s">
        <v>25</v>
      </c>
      <c r="O107" s="8" t="s">
        <v>25</v>
      </c>
      <c r="P107" s="8" t="s">
        <v>25</v>
      </c>
      <c r="Q107" s="8" t="s">
        <v>25</v>
      </c>
      <c r="R107" s="8" t="s">
        <v>25</v>
      </c>
      <c r="S107" s="8" t="s">
        <v>25</v>
      </c>
    </row>
    <row r="108" spans="1:19" ht="13.8" x14ac:dyDescent="0.3">
      <c r="A108" s="6" t="s">
        <v>127</v>
      </c>
      <c r="B108" s="5" t="s">
        <v>23</v>
      </c>
      <c r="C108" s="7">
        <v>0.57003000000000004</v>
      </c>
      <c r="D108" s="7">
        <v>0.60321000000000002</v>
      </c>
      <c r="E108" s="7">
        <v>0.62636999999999998</v>
      </c>
      <c r="F108" s="7">
        <v>0.59984000000000004</v>
      </c>
      <c r="G108" s="7">
        <v>0.58169999999999999</v>
      </c>
      <c r="H108" s="7">
        <v>0.53796999999999995</v>
      </c>
      <c r="I108" s="7">
        <v>0.70006999999999997</v>
      </c>
      <c r="J108" s="7">
        <v>0.71435999999999999</v>
      </c>
      <c r="K108" s="7">
        <v>0.78952</v>
      </c>
      <c r="L108" s="7">
        <v>0.82291999999999998</v>
      </c>
      <c r="M108" s="7">
        <v>0.86241000000000001</v>
      </c>
      <c r="N108" s="7">
        <v>0.86799999999999999</v>
      </c>
      <c r="O108" s="7">
        <v>0.83826999999999996</v>
      </c>
      <c r="P108" s="7">
        <v>0.84048</v>
      </c>
      <c r="Q108" s="7">
        <v>0.82469999999999999</v>
      </c>
      <c r="R108" s="7" t="s">
        <v>25</v>
      </c>
      <c r="S108" s="7" t="s">
        <v>25</v>
      </c>
    </row>
    <row r="109" spans="1:19" ht="13.8" x14ac:dyDescent="0.3">
      <c r="A109" s="6" t="s">
        <v>128</v>
      </c>
      <c r="B109" s="5" t="s">
        <v>23</v>
      </c>
      <c r="C109" s="8">
        <v>0.45157000000000003</v>
      </c>
      <c r="D109" s="8">
        <v>0.47342000000000001</v>
      </c>
      <c r="E109" s="8">
        <v>0.46183000000000002</v>
      </c>
      <c r="F109" s="8">
        <v>0.43374000000000001</v>
      </c>
      <c r="G109" s="8">
        <v>0.42341000000000001</v>
      </c>
      <c r="H109" s="8">
        <v>0.44461000000000001</v>
      </c>
      <c r="I109" s="8">
        <v>0.45207999999999998</v>
      </c>
      <c r="J109" s="8">
        <v>0.45412000000000002</v>
      </c>
      <c r="K109" s="8">
        <v>0.47758</v>
      </c>
      <c r="L109" s="8">
        <v>0.44445000000000001</v>
      </c>
      <c r="M109" s="8">
        <v>0.47288999999999998</v>
      </c>
      <c r="N109" s="8">
        <v>0.47608</v>
      </c>
      <c r="O109" s="8">
        <v>0.48859999999999998</v>
      </c>
      <c r="P109" s="8">
        <v>0.48018</v>
      </c>
      <c r="Q109" s="8">
        <v>0.42281999999999997</v>
      </c>
      <c r="R109" s="8" t="s">
        <v>25</v>
      </c>
      <c r="S109" s="8" t="s">
        <v>25</v>
      </c>
    </row>
    <row r="110" spans="1:19" ht="13.8" x14ac:dyDescent="0.3">
      <c r="A110" s="6" t="s">
        <v>129</v>
      </c>
      <c r="B110" s="5" t="s">
        <v>23</v>
      </c>
      <c r="C110" s="7">
        <v>0.37536000000000003</v>
      </c>
      <c r="D110" s="7">
        <v>0.34116000000000002</v>
      </c>
      <c r="E110" s="7">
        <v>0.51032</v>
      </c>
      <c r="F110" s="7">
        <v>0.25183</v>
      </c>
      <c r="G110" s="7">
        <v>0.21321000000000001</v>
      </c>
      <c r="H110" s="7">
        <v>0.19928999999999999</v>
      </c>
      <c r="I110" s="7">
        <v>0.21228</v>
      </c>
      <c r="J110" s="7">
        <v>0.2029</v>
      </c>
      <c r="K110" s="7">
        <v>0.19436</v>
      </c>
      <c r="L110" s="7">
        <v>0.19999</v>
      </c>
      <c r="M110" s="7">
        <v>0.19825999999999999</v>
      </c>
      <c r="N110" s="7">
        <v>0.21848999999999999</v>
      </c>
      <c r="O110" s="7">
        <v>0.20668</v>
      </c>
      <c r="P110" s="7" t="s">
        <v>25</v>
      </c>
      <c r="Q110" s="7">
        <v>0.20194999999999999</v>
      </c>
      <c r="R110" s="7">
        <v>0.23599000000000001</v>
      </c>
      <c r="S110" s="7" t="s">
        <v>25</v>
      </c>
    </row>
    <row r="111" spans="1:19" ht="13.8" x14ac:dyDescent="0.3">
      <c r="A111" s="6" t="s">
        <v>130</v>
      </c>
      <c r="B111" s="5" t="s">
        <v>23</v>
      </c>
      <c r="C111" s="8">
        <v>8.5980000000000001E-2</v>
      </c>
      <c r="D111" s="8">
        <v>8.5760000000000003E-2</v>
      </c>
      <c r="E111" s="8" t="s">
        <v>25</v>
      </c>
      <c r="F111" s="8">
        <v>9.6619999999999998E-2</v>
      </c>
      <c r="G111" s="8">
        <v>9.5280000000000004E-2</v>
      </c>
      <c r="H111" s="8">
        <v>9.8580000000000001E-2</v>
      </c>
      <c r="I111" s="8">
        <v>0.10077999999999999</v>
      </c>
      <c r="J111" s="8">
        <v>0.10487</v>
      </c>
      <c r="K111" s="8">
        <v>9.9830000000000002E-2</v>
      </c>
      <c r="L111" s="8">
        <v>9.7610000000000002E-2</v>
      </c>
      <c r="M111" s="8">
        <v>9.8640000000000005E-2</v>
      </c>
      <c r="N111" s="8">
        <v>9.5979999999999996E-2</v>
      </c>
      <c r="O111" s="8">
        <v>0.11958000000000001</v>
      </c>
      <c r="P111" s="8">
        <v>0.13635</v>
      </c>
      <c r="Q111" s="8">
        <v>0.13946</v>
      </c>
      <c r="R111" s="8" t="s">
        <v>25</v>
      </c>
      <c r="S111" s="8" t="s">
        <v>25</v>
      </c>
    </row>
    <row r="112" spans="1:19" ht="13.8" hidden="1" x14ac:dyDescent="0.3">
      <c r="A112" s="6" t="s">
        <v>131</v>
      </c>
      <c r="B112" s="5" t="s">
        <v>23</v>
      </c>
      <c r="C112" s="7" t="s">
        <v>25</v>
      </c>
      <c r="D112" s="7" t="s">
        <v>25</v>
      </c>
      <c r="E112" s="7" t="s">
        <v>25</v>
      </c>
      <c r="F112" s="7" t="s">
        <v>25</v>
      </c>
      <c r="G112" s="7" t="s">
        <v>25</v>
      </c>
      <c r="H112" s="7" t="s">
        <v>25</v>
      </c>
      <c r="I112" s="7" t="s">
        <v>25</v>
      </c>
      <c r="J112" s="7" t="s">
        <v>25</v>
      </c>
      <c r="K112" s="7" t="s">
        <v>25</v>
      </c>
      <c r="L112" s="7" t="s">
        <v>25</v>
      </c>
      <c r="M112" s="7" t="s">
        <v>25</v>
      </c>
      <c r="N112" s="7" t="s">
        <v>25</v>
      </c>
      <c r="O112" s="7" t="s">
        <v>25</v>
      </c>
      <c r="P112" s="7" t="s">
        <v>25</v>
      </c>
      <c r="Q112" s="7" t="s">
        <v>25</v>
      </c>
      <c r="R112" s="7" t="s">
        <v>25</v>
      </c>
      <c r="S112" s="7" t="s">
        <v>25</v>
      </c>
    </row>
    <row r="113" spans="1:19" ht="13.8" hidden="1" x14ac:dyDescent="0.3">
      <c r="A113" s="6" t="s">
        <v>132</v>
      </c>
      <c r="B113" s="5" t="s">
        <v>23</v>
      </c>
      <c r="C113" s="8">
        <v>1.95E-2</v>
      </c>
      <c r="D113" s="8">
        <v>3.5299999999999998E-2</v>
      </c>
      <c r="E113" s="8">
        <v>2.367E-2</v>
      </c>
      <c r="F113" s="8" t="s">
        <v>25</v>
      </c>
      <c r="G113" s="8">
        <v>2.7040000000000002E-2</v>
      </c>
      <c r="H113" s="8" t="s">
        <v>25</v>
      </c>
      <c r="I113" s="8" t="s">
        <v>25</v>
      </c>
      <c r="J113" s="8" t="s">
        <v>25</v>
      </c>
      <c r="K113" s="8" t="s">
        <v>25</v>
      </c>
      <c r="L113" s="8">
        <v>9.7300000000000008E-3</v>
      </c>
      <c r="M113" s="8">
        <v>9.5700000000000004E-3</v>
      </c>
      <c r="N113" s="8">
        <v>9.6900000000000007E-3</v>
      </c>
      <c r="O113" s="8">
        <v>9.8899999999999995E-3</v>
      </c>
      <c r="P113" s="8" t="s">
        <v>25</v>
      </c>
      <c r="Q113" s="8">
        <v>1.176E-2</v>
      </c>
      <c r="R113" s="8">
        <v>1.302E-2</v>
      </c>
      <c r="S113" s="8" t="s">
        <v>25</v>
      </c>
    </row>
    <row r="114" spans="1:19" ht="13.8" hidden="1" x14ac:dyDescent="0.3">
      <c r="A114" s="6" t="s">
        <v>133</v>
      </c>
      <c r="B114" s="5" t="s">
        <v>23</v>
      </c>
      <c r="C114" s="7">
        <v>0.15409</v>
      </c>
      <c r="D114" s="7">
        <v>0.16600999999999999</v>
      </c>
      <c r="E114" s="7">
        <v>0.20807</v>
      </c>
      <c r="F114" s="7" t="s">
        <v>25</v>
      </c>
      <c r="G114" s="7" t="s">
        <v>25</v>
      </c>
      <c r="H114" s="7" t="s">
        <v>25</v>
      </c>
      <c r="I114" s="7">
        <v>0.26518999999999998</v>
      </c>
      <c r="J114" s="7">
        <v>0.27854000000000001</v>
      </c>
      <c r="K114" s="7">
        <v>0.30510999999999999</v>
      </c>
      <c r="L114" s="7">
        <v>0.35237000000000002</v>
      </c>
      <c r="M114" s="7" t="s">
        <v>25</v>
      </c>
      <c r="N114" s="7" t="s">
        <v>25</v>
      </c>
      <c r="O114" s="7" t="s">
        <v>25</v>
      </c>
      <c r="P114" s="7" t="s">
        <v>25</v>
      </c>
      <c r="Q114" s="7" t="s">
        <v>25</v>
      </c>
      <c r="R114" s="7" t="s">
        <v>25</v>
      </c>
      <c r="S114" s="7" t="s">
        <v>25</v>
      </c>
    </row>
    <row r="115" spans="1:19" ht="13.8" hidden="1" x14ac:dyDescent="0.3">
      <c r="A115" s="6" t="s">
        <v>134</v>
      </c>
      <c r="B115" s="5" t="s">
        <v>23</v>
      </c>
      <c r="C115" s="8" t="s">
        <v>25</v>
      </c>
      <c r="D115" s="8" t="s">
        <v>25</v>
      </c>
      <c r="E115" s="8" t="s">
        <v>25</v>
      </c>
      <c r="F115" s="8" t="s">
        <v>25</v>
      </c>
      <c r="G115" s="8">
        <v>1.125E-2</v>
      </c>
      <c r="H115" s="8">
        <v>4.0529999999999997E-2</v>
      </c>
      <c r="I115" s="8">
        <v>3.5389999999999998E-2</v>
      </c>
      <c r="J115" s="8">
        <v>3.1539999999999999E-2</v>
      </c>
      <c r="K115" s="8">
        <v>8.4500000000000006E-2</v>
      </c>
      <c r="L115" s="8" t="s">
        <v>25</v>
      </c>
      <c r="M115" s="8" t="s">
        <v>25</v>
      </c>
      <c r="N115" s="8" t="s">
        <v>25</v>
      </c>
      <c r="O115" s="8" t="s">
        <v>25</v>
      </c>
      <c r="P115" s="8" t="s">
        <v>25</v>
      </c>
      <c r="Q115" s="8" t="s">
        <v>25</v>
      </c>
      <c r="R115" s="8" t="s">
        <v>25</v>
      </c>
      <c r="S115" s="8" t="s">
        <v>25</v>
      </c>
    </row>
    <row r="116" spans="1:19" ht="13.8" hidden="1" x14ac:dyDescent="0.3">
      <c r="A116" s="6" t="s">
        <v>135</v>
      </c>
      <c r="B116" s="5" t="s">
        <v>23</v>
      </c>
      <c r="C116" s="7" t="s">
        <v>25</v>
      </c>
      <c r="D116" s="7" t="s">
        <v>25</v>
      </c>
      <c r="E116" s="7" t="s">
        <v>25</v>
      </c>
      <c r="F116" s="7" t="s">
        <v>25</v>
      </c>
      <c r="G116" s="7" t="s">
        <v>25</v>
      </c>
      <c r="H116" s="7" t="s">
        <v>25</v>
      </c>
      <c r="I116" s="7" t="s">
        <v>25</v>
      </c>
      <c r="J116" s="7" t="s">
        <v>25</v>
      </c>
      <c r="K116" s="7" t="s">
        <v>25</v>
      </c>
      <c r="L116" s="7" t="s">
        <v>25</v>
      </c>
      <c r="M116" s="7" t="s">
        <v>25</v>
      </c>
      <c r="N116" s="7" t="s">
        <v>25</v>
      </c>
      <c r="O116" s="7" t="s">
        <v>25</v>
      </c>
      <c r="P116" s="7">
        <v>0.157</v>
      </c>
      <c r="Q116" s="7">
        <v>0.14699999999999999</v>
      </c>
      <c r="R116" s="7">
        <v>0.14699999999999999</v>
      </c>
      <c r="S116" s="7" t="s">
        <v>25</v>
      </c>
    </row>
    <row r="117" spans="1:19" ht="13.8" hidden="1" x14ac:dyDescent="0.3">
      <c r="A117" s="6" t="s">
        <v>136</v>
      </c>
      <c r="B117" s="5" t="s">
        <v>23</v>
      </c>
      <c r="C117" s="8" t="s">
        <v>25</v>
      </c>
      <c r="D117" s="8">
        <v>0.39124999999999999</v>
      </c>
      <c r="E117" s="8" t="s">
        <v>25</v>
      </c>
      <c r="F117" s="8" t="s">
        <v>25</v>
      </c>
      <c r="G117" s="8">
        <v>0.54381999999999997</v>
      </c>
      <c r="H117" s="8" t="s">
        <v>25</v>
      </c>
      <c r="I117" s="8" t="s">
        <v>25</v>
      </c>
      <c r="J117" s="8">
        <v>0.38918000000000003</v>
      </c>
      <c r="K117" s="8" t="s">
        <v>25</v>
      </c>
      <c r="L117" s="8" t="s">
        <v>25</v>
      </c>
      <c r="M117" s="8" t="s">
        <v>25</v>
      </c>
      <c r="N117" s="8" t="s">
        <v>25</v>
      </c>
      <c r="O117" s="8" t="s">
        <v>25</v>
      </c>
      <c r="P117" s="8" t="s">
        <v>25</v>
      </c>
      <c r="Q117" s="8" t="s">
        <v>25</v>
      </c>
      <c r="R117" s="8" t="s">
        <v>25</v>
      </c>
      <c r="S117" s="8" t="s">
        <v>25</v>
      </c>
    </row>
    <row r="118" spans="1:19" ht="13.8" x14ac:dyDescent="0.3">
      <c r="A118" s="6" t="s">
        <v>137</v>
      </c>
      <c r="B118" s="5" t="s">
        <v>23</v>
      </c>
      <c r="C118" s="7">
        <v>0.37806000000000001</v>
      </c>
      <c r="D118" s="7">
        <v>0.38846999999999998</v>
      </c>
      <c r="E118" s="7">
        <v>0.43281999999999998</v>
      </c>
      <c r="F118" s="7">
        <v>0.47106999999999999</v>
      </c>
      <c r="G118" s="7">
        <v>0.57716999999999996</v>
      </c>
      <c r="H118" s="7">
        <v>0.69352999999999998</v>
      </c>
      <c r="I118" s="7">
        <v>0.72518000000000005</v>
      </c>
      <c r="J118" s="7">
        <v>0.73590999999999995</v>
      </c>
      <c r="K118" s="7">
        <v>0.86450000000000005</v>
      </c>
      <c r="L118" s="7">
        <v>0.94466000000000006</v>
      </c>
      <c r="M118" s="7">
        <v>0.95067999999999997</v>
      </c>
      <c r="N118" s="7">
        <v>0.94447000000000003</v>
      </c>
      <c r="O118" s="7">
        <v>0.89398</v>
      </c>
      <c r="P118" s="7">
        <v>0.81008999999999998</v>
      </c>
      <c r="Q118" s="7">
        <v>0.81918000000000002</v>
      </c>
      <c r="R118" s="7">
        <v>1.0161899999999999</v>
      </c>
      <c r="S118" s="7" t="s">
        <v>25</v>
      </c>
    </row>
    <row r="119" spans="1:19" ht="13.8" x14ac:dyDescent="0.3">
      <c r="A119" s="6" t="s">
        <v>138</v>
      </c>
      <c r="B119" s="5" t="s">
        <v>23</v>
      </c>
      <c r="C119" s="8" t="s">
        <v>25</v>
      </c>
      <c r="D119" s="8" t="s">
        <v>25</v>
      </c>
      <c r="E119" s="8">
        <v>9.1920000000000002E-2</v>
      </c>
      <c r="F119" s="8">
        <v>0.11673</v>
      </c>
      <c r="G119" s="8">
        <v>0.10985</v>
      </c>
      <c r="H119" s="8">
        <v>0.11201999999999999</v>
      </c>
      <c r="I119" s="8">
        <v>0.21209</v>
      </c>
      <c r="J119" s="8">
        <v>0.1925</v>
      </c>
      <c r="K119" s="8">
        <v>0.19664999999999999</v>
      </c>
      <c r="L119" s="8">
        <v>0.20599000000000001</v>
      </c>
      <c r="M119" s="8">
        <v>0.18958</v>
      </c>
      <c r="N119" s="8">
        <v>0.18192</v>
      </c>
      <c r="O119" s="8">
        <v>0.16750000000000001</v>
      </c>
      <c r="P119" s="8">
        <v>0.15298999999999999</v>
      </c>
      <c r="Q119" s="8">
        <v>0.14918000000000001</v>
      </c>
      <c r="R119" s="8">
        <v>0.19112999999999999</v>
      </c>
      <c r="S119" s="8">
        <v>3.4299999999999997E-2</v>
      </c>
    </row>
    <row r="120" spans="1:19" ht="13.8" x14ac:dyDescent="0.3">
      <c r="A120" s="6" t="s">
        <v>139</v>
      </c>
      <c r="B120" s="5" t="s">
        <v>23</v>
      </c>
      <c r="C120" s="7">
        <v>0.66539000000000004</v>
      </c>
      <c r="D120" s="7">
        <v>0.79674</v>
      </c>
      <c r="E120" s="7">
        <v>0.95474999999999999</v>
      </c>
      <c r="F120" s="7">
        <v>0.84767999999999999</v>
      </c>
      <c r="G120" s="7">
        <v>0.84162000000000003</v>
      </c>
      <c r="H120" s="7">
        <v>1.12897</v>
      </c>
      <c r="I120" s="7">
        <v>1.1756500000000001</v>
      </c>
      <c r="J120" s="7">
        <v>0.85557000000000005</v>
      </c>
      <c r="K120" s="7">
        <v>0.79869000000000001</v>
      </c>
      <c r="L120" s="7">
        <v>0.79213999999999996</v>
      </c>
      <c r="M120" s="7">
        <v>0.81615000000000004</v>
      </c>
      <c r="N120" s="7">
        <v>0.76105999999999996</v>
      </c>
      <c r="O120" s="7">
        <v>0.81532000000000004</v>
      </c>
      <c r="P120" s="7">
        <v>0.90895000000000004</v>
      </c>
      <c r="Q120" s="7">
        <v>0.88231999999999999</v>
      </c>
      <c r="R120" s="7" t="s">
        <v>25</v>
      </c>
      <c r="S120" s="7" t="s">
        <v>25</v>
      </c>
    </row>
    <row r="121" spans="1:19" ht="13.8" hidden="1" x14ac:dyDescent="0.3">
      <c r="A121" s="6" t="s">
        <v>140</v>
      </c>
      <c r="B121" s="5" t="s">
        <v>23</v>
      </c>
      <c r="C121" s="8" t="s">
        <v>25</v>
      </c>
      <c r="D121" s="8" t="s">
        <v>25</v>
      </c>
      <c r="E121" s="8" t="s">
        <v>25</v>
      </c>
      <c r="F121" s="8" t="s">
        <v>25</v>
      </c>
      <c r="G121" s="8" t="s">
        <v>25</v>
      </c>
      <c r="H121" s="8" t="s">
        <v>25</v>
      </c>
      <c r="I121" s="8" t="s">
        <v>25</v>
      </c>
      <c r="J121" s="8" t="s">
        <v>25</v>
      </c>
      <c r="K121" s="8" t="s">
        <v>25</v>
      </c>
      <c r="L121" s="8" t="s">
        <v>25</v>
      </c>
      <c r="M121" s="8" t="s">
        <v>25</v>
      </c>
      <c r="N121" s="8" t="s">
        <v>25</v>
      </c>
      <c r="O121" s="8" t="s">
        <v>25</v>
      </c>
      <c r="P121" s="8" t="s">
        <v>25</v>
      </c>
      <c r="Q121" s="8" t="s">
        <v>25</v>
      </c>
      <c r="R121" s="8" t="s">
        <v>25</v>
      </c>
      <c r="S121" s="8" t="s">
        <v>25</v>
      </c>
    </row>
    <row r="122" spans="1:19" ht="13.8" hidden="1" x14ac:dyDescent="0.3">
      <c r="A122" s="6" t="s">
        <v>141</v>
      </c>
      <c r="B122" s="5" t="s">
        <v>23</v>
      </c>
      <c r="C122" s="7" t="s">
        <v>25</v>
      </c>
      <c r="D122" s="7">
        <v>1.7840000000000002E-2</v>
      </c>
      <c r="E122" s="7" t="s">
        <v>25</v>
      </c>
      <c r="F122" s="7" t="s">
        <v>25</v>
      </c>
      <c r="G122" s="7" t="s">
        <v>25</v>
      </c>
      <c r="H122" s="7" t="s">
        <v>25</v>
      </c>
      <c r="I122" s="7" t="s">
        <v>25</v>
      </c>
      <c r="J122" s="7" t="s">
        <v>25</v>
      </c>
      <c r="K122" s="7" t="s">
        <v>25</v>
      </c>
      <c r="L122" s="7" t="s">
        <v>25</v>
      </c>
      <c r="M122" s="7" t="s">
        <v>25</v>
      </c>
      <c r="N122" s="7">
        <v>1.7160000000000002E-2</v>
      </c>
      <c r="O122" s="7" t="s">
        <v>25</v>
      </c>
      <c r="P122" s="7" t="s">
        <v>25</v>
      </c>
      <c r="Q122" s="7" t="s">
        <v>25</v>
      </c>
      <c r="R122" s="7" t="s">
        <v>25</v>
      </c>
      <c r="S122" s="7" t="s">
        <v>25</v>
      </c>
    </row>
    <row r="123" spans="1:19" ht="13.8" hidden="1" x14ac:dyDescent="0.3">
      <c r="A123" s="6" t="s">
        <v>142</v>
      </c>
      <c r="B123" s="5" t="s">
        <v>23</v>
      </c>
      <c r="C123" s="8" t="s">
        <v>25</v>
      </c>
      <c r="D123" s="8" t="s">
        <v>25</v>
      </c>
      <c r="E123" s="8" t="s">
        <v>25</v>
      </c>
      <c r="F123" s="8" t="s">
        <v>25</v>
      </c>
      <c r="G123" s="8" t="s">
        <v>25</v>
      </c>
      <c r="H123" s="8" t="s">
        <v>25</v>
      </c>
      <c r="I123" s="8" t="s">
        <v>25</v>
      </c>
      <c r="J123" s="8" t="s">
        <v>25</v>
      </c>
      <c r="K123" s="8">
        <v>0.33773999999999998</v>
      </c>
      <c r="L123" s="8">
        <v>1.16187</v>
      </c>
      <c r="M123" s="8" t="s">
        <v>25</v>
      </c>
      <c r="N123" s="8" t="s">
        <v>25</v>
      </c>
      <c r="O123" s="8" t="s">
        <v>25</v>
      </c>
      <c r="P123" s="8" t="s">
        <v>25</v>
      </c>
      <c r="Q123" s="8">
        <v>0.26340000000000002</v>
      </c>
      <c r="R123" s="8" t="s">
        <v>25</v>
      </c>
      <c r="S123" s="8" t="s">
        <v>25</v>
      </c>
    </row>
    <row r="124" spans="1:19" ht="13.8" hidden="1" x14ac:dyDescent="0.3">
      <c r="A124" s="6" t="s">
        <v>143</v>
      </c>
      <c r="B124" s="5" t="s">
        <v>23</v>
      </c>
      <c r="C124" s="7" t="s">
        <v>25</v>
      </c>
      <c r="D124" s="7" t="s">
        <v>25</v>
      </c>
      <c r="E124" s="7" t="s">
        <v>25</v>
      </c>
      <c r="F124" s="7" t="s">
        <v>25</v>
      </c>
      <c r="G124" s="7" t="s">
        <v>25</v>
      </c>
      <c r="H124" s="7" t="s">
        <v>25</v>
      </c>
      <c r="I124" s="7" t="s">
        <v>25</v>
      </c>
      <c r="J124" s="7" t="s">
        <v>25</v>
      </c>
      <c r="K124" s="7" t="s">
        <v>25</v>
      </c>
      <c r="L124" s="7" t="s">
        <v>25</v>
      </c>
      <c r="M124" s="7" t="s">
        <v>25</v>
      </c>
      <c r="N124" s="7" t="s">
        <v>25</v>
      </c>
      <c r="O124" s="7" t="s">
        <v>25</v>
      </c>
      <c r="P124" s="7" t="s">
        <v>25</v>
      </c>
      <c r="Q124" s="7" t="s">
        <v>25</v>
      </c>
      <c r="R124" s="7" t="s">
        <v>25</v>
      </c>
      <c r="S124" s="7" t="s">
        <v>25</v>
      </c>
    </row>
    <row r="125" spans="1:19" ht="13.8" hidden="1" x14ac:dyDescent="0.3">
      <c r="A125" s="6" t="s">
        <v>144</v>
      </c>
      <c r="B125" s="5" t="s">
        <v>23</v>
      </c>
      <c r="C125" s="8">
        <v>0.13322000000000001</v>
      </c>
      <c r="D125" s="8">
        <v>0.14981</v>
      </c>
      <c r="E125" s="8" t="s">
        <v>25</v>
      </c>
      <c r="F125" s="8">
        <v>0.1804</v>
      </c>
      <c r="G125" s="8">
        <v>0.18249000000000001</v>
      </c>
      <c r="H125" s="8" t="s">
        <v>25</v>
      </c>
      <c r="I125" s="8" t="s">
        <v>25</v>
      </c>
      <c r="J125" s="8" t="s">
        <v>25</v>
      </c>
      <c r="K125" s="8" t="s">
        <v>25</v>
      </c>
      <c r="L125" s="8" t="s">
        <v>25</v>
      </c>
      <c r="M125" s="8" t="s">
        <v>25</v>
      </c>
      <c r="N125" s="8" t="s">
        <v>25</v>
      </c>
      <c r="O125" s="8" t="s">
        <v>25</v>
      </c>
      <c r="P125" s="8" t="s">
        <v>25</v>
      </c>
      <c r="Q125" s="8" t="s">
        <v>25</v>
      </c>
      <c r="R125" s="8" t="s">
        <v>25</v>
      </c>
      <c r="S125" s="8" t="s">
        <v>25</v>
      </c>
    </row>
    <row r="126" spans="1:19" ht="13.8" x14ac:dyDescent="0.3">
      <c r="A126" s="6" t="s">
        <v>145</v>
      </c>
      <c r="B126" s="5" t="s">
        <v>23</v>
      </c>
      <c r="C126" s="7">
        <v>0.55479000000000001</v>
      </c>
      <c r="D126" s="7">
        <v>0.51914000000000005</v>
      </c>
      <c r="E126" s="7">
        <v>0.72968999999999995</v>
      </c>
      <c r="F126" s="7">
        <v>0.68511</v>
      </c>
      <c r="G126" s="7">
        <v>0.69716</v>
      </c>
      <c r="H126" s="7">
        <v>0.62241999999999997</v>
      </c>
      <c r="I126" s="7" t="s">
        <v>25</v>
      </c>
      <c r="J126" s="7">
        <v>0.50431999999999999</v>
      </c>
      <c r="K126" s="7">
        <v>0.56381999999999999</v>
      </c>
      <c r="L126" s="7">
        <v>0.62773999999999996</v>
      </c>
      <c r="M126" s="7">
        <v>0.62017999999999995</v>
      </c>
      <c r="N126" s="7">
        <v>0.68876999999999999</v>
      </c>
      <c r="O126" s="7">
        <v>0.70021</v>
      </c>
      <c r="P126" s="7">
        <v>0.83281000000000005</v>
      </c>
      <c r="Q126" s="7">
        <v>0.82267999999999997</v>
      </c>
      <c r="R126" s="7" t="s">
        <v>25</v>
      </c>
      <c r="S126" s="7" t="s">
        <v>25</v>
      </c>
    </row>
    <row r="127" spans="1:19" ht="13.8" x14ac:dyDescent="0.3">
      <c r="A127" s="6" t="s">
        <v>146</v>
      </c>
      <c r="B127" s="5" t="s">
        <v>23</v>
      </c>
      <c r="C127" s="8" t="s">
        <v>25</v>
      </c>
      <c r="D127" s="8">
        <v>0.44808999999999999</v>
      </c>
      <c r="E127" s="8">
        <v>0.56606999999999996</v>
      </c>
      <c r="F127" s="8">
        <v>0.70011999999999996</v>
      </c>
      <c r="G127" s="8">
        <v>0.71072999999999997</v>
      </c>
      <c r="H127" s="8">
        <v>0.60209999999999997</v>
      </c>
      <c r="I127" s="8">
        <v>0.55645</v>
      </c>
      <c r="J127" s="8">
        <v>0.55042999999999997</v>
      </c>
      <c r="K127" s="8">
        <v>0.54779</v>
      </c>
      <c r="L127" s="8" t="s">
        <v>25</v>
      </c>
      <c r="M127" s="8">
        <v>0.46784999999999999</v>
      </c>
      <c r="N127" s="8">
        <v>0.49920999999999999</v>
      </c>
      <c r="O127" s="8">
        <v>0.52685999999999999</v>
      </c>
      <c r="P127" s="8">
        <v>0.53390000000000004</v>
      </c>
      <c r="Q127" s="8">
        <v>0.51146000000000003</v>
      </c>
      <c r="R127" s="8" t="s">
        <v>25</v>
      </c>
      <c r="S127" s="8" t="s">
        <v>25</v>
      </c>
    </row>
    <row r="128" spans="1:19" ht="13.8" hidden="1" x14ac:dyDescent="0.3">
      <c r="A128" s="6" t="s">
        <v>147</v>
      </c>
      <c r="B128" s="5" t="s">
        <v>23</v>
      </c>
      <c r="C128" s="7" t="s">
        <v>25</v>
      </c>
      <c r="D128" s="7">
        <v>1.1259999999999999E-2</v>
      </c>
      <c r="E128" s="7">
        <v>7.1300000000000001E-3</v>
      </c>
      <c r="F128" s="7" t="s">
        <v>25</v>
      </c>
      <c r="G128" s="7">
        <v>6.6899999999999998E-3</v>
      </c>
      <c r="H128" s="7" t="s">
        <v>25</v>
      </c>
      <c r="I128" s="7" t="s">
        <v>25</v>
      </c>
      <c r="J128" s="7" t="s">
        <v>25</v>
      </c>
      <c r="K128" s="7" t="s">
        <v>25</v>
      </c>
      <c r="L128" s="7" t="s">
        <v>25</v>
      </c>
      <c r="M128" s="7" t="s">
        <v>25</v>
      </c>
      <c r="N128" s="7" t="s">
        <v>25</v>
      </c>
      <c r="O128" s="7" t="s">
        <v>25</v>
      </c>
      <c r="P128" s="7" t="s">
        <v>25</v>
      </c>
      <c r="Q128" s="7" t="s">
        <v>25</v>
      </c>
      <c r="R128" s="7" t="s">
        <v>25</v>
      </c>
      <c r="S128" s="7" t="s">
        <v>25</v>
      </c>
    </row>
    <row r="129" spans="1:19" ht="13.8" hidden="1" x14ac:dyDescent="0.3">
      <c r="A129" s="6" t="s">
        <v>148</v>
      </c>
      <c r="B129" s="5" t="s">
        <v>23</v>
      </c>
      <c r="C129" s="8" t="s">
        <v>25</v>
      </c>
      <c r="D129" s="8" t="s">
        <v>25</v>
      </c>
      <c r="E129" s="8" t="s">
        <v>25</v>
      </c>
      <c r="F129" s="8" t="s">
        <v>25</v>
      </c>
      <c r="G129" s="8">
        <v>7.2899999999999996E-3</v>
      </c>
      <c r="H129" s="8" t="s">
        <v>25</v>
      </c>
      <c r="I129" s="8" t="s">
        <v>25</v>
      </c>
      <c r="J129" s="8" t="s">
        <v>25</v>
      </c>
      <c r="K129" s="8" t="s">
        <v>25</v>
      </c>
      <c r="L129" s="8" t="s">
        <v>25</v>
      </c>
      <c r="M129" s="8" t="s">
        <v>25</v>
      </c>
      <c r="N129" s="8" t="s">
        <v>25</v>
      </c>
      <c r="O129" s="8" t="s">
        <v>25</v>
      </c>
      <c r="P129" s="8" t="s">
        <v>25</v>
      </c>
      <c r="Q129" s="8" t="s">
        <v>25</v>
      </c>
      <c r="R129" s="8" t="s">
        <v>25</v>
      </c>
      <c r="S129" s="8" t="s">
        <v>25</v>
      </c>
    </row>
    <row r="130" spans="1:19" ht="13.8" x14ac:dyDescent="0.3">
      <c r="A130" s="6" t="s">
        <v>149</v>
      </c>
      <c r="B130" s="5" t="s">
        <v>23</v>
      </c>
      <c r="C130" s="7">
        <v>6.5600000000000006E-2</v>
      </c>
      <c r="D130" s="7">
        <v>6.4210000000000003E-2</v>
      </c>
      <c r="E130" s="7">
        <v>7.0949999999999999E-2</v>
      </c>
      <c r="F130" s="7">
        <v>5.842E-2</v>
      </c>
      <c r="G130" s="7">
        <v>9.6420000000000006E-2</v>
      </c>
      <c r="H130" s="7">
        <v>0.19958999999999999</v>
      </c>
      <c r="I130" s="7">
        <v>0.17115</v>
      </c>
      <c r="J130" s="7">
        <v>0.17463999999999999</v>
      </c>
      <c r="K130" s="7">
        <v>0.15196999999999999</v>
      </c>
      <c r="L130" s="7">
        <v>0.16142000000000001</v>
      </c>
      <c r="M130" s="7">
        <v>0.14957000000000001</v>
      </c>
      <c r="N130" s="7">
        <v>0.14362</v>
      </c>
      <c r="O130" s="7">
        <v>0.13413</v>
      </c>
      <c r="P130" s="7">
        <v>0.13374</v>
      </c>
      <c r="Q130" s="7" t="s">
        <v>25</v>
      </c>
      <c r="R130" s="7">
        <v>0.14510000000000001</v>
      </c>
      <c r="S130" s="7">
        <v>0.12168</v>
      </c>
    </row>
    <row r="131" spans="1:19" ht="13.8" x14ac:dyDescent="0.3">
      <c r="A131" s="6" t="s">
        <v>150</v>
      </c>
      <c r="B131" s="5" t="s">
        <v>23</v>
      </c>
      <c r="C131" s="8" t="s">
        <v>25</v>
      </c>
      <c r="D131" s="8">
        <v>0.43567</v>
      </c>
      <c r="E131" s="8">
        <v>0.74656999999999996</v>
      </c>
      <c r="F131" s="8">
        <v>0.52144000000000001</v>
      </c>
      <c r="G131" s="8">
        <v>0.45862999999999998</v>
      </c>
      <c r="H131" s="8">
        <v>0.45179000000000002</v>
      </c>
      <c r="I131" s="8">
        <v>0.44349</v>
      </c>
      <c r="J131" s="8">
        <v>0.41125</v>
      </c>
      <c r="K131" s="8">
        <v>0.51337999999999995</v>
      </c>
      <c r="L131" s="8">
        <v>1.0201</v>
      </c>
      <c r="M131" s="8">
        <v>0.73702999999999996</v>
      </c>
      <c r="N131" s="8">
        <v>0.40608</v>
      </c>
      <c r="O131" s="8">
        <v>0.78520000000000001</v>
      </c>
      <c r="P131" s="8" t="s">
        <v>25</v>
      </c>
      <c r="Q131" s="8">
        <v>0.74200999999999995</v>
      </c>
      <c r="R131" s="8" t="s">
        <v>25</v>
      </c>
      <c r="S131" s="8">
        <v>0.17455000000000001</v>
      </c>
    </row>
    <row r="132" spans="1:19" ht="13.8" x14ac:dyDescent="0.3">
      <c r="A132" s="6" t="s">
        <v>151</v>
      </c>
      <c r="B132" s="5" t="s">
        <v>23</v>
      </c>
      <c r="C132" s="7" t="s">
        <v>25</v>
      </c>
      <c r="D132" s="7">
        <v>4.768E-2</v>
      </c>
      <c r="E132" s="7">
        <v>3.6260000000000001E-2</v>
      </c>
      <c r="F132" s="7">
        <v>6.9199999999999999E-3</v>
      </c>
      <c r="G132" s="7">
        <v>1.107E-2</v>
      </c>
      <c r="H132" s="7">
        <v>1.193E-2</v>
      </c>
      <c r="I132" s="7">
        <v>1.044E-2</v>
      </c>
      <c r="J132" s="7">
        <v>8.5299999999999994E-3</v>
      </c>
      <c r="K132" s="7">
        <v>1.2030000000000001E-2</v>
      </c>
      <c r="L132" s="7">
        <v>9.92E-3</v>
      </c>
      <c r="M132" s="7">
        <v>1.333E-2</v>
      </c>
      <c r="N132" s="7">
        <v>9.5399999999999999E-3</v>
      </c>
      <c r="O132" s="7">
        <v>3.5360000000000003E-2</v>
      </c>
      <c r="P132" s="7">
        <v>8.4899999999999993E-3</v>
      </c>
      <c r="Q132" s="7">
        <v>5.9199999999999999E-3</v>
      </c>
      <c r="R132" s="7" t="s">
        <v>25</v>
      </c>
      <c r="S132" s="7" t="s">
        <v>25</v>
      </c>
    </row>
    <row r="133" spans="1:19" ht="13.8" x14ac:dyDescent="0.3">
      <c r="A133" s="6" t="s">
        <v>152</v>
      </c>
      <c r="B133" s="5" t="s">
        <v>23</v>
      </c>
      <c r="C133" s="8">
        <v>0.35100999999999999</v>
      </c>
      <c r="D133" s="8">
        <v>0.35400999999999999</v>
      </c>
      <c r="E133" s="8">
        <v>0.35488999999999998</v>
      </c>
      <c r="F133" s="8">
        <v>0.46118999999999999</v>
      </c>
      <c r="G133" s="8">
        <v>0.40814</v>
      </c>
      <c r="H133" s="8">
        <v>0.44824000000000003</v>
      </c>
      <c r="I133" s="8">
        <v>0.42337999999999998</v>
      </c>
      <c r="J133" s="8">
        <v>0.50536999999999999</v>
      </c>
      <c r="K133" s="8">
        <v>0.48744999999999999</v>
      </c>
      <c r="L133" s="8">
        <v>0.36642999999999998</v>
      </c>
      <c r="M133" s="8">
        <v>0.33185999999999999</v>
      </c>
      <c r="N133" s="8" t="s">
        <v>25</v>
      </c>
      <c r="O133" s="8">
        <v>0.36191000000000001</v>
      </c>
      <c r="P133" s="8" t="s">
        <v>25</v>
      </c>
      <c r="Q133" s="8">
        <v>0.39240000000000003</v>
      </c>
      <c r="R133" s="8" t="s">
        <v>25</v>
      </c>
      <c r="S133" s="8" t="s">
        <v>25</v>
      </c>
    </row>
    <row r="134" spans="1:19" ht="13.8" hidden="1" x14ac:dyDescent="0.3">
      <c r="A134" s="6" t="s">
        <v>153</v>
      </c>
      <c r="B134" s="5" t="s">
        <v>23</v>
      </c>
      <c r="C134" s="7" t="s">
        <v>25</v>
      </c>
      <c r="D134" s="7" t="s">
        <v>25</v>
      </c>
      <c r="E134" s="7" t="s">
        <v>25</v>
      </c>
      <c r="F134" s="7" t="s">
        <v>25</v>
      </c>
      <c r="G134" s="7" t="s">
        <v>25</v>
      </c>
      <c r="H134" s="7" t="s">
        <v>25</v>
      </c>
      <c r="I134" s="7" t="s">
        <v>25</v>
      </c>
      <c r="J134" s="7" t="s">
        <v>25</v>
      </c>
      <c r="K134" s="7" t="s">
        <v>25</v>
      </c>
      <c r="L134" s="7" t="s">
        <v>25</v>
      </c>
      <c r="M134" s="7" t="s">
        <v>25</v>
      </c>
      <c r="N134" s="7" t="s">
        <v>25</v>
      </c>
      <c r="O134" s="7">
        <v>0.68093999999999999</v>
      </c>
      <c r="P134" s="7" t="s">
        <v>25</v>
      </c>
      <c r="Q134" s="7" t="s">
        <v>25</v>
      </c>
      <c r="R134" s="7">
        <v>0.65312999999999999</v>
      </c>
      <c r="S134" s="7" t="s">
        <v>25</v>
      </c>
    </row>
    <row r="135" spans="1:19" ht="13.8" hidden="1" x14ac:dyDescent="0.3">
      <c r="A135" s="6" t="s">
        <v>154</v>
      </c>
      <c r="B135" s="5" t="s">
        <v>23</v>
      </c>
      <c r="C135" s="8" t="s">
        <v>25</v>
      </c>
      <c r="D135" s="8" t="s">
        <v>25</v>
      </c>
      <c r="E135" s="8" t="s">
        <v>25</v>
      </c>
      <c r="F135" s="8" t="s">
        <v>25</v>
      </c>
      <c r="G135" s="8" t="s">
        <v>25</v>
      </c>
      <c r="H135" s="8" t="s">
        <v>25</v>
      </c>
      <c r="I135" s="8" t="s">
        <v>25</v>
      </c>
      <c r="J135" s="8" t="s">
        <v>25</v>
      </c>
      <c r="K135" s="8" t="s">
        <v>25</v>
      </c>
      <c r="L135" s="8" t="s">
        <v>25</v>
      </c>
      <c r="M135" s="8" t="s">
        <v>25</v>
      </c>
      <c r="N135" s="8" t="s">
        <v>25</v>
      </c>
      <c r="O135" s="8" t="s">
        <v>25</v>
      </c>
      <c r="P135" s="8" t="s">
        <v>25</v>
      </c>
      <c r="Q135" s="8" t="s">
        <v>25</v>
      </c>
      <c r="R135" s="8" t="s">
        <v>25</v>
      </c>
      <c r="S135" s="8" t="s">
        <v>25</v>
      </c>
    </row>
    <row r="136" spans="1:19" ht="13.8" hidden="1" x14ac:dyDescent="0.3">
      <c r="A136" s="6" t="s">
        <v>155</v>
      </c>
      <c r="B136" s="5" t="s">
        <v>23</v>
      </c>
      <c r="C136" s="7" t="s">
        <v>25</v>
      </c>
      <c r="D136" s="7">
        <v>7.26E-3</v>
      </c>
      <c r="E136" s="7" t="s">
        <v>25</v>
      </c>
      <c r="F136" s="7">
        <v>1.4999999999999999E-2</v>
      </c>
      <c r="G136" s="7" t="s">
        <v>25</v>
      </c>
      <c r="H136" s="7" t="s">
        <v>25</v>
      </c>
      <c r="I136" s="7" t="s">
        <v>25</v>
      </c>
      <c r="J136" s="7" t="s">
        <v>25</v>
      </c>
      <c r="K136" s="7" t="s">
        <v>25</v>
      </c>
      <c r="L136" s="7">
        <v>9.7199999999999995E-3</v>
      </c>
      <c r="M136" s="7" t="s">
        <v>25</v>
      </c>
      <c r="N136" s="7" t="s">
        <v>25</v>
      </c>
      <c r="O136" s="7">
        <v>3.0599999999999999E-2</v>
      </c>
      <c r="P136" s="7">
        <v>2.9180000000000001E-2</v>
      </c>
      <c r="Q136" s="7">
        <v>2.7449999999999999E-2</v>
      </c>
      <c r="R136" s="7" t="s">
        <v>25</v>
      </c>
      <c r="S136" s="7" t="s">
        <v>25</v>
      </c>
    </row>
    <row r="137" spans="1:19" ht="13.8" x14ac:dyDescent="0.3">
      <c r="A137" s="6" t="s">
        <v>156</v>
      </c>
      <c r="B137" s="5" t="s">
        <v>23</v>
      </c>
      <c r="C137" s="8" t="s">
        <v>25</v>
      </c>
      <c r="D137" s="8">
        <v>4.1570000000000003E-2</v>
      </c>
      <c r="E137" s="8">
        <v>4.5560000000000003E-2</v>
      </c>
      <c r="F137" s="8">
        <v>4.9070000000000003E-2</v>
      </c>
      <c r="G137" s="8">
        <v>4.7570000000000001E-2</v>
      </c>
      <c r="H137" s="8">
        <v>5.4039999999999998E-2</v>
      </c>
      <c r="I137" s="8">
        <v>6.0170000000000001E-2</v>
      </c>
      <c r="J137" s="8" t="s">
        <v>25</v>
      </c>
      <c r="K137" s="8">
        <v>5.6070000000000002E-2</v>
      </c>
      <c r="L137" s="8">
        <v>6.0130000000000003E-2</v>
      </c>
      <c r="M137" s="8">
        <v>5.7970000000000001E-2</v>
      </c>
      <c r="N137" s="8">
        <v>5.79E-2</v>
      </c>
      <c r="O137" s="8">
        <v>5.781E-2</v>
      </c>
      <c r="P137" s="8">
        <v>5.9279999999999999E-2</v>
      </c>
      <c r="Q137" s="8">
        <v>6.8390000000000006E-2</v>
      </c>
      <c r="R137" s="8">
        <v>7.1139999999999995E-2</v>
      </c>
      <c r="S137" s="8">
        <v>7.3020000000000002E-2</v>
      </c>
    </row>
    <row r="138" spans="1:19" ht="13.8" hidden="1" x14ac:dyDescent="0.3">
      <c r="A138" s="6" t="s">
        <v>157</v>
      </c>
      <c r="B138" s="5" t="s">
        <v>23</v>
      </c>
      <c r="C138" s="7" t="s">
        <v>25</v>
      </c>
      <c r="D138" s="7" t="s">
        <v>25</v>
      </c>
      <c r="E138" s="7" t="s">
        <v>25</v>
      </c>
      <c r="F138" s="7" t="s">
        <v>25</v>
      </c>
      <c r="G138" s="7" t="s">
        <v>25</v>
      </c>
      <c r="H138" s="7" t="s">
        <v>25</v>
      </c>
      <c r="I138" s="7" t="s">
        <v>25</v>
      </c>
      <c r="J138" s="7" t="s">
        <v>25</v>
      </c>
      <c r="K138" s="7" t="s">
        <v>25</v>
      </c>
      <c r="L138" s="7" t="s">
        <v>25</v>
      </c>
      <c r="M138" s="7" t="s">
        <v>25</v>
      </c>
      <c r="N138" s="7" t="s">
        <v>25</v>
      </c>
      <c r="O138" s="7" t="s">
        <v>25</v>
      </c>
      <c r="P138" s="7" t="s">
        <v>25</v>
      </c>
      <c r="Q138" s="7" t="s">
        <v>25</v>
      </c>
      <c r="R138" s="7" t="s">
        <v>25</v>
      </c>
      <c r="S138" s="7" t="s">
        <v>25</v>
      </c>
    </row>
    <row r="139" spans="1:19" ht="13.8" hidden="1" x14ac:dyDescent="0.3">
      <c r="A139" s="6" t="s">
        <v>158</v>
      </c>
      <c r="B139" s="5" t="s">
        <v>23</v>
      </c>
      <c r="C139" s="8">
        <v>0.48044999999999999</v>
      </c>
      <c r="D139" s="8">
        <v>0.55206999999999995</v>
      </c>
      <c r="E139" s="8">
        <v>0.49403000000000002</v>
      </c>
      <c r="F139" s="8">
        <v>0.50356999999999996</v>
      </c>
      <c r="G139" s="8">
        <v>0.50888</v>
      </c>
      <c r="H139" s="8" t="s">
        <v>25</v>
      </c>
      <c r="I139" s="8" t="s">
        <v>25</v>
      </c>
      <c r="J139" s="8" t="s">
        <v>25</v>
      </c>
      <c r="K139" s="8" t="s">
        <v>25</v>
      </c>
      <c r="L139" s="8" t="s">
        <v>25</v>
      </c>
      <c r="M139" s="8" t="s">
        <v>25</v>
      </c>
      <c r="N139" s="8" t="s">
        <v>25</v>
      </c>
      <c r="O139" s="8" t="s">
        <v>25</v>
      </c>
      <c r="P139" s="8">
        <v>0.47741</v>
      </c>
      <c r="Q139" s="8" t="s">
        <v>25</v>
      </c>
      <c r="R139" s="8" t="s">
        <v>25</v>
      </c>
      <c r="S139" s="8" t="s">
        <v>25</v>
      </c>
    </row>
    <row r="140" spans="1:19" ht="13.8" hidden="1" x14ac:dyDescent="0.3">
      <c r="A140" s="6" t="s">
        <v>159</v>
      </c>
      <c r="B140" s="5" t="s">
        <v>23</v>
      </c>
      <c r="C140" s="7" t="s">
        <v>25</v>
      </c>
      <c r="D140" s="7" t="s">
        <v>25</v>
      </c>
      <c r="E140" s="7" t="s">
        <v>25</v>
      </c>
      <c r="F140" s="7" t="s">
        <v>25</v>
      </c>
      <c r="G140" s="7" t="s">
        <v>25</v>
      </c>
      <c r="H140" s="7" t="s">
        <v>25</v>
      </c>
      <c r="I140" s="7" t="s">
        <v>25</v>
      </c>
      <c r="J140" s="7" t="s">
        <v>25</v>
      </c>
      <c r="K140" s="7" t="s">
        <v>25</v>
      </c>
      <c r="L140" s="7" t="s">
        <v>25</v>
      </c>
      <c r="M140" s="7" t="s">
        <v>25</v>
      </c>
      <c r="N140" s="7" t="s">
        <v>25</v>
      </c>
      <c r="O140" s="7" t="s">
        <v>25</v>
      </c>
      <c r="P140" s="7" t="s">
        <v>25</v>
      </c>
      <c r="Q140" s="7" t="s">
        <v>25</v>
      </c>
      <c r="R140" s="7" t="s">
        <v>25</v>
      </c>
      <c r="S140" s="7" t="s">
        <v>25</v>
      </c>
    </row>
    <row r="141" spans="1:19" ht="13.8" x14ac:dyDescent="0.3">
      <c r="A141" s="6" t="s">
        <v>160</v>
      </c>
      <c r="B141" s="5" t="s">
        <v>23</v>
      </c>
      <c r="C141" s="8" t="s">
        <v>25</v>
      </c>
      <c r="D141" s="8" t="s">
        <v>25</v>
      </c>
      <c r="E141" s="8">
        <v>4.9790000000000001E-2</v>
      </c>
      <c r="F141" s="8">
        <v>4.1730000000000003E-2</v>
      </c>
      <c r="G141" s="8">
        <v>4.0750000000000001E-2</v>
      </c>
      <c r="H141" s="8">
        <v>4.3950000000000003E-2</v>
      </c>
      <c r="I141" s="8">
        <v>3.977E-2</v>
      </c>
      <c r="J141" s="8">
        <v>3.7089999999999998E-2</v>
      </c>
      <c r="K141" s="8" t="s">
        <v>25</v>
      </c>
      <c r="L141" s="8">
        <v>4.1110000000000001E-2</v>
      </c>
      <c r="M141" s="8" t="s">
        <v>25</v>
      </c>
      <c r="N141" s="8" t="s">
        <v>25</v>
      </c>
      <c r="O141" s="8">
        <v>6.0109999999999997E-2</v>
      </c>
      <c r="P141" s="8" t="s">
        <v>25</v>
      </c>
      <c r="Q141" s="8">
        <v>0.14155999999999999</v>
      </c>
      <c r="R141" s="8">
        <v>0.15054999999999999</v>
      </c>
      <c r="S141" s="8" t="s">
        <v>25</v>
      </c>
    </row>
    <row r="142" spans="1:19" ht="13.8" x14ac:dyDescent="0.3">
      <c r="A142" s="6" t="s">
        <v>161</v>
      </c>
      <c r="B142" s="5" t="s">
        <v>23</v>
      </c>
      <c r="C142" s="7">
        <v>0.92386999999999997</v>
      </c>
      <c r="D142" s="7" t="s">
        <v>25</v>
      </c>
      <c r="E142" s="7">
        <v>1.04487</v>
      </c>
      <c r="F142" s="7">
        <v>1.02108</v>
      </c>
      <c r="G142" s="7">
        <v>1.09476</v>
      </c>
      <c r="H142" s="7">
        <v>0.98858000000000001</v>
      </c>
      <c r="I142" s="7">
        <v>1.0058199999999999</v>
      </c>
      <c r="J142" s="7">
        <v>1.00156</v>
      </c>
      <c r="K142" s="7">
        <v>1.04959</v>
      </c>
      <c r="L142" s="7">
        <v>1.1081099999999999</v>
      </c>
      <c r="M142" s="7">
        <v>1.01301</v>
      </c>
      <c r="N142" s="7">
        <v>0.99561999999999995</v>
      </c>
      <c r="O142" s="7">
        <v>0.97174000000000005</v>
      </c>
      <c r="P142" s="7">
        <v>1.27359</v>
      </c>
      <c r="Q142" s="7">
        <v>0.98609999999999998</v>
      </c>
      <c r="R142" s="7">
        <v>1.2510300000000001</v>
      </c>
      <c r="S142" s="7">
        <v>0.90959000000000001</v>
      </c>
    </row>
    <row r="143" spans="1:19" ht="13.8" hidden="1" x14ac:dyDescent="0.3">
      <c r="A143" s="6" t="s">
        <v>162</v>
      </c>
      <c r="B143" s="5" t="s">
        <v>23</v>
      </c>
      <c r="C143" s="8" t="s">
        <v>25</v>
      </c>
      <c r="D143" s="8" t="s">
        <v>25</v>
      </c>
      <c r="E143" s="8" t="s">
        <v>25</v>
      </c>
      <c r="F143" s="8" t="s">
        <v>25</v>
      </c>
      <c r="G143" s="8" t="s">
        <v>25</v>
      </c>
      <c r="H143" s="8" t="s">
        <v>25</v>
      </c>
      <c r="I143" s="8" t="s">
        <v>25</v>
      </c>
      <c r="J143" s="8" t="s">
        <v>25</v>
      </c>
      <c r="K143" s="8" t="s">
        <v>25</v>
      </c>
      <c r="L143" s="8" t="s">
        <v>25</v>
      </c>
      <c r="M143" s="8" t="s">
        <v>25</v>
      </c>
      <c r="N143" s="8" t="s">
        <v>25</v>
      </c>
      <c r="O143" s="8" t="s">
        <v>25</v>
      </c>
      <c r="P143" s="8" t="s">
        <v>25</v>
      </c>
      <c r="Q143" s="8" t="s">
        <v>25</v>
      </c>
      <c r="R143" s="8" t="s">
        <v>25</v>
      </c>
      <c r="S143" s="8" t="s">
        <v>25</v>
      </c>
    </row>
    <row r="144" spans="1:19" ht="13.8" x14ac:dyDescent="0.3">
      <c r="A144" s="6" t="s">
        <v>163</v>
      </c>
      <c r="B144" s="5" t="s">
        <v>23</v>
      </c>
      <c r="C144" s="7" t="s">
        <v>25</v>
      </c>
      <c r="D144" s="7" t="s">
        <v>25</v>
      </c>
      <c r="E144" s="7" t="s">
        <v>25</v>
      </c>
      <c r="F144" s="7" t="s">
        <v>25</v>
      </c>
      <c r="G144" s="7">
        <v>0.40769</v>
      </c>
      <c r="H144" s="7">
        <v>0.45168999999999998</v>
      </c>
      <c r="I144" s="7">
        <v>0.48630000000000001</v>
      </c>
      <c r="J144" s="7">
        <v>0.51183000000000001</v>
      </c>
      <c r="K144" s="7">
        <v>0.50971</v>
      </c>
      <c r="L144" s="7">
        <v>0.49735000000000001</v>
      </c>
      <c r="M144" s="7">
        <v>0.54208999999999996</v>
      </c>
      <c r="N144" s="7">
        <v>0.50978000000000001</v>
      </c>
      <c r="O144" s="7">
        <v>0.58448999999999995</v>
      </c>
      <c r="P144" s="7">
        <v>0.56821999999999995</v>
      </c>
      <c r="Q144" s="7">
        <v>0.56244000000000005</v>
      </c>
      <c r="R144" s="7">
        <v>0.53774999999999995</v>
      </c>
      <c r="S144" s="7" t="s">
        <v>25</v>
      </c>
    </row>
    <row r="145" spans="1:19" ht="13.8" hidden="1" x14ac:dyDescent="0.3">
      <c r="A145" s="6" t="s">
        <v>164</v>
      </c>
      <c r="B145" s="5" t="s">
        <v>23</v>
      </c>
      <c r="C145" s="8" t="s">
        <v>25</v>
      </c>
      <c r="D145" s="8" t="s">
        <v>25</v>
      </c>
      <c r="E145" s="8" t="s">
        <v>25</v>
      </c>
      <c r="F145" s="8" t="s">
        <v>25</v>
      </c>
      <c r="G145" s="8" t="s">
        <v>25</v>
      </c>
      <c r="H145" s="8" t="s">
        <v>25</v>
      </c>
      <c r="I145" s="8" t="s">
        <v>25</v>
      </c>
      <c r="J145" s="8" t="s">
        <v>25</v>
      </c>
      <c r="K145" s="8" t="s">
        <v>25</v>
      </c>
      <c r="L145" s="8" t="s">
        <v>25</v>
      </c>
      <c r="M145" s="8" t="s">
        <v>25</v>
      </c>
      <c r="N145" s="8" t="s">
        <v>25</v>
      </c>
      <c r="O145" s="8" t="s">
        <v>25</v>
      </c>
      <c r="P145" s="8" t="s">
        <v>25</v>
      </c>
      <c r="Q145" s="8" t="s">
        <v>25</v>
      </c>
      <c r="R145" s="8" t="s">
        <v>25</v>
      </c>
      <c r="S145" s="8" t="s">
        <v>25</v>
      </c>
    </row>
    <row r="146" spans="1:19" ht="13.8" hidden="1" x14ac:dyDescent="0.3">
      <c r="A146" s="6" t="s">
        <v>165</v>
      </c>
      <c r="B146" s="5" t="s">
        <v>23</v>
      </c>
      <c r="C146" s="7" t="s">
        <v>25</v>
      </c>
      <c r="D146" s="7" t="s">
        <v>25</v>
      </c>
      <c r="E146" s="7" t="s">
        <v>25</v>
      </c>
      <c r="F146" s="7" t="s">
        <v>25</v>
      </c>
      <c r="G146" s="7" t="s">
        <v>25</v>
      </c>
      <c r="H146" s="7" t="s">
        <v>25</v>
      </c>
      <c r="I146" s="7" t="s">
        <v>25</v>
      </c>
      <c r="J146" s="7" t="s">
        <v>25</v>
      </c>
      <c r="K146" s="7" t="s">
        <v>25</v>
      </c>
      <c r="L146" s="7" t="s">
        <v>25</v>
      </c>
      <c r="M146" s="7" t="s">
        <v>25</v>
      </c>
      <c r="N146" s="7" t="s">
        <v>25</v>
      </c>
      <c r="O146" s="7" t="s">
        <v>25</v>
      </c>
      <c r="P146" s="7" t="s">
        <v>25</v>
      </c>
      <c r="Q146" s="7" t="s">
        <v>25</v>
      </c>
      <c r="R146" s="7" t="s">
        <v>25</v>
      </c>
      <c r="S146" s="7" t="s">
        <v>25</v>
      </c>
    </row>
    <row r="147" spans="1:19" ht="13.8" hidden="1" x14ac:dyDescent="0.3">
      <c r="A147" s="6" t="s">
        <v>166</v>
      </c>
      <c r="B147" s="5" t="s">
        <v>23</v>
      </c>
      <c r="C147" s="8" t="s">
        <v>25</v>
      </c>
      <c r="D147" s="8" t="s">
        <v>25</v>
      </c>
      <c r="E147" s="8" t="s">
        <v>25</v>
      </c>
      <c r="F147" s="8" t="s">
        <v>25</v>
      </c>
      <c r="G147" s="8" t="s">
        <v>25</v>
      </c>
      <c r="H147" s="8" t="s">
        <v>25</v>
      </c>
      <c r="I147" s="8" t="s">
        <v>25</v>
      </c>
      <c r="J147" s="8" t="s">
        <v>25</v>
      </c>
      <c r="K147" s="8" t="s">
        <v>25</v>
      </c>
      <c r="L147" s="8" t="s">
        <v>25</v>
      </c>
      <c r="M147" s="8">
        <v>1.074E-2</v>
      </c>
      <c r="N147" s="8" t="s">
        <v>25</v>
      </c>
      <c r="O147" s="8" t="s">
        <v>25</v>
      </c>
      <c r="P147" s="8" t="s">
        <v>25</v>
      </c>
      <c r="Q147" s="8" t="s">
        <v>25</v>
      </c>
      <c r="R147" s="8" t="s">
        <v>25</v>
      </c>
      <c r="S147" s="8" t="s">
        <v>25</v>
      </c>
    </row>
    <row r="148" spans="1:19" ht="13.8" hidden="1" x14ac:dyDescent="0.3">
      <c r="A148" s="6" t="s">
        <v>167</v>
      </c>
      <c r="B148" s="5" t="s">
        <v>23</v>
      </c>
      <c r="C148" s="7" t="s">
        <v>25</v>
      </c>
      <c r="D148" s="7">
        <v>2.5579999999999999E-2</v>
      </c>
      <c r="E148" s="7" t="s">
        <v>25</v>
      </c>
      <c r="F148" s="7" t="s">
        <v>25</v>
      </c>
      <c r="G148" s="7" t="s">
        <v>25</v>
      </c>
      <c r="H148" s="7" t="s">
        <v>25</v>
      </c>
      <c r="I148" s="7" t="s">
        <v>25</v>
      </c>
      <c r="J148" s="7">
        <v>4.5909999999999999E-2</v>
      </c>
      <c r="K148" s="7" t="s">
        <v>25</v>
      </c>
      <c r="L148" s="7">
        <v>4.0829999999999998E-2</v>
      </c>
      <c r="M148" s="7">
        <v>3.78E-2</v>
      </c>
      <c r="N148" s="7" t="s">
        <v>25</v>
      </c>
      <c r="O148" s="7" t="s">
        <v>25</v>
      </c>
      <c r="P148" s="7" t="s">
        <v>25</v>
      </c>
      <c r="Q148" s="7" t="s">
        <v>25</v>
      </c>
      <c r="R148" s="7" t="s">
        <v>25</v>
      </c>
      <c r="S148" s="7" t="s">
        <v>25</v>
      </c>
    </row>
    <row r="149" spans="1:19" ht="13.8" hidden="1" x14ac:dyDescent="0.3">
      <c r="A149" s="6" t="s">
        <v>168</v>
      </c>
      <c r="B149" s="5" t="s">
        <v>23</v>
      </c>
      <c r="C149" s="8" t="s">
        <v>25</v>
      </c>
      <c r="D149" s="8" t="s">
        <v>25</v>
      </c>
      <c r="E149" s="8" t="s">
        <v>25</v>
      </c>
      <c r="F149" s="8" t="s">
        <v>25</v>
      </c>
      <c r="G149" s="8" t="s">
        <v>25</v>
      </c>
      <c r="H149" s="8" t="s">
        <v>25</v>
      </c>
      <c r="I149" s="8" t="s">
        <v>25</v>
      </c>
      <c r="J149" s="8" t="s">
        <v>25</v>
      </c>
      <c r="K149" s="8" t="s">
        <v>25</v>
      </c>
      <c r="L149" s="8" t="s">
        <v>25</v>
      </c>
      <c r="M149" s="8" t="s">
        <v>25</v>
      </c>
      <c r="N149" s="8" t="s">
        <v>25</v>
      </c>
      <c r="O149" s="8" t="s">
        <v>25</v>
      </c>
      <c r="P149" s="8" t="s">
        <v>25</v>
      </c>
      <c r="Q149" s="8" t="s">
        <v>25</v>
      </c>
      <c r="R149" s="8" t="s">
        <v>25</v>
      </c>
      <c r="S149" s="8" t="s">
        <v>25</v>
      </c>
    </row>
    <row r="150" spans="1:19" ht="13.8" x14ac:dyDescent="0.3">
      <c r="A150" s="6" t="s">
        <v>169</v>
      </c>
      <c r="B150" s="5" t="s">
        <v>23</v>
      </c>
      <c r="C150" s="7" t="s">
        <v>25</v>
      </c>
      <c r="D150" s="7" t="s">
        <v>25</v>
      </c>
      <c r="E150" s="7">
        <v>7.1550000000000002E-2</v>
      </c>
      <c r="F150" s="7">
        <v>3.8100000000000002E-2</v>
      </c>
      <c r="G150" s="7">
        <v>7.3630000000000001E-2</v>
      </c>
      <c r="H150" s="7">
        <v>0.37709999999999999</v>
      </c>
      <c r="I150" s="7">
        <v>0.34702</v>
      </c>
      <c r="J150" s="7">
        <v>0.38113999999999998</v>
      </c>
      <c r="K150" s="7">
        <v>0.35277999999999998</v>
      </c>
      <c r="L150" s="7">
        <v>0.34476000000000001</v>
      </c>
      <c r="M150" s="7">
        <v>0.35851</v>
      </c>
      <c r="N150" s="7">
        <v>0.37881999999999999</v>
      </c>
      <c r="O150" s="7">
        <v>0.40866000000000002</v>
      </c>
      <c r="P150" s="7">
        <v>0.49437999999999999</v>
      </c>
      <c r="Q150" s="7">
        <v>0.42610999999999999</v>
      </c>
      <c r="R150" s="7">
        <v>0.38651000000000002</v>
      </c>
      <c r="S150" s="7">
        <v>0.41488999999999998</v>
      </c>
    </row>
    <row r="151" spans="1:19" ht="13.8" x14ac:dyDescent="0.3">
      <c r="A151" s="6" t="s">
        <v>170</v>
      </c>
      <c r="B151" s="5" t="s">
        <v>23</v>
      </c>
      <c r="C151" s="8">
        <v>0.35359000000000002</v>
      </c>
      <c r="D151" s="8">
        <v>0.35408000000000001</v>
      </c>
      <c r="E151" s="8">
        <v>0.37819999999999998</v>
      </c>
      <c r="F151" s="8">
        <v>0.37758999999999998</v>
      </c>
      <c r="G151" s="8">
        <v>0.37988</v>
      </c>
      <c r="H151" s="8">
        <v>0.37195</v>
      </c>
      <c r="I151" s="8">
        <v>0.37925999999999999</v>
      </c>
      <c r="J151" s="8">
        <v>0.36471999999999999</v>
      </c>
      <c r="K151" s="8">
        <v>0.35399000000000003</v>
      </c>
      <c r="L151" s="8">
        <v>0.34872999999999998</v>
      </c>
      <c r="M151" s="8">
        <v>0.34072000000000002</v>
      </c>
      <c r="N151" s="8">
        <v>0.34594000000000003</v>
      </c>
      <c r="O151" s="8">
        <v>0.3498</v>
      </c>
      <c r="P151" s="8">
        <v>0.38245000000000001</v>
      </c>
      <c r="Q151" s="8">
        <v>0.37891999999999998</v>
      </c>
      <c r="R151" s="8" t="s">
        <v>25</v>
      </c>
      <c r="S151" s="8" t="s">
        <v>25</v>
      </c>
    </row>
    <row r="152" spans="1:19" ht="13.8" hidden="1" x14ac:dyDescent="0.3">
      <c r="A152" s="6" t="s">
        <v>171</v>
      </c>
      <c r="B152" s="5" t="s">
        <v>23</v>
      </c>
      <c r="C152" s="7" t="s">
        <v>25</v>
      </c>
      <c r="D152" s="7" t="s">
        <v>25</v>
      </c>
      <c r="E152" s="7" t="s">
        <v>25</v>
      </c>
      <c r="F152" s="7" t="s">
        <v>25</v>
      </c>
      <c r="G152" s="7" t="s">
        <v>25</v>
      </c>
      <c r="H152" s="7" t="s">
        <v>25</v>
      </c>
      <c r="I152" s="7" t="s">
        <v>25</v>
      </c>
      <c r="J152" s="7" t="s">
        <v>25</v>
      </c>
      <c r="K152" s="7" t="s">
        <v>25</v>
      </c>
      <c r="L152" s="7" t="s">
        <v>25</v>
      </c>
      <c r="M152" s="7" t="s">
        <v>25</v>
      </c>
      <c r="N152" s="7" t="s">
        <v>25</v>
      </c>
      <c r="O152" s="7" t="s">
        <v>25</v>
      </c>
      <c r="P152" s="7" t="s">
        <v>25</v>
      </c>
      <c r="Q152" s="7" t="s">
        <v>25</v>
      </c>
      <c r="R152" s="7" t="s">
        <v>25</v>
      </c>
      <c r="S152" s="7" t="s">
        <v>25</v>
      </c>
    </row>
    <row r="153" spans="1:19" ht="13.8" x14ac:dyDescent="0.3">
      <c r="A153" s="6" t="s">
        <v>172</v>
      </c>
      <c r="B153" s="5" t="s">
        <v>23</v>
      </c>
      <c r="C153" s="8" t="s">
        <v>25</v>
      </c>
      <c r="D153" s="8" t="s">
        <v>25</v>
      </c>
      <c r="E153" s="8" t="s">
        <v>25</v>
      </c>
      <c r="F153" s="8" t="s">
        <v>25</v>
      </c>
      <c r="G153" s="8" t="s">
        <v>25</v>
      </c>
      <c r="H153" s="8" t="s">
        <v>25</v>
      </c>
      <c r="I153" s="8">
        <v>0.40293000000000001</v>
      </c>
      <c r="J153" s="8">
        <v>0.41360999999999998</v>
      </c>
      <c r="K153" s="8">
        <v>0.40772000000000003</v>
      </c>
      <c r="L153" s="8">
        <v>0.39922999999999997</v>
      </c>
      <c r="M153" s="8">
        <v>0.3831</v>
      </c>
      <c r="N153" s="8">
        <v>0.36969999999999997</v>
      </c>
      <c r="O153" s="8">
        <v>0.36524000000000001</v>
      </c>
      <c r="P153" s="8">
        <v>0.38600000000000001</v>
      </c>
      <c r="Q153" s="8">
        <v>0.36477999999999999</v>
      </c>
      <c r="R153" s="8">
        <v>0.33987000000000001</v>
      </c>
      <c r="S153" s="8" t="s">
        <v>25</v>
      </c>
    </row>
    <row r="154" spans="1:19" ht="13.8" x14ac:dyDescent="0.3">
      <c r="A154" s="6" t="s">
        <v>173</v>
      </c>
      <c r="B154" s="5" t="s">
        <v>23</v>
      </c>
      <c r="C154" s="7" t="s">
        <v>25</v>
      </c>
      <c r="D154" s="7" t="s">
        <v>25</v>
      </c>
      <c r="E154" s="7" t="s">
        <v>25</v>
      </c>
      <c r="F154" s="7">
        <v>0.16009000000000001</v>
      </c>
      <c r="G154" s="7" t="s">
        <v>25</v>
      </c>
      <c r="H154" s="7" t="s">
        <v>25</v>
      </c>
      <c r="I154" s="7" t="s">
        <v>25</v>
      </c>
      <c r="J154" s="7">
        <v>0.13206999999999999</v>
      </c>
      <c r="K154" s="7">
        <v>0.11668000000000001</v>
      </c>
      <c r="L154" s="7">
        <v>0.14979000000000001</v>
      </c>
      <c r="M154" s="7">
        <v>0.15514</v>
      </c>
      <c r="N154" s="7">
        <v>0.15862000000000001</v>
      </c>
      <c r="O154" s="7">
        <v>0.17011000000000001</v>
      </c>
      <c r="P154" s="7">
        <v>0.17591000000000001</v>
      </c>
      <c r="Q154" s="7">
        <v>0.16378999999999999</v>
      </c>
      <c r="R154" s="7">
        <v>0.17802999999999999</v>
      </c>
      <c r="S154" s="7">
        <v>0.12545000000000001</v>
      </c>
    </row>
    <row r="155" spans="1:19" ht="13.8" hidden="1" x14ac:dyDescent="0.3">
      <c r="A155" s="6" t="s">
        <v>174</v>
      </c>
      <c r="B155" s="5" t="s">
        <v>23</v>
      </c>
      <c r="C155" s="8" t="s">
        <v>25</v>
      </c>
      <c r="D155" s="8" t="s">
        <v>25</v>
      </c>
      <c r="E155" s="8">
        <v>0.11003</v>
      </c>
      <c r="F155" s="8">
        <v>6.5930000000000002E-2</v>
      </c>
      <c r="G155" s="8">
        <v>5.6309999999999999E-2</v>
      </c>
      <c r="H155" s="8">
        <v>0.20555000000000001</v>
      </c>
      <c r="I155" s="8">
        <v>0.18937000000000001</v>
      </c>
      <c r="J155" s="8">
        <v>0.22933000000000001</v>
      </c>
      <c r="K155" s="8">
        <v>0.34173999999999999</v>
      </c>
      <c r="L155" s="8">
        <v>0.30171999999999999</v>
      </c>
      <c r="M155" s="8">
        <v>0.27750999999999998</v>
      </c>
      <c r="N155" s="8">
        <v>9.7350000000000006E-2</v>
      </c>
      <c r="O155" s="8" t="s">
        <v>25</v>
      </c>
      <c r="P155" s="8" t="s">
        <v>25</v>
      </c>
      <c r="Q155" s="8" t="s">
        <v>25</v>
      </c>
      <c r="R155" s="8" t="s">
        <v>25</v>
      </c>
      <c r="S155" s="8" t="s">
        <v>25</v>
      </c>
    </row>
    <row r="156" spans="1:19" ht="13.8" hidden="1" x14ac:dyDescent="0.3">
      <c r="A156" s="6" t="s">
        <v>175</v>
      </c>
      <c r="B156" s="5" t="s">
        <v>23</v>
      </c>
      <c r="C156" s="7" t="s">
        <v>25</v>
      </c>
      <c r="D156" s="7" t="s">
        <v>25</v>
      </c>
      <c r="E156" s="7" t="s">
        <v>25</v>
      </c>
      <c r="F156" s="7" t="s">
        <v>25</v>
      </c>
      <c r="G156" s="7" t="s">
        <v>25</v>
      </c>
      <c r="H156" s="7" t="s">
        <v>25</v>
      </c>
      <c r="I156" s="7" t="s">
        <v>25</v>
      </c>
      <c r="J156" s="7" t="s">
        <v>25</v>
      </c>
      <c r="K156" s="7" t="s">
        <v>25</v>
      </c>
      <c r="L156" s="7" t="s">
        <v>25</v>
      </c>
      <c r="M156" s="7" t="s">
        <v>25</v>
      </c>
      <c r="N156" s="7" t="s">
        <v>25</v>
      </c>
      <c r="O156" s="7" t="s">
        <v>25</v>
      </c>
      <c r="P156" s="7" t="s">
        <v>25</v>
      </c>
      <c r="Q156" s="7" t="s">
        <v>25</v>
      </c>
      <c r="R156" s="7" t="s">
        <v>25</v>
      </c>
      <c r="S156" s="7" t="s">
        <v>25</v>
      </c>
    </row>
    <row r="157" spans="1:19" ht="13.8" hidden="1" x14ac:dyDescent="0.3">
      <c r="A157" s="6" t="s">
        <v>176</v>
      </c>
      <c r="B157" s="5" t="s">
        <v>23</v>
      </c>
      <c r="C157" s="8" t="s">
        <v>25</v>
      </c>
      <c r="D157" s="8" t="s">
        <v>25</v>
      </c>
      <c r="E157" s="8" t="s">
        <v>25</v>
      </c>
      <c r="F157" s="8" t="s">
        <v>25</v>
      </c>
      <c r="G157" s="8" t="s">
        <v>25</v>
      </c>
      <c r="H157" s="8" t="s">
        <v>25</v>
      </c>
      <c r="I157" s="8" t="s">
        <v>25</v>
      </c>
      <c r="J157" s="8" t="s">
        <v>25</v>
      </c>
      <c r="K157" s="8" t="s">
        <v>25</v>
      </c>
      <c r="L157" s="8" t="s">
        <v>25</v>
      </c>
      <c r="M157" s="8" t="s">
        <v>25</v>
      </c>
      <c r="N157" s="8" t="s">
        <v>25</v>
      </c>
      <c r="O157" s="8" t="s">
        <v>25</v>
      </c>
      <c r="P157" s="8" t="s">
        <v>25</v>
      </c>
      <c r="Q157" s="8" t="s">
        <v>25</v>
      </c>
      <c r="R157" s="8" t="s">
        <v>25</v>
      </c>
      <c r="S157" s="8" t="s">
        <v>25</v>
      </c>
    </row>
    <row r="158" spans="1:19" ht="13.8" hidden="1" x14ac:dyDescent="0.3">
      <c r="A158" s="6" t="s">
        <v>177</v>
      </c>
      <c r="B158" s="5" t="s">
        <v>23</v>
      </c>
      <c r="C158" s="7" t="s">
        <v>25</v>
      </c>
      <c r="D158" s="7" t="s">
        <v>25</v>
      </c>
      <c r="E158" s="7" t="s">
        <v>25</v>
      </c>
      <c r="F158" s="7" t="s">
        <v>25</v>
      </c>
      <c r="G158" s="7" t="s">
        <v>25</v>
      </c>
      <c r="H158" s="7" t="s">
        <v>25</v>
      </c>
      <c r="I158" s="7" t="s">
        <v>25</v>
      </c>
      <c r="J158" s="7" t="s">
        <v>25</v>
      </c>
      <c r="K158" s="7" t="s">
        <v>25</v>
      </c>
      <c r="L158" s="7" t="s">
        <v>25</v>
      </c>
      <c r="M158" s="7" t="s">
        <v>25</v>
      </c>
      <c r="N158" s="7" t="s">
        <v>25</v>
      </c>
      <c r="O158" s="7" t="s">
        <v>25</v>
      </c>
      <c r="P158" s="7" t="s">
        <v>25</v>
      </c>
      <c r="Q158" s="7" t="s">
        <v>25</v>
      </c>
      <c r="R158" s="7" t="s">
        <v>25</v>
      </c>
      <c r="S158" s="7" t="s">
        <v>25</v>
      </c>
    </row>
    <row r="159" spans="1:19" ht="13.8" hidden="1" x14ac:dyDescent="0.3">
      <c r="A159" s="6" t="s">
        <v>178</v>
      </c>
      <c r="B159" s="5" t="s">
        <v>23</v>
      </c>
      <c r="C159" s="8" t="s">
        <v>25</v>
      </c>
      <c r="D159" s="8" t="s">
        <v>25</v>
      </c>
      <c r="E159" s="8" t="s">
        <v>25</v>
      </c>
      <c r="F159" s="8" t="s">
        <v>25</v>
      </c>
      <c r="G159" s="8" t="s">
        <v>25</v>
      </c>
      <c r="H159" s="8" t="s">
        <v>25</v>
      </c>
      <c r="I159" s="8" t="s">
        <v>25</v>
      </c>
      <c r="J159" s="8" t="s">
        <v>25</v>
      </c>
      <c r="K159" s="8" t="s">
        <v>25</v>
      </c>
      <c r="L159" s="8" t="s">
        <v>25</v>
      </c>
      <c r="M159" s="8" t="s">
        <v>25</v>
      </c>
      <c r="N159" s="8" t="s">
        <v>25</v>
      </c>
      <c r="O159" s="8" t="s">
        <v>25</v>
      </c>
      <c r="P159" s="8" t="s">
        <v>25</v>
      </c>
      <c r="Q159" s="8" t="s">
        <v>25</v>
      </c>
      <c r="R159" s="8" t="s">
        <v>25</v>
      </c>
      <c r="S159" s="8" t="s">
        <v>25</v>
      </c>
    </row>
    <row r="160" spans="1:19" ht="13.8" hidden="1" x14ac:dyDescent="0.3">
      <c r="A160" s="6" t="s">
        <v>179</v>
      </c>
      <c r="B160" s="5" t="s">
        <v>23</v>
      </c>
      <c r="C160" s="7" t="s">
        <v>25</v>
      </c>
      <c r="D160" s="7" t="s">
        <v>25</v>
      </c>
      <c r="E160" s="7" t="s">
        <v>25</v>
      </c>
      <c r="F160" s="7" t="s">
        <v>25</v>
      </c>
      <c r="G160" s="7" t="s">
        <v>25</v>
      </c>
      <c r="H160" s="7" t="s">
        <v>25</v>
      </c>
      <c r="I160" s="7" t="s">
        <v>25</v>
      </c>
      <c r="J160" s="7" t="s">
        <v>25</v>
      </c>
      <c r="K160" s="7" t="s">
        <v>25</v>
      </c>
      <c r="L160" s="7" t="s">
        <v>25</v>
      </c>
      <c r="M160" s="7" t="s">
        <v>25</v>
      </c>
      <c r="N160" s="7" t="s">
        <v>25</v>
      </c>
      <c r="O160" s="7" t="s">
        <v>25</v>
      </c>
      <c r="P160" s="7" t="s">
        <v>25</v>
      </c>
      <c r="Q160" s="7" t="s">
        <v>25</v>
      </c>
      <c r="R160" s="7" t="s">
        <v>25</v>
      </c>
      <c r="S160" s="7" t="s">
        <v>25</v>
      </c>
    </row>
    <row r="161" spans="1:19" ht="13.8" x14ac:dyDescent="0.3">
      <c r="A161" s="6" t="s">
        <v>180</v>
      </c>
      <c r="B161" s="5" t="s">
        <v>23</v>
      </c>
      <c r="C161" s="8">
        <v>0.31022</v>
      </c>
      <c r="D161" s="8">
        <v>0.28839999999999999</v>
      </c>
      <c r="E161" s="8">
        <v>0.3377</v>
      </c>
      <c r="F161" s="8">
        <v>0.32601999999999998</v>
      </c>
      <c r="G161" s="8">
        <v>0.35182999999999998</v>
      </c>
      <c r="H161" s="8">
        <v>0.70774999999999999</v>
      </c>
      <c r="I161" s="8">
        <v>0.72707999999999995</v>
      </c>
      <c r="J161" s="8">
        <v>0.74948999999999999</v>
      </c>
      <c r="K161" s="8">
        <v>0.65991999999999995</v>
      </c>
      <c r="L161" s="8">
        <v>0.74444999999999995</v>
      </c>
      <c r="M161" s="8">
        <v>0.71199999999999997</v>
      </c>
      <c r="N161" s="8">
        <v>0.68455999999999995</v>
      </c>
      <c r="O161" s="8">
        <v>0.7167</v>
      </c>
      <c r="P161" s="8">
        <v>0.76512999999999998</v>
      </c>
      <c r="Q161" s="8">
        <v>0.62368999999999997</v>
      </c>
      <c r="R161" s="8" t="s">
        <v>25</v>
      </c>
      <c r="S161" s="8" t="s">
        <v>25</v>
      </c>
    </row>
    <row r="162" spans="1:19" ht="13.8" hidden="1" x14ac:dyDescent="0.3">
      <c r="A162" s="6" t="s">
        <v>181</v>
      </c>
      <c r="B162" s="5" t="s">
        <v>23</v>
      </c>
      <c r="C162" s="7" t="s">
        <v>25</v>
      </c>
      <c r="D162" s="7" t="s">
        <v>25</v>
      </c>
      <c r="E162" s="7" t="s">
        <v>25</v>
      </c>
      <c r="F162" s="7" t="s">
        <v>25</v>
      </c>
      <c r="G162" s="7" t="s">
        <v>25</v>
      </c>
      <c r="H162" s="7" t="s">
        <v>25</v>
      </c>
      <c r="I162" s="7" t="s">
        <v>25</v>
      </c>
      <c r="J162" s="7" t="s">
        <v>25</v>
      </c>
      <c r="K162" s="7" t="s">
        <v>25</v>
      </c>
      <c r="L162" s="7" t="s">
        <v>25</v>
      </c>
      <c r="M162" s="7" t="s">
        <v>25</v>
      </c>
      <c r="N162" s="7">
        <v>0.12197</v>
      </c>
      <c r="O162" s="7" t="s">
        <v>25</v>
      </c>
      <c r="P162" s="7">
        <v>0.10904</v>
      </c>
      <c r="Q162" s="7" t="s">
        <v>25</v>
      </c>
      <c r="R162" s="7">
        <v>3.4750000000000003E-2</v>
      </c>
      <c r="S162" s="7" t="s">
        <v>25</v>
      </c>
    </row>
    <row r="163" spans="1:19" ht="13.8" hidden="1" x14ac:dyDescent="0.3">
      <c r="A163" s="6" t="s">
        <v>182</v>
      </c>
      <c r="B163" s="5" t="s">
        <v>23</v>
      </c>
      <c r="C163" s="8" t="s">
        <v>25</v>
      </c>
      <c r="D163" s="8" t="s">
        <v>25</v>
      </c>
      <c r="E163" s="8" t="s">
        <v>25</v>
      </c>
      <c r="F163" s="8" t="s">
        <v>25</v>
      </c>
      <c r="G163" s="8" t="s">
        <v>25</v>
      </c>
      <c r="H163" s="8" t="s">
        <v>25</v>
      </c>
      <c r="I163" s="8" t="s">
        <v>25</v>
      </c>
      <c r="J163" s="8" t="s">
        <v>25</v>
      </c>
      <c r="K163" s="8" t="s">
        <v>25</v>
      </c>
      <c r="L163" s="8">
        <v>0.39035999999999998</v>
      </c>
      <c r="M163" s="8">
        <v>0.37719999999999998</v>
      </c>
      <c r="N163" s="8">
        <v>0.42770999999999998</v>
      </c>
      <c r="O163" s="8">
        <v>0.39356000000000002</v>
      </c>
      <c r="P163" s="8">
        <v>0.36021999999999998</v>
      </c>
      <c r="Q163" s="8">
        <v>0.25169999999999998</v>
      </c>
      <c r="R163" s="8">
        <v>0.27267999999999998</v>
      </c>
      <c r="S163" s="8">
        <v>0.25807000000000002</v>
      </c>
    </row>
    <row r="164" spans="1:19" ht="13.8" hidden="1" x14ac:dyDescent="0.3">
      <c r="A164" s="6" t="s">
        <v>183</v>
      </c>
      <c r="B164" s="5" t="s">
        <v>23</v>
      </c>
      <c r="C164" s="7" t="s">
        <v>25</v>
      </c>
      <c r="D164" s="7" t="s">
        <v>25</v>
      </c>
      <c r="E164" s="7" t="s">
        <v>25</v>
      </c>
      <c r="F164" s="7" t="s">
        <v>25</v>
      </c>
      <c r="G164" s="7" t="s">
        <v>25</v>
      </c>
      <c r="H164" s="7" t="s">
        <v>25</v>
      </c>
      <c r="I164" s="7" t="s">
        <v>25</v>
      </c>
      <c r="J164" s="7" t="s">
        <v>25</v>
      </c>
      <c r="K164" s="7" t="s">
        <v>25</v>
      </c>
      <c r="L164" s="7" t="s">
        <v>25</v>
      </c>
      <c r="M164" s="7" t="s">
        <v>25</v>
      </c>
      <c r="N164" s="7" t="s">
        <v>25</v>
      </c>
      <c r="O164" s="7" t="s">
        <v>25</v>
      </c>
      <c r="P164" s="7" t="s">
        <v>25</v>
      </c>
      <c r="Q164" s="7" t="s">
        <v>25</v>
      </c>
      <c r="R164" s="7" t="s">
        <v>25</v>
      </c>
      <c r="S164" s="7" t="s">
        <v>25</v>
      </c>
    </row>
    <row r="165" spans="1:19" ht="13.8" hidden="1" x14ac:dyDescent="0.3">
      <c r="A165" s="6" t="s">
        <v>184</v>
      </c>
      <c r="B165" s="5" t="s">
        <v>23</v>
      </c>
      <c r="C165" s="8" t="s">
        <v>25</v>
      </c>
      <c r="D165" s="8" t="s">
        <v>25</v>
      </c>
      <c r="E165" s="8" t="s">
        <v>25</v>
      </c>
      <c r="F165" s="8" t="s">
        <v>25</v>
      </c>
      <c r="G165" s="8" t="s">
        <v>25</v>
      </c>
      <c r="H165" s="8" t="s">
        <v>25</v>
      </c>
      <c r="I165" s="8" t="s">
        <v>25</v>
      </c>
      <c r="J165" s="8" t="s">
        <v>25</v>
      </c>
      <c r="K165" s="8" t="s">
        <v>25</v>
      </c>
      <c r="L165" s="8" t="s">
        <v>25</v>
      </c>
      <c r="M165" s="8" t="s">
        <v>25</v>
      </c>
      <c r="N165" s="8" t="s">
        <v>25</v>
      </c>
      <c r="O165" s="8" t="s">
        <v>25</v>
      </c>
      <c r="P165" s="8" t="s">
        <v>25</v>
      </c>
      <c r="Q165" s="8" t="s">
        <v>25</v>
      </c>
      <c r="R165" s="8" t="s">
        <v>25</v>
      </c>
      <c r="S165" s="8" t="s">
        <v>25</v>
      </c>
    </row>
    <row r="166" spans="1:19" ht="13.8" hidden="1" x14ac:dyDescent="0.3">
      <c r="A166" s="6" t="s">
        <v>185</v>
      </c>
      <c r="B166" s="5" t="s">
        <v>23</v>
      </c>
      <c r="C166" s="7">
        <v>0.14718999999999999</v>
      </c>
      <c r="D166" s="7" t="s">
        <v>25</v>
      </c>
      <c r="E166" s="7" t="s">
        <v>25</v>
      </c>
      <c r="F166" s="7" t="s">
        <v>25</v>
      </c>
      <c r="G166" s="7">
        <v>9.5610000000000001E-2</v>
      </c>
      <c r="H166" s="7" t="s">
        <v>25</v>
      </c>
      <c r="I166" s="7" t="s">
        <v>25</v>
      </c>
      <c r="J166" s="7" t="s">
        <v>25</v>
      </c>
      <c r="K166" s="7" t="s">
        <v>25</v>
      </c>
      <c r="L166" s="7" t="s">
        <v>25</v>
      </c>
      <c r="M166" s="7" t="s">
        <v>25</v>
      </c>
      <c r="N166" s="7" t="s">
        <v>25</v>
      </c>
      <c r="O166" s="7" t="s">
        <v>25</v>
      </c>
      <c r="P166" s="7" t="s">
        <v>25</v>
      </c>
      <c r="Q166" s="7" t="s">
        <v>25</v>
      </c>
      <c r="R166" s="7" t="s">
        <v>25</v>
      </c>
      <c r="S166" s="7" t="s">
        <v>25</v>
      </c>
    </row>
    <row r="167" spans="1:19" ht="13.8" hidden="1" x14ac:dyDescent="0.3">
      <c r="A167" s="6" t="s">
        <v>186</v>
      </c>
      <c r="B167" s="5" t="s">
        <v>23</v>
      </c>
      <c r="C167" s="8" t="s">
        <v>25</v>
      </c>
      <c r="D167" s="8" t="s">
        <v>25</v>
      </c>
      <c r="E167" s="8" t="s">
        <v>25</v>
      </c>
      <c r="F167" s="8" t="s">
        <v>25</v>
      </c>
      <c r="G167" s="8" t="s">
        <v>25</v>
      </c>
      <c r="H167" s="8" t="s">
        <v>25</v>
      </c>
      <c r="I167" s="8" t="s">
        <v>25</v>
      </c>
      <c r="J167" s="8" t="s">
        <v>25</v>
      </c>
      <c r="K167" s="8" t="s">
        <v>25</v>
      </c>
      <c r="L167" s="8" t="s">
        <v>25</v>
      </c>
      <c r="M167" s="8" t="s">
        <v>25</v>
      </c>
      <c r="N167" s="8" t="s">
        <v>25</v>
      </c>
      <c r="O167" s="8" t="s">
        <v>25</v>
      </c>
      <c r="P167" s="8" t="s">
        <v>25</v>
      </c>
      <c r="Q167" s="8" t="s">
        <v>25</v>
      </c>
      <c r="R167" s="8" t="s">
        <v>25</v>
      </c>
      <c r="S167" s="8" t="s">
        <v>25</v>
      </c>
    </row>
    <row r="168" spans="1:19" ht="13.8" hidden="1" x14ac:dyDescent="0.3">
      <c r="A168" s="6" t="s">
        <v>187</v>
      </c>
      <c r="B168" s="5" t="s">
        <v>23</v>
      </c>
      <c r="C168" s="7">
        <v>0.17255000000000001</v>
      </c>
      <c r="D168" s="7" t="s">
        <v>25</v>
      </c>
      <c r="E168" s="7" t="s">
        <v>25</v>
      </c>
      <c r="F168" s="7">
        <v>0.18531</v>
      </c>
      <c r="G168" s="7">
        <v>0.18174000000000001</v>
      </c>
      <c r="H168" s="7">
        <v>0.22514999999999999</v>
      </c>
      <c r="I168" s="7" t="s">
        <v>25</v>
      </c>
      <c r="J168" s="7" t="s">
        <v>25</v>
      </c>
      <c r="K168" s="7" t="s">
        <v>25</v>
      </c>
      <c r="L168" s="7">
        <v>0.29888999999999999</v>
      </c>
      <c r="M168" s="7" t="s">
        <v>25</v>
      </c>
      <c r="N168" s="7" t="s">
        <v>25</v>
      </c>
      <c r="O168" s="7" t="s">
        <v>25</v>
      </c>
      <c r="P168" s="7">
        <v>0.40844999999999998</v>
      </c>
      <c r="Q168" s="7">
        <v>0.34409000000000001</v>
      </c>
      <c r="R168" s="7">
        <v>0.34853000000000001</v>
      </c>
      <c r="S168" s="7">
        <v>0.34366000000000002</v>
      </c>
    </row>
    <row r="169" spans="1:19" ht="13.8" x14ac:dyDescent="0.3">
      <c r="A169" s="6" t="s">
        <v>188</v>
      </c>
      <c r="B169" s="5" t="s">
        <v>23</v>
      </c>
      <c r="C169" s="8">
        <v>0.25494</v>
      </c>
      <c r="D169" s="8">
        <v>0.30014999999999997</v>
      </c>
      <c r="E169" s="8">
        <v>0.36742999999999998</v>
      </c>
      <c r="F169" s="8">
        <v>0.34531000000000001</v>
      </c>
      <c r="G169" s="8">
        <v>0.32685999999999998</v>
      </c>
      <c r="H169" s="8">
        <v>0.39172000000000001</v>
      </c>
      <c r="I169" s="8">
        <v>0.49417</v>
      </c>
      <c r="J169" s="8">
        <v>0.6129</v>
      </c>
      <c r="K169" s="8">
        <v>0.66044000000000003</v>
      </c>
      <c r="L169" s="8">
        <v>0.59655999999999998</v>
      </c>
      <c r="M169" s="8">
        <v>0.62922999999999996</v>
      </c>
      <c r="N169" s="8">
        <v>0.59675999999999996</v>
      </c>
      <c r="O169" s="8">
        <v>0.60263</v>
      </c>
      <c r="P169" s="8">
        <v>0.65508999999999995</v>
      </c>
      <c r="Q169" s="8">
        <v>0.59687000000000001</v>
      </c>
      <c r="R169" s="8">
        <v>0.57001000000000002</v>
      </c>
      <c r="S169" s="8">
        <v>0.64915999999999996</v>
      </c>
    </row>
    <row r="170" spans="1:19" ht="13.8" x14ac:dyDescent="0.3">
      <c r="A170" s="6" t="s">
        <v>189</v>
      </c>
      <c r="B170" s="5" t="s">
        <v>23</v>
      </c>
      <c r="C170" s="7">
        <v>2.597E-2</v>
      </c>
      <c r="D170" s="7">
        <v>3.8080000000000003E-2</v>
      </c>
      <c r="E170" s="7">
        <v>4.2810000000000001E-2</v>
      </c>
      <c r="F170" s="7" t="s">
        <v>25</v>
      </c>
      <c r="G170" s="7" t="s">
        <v>25</v>
      </c>
      <c r="H170" s="7" t="s">
        <v>25</v>
      </c>
      <c r="I170" s="7" t="s">
        <v>25</v>
      </c>
      <c r="J170" s="7">
        <v>0.1633</v>
      </c>
      <c r="K170" s="7">
        <v>0.16816</v>
      </c>
      <c r="L170" s="7">
        <v>0.17924999999999999</v>
      </c>
      <c r="M170" s="7">
        <v>0.25857999999999998</v>
      </c>
      <c r="N170" s="7">
        <v>0.24961</v>
      </c>
      <c r="O170" s="7">
        <v>0.17682999999999999</v>
      </c>
      <c r="P170" s="7">
        <v>0.21748999999999999</v>
      </c>
      <c r="Q170" s="7">
        <v>0.21986</v>
      </c>
      <c r="R170" s="7">
        <v>0.19381999999999999</v>
      </c>
      <c r="S170" s="7">
        <v>0.18109</v>
      </c>
    </row>
    <row r="171" spans="1:19" ht="13.8" hidden="1" x14ac:dyDescent="0.3">
      <c r="A171" s="6" t="s">
        <v>190</v>
      </c>
      <c r="B171" s="5" t="s">
        <v>23</v>
      </c>
      <c r="C171" s="8" t="s">
        <v>25</v>
      </c>
      <c r="D171" s="8" t="s">
        <v>25</v>
      </c>
      <c r="E171" s="8" t="s">
        <v>25</v>
      </c>
      <c r="F171" s="8" t="s">
        <v>25</v>
      </c>
      <c r="G171" s="8" t="s">
        <v>25</v>
      </c>
      <c r="H171" s="8" t="s">
        <v>25</v>
      </c>
      <c r="I171" s="8" t="s">
        <v>25</v>
      </c>
      <c r="J171" s="8" t="s">
        <v>25</v>
      </c>
      <c r="K171" s="8" t="s">
        <v>25</v>
      </c>
      <c r="L171" s="8" t="s">
        <v>25</v>
      </c>
      <c r="M171" s="8" t="s">
        <v>25</v>
      </c>
      <c r="N171" s="8" t="s">
        <v>25</v>
      </c>
      <c r="O171" s="8" t="s">
        <v>25</v>
      </c>
      <c r="P171" s="8" t="s">
        <v>25</v>
      </c>
      <c r="Q171" s="8" t="s">
        <v>25</v>
      </c>
      <c r="R171" s="8" t="s">
        <v>25</v>
      </c>
      <c r="S171" s="8" t="s">
        <v>25</v>
      </c>
    </row>
    <row r="172" spans="1:19" ht="13.8" x14ac:dyDescent="0.3">
      <c r="A172" s="6" t="s">
        <v>191</v>
      </c>
      <c r="B172" s="5" t="s">
        <v>23</v>
      </c>
      <c r="C172" s="7">
        <v>0.49789</v>
      </c>
      <c r="D172" s="7">
        <v>0.56247999999999998</v>
      </c>
      <c r="E172" s="7">
        <v>0.51092000000000004</v>
      </c>
      <c r="F172" s="7">
        <v>0.51237999999999995</v>
      </c>
      <c r="G172" s="7">
        <v>0.53205000000000002</v>
      </c>
      <c r="H172" s="7">
        <v>0.55644000000000005</v>
      </c>
      <c r="I172" s="7">
        <v>0.59621000000000002</v>
      </c>
      <c r="J172" s="7">
        <v>0.61678999999999995</v>
      </c>
      <c r="K172" s="7">
        <v>0.61041000000000001</v>
      </c>
      <c r="L172" s="7">
        <v>0.63890999999999998</v>
      </c>
      <c r="M172" s="7">
        <v>0.67074999999999996</v>
      </c>
      <c r="N172" s="7">
        <v>0.70023000000000002</v>
      </c>
      <c r="O172" s="7">
        <v>0.73499000000000003</v>
      </c>
      <c r="P172" s="7">
        <v>0.76898999999999995</v>
      </c>
      <c r="Q172" s="7">
        <v>0.76751999999999998</v>
      </c>
      <c r="R172" s="7" t="s">
        <v>25</v>
      </c>
      <c r="S172" s="7" t="s">
        <v>25</v>
      </c>
    </row>
    <row r="173" spans="1:19" ht="13.8" x14ac:dyDescent="0.3">
      <c r="A173" s="6" t="s">
        <v>192</v>
      </c>
      <c r="B173" s="5" t="s">
        <v>23</v>
      </c>
      <c r="C173" s="8">
        <v>0.34783999999999998</v>
      </c>
      <c r="D173" s="8">
        <v>0.35504000000000002</v>
      </c>
      <c r="E173" s="8">
        <v>0.37986999999999999</v>
      </c>
      <c r="F173" s="8">
        <v>0.39195000000000002</v>
      </c>
      <c r="G173" s="8">
        <v>0.37891000000000002</v>
      </c>
      <c r="H173" s="8">
        <v>0.38342999999999999</v>
      </c>
      <c r="I173" s="8">
        <v>0.41524</v>
      </c>
      <c r="J173" s="8">
        <v>0.42420999999999998</v>
      </c>
      <c r="K173" s="8">
        <v>0.39356999999999998</v>
      </c>
      <c r="L173" s="8" t="s">
        <v>25</v>
      </c>
      <c r="M173" s="8">
        <v>0.39779999999999999</v>
      </c>
      <c r="N173" s="8">
        <v>0.35846</v>
      </c>
      <c r="O173" s="8">
        <v>0.35296</v>
      </c>
      <c r="P173" s="8">
        <v>0.37663999999999997</v>
      </c>
      <c r="Q173" s="8">
        <v>0.39583000000000002</v>
      </c>
      <c r="R173" s="8" t="s">
        <v>25</v>
      </c>
      <c r="S173" s="8" t="s">
        <v>25</v>
      </c>
    </row>
    <row r="174" spans="1:19" ht="13.8" hidden="1" x14ac:dyDescent="0.3">
      <c r="A174" s="6" t="s">
        <v>193</v>
      </c>
      <c r="B174" s="5" t="s">
        <v>23</v>
      </c>
      <c r="C174" s="7" t="s">
        <v>25</v>
      </c>
      <c r="D174" s="7" t="s">
        <v>25</v>
      </c>
      <c r="E174" s="7" t="s">
        <v>25</v>
      </c>
      <c r="F174" s="7" t="s">
        <v>25</v>
      </c>
      <c r="G174" s="7" t="s">
        <v>25</v>
      </c>
      <c r="H174" s="7" t="s">
        <v>25</v>
      </c>
      <c r="I174" s="7">
        <v>0.46676000000000001</v>
      </c>
      <c r="J174" s="7">
        <v>0.44843</v>
      </c>
      <c r="K174" s="7" t="s">
        <v>25</v>
      </c>
      <c r="L174" s="7" t="s">
        <v>25</v>
      </c>
      <c r="M174" s="7" t="s">
        <v>25</v>
      </c>
      <c r="N174" s="7" t="s">
        <v>25</v>
      </c>
      <c r="O174" s="7" t="s">
        <v>25</v>
      </c>
      <c r="P174" s="7" t="s">
        <v>25</v>
      </c>
      <c r="Q174" s="7" t="s">
        <v>25</v>
      </c>
      <c r="R174" s="7" t="s">
        <v>25</v>
      </c>
      <c r="S174" s="7" t="s">
        <v>25</v>
      </c>
    </row>
    <row r="175" spans="1:19" ht="13.8" hidden="1" x14ac:dyDescent="0.3">
      <c r="A175" s="6" t="s">
        <v>194</v>
      </c>
      <c r="B175" s="5" t="s">
        <v>23</v>
      </c>
      <c r="C175" s="8" t="s">
        <v>25</v>
      </c>
      <c r="D175" s="8" t="s">
        <v>25</v>
      </c>
      <c r="E175" s="8">
        <v>0.15039</v>
      </c>
      <c r="F175" s="8" t="s">
        <v>25</v>
      </c>
      <c r="G175" s="8" t="s">
        <v>25</v>
      </c>
      <c r="H175" s="8" t="s">
        <v>25</v>
      </c>
      <c r="I175" s="8" t="s">
        <v>25</v>
      </c>
      <c r="J175" s="8" t="s">
        <v>25</v>
      </c>
      <c r="K175" s="8" t="s">
        <v>25</v>
      </c>
      <c r="L175" s="8" t="s">
        <v>25</v>
      </c>
      <c r="M175" s="8" t="s">
        <v>25</v>
      </c>
      <c r="N175" s="8" t="s">
        <v>25</v>
      </c>
      <c r="O175" s="8" t="s">
        <v>25</v>
      </c>
      <c r="P175" s="8" t="s">
        <v>25</v>
      </c>
      <c r="Q175" s="8" t="s">
        <v>25</v>
      </c>
      <c r="R175" s="8" t="s">
        <v>25</v>
      </c>
      <c r="S175" s="8" t="s">
        <v>25</v>
      </c>
    </row>
    <row r="176" spans="1:19" ht="13.8" hidden="1" x14ac:dyDescent="0.3">
      <c r="A176" s="6" t="s">
        <v>195</v>
      </c>
      <c r="B176" s="5" t="s">
        <v>23</v>
      </c>
      <c r="C176" s="7" t="s">
        <v>25</v>
      </c>
      <c r="D176" s="7" t="s">
        <v>25</v>
      </c>
      <c r="E176" s="7" t="s">
        <v>25</v>
      </c>
      <c r="F176" s="7" t="s">
        <v>25</v>
      </c>
      <c r="G176" s="7" t="s">
        <v>25</v>
      </c>
      <c r="H176" s="7" t="s">
        <v>25</v>
      </c>
      <c r="I176" s="7" t="s">
        <v>25</v>
      </c>
      <c r="J176" s="7" t="s">
        <v>25</v>
      </c>
      <c r="K176" s="7" t="s">
        <v>25</v>
      </c>
      <c r="L176" s="7">
        <v>0.39751999999999998</v>
      </c>
      <c r="M176" s="7">
        <v>0.38255</v>
      </c>
      <c r="N176" s="7">
        <v>0.38473000000000002</v>
      </c>
      <c r="O176" s="7">
        <v>0.39752999999999999</v>
      </c>
      <c r="P176" s="7">
        <v>0.46500000000000002</v>
      </c>
      <c r="Q176" s="7">
        <v>0.45950000000000002</v>
      </c>
      <c r="R176" s="7" t="s">
        <v>25</v>
      </c>
      <c r="S176" s="7" t="s">
        <v>25</v>
      </c>
    </row>
    <row r="177" spans="1:19" ht="13.8" x14ac:dyDescent="0.3">
      <c r="A177" s="6" t="s">
        <v>196</v>
      </c>
      <c r="B177" s="5" t="s">
        <v>23</v>
      </c>
      <c r="C177" s="8">
        <v>1.31446</v>
      </c>
      <c r="D177" s="8">
        <v>1.4619</v>
      </c>
      <c r="E177" s="8">
        <v>1.7691399999999999</v>
      </c>
      <c r="F177" s="8">
        <v>1.47916</v>
      </c>
      <c r="G177" s="8">
        <v>1.47464</v>
      </c>
      <c r="H177" s="8">
        <v>1.5309299999999999</v>
      </c>
      <c r="I177" s="8">
        <v>1.25542</v>
      </c>
      <c r="J177" s="8">
        <v>1.33066</v>
      </c>
      <c r="K177" s="8">
        <v>1.4700899999999999</v>
      </c>
      <c r="L177" s="8">
        <v>1.2652099999999999</v>
      </c>
      <c r="M177" s="8">
        <v>1.3175300000000001</v>
      </c>
      <c r="N177" s="8">
        <v>1.3494200000000001</v>
      </c>
      <c r="O177" s="8">
        <v>1.47847</v>
      </c>
      <c r="P177" s="8">
        <v>1.5651900000000001</v>
      </c>
      <c r="Q177" s="8">
        <v>1.4690300000000001</v>
      </c>
      <c r="R177" s="8">
        <v>1.5495000000000001</v>
      </c>
      <c r="S177" s="8" t="s">
        <v>25</v>
      </c>
    </row>
    <row r="178" spans="1:19" ht="13.8" hidden="1" x14ac:dyDescent="0.3">
      <c r="A178" s="6" t="s">
        <v>197</v>
      </c>
      <c r="B178" s="5" t="s">
        <v>23</v>
      </c>
      <c r="C178" s="7" t="s">
        <v>25</v>
      </c>
      <c r="D178" s="7" t="s">
        <v>25</v>
      </c>
      <c r="E178" s="7" t="s">
        <v>25</v>
      </c>
      <c r="F178" s="7" t="s">
        <v>25</v>
      </c>
      <c r="G178" s="7" t="s">
        <v>25</v>
      </c>
      <c r="H178" s="7" t="s">
        <v>25</v>
      </c>
      <c r="I178" s="7" t="s">
        <v>25</v>
      </c>
      <c r="J178" s="7" t="s">
        <v>25</v>
      </c>
      <c r="K178" s="7" t="s">
        <v>25</v>
      </c>
      <c r="L178" s="7" t="s">
        <v>25</v>
      </c>
      <c r="M178" s="7" t="s">
        <v>25</v>
      </c>
      <c r="N178" s="7" t="s">
        <v>25</v>
      </c>
      <c r="O178" s="7" t="s">
        <v>25</v>
      </c>
      <c r="P178" s="7" t="s">
        <v>25</v>
      </c>
      <c r="Q178" s="7" t="s">
        <v>25</v>
      </c>
      <c r="R178" s="7" t="s">
        <v>25</v>
      </c>
      <c r="S178" s="7" t="s">
        <v>25</v>
      </c>
    </row>
    <row r="179" spans="1:19" ht="13.8" x14ac:dyDescent="0.3">
      <c r="A179" s="6" t="s">
        <v>198</v>
      </c>
      <c r="B179" s="5" t="s">
        <v>23</v>
      </c>
      <c r="C179" s="8">
        <v>0.37923000000000001</v>
      </c>
      <c r="D179" s="8">
        <v>0.40725</v>
      </c>
      <c r="E179" s="8">
        <v>0.37979000000000002</v>
      </c>
      <c r="F179" s="8">
        <v>0.34171000000000001</v>
      </c>
      <c r="G179" s="8">
        <v>0.28282000000000002</v>
      </c>
      <c r="H179" s="8">
        <v>0.27239999999999998</v>
      </c>
      <c r="I179" s="8">
        <v>0.30052000000000001</v>
      </c>
      <c r="J179" s="8">
        <v>0.33615</v>
      </c>
      <c r="K179" s="8">
        <v>0.33194000000000001</v>
      </c>
      <c r="L179" s="8">
        <v>0.31204999999999999</v>
      </c>
      <c r="M179" s="8">
        <v>0.31653999999999999</v>
      </c>
      <c r="N179" s="8">
        <v>0.32758999999999999</v>
      </c>
      <c r="O179" s="8">
        <v>0.37170999999999998</v>
      </c>
      <c r="P179" s="8">
        <v>0.37737999999999999</v>
      </c>
      <c r="Q179" s="8">
        <v>0.35147</v>
      </c>
      <c r="R179" s="8" t="s">
        <v>25</v>
      </c>
      <c r="S179" s="8" t="s">
        <v>25</v>
      </c>
    </row>
    <row r="180" spans="1:19" ht="13.8" hidden="1" x14ac:dyDescent="0.3">
      <c r="A180" s="6" t="s">
        <v>199</v>
      </c>
      <c r="B180" s="5" t="s">
        <v>23</v>
      </c>
      <c r="C180" s="7" t="s">
        <v>25</v>
      </c>
      <c r="D180" s="7">
        <v>0.61668000000000001</v>
      </c>
      <c r="E180" s="7" t="s">
        <v>25</v>
      </c>
      <c r="F180" s="7" t="s">
        <v>25</v>
      </c>
      <c r="G180" s="7" t="s">
        <v>25</v>
      </c>
      <c r="H180" s="7" t="s">
        <v>25</v>
      </c>
      <c r="I180" s="7">
        <v>0.89110999999999996</v>
      </c>
      <c r="J180" s="7" t="s">
        <v>25</v>
      </c>
      <c r="K180" s="7" t="s">
        <v>25</v>
      </c>
      <c r="L180" s="7" t="s">
        <v>25</v>
      </c>
      <c r="M180" s="7" t="s">
        <v>25</v>
      </c>
      <c r="N180" s="7" t="s">
        <v>25</v>
      </c>
      <c r="O180" s="7" t="s">
        <v>25</v>
      </c>
      <c r="P180" s="7" t="s">
        <v>25</v>
      </c>
      <c r="Q180" s="7" t="s">
        <v>25</v>
      </c>
      <c r="R180" s="7" t="s">
        <v>25</v>
      </c>
      <c r="S180" s="7" t="s">
        <v>25</v>
      </c>
    </row>
    <row r="181" spans="1:19" ht="13.8" x14ac:dyDescent="0.3">
      <c r="A181" s="6" t="s">
        <v>200</v>
      </c>
      <c r="B181" s="5" t="s">
        <v>23</v>
      </c>
      <c r="C181" s="8">
        <v>3.7819999999999999E-2</v>
      </c>
      <c r="D181" s="8" t="s">
        <v>25</v>
      </c>
      <c r="E181" s="8" t="s">
        <v>25</v>
      </c>
      <c r="F181" s="8">
        <v>9.11E-3</v>
      </c>
      <c r="G181" s="8">
        <v>5.1399999999999996E-3</v>
      </c>
      <c r="H181" s="8">
        <v>1.223E-2</v>
      </c>
      <c r="I181" s="8">
        <v>7.3400000000000002E-3</v>
      </c>
      <c r="J181" s="8" t="s">
        <v>25</v>
      </c>
      <c r="K181" s="8">
        <v>4.6739999999999997E-2</v>
      </c>
      <c r="L181" s="8">
        <v>0.26472000000000001</v>
      </c>
      <c r="M181" s="8" t="s">
        <v>25</v>
      </c>
      <c r="N181" s="8">
        <v>3.909E-2</v>
      </c>
      <c r="O181" s="8" t="s">
        <v>25</v>
      </c>
      <c r="P181" s="8" t="s">
        <v>25</v>
      </c>
      <c r="Q181" s="8">
        <v>0.11890000000000001</v>
      </c>
      <c r="R181" s="8" t="s">
        <v>25</v>
      </c>
      <c r="S181" s="8" t="s">
        <v>25</v>
      </c>
    </row>
    <row r="182" spans="1:19" ht="13.8" hidden="1" x14ac:dyDescent="0.3">
      <c r="A182" s="6" t="s">
        <v>201</v>
      </c>
      <c r="B182" s="5" t="s">
        <v>23</v>
      </c>
      <c r="C182" s="7" t="s">
        <v>25</v>
      </c>
      <c r="D182" s="7" t="s">
        <v>25</v>
      </c>
      <c r="E182" s="7" t="s">
        <v>25</v>
      </c>
      <c r="F182" s="7" t="s">
        <v>25</v>
      </c>
      <c r="G182" s="7" t="s">
        <v>25</v>
      </c>
      <c r="H182" s="7" t="s">
        <v>25</v>
      </c>
      <c r="I182" s="7" t="s">
        <v>25</v>
      </c>
      <c r="J182" s="7" t="s">
        <v>25</v>
      </c>
      <c r="K182" s="7" t="s">
        <v>25</v>
      </c>
      <c r="L182" s="7" t="s">
        <v>25</v>
      </c>
      <c r="M182" s="7" t="s">
        <v>25</v>
      </c>
      <c r="N182" s="7" t="s">
        <v>25</v>
      </c>
      <c r="O182" s="7" t="s">
        <v>25</v>
      </c>
      <c r="P182" s="7" t="s">
        <v>25</v>
      </c>
      <c r="Q182" s="7" t="s">
        <v>25</v>
      </c>
      <c r="R182" s="7" t="s">
        <v>25</v>
      </c>
      <c r="S182" s="7" t="s">
        <v>25</v>
      </c>
    </row>
    <row r="183" spans="1:19" ht="13.8" hidden="1" x14ac:dyDescent="0.3">
      <c r="A183" s="6" t="s">
        <v>202</v>
      </c>
      <c r="B183" s="5" t="s">
        <v>23</v>
      </c>
      <c r="C183" s="8" t="s">
        <v>25</v>
      </c>
      <c r="D183" s="8" t="s">
        <v>25</v>
      </c>
      <c r="E183" s="8" t="s">
        <v>25</v>
      </c>
      <c r="F183" s="8" t="s">
        <v>25</v>
      </c>
      <c r="G183" s="8" t="s">
        <v>25</v>
      </c>
      <c r="H183" s="8" t="s">
        <v>25</v>
      </c>
      <c r="I183" s="8" t="s">
        <v>25</v>
      </c>
      <c r="J183" s="8" t="s">
        <v>25</v>
      </c>
      <c r="K183" s="8">
        <v>0.39661999999999997</v>
      </c>
      <c r="L183" s="8" t="s">
        <v>25</v>
      </c>
      <c r="M183" s="8" t="s">
        <v>25</v>
      </c>
      <c r="N183" s="8" t="s">
        <v>25</v>
      </c>
      <c r="O183" s="8" t="s">
        <v>25</v>
      </c>
      <c r="P183" s="8" t="s">
        <v>25</v>
      </c>
      <c r="Q183" s="8" t="s">
        <v>25</v>
      </c>
      <c r="R183" s="8" t="s">
        <v>25</v>
      </c>
      <c r="S183" s="8" t="s">
        <v>25</v>
      </c>
    </row>
    <row r="184" spans="1:19" ht="13.8" hidden="1" x14ac:dyDescent="0.3">
      <c r="A184" s="6" t="s">
        <v>203</v>
      </c>
      <c r="B184" s="5" t="s">
        <v>23</v>
      </c>
      <c r="C184" s="7" t="s">
        <v>25</v>
      </c>
      <c r="D184" s="7" t="s">
        <v>25</v>
      </c>
      <c r="E184" s="7">
        <v>4.5530000000000001E-2</v>
      </c>
      <c r="F184" s="7">
        <v>6.1679999999999999E-2</v>
      </c>
      <c r="G184" s="7">
        <v>5.5640000000000002E-2</v>
      </c>
      <c r="H184" s="7">
        <v>5.2060000000000002E-2</v>
      </c>
      <c r="I184" s="7" t="s">
        <v>25</v>
      </c>
      <c r="J184" s="7" t="s">
        <v>25</v>
      </c>
      <c r="K184" s="7">
        <v>5.4829999999999997E-2</v>
      </c>
      <c r="L184" s="7">
        <v>4.9110000000000001E-2</v>
      </c>
      <c r="M184" s="7">
        <v>4.9149999999999999E-2</v>
      </c>
      <c r="N184" s="7" t="s">
        <v>25</v>
      </c>
      <c r="O184" s="7">
        <v>4.7050000000000002E-2</v>
      </c>
      <c r="P184" s="7" t="s">
        <v>25</v>
      </c>
      <c r="Q184" s="7" t="s">
        <v>25</v>
      </c>
      <c r="R184" s="7" t="s">
        <v>25</v>
      </c>
      <c r="S184" s="7" t="s">
        <v>25</v>
      </c>
    </row>
    <row r="185" spans="1:19" ht="13.8" hidden="1" x14ac:dyDescent="0.3">
      <c r="A185" s="6" t="s">
        <v>204</v>
      </c>
      <c r="B185" s="5" t="s">
        <v>23</v>
      </c>
      <c r="C185" s="8" t="s">
        <v>25</v>
      </c>
      <c r="D185" s="8" t="s">
        <v>25</v>
      </c>
      <c r="E185" s="8" t="s">
        <v>25</v>
      </c>
      <c r="F185" s="8" t="s">
        <v>25</v>
      </c>
      <c r="G185" s="8" t="s">
        <v>25</v>
      </c>
      <c r="H185" s="8" t="s">
        <v>25</v>
      </c>
      <c r="I185" s="8" t="s">
        <v>25</v>
      </c>
      <c r="J185" s="8" t="s">
        <v>25</v>
      </c>
      <c r="K185" s="8" t="s">
        <v>25</v>
      </c>
      <c r="L185" s="8" t="s">
        <v>25</v>
      </c>
      <c r="M185" s="8" t="s">
        <v>25</v>
      </c>
      <c r="N185" s="8" t="s">
        <v>25</v>
      </c>
      <c r="O185" s="8" t="s">
        <v>25</v>
      </c>
      <c r="P185" s="8" t="s">
        <v>25</v>
      </c>
      <c r="Q185" s="8" t="s">
        <v>25</v>
      </c>
      <c r="R185" s="8" t="s">
        <v>25</v>
      </c>
      <c r="S185" s="8" t="s">
        <v>25</v>
      </c>
    </row>
    <row r="186" spans="1:19" ht="13.8" hidden="1" x14ac:dyDescent="0.3">
      <c r="A186" s="6" t="s">
        <v>205</v>
      </c>
      <c r="B186" s="5" t="s">
        <v>23</v>
      </c>
      <c r="C186" s="7">
        <v>1.5879999999999998E-2</v>
      </c>
      <c r="D186" s="7" t="s">
        <v>25</v>
      </c>
      <c r="E186" s="7">
        <v>2.7380000000000002E-2</v>
      </c>
      <c r="F186" s="7">
        <v>9.4939999999999997E-2</v>
      </c>
      <c r="G186" s="7">
        <v>8.7809999999999999E-2</v>
      </c>
      <c r="H186" s="7" t="s">
        <v>25</v>
      </c>
      <c r="I186" s="7" t="s">
        <v>25</v>
      </c>
      <c r="J186" s="7">
        <v>9.3359999999999999E-2</v>
      </c>
      <c r="K186" s="7">
        <v>9.3920000000000003E-2</v>
      </c>
      <c r="L186" s="7" t="s">
        <v>25</v>
      </c>
      <c r="M186" s="7" t="s">
        <v>25</v>
      </c>
      <c r="N186" s="7" t="s">
        <v>25</v>
      </c>
      <c r="O186" s="7" t="s">
        <v>25</v>
      </c>
      <c r="P186" s="7" t="s">
        <v>25</v>
      </c>
      <c r="Q186" s="7" t="s">
        <v>25</v>
      </c>
      <c r="R186" s="7" t="s">
        <v>25</v>
      </c>
      <c r="S186" s="7" t="s">
        <v>25</v>
      </c>
    </row>
    <row r="187" spans="1:19" ht="13.8" hidden="1" x14ac:dyDescent="0.3">
      <c r="A187" s="6" t="s">
        <v>206</v>
      </c>
      <c r="B187" s="5" t="s">
        <v>23</v>
      </c>
      <c r="C187" s="8" t="s">
        <v>25</v>
      </c>
      <c r="D187" s="8" t="s">
        <v>25</v>
      </c>
      <c r="E187" s="8" t="s">
        <v>25</v>
      </c>
      <c r="F187" s="8" t="s">
        <v>25</v>
      </c>
      <c r="G187" s="8" t="s">
        <v>25</v>
      </c>
      <c r="H187" s="8" t="s">
        <v>25</v>
      </c>
      <c r="I187" s="8" t="s">
        <v>25</v>
      </c>
      <c r="J187" s="8" t="s">
        <v>25</v>
      </c>
      <c r="K187" s="8" t="s">
        <v>25</v>
      </c>
      <c r="L187" s="8" t="s">
        <v>25</v>
      </c>
      <c r="M187" s="8" t="s">
        <v>25</v>
      </c>
      <c r="N187" s="8" t="s">
        <v>25</v>
      </c>
      <c r="O187" s="8" t="s">
        <v>25</v>
      </c>
      <c r="P187" s="8" t="s">
        <v>25</v>
      </c>
      <c r="Q187" s="8" t="s">
        <v>25</v>
      </c>
      <c r="R187" s="8" t="s">
        <v>25</v>
      </c>
      <c r="S187" s="8" t="s">
        <v>25</v>
      </c>
    </row>
    <row r="188" spans="1:19" ht="13.8" hidden="1" x14ac:dyDescent="0.3">
      <c r="A188" s="6" t="s">
        <v>207</v>
      </c>
      <c r="B188" s="5" t="s">
        <v>23</v>
      </c>
      <c r="C188" s="7" t="s">
        <v>25</v>
      </c>
      <c r="D188" s="7" t="s">
        <v>25</v>
      </c>
      <c r="E188" s="7" t="s">
        <v>25</v>
      </c>
      <c r="F188" s="7" t="s">
        <v>25</v>
      </c>
      <c r="G188" s="7" t="s">
        <v>25</v>
      </c>
      <c r="H188" s="7" t="s">
        <v>25</v>
      </c>
      <c r="I188" s="7" t="s">
        <v>25</v>
      </c>
      <c r="J188" s="7" t="s">
        <v>25</v>
      </c>
      <c r="K188" s="7" t="s">
        <v>25</v>
      </c>
      <c r="L188" s="7" t="s">
        <v>25</v>
      </c>
      <c r="M188" s="7" t="s">
        <v>25</v>
      </c>
      <c r="N188" s="7" t="s">
        <v>25</v>
      </c>
      <c r="O188" s="7" t="s">
        <v>25</v>
      </c>
      <c r="P188" s="7" t="s">
        <v>25</v>
      </c>
      <c r="Q188" s="7" t="s">
        <v>25</v>
      </c>
      <c r="R188" s="7" t="s">
        <v>25</v>
      </c>
      <c r="S188" s="7" t="s">
        <v>25</v>
      </c>
    </row>
    <row r="189" spans="1:19" ht="13.8" hidden="1" x14ac:dyDescent="0.3">
      <c r="A189" s="6" t="s">
        <v>208</v>
      </c>
      <c r="B189" s="5" t="s">
        <v>23</v>
      </c>
      <c r="C189" s="8" t="s">
        <v>25</v>
      </c>
      <c r="D189" s="8" t="s">
        <v>25</v>
      </c>
      <c r="E189" s="8" t="s">
        <v>25</v>
      </c>
      <c r="F189" s="8" t="s">
        <v>25</v>
      </c>
      <c r="G189" s="8" t="s">
        <v>25</v>
      </c>
      <c r="H189" s="8" t="s">
        <v>25</v>
      </c>
      <c r="I189" s="8" t="s">
        <v>25</v>
      </c>
      <c r="J189" s="8" t="s">
        <v>25</v>
      </c>
      <c r="K189" s="8" t="s">
        <v>25</v>
      </c>
      <c r="L189" s="8">
        <v>3.5130000000000002E-2</v>
      </c>
      <c r="M189" s="8" t="s">
        <v>25</v>
      </c>
      <c r="N189" s="8" t="s">
        <v>25</v>
      </c>
      <c r="O189" s="8" t="s">
        <v>25</v>
      </c>
      <c r="P189" s="8" t="s">
        <v>25</v>
      </c>
      <c r="Q189" s="8" t="s">
        <v>25</v>
      </c>
      <c r="R189" s="8" t="s">
        <v>25</v>
      </c>
      <c r="S189" s="8" t="s">
        <v>25</v>
      </c>
    </row>
    <row r="190" spans="1:19" ht="13.8" x14ac:dyDescent="0.3">
      <c r="A190" s="6" t="s">
        <v>209</v>
      </c>
      <c r="B190" s="5" t="s">
        <v>23</v>
      </c>
      <c r="C190" s="7" t="s">
        <v>25</v>
      </c>
      <c r="D190" s="7" t="s">
        <v>25</v>
      </c>
      <c r="E190" s="7" t="s">
        <v>25</v>
      </c>
      <c r="F190" s="7">
        <v>0.50026000000000004</v>
      </c>
      <c r="G190" s="7">
        <v>0.54481999999999997</v>
      </c>
      <c r="H190" s="7" t="s">
        <v>25</v>
      </c>
      <c r="I190" s="7">
        <v>0.80261000000000005</v>
      </c>
      <c r="J190" s="7">
        <v>0.77920999999999996</v>
      </c>
      <c r="K190" s="7">
        <v>0.74178999999999995</v>
      </c>
      <c r="L190" s="7">
        <v>0.70118000000000003</v>
      </c>
      <c r="M190" s="7">
        <v>0.52056999999999998</v>
      </c>
      <c r="N190" s="7">
        <v>0.68345</v>
      </c>
      <c r="O190" s="7">
        <v>0.45002999999999999</v>
      </c>
      <c r="P190" s="7">
        <v>0.42570999999999998</v>
      </c>
      <c r="Q190" s="7">
        <v>0.53322999999999998</v>
      </c>
      <c r="R190" s="7" t="s">
        <v>25</v>
      </c>
      <c r="S190" s="7" t="s">
        <v>25</v>
      </c>
    </row>
    <row r="191" spans="1:19" ht="13.8" x14ac:dyDescent="0.3">
      <c r="A191" s="6" t="s">
        <v>210</v>
      </c>
      <c r="B191" s="5" t="s">
        <v>23</v>
      </c>
      <c r="C191" s="8" t="s">
        <v>25</v>
      </c>
      <c r="D191" s="8" t="s">
        <v>25</v>
      </c>
      <c r="E191" s="8" t="s">
        <v>25</v>
      </c>
      <c r="F191" s="8" t="s">
        <v>25</v>
      </c>
      <c r="G191" s="8" t="s">
        <v>25</v>
      </c>
      <c r="H191" s="8">
        <v>0.76873999999999998</v>
      </c>
      <c r="I191" s="8">
        <v>0.76756999999999997</v>
      </c>
      <c r="J191" s="8">
        <v>0.53071000000000002</v>
      </c>
      <c r="K191" s="8">
        <v>8.992E-2</v>
      </c>
      <c r="L191" s="8">
        <v>0.24826000000000001</v>
      </c>
      <c r="M191" s="8">
        <v>0.12055</v>
      </c>
      <c r="N191" s="8">
        <v>0.12005</v>
      </c>
      <c r="O191" s="8">
        <v>0.79522000000000004</v>
      </c>
      <c r="P191" s="8">
        <v>0.24892</v>
      </c>
      <c r="Q191" s="8">
        <v>0.17927000000000001</v>
      </c>
      <c r="R191" s="8">
        <v>0.28765000000000002</v>
      </c>
      <c r="S191" s="8" t="s">
        <v>25</v>
      </c>
    </row>
    <row r="192" spans="1:19" ht="13.8" hidden="1" x14ac:dyDescent="0.3">
      <c r="A192" s="6" t="s">
        <v>211</v>
      </c>
      <c r="B192" s="5" t="s">
        <v>23</v>
      </c>
      <c r="C192" s="7" t="s">
        <v>25</v>
      </c>
      <c r="D192" s="7" t="s">
        <v>25</v>
      </c>
      <c r="E192" s="7" t="s">
        <v>25</v>
      </c>
      <c r="F192" s="7" t="s">
        <v>25</v>
      </c>
      <c r="G192" s="7" t="s">
        <v>25</v>
      </c>
      <c r="H192" s="7" t="s">
        <v>25</v>
      </c>
      <c r="I192" s="7" t="s">
        <v>25</v>
      </c>
      <c r="J192" s="7" t="s">
        <v>25</v>
      </c>
      <c r="K192" s="7" t="s">
        <v>25</v>
      </c>
      <c r="L192" s="7" t="s">
        <v>25</v>
      </c>
      <c r="M192" s="7" t="s">
        <v>25</v>
      </c>
      <c r="N192" s="7" t="s">
        <v>25</v>
      </c>
      <c r="O192" s="7" t="s">
        <v>25</v>
      </c>
      <c r="P192" s="7" t="s">
        <v>25</v>
      </c>
      <c r="Q192" s="7" t="s">
        <v>25</v>
      </c>
      <c r="R192" s="7" t="s">
        <v>25</v>
      </c>
      <c r="S192" s="7" t="s">
        <v>25</v>
      </c>
    </row>
    <row r="193" spans="1:19" ht="13.8" x14ac:dyDescent="0.3">
      <c r="A193" s="6" t="s">
        <v>212</v>
      </c>
      <c r="B193" s="5" t="s">
        <v>23</v>
      </c>
      <c r="C193" s="8" t="s">
        <v>25</v>
      </c>
      <c r="D193" s="8" t="s">
        <v>25</v>
      </c>
      <c r="E193" s="8">
        <v>5.416E-2</v>
      </c>
      <c r="F193" s="8" t="s">
        <v>25</v>
      </c>
      <c r="G193" s="8">
        <v>7.4079999999999993E-2</v>
      </c>
      <c r="H193" s="8">
        <v>0.12794</v>
      </c>
      <c r="I193" s="8">
        <v>0.16855999999999999</v>
      </c>
      <c r="J193" s="8">
        <v>0.16556999999999999</v>
      </c>
      <c r="K193" s="8">
        <v>0.21654000000000001</v>
      </c>
      <c r="L193" s="8">
        <v>2.307E-2</v>
      </c>
      <c r="M193" s="8">
        <v>8.3430000000000004E-2</v>
      </c>
      <c r="N193" s="8">
        <v>6.8110000000000004E-2</v>
      </c>
      <c r="O193" s="8">
        <v>7.4660000000000004E-2</v>
      </c>
      <c r="P193" s="8">
        <v>8.4650000000000003E-2</v>
      </c>
      <c r="Q193" s="8">
        <v>9.1499999999999998E-2</v>
      </c>
      <c r="R193" s="8">
        <v>9.7360000000000002E-2</v>
      </c>
      <c r="S193" s="8" t="s">
        <v>25</v>
      </c>
    </row>
    <row r="194" spans="1:19" ht="13.8" hidden="1" x14ac:dyDescent="0.3">
      <c r="A194" s="6" t="s">
        <v>213</v>
      </c>
      <c r="B194" s="5" t="s">
        <v>23</v>
      </c>
      <c r="C194" s="7">
        <v>1.6959999999999999E-2</v>
      </c>
      <c r="D194" s="7" t="s">
        <v>25</v>
      </c>
      <c r="E194" s="7">
        <v>1.668E-2</v>
      </c>
      <c r="F194" s="7" t="s">
        <v>25</v>
      </c>
      <c r="G194" s="7">
        <v>4.7120000000000002E-2</v>
      </c>
      <c r="H194" s="7" t="s">
        <v>25</v>
      </c>
      <c r="I194" s="7" t="s">
        <v>25</v>
      </c>
      <c r="J194" s="7" t="s">
        <v>25</v>
      </c>
      <c r="K194" s="7" t="s">
        <v>25</v>
      </c>
      <c r="L194" s="7" t="s">
        <v>25</v>
      </c>
      <c r="M194" s="7" t="s">
        <v>25</v>
      </c>
      <c r="N194" s="7" t="s">
        <v>25</v>
      </c>
      <c r="O194" s="7" t="s">
        <v>25</v>
      </c>
      <c r="P194" s="7" t="s">
        <v>25</v>
      </c>
      <c r="Q194" s="7" t="s">
        <v>25</v>
      </c>
      <c r="R194" s="7" t="s">
        <v>25</v>
      </c>
      <c r="S194" s="7" t="s">
        <v>25</v>
      </c>
    </row>
    <row r="195" spans="1:19" ht="13.8" hidden="1" x14ac:dyDescent="0.3">
      <c r="A195" s="6" t="s">
        <v>214</v>
      </c>
      <c r="B195" s="5" t="s">
        <v>23</v>
      </c>
      <c r="C195" s="8" t="s">
        <v>25</v>
      </c>
      <c r="D195" s="8" t="s">
        <v>25</v>
      </c>
      <c r="E195" s="8" t="s">
        <v>25</v>
      </c>
      <c r="F195" s="8" t="s">
        <v>25</v>
      </c>
      <c r="G195" s="8" t="s">
        <v>25</v>
      </c>
      <c r="H195" s="8">
        <v>0.31657999999999997</v>
      </c>
      <c r="I195" s="8">
        <v>0.45316000000000001</v>
      </c>
      <c r="J195" s="8">
        <v>0.52734999999999999</v>
      </c>
      <c r="K195" s="8">
        <v>0.43670999999999999</v>
      </c>
      <c r="L195" s="8">
        <v>0.36109000000000002</v>
      </c>
      <c r="M195" s="8" t="s">
        <v>25</v>
      </c>
      <c r="N195" s="8" t="s">
        <v>25</v>
      </c>
      <c r="O195" s="8" t="s">
        <v>25</v>
      </c>
      <c r="P195" s="8" t="s">
        <v>25</v>
      </c>
      <c r="Q195" s="8" t="s">
        <v>25</v>
      </c>
      <c r="R195" s="8" t="s">
        <v>25</v>
      </c>
      <c r="S195" s="8" t="s">
        <v>25</v>
      </c>
    </row>
    <row r="196" spans="1:19" ht="13.8" hidden="1" x14ac:dyDescent="0.3">
      <c r="A196" s="6" t="s">
        <v>215</v>
      </c>
      <c r="B196" s="5" t="s">
        <v>23</v>
      </c>
      <c r="C196" s="7" t="s">
        <v>25</v>
      </c>
      <c r="D196" s="7" t="s">
        <v>25</v>
      </c>
      <c r="E196" s="7" t="s">
        <v>25</v>
      </c>
      <c r="F196" s="7" t="s">
        <v>25</v>
      </c>
      <c r="G196" s="7" t="s">
        <v>25</v>
      </c>
      <c r="H196" s="7" t="s">
        <v>25</v>
      </c>
      <c r="I196" s="7" t="s">
        <v>25</v>
      </c>
      <c r="J196" s="7" t="s">
        <v>25</v>
      </c>
      <c r="K196" s="7" t="s">
        <v>25</v>
      </c>
      <c r="L196" s="7" t="s">
        <v>25</v>
      </c>
      <c r="M196" s="7" t="s">
        <v>25</v>
      </c>
      <c r="N196" s="7" t="s">
        <v>25</v>
      </c>
      <c r="O196" s="7" t="s">
        <v>25</v>
      </c>
      <c r="P196" s="7" t="s">
        <v>25</v>
      </c>
      <c r="Q196" s="7" t="s">
        <v>25</v>
      </c>
      <c r="R196" s="7" t="s">
        <v>25</v>
      </c>
      <c r="S196" s="7" t="s">
        <v>25</v>
      </c>
    </row>
    <row r="197" spans="1:19" ht="13.8" hidden="1" x14ac:dyDescent="0.3">
      <c r="A197" s="6" t="s">
        <v>216</v>
      </c>
      <c r="B197" s="5" t="s">
        <v>23</v>
      </c>
      <c r="C197" s="8" t="s">
        <v>25</v>
      </c>
      <c r="D197" s="8" t="s">
        <v>25</v>
      </c>
      <c r="E197" s="8" t="s">
        <v>25</v>
      </c>
      <c r="F197" s="8" t="s">
        <v>25</v>
      </c>
      <c r="G197" s="8" t="s">
        <v>25</v>
      </c>
      <c r="H197" s="8" t="s">
        <v>25</v>
      </c>
      <c r="I197" s="8" t="s">
        <v>25</v>
      </c>
      <c r="J197" s="8" t="s">
        <v>25</v>
      </c>
      <c r="K197" s="8" t="s">
        <v>25</v>
      </c>
      <c r="L197" s="8" t="s">
        <v>25</v>
      </c>
      <c r="M197" s="8" t="s">
        <v>25</v>
      </c>
      <c r="N197" s="8" t="s">
        <v>25</v>
      </c>
      <c r="O197" s="8" t="s">
        <v>25</v>
      </c>
      <c r="P197" s="8" t="s">
        <v>25</v>
      </c>
      <c r="Q197" s="8" t="s">
        <v>25</v>
      </c>
      <c r="R197" s="8" t="s">
        <v>25</v>
      </c>
      <c r="S197" s="8" t="s">
        <v>25</v>
      </c>
    </row>
    <row r="198" spans="1:19" ht="13.8" hidden="1" x14ac:dyDescent="0.3">
      <c r="A198" s="6" t="s">
        <v>217</v>
      </c>
      <c r="B198" s="5" t="s">
        <v>23</v>
      </c>
      <c r="C198" s="7" t="s">
        <v>25</v>
      </c>
      <c r="D198" s="7" t="s">
        <v>25</v>
      </c>
      <c r="E198" s="7" t="s">
        <v>25</v>
      </c>
      <c r="F198" s="7" t="s">
        <v>25</v>
      </c>
      <c r="G198" s="7" t="s">
        <v>25</v>
      </c>
      <c r="H198" s="7" t="s">
        <v>25</v>
      </c>
      <c r="I198" s="7" t="s">
        <v>25</v>
      </c>
      <c r="J198" s="7" t="s">
        <v>25</v>
      </c>
      <c r="K198" s="7" t="s">
        <v>25</v>
      </c>
      <c r="L198" s="7" t="s">
        <v>25</v>
      </c>
      <c r="M198" s="7" t="s">
        <v>25</v>
      </c>
      <c r="N198" s="7" t="s">
        <v>25</v>
      </c>
      <c r="O198" s="7" t="s">
        <v>25</v>
      </c>
      <c r="P198" s="7" t="s">
        <v>25</v>
      </c>
      <c r="Q198" s="7" t="s">
        <v>25</v>
      </c>
      <c r="R198" s="7" t="s">
        <v>25</v>
      </c>
      <c r="S198" s="7" t="s">
        <v>25</v>
      </c>
    </row>
    <row r="199" spans="1:19" ht="13.8" x14ac:dyDescent="0.3">
      <c r="A199" s="6" t="s">
        <v>218</v>
      </c>
      <c r="B199" s="5" t="s">
        <v>23</v>
      </c>
      <c r="C199" s="8">
        <v>0.35841000000000001</v>
      </c>
      <c r="D199" s="8">
        <v>0.36131999999999997</v>
      </c>
      <c r="E199" s="8">
        <v>0.40637000000000001</v>
      </c>
      <c r="F199" s="8">
        <v>0.37892999999999999</v>
      </c>
      <c r="G199" s="8">
        <v>0.39587</v>
      </c>
      <c r="H199" s="8">
        <v>0.41010000000000002</v>
      </c>
      <c r="I199" s="8">
        <v>0.43945000000000001</v>
      </c>
      <c r="J199" s="8">
        <v>0.48261999999999999</v>
      </c>
      <c r="K199" s="8">
        <v>0.48171999999999998</v>
      </c>
      <c r="L199" s="8">
        <v>0.50431999999999999</v>
      </c>
      <c r="M199" s="8">
        <v>0.53217999999999999</v>
      </c>
      <c r="N199" s="8">
        <v>0.55066999999999999</v>
      </c>
      <c r="O199" s="8">
        <v>0.62522</v>
      </c>
      <c r="P199" s="8">
        <v>0.65751000000000004</v>
      </c>
      <c r="Q199" s="8">
        <v>0.62602999999999998</v>
      </c>
      <c r="R199" s="8" t="s">
        <v>25</v>
      </c>
      <c r="S199" s="8" t="s">
        <v>25</v>
      </c>
    </row>
    <row r="200" spans="1:19" ht="13.8" x14ac:dyDescent="0.3">
      <c r="A200" s="6" t="s">
        <v>219</v>
      </c>
      <c r="B200" s="5" t="s">
        <v>23</v>
      </c>
      <c r="C200" s="7">
        <v>0.55203000000000002</v>
      </c>
      <c r="D200" s="7">
        <v>0.48063</v>
      </c>
      <c r="E200" s="7">
        <v>0.54857999999999996</v>
      </c>
      <c r="F200" s="7">
        <v>0.56984000000000001</v>
      </c>
      <c r="G200" s="7">
        <v>0.62504999999999999</v>
      </c>
      <c r="H200" s="7">
        <v>0.66064999999999996</v>
      </c>
      <c r="I200" s="7">
        <v>0.59938999999999998</v>
      </c>
      <c r="J200" s="7">
        <v>0.64807999999999999</v>
      </c>
      <c r="K200" s="7">
        <v>0.55289999999999995</v>
      </c>
      <c r="L200" s="7">
        <v>0.52090000000000003</v>
      </c>
      <c r="M200" s="7">
        <v>0.52386999999999995</v>
      </c>
      <c r="N200" s="7">
        <v>0.51219999999999999</v>
      </c>
      <c r="O200" s="7">
        <v>0.50544999999999995</v>
      </c>
      <c r="P200" s="7">
        <v>0.56744000000000006</v>
      </c>
      <c r="Q200" s="7">
        <v>0.54925000000000002</v>
      </c>
      <c r="R200" s="7" t="s">
        <v>25</v>
      </c>
      <c r="S200" s="7" t="s">
        <v>25</v>
      </c>
    </row>
    <row r="201" spans="1:19" ht="13.8" hidden="1" x14ac:dyDescent="0.3">
      <c r="A201" s="6" t="s">
        <v>220</v>
      </c>
      <c r="B201" s="5" t="s">
        <v>23</v>
      </c>
      <c r="C201" s="8" t="s">
        <v>25</v>
      </c>
      <c r="D201" s="8" t="s">
        <v>25</v>
      </c>
      <c r="E201" s="8" t="s">
        <v>25</v>
      </c>
      <c r="F201" s="8" t="s">
        <v>25</v>
      </c>
      <c r="G201" s="8" t="s">
        <v>25</v>
      </c>
      <c r="H201" s="8" t="s">
        <v>25</v>
      </c>
      <c r="I201" s="8" t="s">
        <v>25</v>
      </c>
      <c r="J201" s="8" t="s">
        <v>25</v>
      </c>
      <c r="K201" s="8" t="s">
        <v>25</v>
      </c>
      <c r="L201" s="8" t="s">
        <v>25</v>
      </c>
      <c r="M201" s="8" t="s">
        <v>25</v>
      </c>
      <c r="N201" s="8" t="s">
        <v>25</v>
      </c>
      <c r="O201" s="8" t="s">
        <v>25</v>
      </c>
      <c r="P201" s="8">
        <v>1.439E-2</v>
      </c>
      <c r="Q201" s="8">
        <v>1.3429999999999999E-2</v>
      </c>
      <c r="R201" s="8">
        <v>1.346E-2</v>
      </c>
      <c r="S201" s="8">
        <v>1.601E-2</v>
      </c>
    </row>
    <row r="202" spans="1:19" ht="13.8" hidden="1" x14ac:dyDescent="0.3">
      <c r="A202" s="6" t="s">
        <v>221</v>
      </c>
      <c r="B202" s="5" t="s">
        <v>23</v>
      </c>
      <c r="C202" s="7" t="s">
        <v>25</v>
      </c>
      <c r="D202" s="7" t="s">
        <v>25</v>
      </c>
      <c r="E202" s="7" t="s">
        <v>25</v>
      </c>
      <c r="F202" s="7" t="s">
        <v>25</v>
      </c>
      <c r="G202" s="7" t="s">
        <v>25</v>
      </c>
      <c r="H202" s="7" t="s">
        <v>25</v>
      </c>
      <c r="I202" s="7" t="s">
        <v>25</v>
      </c>
      <c r="J202" s="7" t="s">
        <v>25</v>
      </c>
      <c r="K202" s="7" t="s">
        <v>25</v>
      </c>
      <c r="L202" s="7" t="s">
        <v>25</v>
      </c>
      <c r="M202" s="7" t="s">
        <v>25</v>
      </c>
      <c r="N202" s="7" t="s">
        <v>25</v>
      </c>
      <c r="O202" s="7" t="s">
        <v>25</v>
      </c>
      <c r="P202" s="7" t="s">
        <v>25</v>
      </c>
      <c r="Q202" s="7" t="s">
        <v>25</v>
      </c>
      <c r="R202" s="7" t="s">
        <v>25</v>
      </c>
      <c r="S202" s="7" t="s">
        <v>25</v>
      </c>
    </row>
    <row r="203" spans="1:19" ht="13.8" x14ac:dyDescent="0.3">
      <c r="A203" s="6" t="s">
        <v>222</v>
      </c>
      <c r="B203" s="5" t="s">
        <v>23</v>
      </c>
      <c r="C203" s="8">
        <v>2.6530000000000001E-2</v>
      </c>
      <c r="D203" s="8">
        <v>2.946E-2</v>
      </c>
      <c r="E203" s="8">
        <v>4.3709999999999999E-2</v>
      </c>
      <c r="F203" s="8">
        <v>5.5390000000000002E-2</v>
      </c>
      <c r="G203" s="8">
        <v>6.8769999999999998E-2</v>
      </c>
      <c r="H203" s="8">
        <v>7.8520000000000006E-2</v>
      </c>
      <c r="I203" s="8" t="s">
        <v>25</v>
      </c>
      <c r="J203" s="8">
        <v>8.4839999999999999E-2</v>
      </c>
      <c r="K203" s="8" t="s">
        <v>25</v>
      </c>
      <c r="L203" s="8">
        <v>8.4930000000000005E-2</v>
      </c>
      <c r="M203" s="8">
        <v>8.745E-2</v>
      </c>
      <c r="N203" s="8">
        <v>8.2180000000000003E-2</v>
      </c>
      <c r="O203" s="8">
        <v>8.3900000000000002E-2</v>
      </c>
      <c r="P203" s="8">
        <v>9.9760000000000001E-2</v>
      </c>
      <c r="Q203" s="8">
        <v>0.10606</v>
      </c>
      <c r="R203" s="8">
        <v>0.1019</v>
      </c>
      <c r="S203" s="8">
        <v>0.10076</v>
      </c>
    </row>
    <row r="204" spans="1:19" ht="13.8" hidden="1" x14ac:dyDescent="0.3">
      <c r="A204" s="6" t="s">
        <v>223</v>
      </c>
      <c r="B204" s="5" t="s">
        <v>23</v>
      </c>
      <c r="C204" s="7" t="s">
        <v>25</v>
      </c>
      <c r="D204" s="7" t="s">
        <v>25</v>
      </c>
      <c r="E204" s="7" t="s">
        <v>25</v>
      </c>
      <c r="F204" s="7" t="s">
        <v>25</v>
      </c>
      <c r="G204" s="7" t="s">
        <v>25</v>
      </c>
      <c r="H204" s="7" t="s">
        <v>25</v>
      </c>
      <c r="I204" s="7" t="s">
        <v>25</v>
      </c>
      <c r="J204" s="7">
        <v>6.94E-3</v>
      </c>
      <c r="K204" s="7">
        <v>8.8699999999999994E-3</v>
      </c>
      <c r="L204" s="7" t="s">
        <v>25</v>
      </c>
      <c r="M204" s="7" t="s">
        <v>25</v>
      </c>
      <c r="N204" s="7" t="s">
        <v>25</v>
      </c>
      <c r="O204" s="7" t="s">
        <v>25</v>
      </c>
      <c r="P204" s="7" t="s">
        <v>25</v>
      </c>
      <c r="Q204" s="7" t="s">
        <v>25</v>
      </c>
      <c r="R204" s="7" t="s">
        <v>25</v>
      </c>
      <c r="S204" s="7" t="s">
        <v>25</v>
      </c>
    </row>
    <row r="205" spans="1:19" ht="13.8" x14ac:dyDescent="0.3">
      <c r="A205" s="6" t="s">
        <v>224</v>
      </c>
      <c r="B205" s="5" t="s">
        <v>23</v>
      </c>
      <c r="C205" s="8">
        <v>0.57815000000000005</v>
      </c>
      <c r="D205" s="8">
        <v>0.62817999999999996</v>
      </c>
      <c r="E205" s="8">
        <v>0.70565999999999995</v>
      </c>
      <c r="F205" s="8">
        <v>0.68233999999999995</v>
      </c>
      <c r="G205" s="8" t="s">
        <v>25</v>
      </c>
      <c r="H205" s="8">
        <v>0.49913999999999997</v>
      </c>
      <c r="I205" s="8">
        <v>0.48709999999999998</v>
      </c>
      <c r="J205" s="8">
        <v>0.48496</v>
      </c>
      <c r="K205" s="8">
        <v>0.47293000000000002</v>
      </c>
      <c r="L205" s="8">
        <v>0.45926</v>
      </c>
      <c r="M205" s="8">
        <v>0.44396999999999998</v>
      </c>
      <c r="N205" s="8">
        <v>0.43542999999999998</v>
      </c>
      <c r="O205" s="8">
        <v>0.43361</v>
      </c>
      <c r="P205" s="8">
        <v>0.50197999999999998</v>
      </c>
      <c r="Q205" s="8">
        <v>0.48447000000000001</v>
      </c>
      <c r="R205" s="8" t="s">
        <v>25</v>
      </c>
      <c r="S205" s="8" t="s">
        <v>25</v>
      </c>
    </row>
    <row r="206" spans="1:19" ht="13.8" hidden="1" x14ac:dyDescent="0.3">
      <c r="A206" s="6" t="s">
        <v>225</v>
      </c>
      <c r="B206" s="5" t="s">
        <v>23</v>
      </c>
      <c r="C206" s="7" t="s">
        <v>25</v>
      </c>
      <c r="D206" s="7" t="s">
        <v>25</v>
      </c>
      <c r="E206" s="7" t="s">
        <v>25</v>
      </c>
      <c r="F206" s="7" t="s">
        <v>25</v>
      </c>
      <c r="G206" s="7" t="s">
        <v>25</v>
      </c>
      <c r="H206" s="7" t="s">
        <v>25</v>
      </c>
      <c r="I206" s="7" t="s">
        <v>25</v>
      </c>
      <c r="J206" s="7" t="s">
        <v>25</v>
      </c>
      <c r="K206" s="7" t="s">
        <v>25</v>
      </c>
      <c r="L206" s="7" t="s">
        <v>25</v>
      </c>
      <c r="M206" s="7" t="s">
        <v>25</v>
      </c>
      <c r="N206" s="7" t="s">
        <v>25</v>
      </c>
      <c r="O206" s="7" t="s">
        <v>25</v>
      </c>
      <c r="P206" s="7">
        <v>8.2930000000000004E-2</v>
      </c>
      <c r="Q206" s="7">
        <v>8.0799999999999997E-2</v>
      </c>
      <c r="R206" s="7">
        <v>6.5710000000000005E-2</v>
      </c>
      <c r="S206" s="7" t="s">
        <v>25</v>
      </c>
    </row>
    <row r="207" spans="1:19" ht="13.8" hidden="1" x14ac:dyDescent="0.3">
      <c r="A207" s="6" t="s">
        <v>226</v>
      </c>
      <c r="B207" s="5" t="s">
        <v>23</v>
      </c>
      <c r="C207" s="8" t="s">
        <v>25</v>
      </c>
      <c r="D207" s="8" t="s">
        <v>25</v>
      </c>
      <c r="E207" s="8" t="s">
        <v>25</v>
      </c>
      <c r="F207" s="8" t="s">
        <v>25</v>
      </c>
      <c r="G207" s="8" t="s">
        <v>25</v>
      </c>
      <c r="H207" s="8" t="s">
        <v>25</v>
      </c>
      <c r="I207" s="8" t="s">
        <v>25</v>
      </c>
      <c r="J207" s="8" t="s">
        <v>25</v>
      </c>
      <c r="K207" s="8" t="s">
        <v>25</v>
      </c>
      <c r="L207" s="8" t="s">
        <v>25</v>
      </c>
      <c r="M207" s="8" t="s">
        <v>25</v>
      </c>
      <c r="N207" s="8" t="s">
        <v>25</v>
      </c>
      <c r="O207" s="8" t="s">
        <v>25</v>
      </c>
      <c r="P207" s="8" t="s">
        <v>25</v>
      </c>
      <c r="Q207" s="8" t="s">
        <v>25</v>
      </c>
      <c r="R207" s="8" t="s">
        <v>25</v>
      </c>
      <c r="S207" s="8" t="s">
        <v>25</v>
      </c>
    </row>
    <row r="208" spans="1:19" ht="13.8" hidden="1" x14ac:dyDescent="0.3">
      <c r="A208" s="6" t="s">
        <v>227</v>
      </c>
      <c r="B208" s="5" t="s">
        <v>23</v>
      </c>
      <c r="C208" s="7" t="s">
        <v>25</v>
      </c>
      <c r="D208" s="7" t="s">
        <v>25</v>
      </c>
      <c r="E208" s="7" t="s">
        <v>25</v>
      </c>
      <c r="F208" s="7" t="s">
        <v>25</v>
      </c>
      <c r="G208" s="7" t="s">
        <v>25</v>
      </c>
      <c r="H208" s="7" t="s">
        <v>25</v>
      </c>
      <c r="I208" s="7" t="s">
        <v>25</v>
      </c>
      <c r="J208" s="7" t="s">
        <v>25</v>
      </c>
      <c r="K208" s="7" t="s">
        <v>25</v>
      </c>
      <c r="L208" s="7" t="s">
        <v>25</v>
      </c>
      <c r="M208" s="7" t="s">
        <v>25</v>
      </c>
      <c r="N208" s="7" t="s">
        <v>25</v>
      </c>
      <c r="O208" s="7" t="s">
        <v>25</v>
      </c>
      <c r="P208" s="7" t="s">
        <v>25</v>
      </c>
      <c r="Q208" s="7" t="s">
        <v>25</v>
      </c>
      <c r="R208" s="7" t="s">
        <v>25</v>
      </c>
      <c r="S208" s="7" t="s">
        <v>25</v>
      </c>
    </row>
    <row r="209" spans="1:19" ht="13.8" hidden="1" x14ac:dyDescent="0.3">
      <c r="A209" s="6" t="s">
        <v>228</v>
      </c>
      <c r="B209" s="5" t="s">
        <v>23</v>
      </c>
      <c r="C209" s="8" t="s">
        <v>25</v>
      </c>
      <c r="D209" s="8" t="s">
        <v>25</v>
      </c>
      <c r="E209" s="8" t="s">
        <v>25</v>
      </c>
      <c r="F209" s="8" t="s">
        <v>25</v>
      </c>
      <c r="G209" s="8" t="s">
        <v>25</v>
      </c>
      <c r="H209" s="8" t="s">
        <v>25</v>
      </c>
      <c r="I209" s="8" t="s">
        <v>25</v>
      </c>
      <c r="J209" s="8" t="s">
        <v>25</v>
      </c>
      <c r="K209" s="8" t="s">
        <v>25</v>
      </c>
      <c r="L209" s="8" t="s">
        <v>25</v>
      </c>
      <c r="M209" s="8" t="s">
        <v>25</v>
      </c>
      <c r="N209" s="8" t="s">
        <v>25</v>
      </c>
      <c r="O209" s="8" t="s">
        <v>25</v>
      </c>
      <c r="P209" s="8" t="s">
        <v>25</v>
      </c>
      <c r="Q209" s="8" t="s">
        <v>25</v>
      </c>
      <c r="R209" s="8" t="s">
        <v>25</v>
      </c>
      <c r="S209" s="8" t="s">
        <v>25</v>
      </c>
    </row>
    <row r="210" spans="1:19" ht="13.8" x14ac:dyDescent="0.3">
      <c r="A210" s="6" t="s">
        <v>229</v>
      </c>
      <c r="B210" s="5" t="s">
        <v>23</v>
      </c>
      <c r="C210" s="7">
        <v>0.56245000000000001</v>
      </c>
      <c r="D210" s="7">
        <v>0.62451000000000001</v>
      </c>
      <c r="E210" s="7">
        <v>0.67515000000000003</v>
      </c>
      <c r="F210" s="7">
        <v>0.66364999999999996</v>
      </c>
      <c r="G210" s="7">
        <v>0.66781000000000001</v>
      </c>
      <c r="H210" s="7">
        <v>1.2219100000000001</v>
      </c>
      <c r="I210" s="7">
        <v>1.2735300000000001</v>
      </c>
      <c r="J210" s="7">
        <v>1.27837</v>
      </c>
      <c r="K210" s="7">
        <v>1.2643899999999999</v>
      </c>
      <c r="L210" s="7">
        <v>1.28037</v>
      </c>
      <c r="M210" s="7">
        <v>1.2093</v>
      </c>
      <c r="N210" s="7">
        <v>1.2121999999999999</v>
      </c>
      <c r="O210" s="7">
        <v>1.1192899999999999</v>
      </c>
      <c r="P210" s="7">
        <v>1.1450100000000001</v>
      </c>
      <c r="Q210" s="7">
        <v>1.0800399999999999</v>
      </c>
      <c r="R210" s="7" t="s">
        <v>25</v>
      </c>
      <c r="S210" s="7" t="s">
        <v>25</v>
      </c>
    </row>
    <row r="211" spans="1:19" ht="13.8" x14ac:dyDescent="0.3">
      <c r="A211" s="6" t="s">
        <v>230</v>
      </c>
      <c r="B211" s="5" t="s">
        <v>23</v>
      </c>
      <c r="C211" s="8">
        <v>0.17348</v>
      </c>
      <c r="D211" s="8">
        <v>0.1706</v>
      </c>
      <c r="E211" s="8">
        <v>0.18351000000000001</v>
      </c>
      <c r="F211" s="8">
        <v>0.17854</v>
      </c>
      <c r="G211" s="8">
        <v>0.17144999999999999</v>
      </c>
      <c r="H211" s="8">
        <v>0.17513999999999999</v>
      </c>
      <c r="I211" s="8">
        <v>0.17557</v>
      </c>
      <c r="J211" s="8">
        <v>0.23094000000000001</v>
      </c>
      <c r="K211" s="8">
        <v>0.39557999999999999</v>
      </c>
      <c r="L211" s="8">
        <v>0.39793000000000001</v>
      </c>
      <c r="M211" s="8">
        <v>0.40365000000000001</v>
      </c>
      <c r="N211" s="8">
        <v>0.40140999999999999</v>
      </c>
      <c r="O211" s="8">
        <v>0.41789999999999999</v>
      </c>
      <c r="P211" s="8">
        <v>0.44402999999999998</v>
      </c>
      <c r="Q211" s="8">
        <v>0.43113000000000001</v>
      </c>
      <c r="R211" s="8" t="s">
        <v>25</v>
      </c>
      <c r="S211" s="8" t="s">
        <v>25</v>
      </c>
    </row>
    <row r="212" spans="1:19" ht="13.8" hidden="1" x14ac:dyDescent="0.3">
      <c r="A212" s="6" t="s">
        <v>231</v>
      </c>
      <c r="B212" s="5" t="s">
        <v>23</v>
      </c>
      <c r="C212" s="7" t="s">
        <v>25</v>
      </c>
      <c r="D212" s="7" t="s">
        <v>25</v>
      </c>
      <c r="E212" s="7" t="s">
        <v>25</v>
      </c>
      <c r="F212" s="7" t="s">
        <v>25</v>
      </c>
      <c r="G212" s="7" t="s">
        <v>25</v>
      </c>
      <c r="H212" s="7" t="s">
        <v>25</v>
      </c>
      <c r="I212" s="7" t="s">
        <v>25</v>
      </c>
      <c r="J212" s="7" t="s">
        <v>25</v>
      </c>
      <c r="K212" s="7" t="s">
        <v>25</v>
      </c>
      <c r="L212" s="7" t="s">
        <v>25</v>
      </c>
      <c r="M212" s="7" t="s">
        <v>25</v>
      </c>
      <c r="N212" s="7" t="s">
        <v>25</v>
      </c>
      <c r="O212" s="7" t="s">
        <v>25</v>
      </c>
      <c r="P212" s="7" t="s">
        <v>25</v>
      </c>
      <c r="Q212" s="7" t="s">
        <v>25</v>
      </c>
      <c r="R212" s="7" t="s">
        <v>25</v>
      </c>
      <c r="S212" s="7" t="s">
        <v>25</v>
      </c>
    </row>
    <row r="213" spans="1:19" ht="13.8" hidden="1" x14ac:dyDescent="0.3">
      <c r="A213" s="6" t="s">
        <v>232</v>
      </c>
      <c r="B213" s="5" t="s">
        <v>23</v>
      </c>
      <c r="C213" s="8">
        <v>0.14862</v>
      </c>
      <c r="D213" s="8">
        <v>0.14330999999999999</v>
      </c>
      <c r="E213" s="8">
        <v>0.18436</v>
      </c>
      <c r="F213" s="8">
        <v>0.19918</v>
      </c>
      <c r="G213" s="8">
        <v>0.19572000000000001</v>
      </c>
      <c r="H213" s="8">
        <v>0.20974999999999999</v>
      </c>
      <c r="I213" s="8" t="s">
        <v>25</v>
      </c>
      <c r="J213" s="8" t="s">
        <v>25</v>
      </c>
      <c r="K213" s="8">
        <v>0.26512999999999998</v>
      </c>
      <c r="L213" s="8" t="s">
        <v>25</v>
      </c>
      <c r="M213" s="8" t="s">
        <v>25</v>
      </c>
      <c r="N213" s="8" t="s">
        <v>25</v>
      </c>
      <c r="O213" s="8" t="s">
        <v>25</v>
      </c>
      <c r="P213" s="8" t="s">
        <v>25</v>
      </c>
      <c r="Q213" s="8" t="s">
        <v>25</v>
      </c>
      <c r="R213" s="8" t="s">
        <v>25</v>
      </c>
      <c r="S213" s="8" t="s">
        <v>25</v>
      </c>
    </row>
    <row r="214" spans="1:19" ht="13.8" hidden="1" x14ac:dyDescent="0.3">
      <c r="A214" s="6" t="s">
        <v>233</v>
      </c>
      <c r="B214" s="5" t="s">
        <v>23</v>
      </c>
      <c r="C214" s="7" t="s">
        <v>25</v>
      </c>
      <c r="D214" s="7">
        <v>0.22703000000000001</v>
      </c>
      <c r="E214" s="7">
        <v>0.24895999999999999</v>
      </c>
      <c r="F214" s="7">
        <v>0.20091999999999999</v>
      </c>
      <c r="G214" s="7">
        <v>0.26807999999999998</v>
      </c>
      <c r="H214" s="7">
        <v>0.29772999999999999</v>
      </c>
      <c r="I214" s="7">
        <v>0.22339000000000001</v>
      </c>
      <c r="J214" s="7" t="s">
        <v>25</v>
      </c>
      <c r="K214" s="7" t="s">
        <v>25</v>
      </c>
      <c r="L214" s="7" t="s">
        <v>25</v>
      </c>
      <c r="M214" s="7" t="s">
        <v>25</v>
      </c>
      <c r="N214" s="7" t="s">
        <v>25</v>
      </c>
      <c r="O214" s="7" t="s">
        <v>25</v>
      </c>
      <c r="P214" s="7" t="s">
        <v>25</v>
      </c>
      <c r="Q214" s="7" t="s">
        <v>25</v>
      </c>
      <c r="R214" s="7" t="s">
        <v>25</v>
      </c>
      <c r="S214" s="7" t="s">
        <v>25</v>
      </c>
    </row>
    <row r="215" spans="1:19" ht="13.8" hidden="1" x14ac:dyDescent="0.3">
      <c r="A215" s="6" t="s">
        <v>234</v>
      </c>
      <c r="B215" s="5" t="s">
        <v>23</v>
      </c>
      <c r="C215" s="8" t="s">
        <v>25</v>
      </c>
      <c r="D215" s="8" t="s">
        <v>25</v>
      </c>
      <c r="E215" s="8" t="s">
        <v>25</v>
      </c>
      <c r="F215" s="8" t="s">
        <v>25</v>
      </c>
      <c r="G215" s="8" t="s">
        <v>25</v>
      </c>
      <c r="H215" s="8">
        <v>9.5119999999999996E-2</v>
      </c>
      <c r="I215" s="8">
        <v>0.18384</v>
      </c>
      <c r="J215" s="8">
        <v>0.29735</v>
      </c>
      <c r="K215" s="8">
        <v>0.23708000000000001</v>
      </c>
      <c r="L215" s="8">
        <v>0.23788000000000001</v>
      </c>
      <c r="M215" s="8">
        <v>8.634E-2</v>
      </c>
      <c r="N215" s="8">
        <v>4.7509999999999997E-2</v>
      </c>
      <c r="O215" s="8">
        <v>0.25573000000000001</v>
      </c>
      <c r="P215" s="8">
        <v>0.19306999999999999</v>
      </c>
      <c r="Q215" s="8">
        <v>0.16402</v>
      </c>
      <c r="R215" s="8" t="s">
        <v>25</v>
      </c>
      <c r="S215" s="8" t="s">
        <v>25</v>
      </c>
    </row>
    <row r="216" spans="1:19" ht="13.8" hidden="1" x14ac:dyDescent="0.3">
      <c r="A216" s="6" t="s">
        <v>235</v>
      </c>
      <c r="B216" s="5" t="s">
        <v>23</v>
      </c>
      <c r="C216" s="7" t="s">
        <v>25</v>
      </c>
      <c r="D216" s="7" t="s">
        <v>25</v>
      </c>
      <c r="E216" s="7" t="s">
        <v>25</v>
      </c>
      <c r="F216" s="7">
        <v>7.7920000000000003E-2</v>
      </c>
      <c r="G216" s="7">
        <v>6.1830000000000003E-2</v>
      </c>
      <c r="H216" s="7">
        <v>0.11308</v>
      </c>
      <c r="I216" s="7">
        <v>9.7890000000000005E-2</v>
      </c>
      <c r="J216" s="7">
        <v>4.9639999999999997E-2</v>
      </c>
      <c r="K216" s="7">
        <v>5.8889999999999998E-2</v>
      </c>
      <c r="L216" s="7">
        <v>5.79E-2</v>
      </c>
      <c r="M216" s="7" t="s">
        <v>25</v>
      </c>
      <c r="N216" s="7" t="s">
        <v>25</v>
      </c>
      <c r="O216" s="7" t="s">
        <v>25</v>
      </c>
      <c r="P216" s="7" t="s">
        <v>25</v>
      </c>
      <c r="Q216" s="7" t="s">
        <v>25</v>
      </c>
      <c r="R216" s="7" t="s">
        <v>25</v>
      </c>
      <c r="S216" s="7" t="s">
        <v>25</v>
      </c>
    </row>
    <row r="217" spans="1:19" ht="13.8" hidden="1" x14ac:dyDescent="0.3">
      <c r="A217" s="6" t="s">
        <v>236</v>
      </c>
      <c r="B217" s="5" t="s">
        <v>23</v>
      </c>
      <c r="C217" s="8" t="s">
        <v>25</v>
      </c>
      <c r="D217" s="8" t="s">
        <v>25</v>
      </c>
      <c r="E217" s="8" t="s">
        <v>25</v>
      </c>
      <c r="F217" s="8" t="s">
        <v>25</v>
      </c>
      <c r="G217" s="8" t="s">
        <v>25</v>
      </c>
      <c r="H217" s="8" t="s">
        <v>25</v>
      </c>
      <c r="I217" s="8" t="s">
        <v>25</v>
      </c>
      <c r="J217" s="8" t="s">
        <v>25</v>
      </c>
      <c r="K217" s="8" t="s">
        <v>25</v>
      </c>
      <c r="L217" s="8" t="s">
        <v>25</v>
      </c>
      <c r="M217" s="8" t="s">
        <v>25</v>
      </c>
      <c r="N217" s="8" t="s">
        <v>25</v>
      </c>
      <c r="O217" s="8" t="s">
        <v>25</v>
      </c>
      <c r="P217" s="8" t="s">
        <v>25</v>
      </c>
      <c r="Q217" s="8" t="s">
        <v>25</v>
      </c>
      <c r="R217" s="8" t="s">
        <v>25</v>
      </c>
      <c r="S217" s="8" t="s">
        <v>25</v>
      </c>
    </row>
    <row r="218" spans="1:19" ht="13.8" hidden="1" x14ac:dyDescent="0.3">
      <c r="A218" s="6" t="s">
        <v>237</v>
      </c>
      <c r="B218" s="5" t="s">
        <v>23</v>
      </c>
      <c r="C218" s="7" t="s">
        <v>25</v>
      </c>
      <c r="D218" s="7" t="s">
        <v>25</v>
      </c>
      <c r="E218" s="7" t="s">
        <v>25</v>
      </c>
      <c r="F218" s="7" t="s">
        <v>25</v>
      </c>
      <c r="G218" s="7" t="s">
        <v>25</v>
      </c>
      <c r="H218" s="7" t="s">
        <v>25</v>
      </c>
      <c r="I218" s="7" t="s">
        <v>25</v>
      </c>
      <c r="J218" s="7" t="s">
        <v>25</v>
      </c>
      <c r="K218" s="7" t="s">
        <v>25</v>
      </c>
      <c r="L218" s="7" t="s">
        <v>25</v>
      </c>
      <c r="M218" s="7" t="s">
        <v>25</v>
      </c>
      <c r="N218" s="7" t="s">
        <v>25</v>
      </c>
      <c r="O218" s="7" t="s">
        <v>25</v>
      </c>
      <c r="P218" s="7">
        <v>9.7210000000000005E-2</v>
      </c>
      <c r="Q218" s="7">
        <v>0.15068000000000001</v>
      </c>
      <c r="R218" s="7">
        <v>0.22585</v>
      </c>
      <c r="S218" s="7" t="s">
        <v>25</v>
      </c>
    </row>
    <row r="219" spans="1:19" ht="13.8" hidden="1" x14ac:dyDescent="0.3">
      <c r="A219" s="6" t="s">
        <v>238</v>
      </c>
      <c r="B219" s="5" t="s">
        <v>23</v>
      </c>
      <c r="C219" s="8">
        <v>0.34848000000000001</v>
      </c>
      <c r="D219" s="8">
        <v>9.1810000000000003E-2</v>
      </c>
      <c r="E219" s="8">
        <v>0.23687</v>
      </c>
      <c r="F219" s="8" t="s">
        <v>25</v>
      </c>
      <c r="G219" s="8" t="s">
        <v>25</v>
      </c>
      <c r="H219" s="8" t="s">
        <v>25</v>
      </c>
      <c r="I219" s="8" t="s">
        <v>25</v>
      </c>
      <c r="J219" s="8" t="s">
        <v>25</v>
      </c>
      <c r="K219" s="8" t="s">
        <v>25</v>
      </c>
      <c r="L219" s="8" t="s">
        <v>25</v>
      </c>
      <c r="M219" s="8" t="s">
        <v>25</v>
      </c>
      <c r="N219" s="8" t="s">
        <v>25</v>
      </c>
      <c r="O219" s="8" t="s">
        <v>25</v>
      </c>
      <c r="P219" s="8">
        <v>5.1970000000000002E-2</v>
      </c>
      <c r="Q219" s="8">
        <v>1.069E-2</v>
      </c>
      <c r="R219" s="8" t="s">
        <v>25</v>
      </c>
      <c r="S219" s="8" t="s">
        <v>25</v>
      </c>
    </row>
    <row r="220" spans="1:19" ht="13.8" hidden="1" x14ac:dyDescent="0.3">
      <c r="A220" s="6" t="s">
        <v>239</v>
      </c>
      <c r="B220" s="5" t="s">
        <v>23</v>
      </c>
      <c r="C220" s="7" t="s">
        <v>25</v>
      </c>
      <c r="D220" s="7" t="s">
        <v>25</v>
      </c>
      <c r="E220" s="7" t="s">
        <v>25</v>
      </c>
      <c r="F220" s="7" t="s">
        <v>25</v>
      </c>
      <c r="G220" s="7" t="s">
        <v>25</v>
      </c>
      <c r="H220" s="7" t="s">
        <v>25</v>
      </c>
      <c r="I220" s="7" t="s">
        <v>25</v>
      </c>
      <c r="J220" s="7" t="s">
        <v>25</v>
      </c>
      <c r="K220" s="7" t="s">
        <v>25</v>
      </c>
      <c r="L220" s="7" t="s">
        <v>25</v>
      </c>
      <c r="M220" s="7" t="s">
        <v>25</v>
      </c>
      <c r="N220" s="7" t="s">
        <v>25</v>
      </c>
      <c r="O220" s="7" t="s">
        <v>25</v>
      </c>
      <c r="P220" s="7" t="s">
        <v>25</v>
      </c>
      <c r="Q220" s="7" t="s">
        <v>25</v>
      </c>
      <c r="R220" s="7" t="s">
        <v>25</v>
      </c>
      <c r="S220" s="7" t="s">
        <v>25</v>
      </c>
    </row>
    <row r="221" spans="1:19" ht="13.8" x14ac:dyDescent="0.3">
      <c r="A221" s="6" t="s">
        <v>240</v>
      </c>
      <c r="B221" s="5" t="s">
        <v>23</v>
      </c>
      <c r="C221" s="8" t="s">
        <v>25</v>
      </c>
      <c r="D221" s="8" t="s">
        <v>25</v>
      </c>
      <c r="E221" s="8" t="s">
        <v>25</v>
      </c>
      <c r="F221" s="8" t="s">
        <v>25</v>
      </c>
      <c r="G221" s="8">
        <v>0.2109</v>
      </c>
      <c r="H221" s="8">
        <v>0.2157</v>
      </c>
      <c r="I221" s="8">
        <v>0.19921</v>
      </c>
      <c r="J221" s="8">
        <v>0.21856</v>
      </c>
      <c r="K221" s="8">
        <v>0.21615999999999999</v>
      </c>
      <c r="L221" s="8">
        <v>0.24754999999999999</v>
      </c>
      <c r="M221" s="8">
        <v>0.23719999999999999</v>
      </c>
      <c r="N221" s="8">
        <v>0.26891999999999999</v>
      </c>
      <c r="O221" s="8">
        <v>0.30560999999999999</v>
      </c>
      <c r="P221" s="8">
        <v>0.23871000000000001</v>
      </c>
      <c r="Q221" s="8">
        <v>0.18951999999999999</v>
      </c>
      <c r="R221" s="8" t="s">
        <v>25</v>
      </c>
      <c r="S221" s="8" t="s">
        <v>25</v>
      </c>
    </row>
    <row r="222" spans="1:19" ht="13.8" hidden="1" x14ac:dyDescent="0.3">
      <c r="A222" s="6" t="s">
        <v>241</v>
      </c>
      <c r="B222" s="5" t="s">
        <v>23</v>
      </c>
      <c r="C222" s="7" t="s">
        <v>25</v>
      </c>
      <c r="D222" s="7" t="s">
        <v>25</v>
      </c>
      <c r="E222" s="7" t="s">
        <v>25</v>
      </c>
      <c r="F222" s="7" t="s">
        <v>25</v>
      </c>
      <c r="G222" s="7" t="s">
        <v>25</v>
      </c>
      <c r="H222" s="7">
        <v>0.85663</v>
      </c>
      <c r="I222" s="7" t="s">
        <v>25</v>
      </c>
      <c r="J222" s="7" t="s">
        <v>25</v>
      </c>
      <c r="K222" s="7" t="s">
        <v>25</v>
      </c>
      <c r="L222" s="7" t="s">
        <v>25</v>
      </c>
      <c r="M222" s="7" t="s">
        <v>25</v>
      </c>
      <c r="N222" s="7" t="s">
        <v>25</v>
      </c>
      <c r="O222" s="7" t="s">
        <v>25</v>
      </c>
      <c r="P222" s="7" t="s">
        <v>25</v>
      </c>
      <c r="Q222" s="7" t="s">
        <v>25</v>
      </c>
      <c r="R222" s="7" t="s">
        <v>25</v>
      </c>
      <c r="S222" s="7" t="s">
        <v>25</v>
      </c>
    </row>
    <row r="223" spans="1:19" ht="13.8" hidden="1" x14ac:dyDescent="0.3">
      <c r="A223" s="6" t="s">
        <v>242</v>
      </c>
      <c r="B223" s="5" t="s">
        <v>23</v>
      </c>
      <c r="C223" s="8" t="s">
        <v>25</v>
      </c>
      <c r="D223" s="8" t="s">
        <v>25</v>
      </c>
      <c r="E223" s="8" t="s">
        <v>25</v>
      </c>
      <c r="F223" s="8" t="s">
        <v>25</v>
      </c>
      <c r="G223" s="8" t="s">
        <v>25</v>
      </c>
      <c r="H223" s="8" t="s">
        <v>25</v>
      </c>
      <c r="I223" s="8" t="s">
        <v>25</v>
      </c>
      <c r="J223" s="8" t="s">
        <v>25</v>
      </c>
      <c r="K223" s="8" t="s">
        <v>25</v>
      </c>
      <c r="L223" s="8" t="s">
        <v>25</v>
      </c>
      <c r="M223" s="8" t="s">
        <v>25</v>
      </c>
      <c r="N223" s="8">
        <v>0.45543</v>
      </c>
      <c r="O223" s="8">
        <v>0.87666999999999995</v>
      </c>
      <c r="P223" s="8" t="s">
        <v>25</v>
      </c>
      <c r="Q223" s="8">
        <v>0.90049999999999997</v>
      </c>
      <c r="R223" s="8" t="s">
        <v>25</v>
      </c>
      <c r="S223" s="8" t="s">
        <v>25</v>
      </c>
    </row>
    <row r="224" spans="1:19" ht="13.8" hidden="1" x14ac:dyDescent="0.3">
      <c r="A224" s="6" t="s">
        <v>243</v>
      </c>
      <c r="B224" s="5" t="s">
        <v>23</v>
      </c>
      <c r="C224" s="7" t="s">
        <v>25</v>
      </c>
      <c r="D224" s="7" t="s">
        <v>25</v>
      </c>
      <c r="E224" s="7" t="s">
        <v>25</v>
      </c>
      <c r="F224" s="7" t="s">
        <v>25</v>
      </c>
      <c r="G224" s="7" t="s">
        <v>25</v>
      </c>
      <c r="H224" s="7" t="s">
        <v>25</v>
      </c>
      <c r="I224" s="7" t="s">
        <v>25</v>
      </c>
      <c r="J224" s="7" t="s">
        <v>25</v>
      </c>
      <c r="K224" s="7" t="s">
        <v>25</v>
      </c>
      <c r="L224" s="7" t="s">
        <v>25</v>
      </c>
      <c r="M224" s="7" t="s">
        <v>25</v>
      </c>
      <c r="N224" s="7" t="s">
        <v>25</v>
      </c>
      <c r="O224" s="7" t="s">
        <v>25</v>
      </c>
      <c r="P224" s="7" t="s">
        <v>25</v>
      </c>
      <c r="Q224" s="7" t="s">
        <v>25</v>
      </c>
      <c r="R224" s="7" t="s">
        <v>25</v>
      </c>
      <c r="S224" s="7">
        <v>1.075</v>
      </c>
    </row>
    <row r="225" spans="1:19" ht="13.8" hidden="1" x14ac:dyDescent="0.3">
      <c r="A225" s="6" t="s">
        <v>244</v>
      </c>
      <c r="B225" s="5" t="s">
        <v>23</v>
      </c>
      <c r="C225" s="8" t="s">
        <v>25</v>
      </c>
      <c r="D225" s="8" t="s">
        <v>25</v>
      </c>
      <c r="E225" s="8" t="s">
        <v>25</v>
      </c>
      <c r="F225" s="8" t="s">
        <v>25</v>
      </c>
      <c r="G225" s="8" t="s">
        <v>25</v>
      </c>
      <c r="H225" s="8" t="s">
        <v>25</v>
      </c>
      <c r="I225" s="8" t="s">
        <v>25</v>
      </c>
      <c r="J225" s="8" t="s">
        <v>25</v>
      </c>
      <c r="K225" s="8" t="s">
        <v>25</v>
      </c>
      <c r="L225" s="8" t="s">
        <v>25</v>
      </c>
      <c r="M225" s="8" t="s">
        <v>25</v>
      </c>
      <c r="N225" s="8" t="s">
        <v>25</v>
      </c>
      <c r="O225" s="8" t="s">
        <v>25</v>
      </c>
      <c r="P225" s="8" t="s">
        <v>25</v>
      </c>
      <c r="Q225" s="8" t="s">
        <v>25</v>
      </c>
      <c r="R225" s="8" t="s">
        <v>25</v>
      </c>
      <c r="S225" s="8" t="s">
        <v>25</v>
      </c>
    </row>
    <row r="226" spans="1:19" ht="13.8" x14ac:dyDescent="0.3">
      <c r="A226" s="6" t="s">
        <v>245</v>
      </c>
      <c r="B226" s="5" t="s">
        <v>23</v>
      </c>
      <c r="C226" s="7">
        <v>0.7</v>
      </c>
      <c r="D226" s="7">
        <v>0.72816000000000003</v>
      </c>
      <c r="E226" s="7">
        <v>0.87907000000000002</v>
      </c>
      <c r="F226" s="7" t="s">
        <v>25</v>
      </c>
      <c r="G226" s="7">
        <v>0.87695000000000001</v>
      </c>
      <c r="H226" s="7">
        <v>1.0025200000000001</v>
      </c>
      <c r="I226" s="7">
        <v>1.0286200000000001</v>
      </c>
      <c r="J226" s="7">
        <v>0.95696999999999999</v>
      </c>
      <c r="K226" s="7" t="s">
        <v>25</v>
      </c>
      <c r="L226" s="7">
        <v>0.84328999999999998</v>
      </c>
      <c r="M226" s="7">
        <v>0.94625999999999999</v>
      </c>
      <c r="N226" s="7">
        <v>0.89280000000000004</v>
      </c>
      <c r="O226" s="7">
        <v>0.90627999999999997</v>
      </c>
      <c r="P226" s="7">
        <v>0.88961999999999997</v>
      </c>
      <c r="Q226" s="7">
        <v>0.89159999999999995</v>
      </c>
      <c r="R226" s="7" t="s">
        <v>25</v>
      </c>
      <c r="S226" s="7" t="s">
        <v>25</v>
      </c>
    </row>
    <row r="227" spans="1:19" ht="13.8" hidden="1" x14ac:dyDescent="0.3">
      <c r="A227" s="6" t="s">
        <v>246</v>
      </c>
      <c r="B227" s="5" t="s">
        <v>23</v>
      </c>
      <c r="C227" s="8" t="s">
        <v>25</v>
      </c>
      <c r="D227" s="8" t="s">
        <v>25</v>
      </c>
      <c r="E227" s="8" t="s">
        <v>25</v>
      </c>
      <c r="F227" s="8" t="s">
        <v>25</v>
      </c>
      <c r="G227" s="8" t="s">
        <v>25</v>
      </c>
      <c r="H227" s="8" t="s">
        <v>25</v>
      </c>
      <c r="I227" s="8" t="s">
        <v>25</v>
      </c>
      <c r="J227" s="8" t="s">
        <v>25</v>
      </c>
      <c r="K227" s="8" t="s">
        <v>25</v>
      </c>
      <c r="L227" s="8" t="s">
        <v>25</v>
      </c>
      <c r="M227" s="8" t="s">
        <v>25</v>
      </c>
      <c r="N227" s="8" t="s">
        <v>25</v>
      </c>
      <c r="O227" s="8" t="s">
        <v>25</v>
      </c>
      <c r="P227" s="8" t="s">
        <v>25</v>
      </c>
      <c r="Q227" s="8" t="s">
        <v>25</v>
      </c>
      <c r="R227" s="8" t="s">
        <v>25</v>
      </c>
      <c r="S227" s="8" t="s">
        <v>25</v>
      </c>
    </row>
    <row r="228" spans="1:19" ht="20.399999999999999" x14ac:dyDescent="0.3">
      <c r="A228" s="6" t="s">
        <v>247</v>
      </c>
      <c r="B228" s="5" t="s">
        <v>23</v>
      </c>
      <c r="C228" s="7">
        <v>0.32628000000000001</v>
      </c>
      <c r="D228" s="7">
        <v>0.26944000000000001</v>
      </c>
      <c r="E228" s="7">
        <v>0.27426</v>
      </c>
      <c r="F228" s="7">
        <v>0.29604000000000003</v>
      </c>
      <c r="G228" s="7">
        <v>0.30982999999999999</v>
      </c>
      <c r="H228" s="7" t="s">
        <v>25</v>
      </c>
      <c r="I228" s="7">
        <v>0.29892999999999997</v>
      </c>
      <c r="J228" s="7">
        <v>0.29115999999999997</v>
      </c>
      <c r="K228" s="7">
        <v>0.19195000000000001</v>
      </c>
      <c r="L228" s="7">
        <v>0.19572000000000001</v>
      </c>
      <c r="M228" s="7">
        <v>0.22259999999999999</v>
      </c>
      <c r="N228" s="7">
        <v>0.22023999999999999</v>
      </c>
      <c r="O228" s="7">
        <v>0.21840000000000001</v>
      </c>
      <c r="P228" s="7">
        <v>0.20991000000000001</v>
      </c>
      <c r="Q228" s="7">
        <v>0.23086999999999999</v>
      </c>
      <c r="R228" s="7" t="s">
        <v>25</v>
      </c>
      <c r="S228" s="7" t="s">
        <v>25</v>
      </c>
    </row>
    <row r="229" spans="1:19" ht="13.8" hidden="1" x14ac:dyDescent="0.3">
      <c r="A229" s="6" t="s">
        <v>248</v>
      </c>
      <c r="B229" s="5" t="s">
        <v>23</v>
      </c>
      <c r="C229" s="8">
        <v>0.20552999999999999</v>
      </c>
      <c r="D229" s="8">
        <v>0.19727</v>
      </c>
      <c r="E229" s="8">
        <v>0.17236000000000001</v>
      </c>
      <c r="F229" s="8" t="s">
        <v>25</v>
      </c>
      <c r="G229" s="8" t="s">
        <v>25</v>
      </c>
      <c r="H229" s="8" t="s">
        <v>25</v>
      </c>
      <c r="I229" s="8" t="s">
        <v>25</v>
      </c>
      <c r="J229" s="8">
        <v>0.20402000000000001</v>
      </c>
      <c r="K229" s="8" t="s">
        <v>25</v>
      </c>
      <c r="L229" s="8" t="s">
        <v>25</v>
      </c>
      <c r="M229" s="8" t="s">
        <v>25</v>
      </c>
      <c r="N229" s="8" t="s">
        <v>25</v>
      </c>
      <c r="O229" s="8" t="s">
        <v>25</v>
      </c>
      <c r="P229" s="8" t="s">
        <v>25</v>
      </c>
      <c r="Q229" s="8" t="s">
        <v>25</v>
      </c>
      <c r="R229" s="8" t="s">
        <v>25</v>
      </c>
      <c r="S229" s="8" t="s">
        <v>25</v>
      </c>
    </row>
    <row r="230" spans="1:19" ht="13.8" hidden="1" x14ac:dyDescent="0.3">
      <c r="A230" s="6" t="s">
        <v>249</v>
      </c>
      <c r="B230" s="5" t="s">
        <v>23</v>
      </c>
      <c r="C230" s="7" t="s">
        <v>25</v>
      </c>
      <c r="D230" s="7" t="s">
        <v>25</v>
      </c>
      <c r="E230" s="7" t="s">
        <v>25</v>
      </c>
      <c r="F230" s="7" t="s">
        <v>25</v>
      </c>
      <c r="G230" s="7" t="s">
        <v>25</v>
      </c>
      <c r="H230" s="7" t="s">
        <v>25</v>
      </c>
      <c r="I230" s="7" t="s">
        <v>25</v>
      </c>
      <c r="J230" s="7" t="s">
        <v>25</v>
      </c>
      <c r="K230" s="7">
        <v>0.32058999999999999</v>
      </c>
      <c r="L230" s="7">
        <v>0.32190000000000002</v>
      </c>
      <c r="M230" s="7">
        <v>0.32790999999999998</v>
      </c>
      <c r="N230" s="7">
        <v>0.32938000000000001</v>
      </c>
      <c r="O230" s="7">
        <v>0.33639000000000002</v>
      </c>
      <c r="P230" s="7">
        <v>0.33931</v>
      </c>
      <c r="Q230" s="7">
        <v>0.31319000000000002</v>
      </c>
      <c r="R230" s="7" t="s">
        <v>25</v>
      </c>
      <c r="S230" s="7" t="s">
        <v>25</v>
      </c>
    </row>
    <row r="231" spans="1:19" ht="13.8" hidden="1" x14ac:dyDescent="0.3">
      <c r="A231" s="6" t="s">
        <v>250</v>
      </c>
      <c r="B231" s="5" t="s">
        <v>23</v>
      </c>
      <c r="C231" s="8" t="s">
        <v>25</v>
      </c>
      <c r="D231" s="8" t="s">
        <v>25</v>
      </c>
      <c r="E231" s="8" t="s">
        <v>25</v>
      </c>
      <c r="F231" s="8" t="s">
        <v>25</v>
      </c>
      <c r="G231" s="8" t="s">
        <v>25</v>
      </c>
      <c r="H231" s="8" t="s">
        <v>25</v>
      </c>
      <c r="I231" s="8" t="s">
        <v>25</v>
      </c>
      <c r="J231" s="8" t="s">
        <v>25</v>
      </c>
      <c r="K231" s="8" t="s">
        <v>25</v>
      </c>
      <c r="L231" s="8" t="s">
        <v>25</v>
      </c>
      <c r="M231" s="8" t="s">
        <v>25</v>
      </c>
      <c r="N231" s="8" t="s">
        <v>25</v>
      </c>
      <c r="O231" s="8" t="s">
        <v>25</v>
      </c>
      <c r="P231" s="8" t="s">
        <v>25</v>
      </c>
      <c r="Q231" s="8" t="s">
        <v>25</v>
      </c>
      <c r="R231" s="8" t="s">
        <v>25</v>
      </c>
      <c r="S231" s="8" t="s">
        <v>25</v>
      </c>
    </row>
    <row r="232" spans="1:19" ht="13.8" x14ac:dyDescent="0.3">
      <c r="A232" s="6" t="s">
        <v>251</v>
      </c>
      <c r="B232" s="5" t="s">
        <v>23</v>
      </c>
      <c r="C232" s="7" t="s">
        <v>25</v>
      </c>
      <c r="D232" s="7" t="s">
        <v>25</v>
      </c>
      <c r="E232" s="7" t="s">
        <v>25</v>
      </c>
      <c r="F232" s="7" t="s">
        <v>25</v>
      </c>
      <c r="G232" s="7">
        <v>0.42169000000000001</v>
      </c>
      <c r="H232" s="7">
        <v>0.11409999999999999</v>
      </c>
      <c r="I232" s="7">
        <v>0.42645</v>
      </c>
      <c r="J232" s="7">
        <v>0.42333999999999999</v>
      </c>
      <c r="K232" s="7">
        <v>0.42971999999999999</v>
      </c>
      <c r="L232" s="7">
        <v>0.46977000000000002</v>
      </c>
      <c r="M232" s="7">
        <v>0.49007000000000001</v>
      </c>
      <c r="N232" s="7">
        <v>0.53147999999999995</v>
      </c>
      <c r="O232" s="7">
        <v>0.49669999999999997</v>
      </c>
      <c r="P232" s="7">
        <v>0.47772999999999999</v>
      </c>
      <c r="Q232" s="7">
        <v>0.47366000000000003</v>
      </c>
      <c r="R232" s="7">
        <v>0.45622000000000001</v>
      </c>
      <c r="S232" s="7" t="s">
        <v>25</v>
      </c>
    </row>
    <row r="233" spans="1:19" ht="13.8" hidden="1" x14ac:dyDescent="0.3">
      <c r="A233" s="6" t="s">
        <v>252</v>
      </c>
      <c r="B233" s="5" t="s">
        <v>23</v>
      </c>
      <c r="C233" s="8" t="s">
        <v>25</v>
      </c>
      <c r="D233" s="8" t="s">
        <v>25</v>
      </c>
      <c r="E233" s="8" t="s">
        <v>25</v>
      </c>
      <c r="F233" s="8" t="s">
        <v>25</v>
      </c>
      <c r="G233" s="8" t="s">
        <v>25</v>
      </c>
      <c r="H233" s="8" t="s">
        <v>25</v>
      </c>
      <c r="I233" s="8" t="s">
        <v>25</v>
      </c>
      <c r="J233" s="8" t="s">
        <v>25</v>
      </c>
      <c r="K233" s="8" t="s">
        <v>25</v>
      </c>
      <c r="L233" s="8">
        <v>0.64129000000000003</v>
      </c>
      <c r="M233" s="8">
        <v>0.58901999999999999</v>
      </c>
      <c r="N233" s="8">
        <v>0.70926</v>
      </c>
      <c r="O233" s="8">
        <v>0.99761</v>
      </c>
      <c r="P233" s="8">
        <v>0.88188999999999995</v>
      </c>
      <c r="Q233" s="8">
        <v>1.0813600000000001</v>
      </c>
      <c r="R233" s="8">
        <v>0.96377000000000002</v>
      </c>
      <c r="S233" s="8">
        <v>1.0306900000000001</v>
      </c>
    </row>
    <row r="234" spans="1:19" ht="13.8" hidden="1" x14ac:dyDescent="0.3">
      <c r="A234" s="6" t="s">
        <v>253</v>
      </c>
      <c r="B234" s="5" t="s">
        <v>23</v>
      </c>
      <c r="C234" s="7" t="s">
        <v>25</v>
      </c>
      <c r="D234" s="7">
        <v>3.04E-2</v>
      </c>
      <c r="E234" s="7" t="s">
        <v>25</v>
      </c>
      <c r="F234" s="7" t="s">
        <v>25</v>
      </c>
      <c r="G234" s="7" t="s">
        <v>25</v>
      </c>
      <c r="H234" s="7" t="s">
        <v>25</v>
      </c>
      <c r="I234" s="7" t="s">
        <v>25</v>
      </c>
      <c r="J234" s="7">
        <v>5.3400000000000001E-3</v>
      </c>
      <c r="K234" s="7">
        <v>5.0200000000000002E-3</v>
      </c>
      <c r="L234" s="7" t="s">
        <v>25</v>
      </c>
      <c r="M234" s="7" t="s">
        <v>25</v>
      </c>
      <c r="N234" s="7" t="s">
        <v>25</v>
      </c>
      <c r="O234" s="7" t="s">
        <v>25</v>
      </c>
      <c r="P234" s="7" t="s">
        <v>25</v>
      </c>
      <c r="Q234" s="7" t="s">
        <v>25</v>
      </c>
      <c r="R234" s="7" t="s">
        <v>25</v>
      </c>
      <c r="S234" s="7" t="s">
        <v>25</v>
      </c>
    </row>
    <row r="235" spans="1:19" ht="13.8" hidden="1" x14ac:dyDescent="0.3">
      <c r="A235" s="6" t="s">
        <v>254</v>
      </c>
      <c r="B235" s="5" t="s">
        <v>23</v>
      </c>
      <c r="C235" s="8">
        <v>0.26053999999999999</v>
      </c>
      <c r="D235" s="8" t="s">
        <v>25</v>
      </c>
      <c r="E235" s="8">
        <v>0.79518</v>
      </c>
      <c r="F235" s="8" t="s">
        <v>25</v>
      </c>
      <c r="G235" s="8" t="s">
        <v>25</v>
      </c>
      <c r="H235" s="8" t="s">
        <v>25</v>
      </c>
      <c r="I235" s="8" t="s">
        <v>25</v>
      </c>
      <c r="J235" s="8" t="s">
        <v>25</v>
      </c>
      <c r="K235" s="8" t="s">
        <v>25</v>
      </c>
      <c r="L235" s="8" t="s">
        <v>25</v>
      </c>
      <c r="M235" s="8" t="s">
        <v>25</v>
      </c>
      <c r="N235" s="8" t="s">
        <v>25</v>
      </c>
      <c r="O235" s="8" t="s">
        <v>25</v>
      </c>
      <c r="P235" s="8" t="s">
        <v>25</v>
      </c>
      <c r="Q235" s="8" t="s">
        <v>25</v>
      </c>
      <c r="R235" s="8" t="s">
        <v>25</v>
      </c>
      <c r="S235" s="8" t="s">
        <v>25</v>
      </c>
    </row>
    <row r="236" spans="1:19" ht="13.8" hidden="1" x14ac:dyDescent="0.3">
      <c r="A236" s="6" t="s">
        <v>255</v>
      </c>
      <c r="B236" s="5" t="s">
        <v>23</v>
      </c>
      <c r="C236" s="7" t="s">
        <v>25</v>
      </c>
      <c r="D236" s="7">
        <v>0.42820999999999998</v>
      </c>
      <c r="E236" s="7">
        <v>0.59064000000000005</v>
      </c>
      <c r="F236" s="7">
        <v>0.53798999999999997</v>
      </c>
      <c r="G236" s="7">
        <v>0.5333</v>
      </c>
      <c r="H236" s="7">
        <v>0.67518999999999996</v>
      </c>
      <c r="I236" s="7">
        <v>0.71240000000000003</v>
      </c>
      <c r="J236" s="7" t="s">
        <v>25</v>
      </c>
      <c r="K236" s="7" t="s">
        <v>25</v>
      </c>
      <c r="L236" s="7" t="s">
        <v>25</v>
      </c>
      <c r="M236" s="7" t="s">
        <v>25</v>
      </c>
      <c r="N236" s="7" t="s">
        <v>25</v>
      </c>
      <c r="O236" s="7" t="s">
        <v>25</v>
      </c>
      <c r="P236" s="7" t="s">
        <v>25</v>
      </c>
      <c r="Q236" s="7" t="s">
        <v>25</v>
      </c>
      <c r="R236" s="7" t="s">
        <v>25</v>
      </c>
      <c r="S236" s="7" t="s">
        <v>25</v>
      </c>
    </row>
    <row r="237" spans="1:19" ht="13.8" hidden="1" x14ac:dyDescent="0.3">
      <c r="A237" s="6" t="s">
        <v>256</v>
      </c>
      <c r="B237" s="5" t="s">
        <v>23</v>
      </c>
      <c r="C237" s="8" t="s">
        <v>25</v>
      </c>
      <c r="D237" s="8" t="s">
        <v>25</v>
      </c>
      <c r="E237" s="8" t="s">
        <v>25</v>
      </c>
      <c r="F237" s="8" t="s">
        <v>25</v>
      </c>
      <c r="G237" s="8" t="s">
        <v>25</v>
      </c>
      <c r="H237" s="8" t="s">
        <v>25</v>
      </c>
      <c r="I237" s="8" t="s">
        <v>25</v>
      </c>
      <c r="J237" s="8" t="s">
        <v>25</v>
      </c>
      <c r="K237" s="8" t="s">
        <v>25</v>
      </c>
      <c r="L237" s="8" t="s">
        <v>25</v>
      </c>
      <c r="M237" s="8" t="s">
        <v>25</v>
      </c>
      <c r="N237" s="8" t="s">
        <v>25</v>
      </c>
      <c r="O237" s="8" t="s">
        <v>25</v>
      </c>
      <c r="P237" s="8" t="s">
        <v>25</v>
      </c>
      <c r="Q237" s="8" t="s">
        <v>25</v>
      </c>
      <c r="R237" s="8" t="s">
        <v>25</v>
      </c>
      <c r="S237" s="8" t="s">
        <v>25</v>
      </c>
    </row>
    <row r="238" spans="1:19" ht="13.8" hidden="1" x14ac:dyDescent="0.3">
      <c r="A238" s="6" t="s">
        <v>257</v>
      </c>
      <c r="B238" s="5" t="s">
        <v>23</v>
      </c>
      <c r="C238" s="7" t="s">
        <v>25</v>
      </c>
      <c r="D238" s="7" t="s">
        <v>25</v>
      </c>
      <c r="E238" s="7" t="s">
        <v>25</v>
      </c>
      <c r="F238" s="7" t="s">
        <v>25</v>
      </c>
      <c r="G238" s="7" t="s">
        <v>25</v>
      </c>
      <c r="H238" s="7" t="s">
        <v>25</v>
      </c>
      <c r="I238" s="7" t="s">
        <v>25</v>
      </c>
      <c r="J238" s="7" t="s">
        <v>25</v>
      </c>
      <c r="K238" s="7" t="s">
        <v>25</v>
      </c>
      <c r="L238" s="7" t="s">
        <v>25</v>
      </c>
      <c r="M238" s="7" t="s">
        <v>25</v>
      </c>
      <c r="N238" s="7" t="s">
        <v>25</v>
      </c>
      <c r="O238" s="7" t="s">
        <v>25</v>
      </c>
      <c r="P238" s="7" t="s">
        <v>25</v>
      </c>
      <c r="Q238" s="7" t="s">
        <v>25</v>
      </c>
      <c r="R238" s="7" t="s">
        <v>25</v>
      </c>
      <c r="S238" s="7" t="s">
        <v>25</v>
      </c>
    </row>
    <row r="239" spans="1:19" ht="13.8" hidden="1" x14ac:dyDescent="0.3">
      <c r="A239" s="6" t="s">
        <v>258</v>
      </c>
      <c r="B239" s="5" t="s">
        <v>23</v>
      </c>
      <c r="C239" s="8" t="s">
        <v>25</v>
      </c>
      <c r="D239" s="8" t="s">
        <v>25</v>
      </c>
      <c r="E239" s="8" t="s">
        <v>25</v>
      </c>
      <c r="F239" s="8" t="s">
        <v>25</v>
      </c>
      <c r="G239" s="8">
        <v>4.6879999999999998E-2</v>
      </c>
      <c r="H239" s="8" t="s">
        <v>25</v>
      </c>
      <c r="I239" s="8" t="s">
        <v>25</v>
      </c>
      <c r="J239" s="8" t="s">
        <v>25</v>
      </c>
      <c r="K239" s="8" t="s">
        <v>25</v>
      </c>
      <c r="L239" s="8" t="s">
        <v>25</v>
      </c>
      <c r="M239" s="8" t="s">
        <v>25</v>
      </c>
      <c r="N239" s="8" t="s">
        <v>25</v>
      </c>
      <c r="O239" s="8" t="s">
        <v>25</v>
      </c>
      <c r="P239" s="8" t="s">
        <v>25</v>
      </c>
      <c r="Q239" s="8" t="s">
        <v>25</v>
      </c>
      <c r="R239" s="8" t="s">
        <v>25</v>
      </c>
      <c r="S239" s="8" t="s">
        <v>25</v>
      </c>
    </row>
    <row r="240" spans="1:19" ht="13.8" hidden="1" x14ac:dyDescent="0.3">
      <c r="A240" s="6" t="s">
        <v>259</v>
      </c>
      <c r="B240" s="5" t="s">
        <v>23</v>
      </c>
      <c r="C240" s="7" t="s">
        <v>25</v>
      </c>
      <c r="D240" s="7" t="s">
        <v>25</v>
      </c>
      <c r="E240" s="7" t="s">
        <v>25</v>
      </c>
      <c r="F240" s="7" t="s">
        <v>25</v>
      </c>
      <c r="G240" s="7" t="s">
        <v>25</v>
      </c>
      <c r="H240" s="7" t="s">
        <v>25</v>
      </c>
      <c r="I240" s="7" t="s">
        <v>25</v>
      </c>
      <c r="J240" s="7" t="s">
        <v>25</v>
      </c>
      <c r="K240" s="7">
        <v>2.5399999999999999E-2</v>
      </c>
      <c r="L240" s="7">
        <v>1.839E-2</v>
      </c>
      <c r="M240" s="7">
        <v>1.503E-2</v>
      </c>
      <c r="N240" s="7" t="s">
        <v>25</v>
      </c>
      <c r="O240" s="7" t="s">
        <v>25</v>
      </c>
      <c r="P240" s="7" t="s">
        <v>25</v>
      </c>
      <c r="Q240" s="7" t="s">
        <v>25</v>
      </c>
      <c r="R240" s="7" t="s">
        <v>25</v>
      </c>
      <c r="S240" s="7" t="s">
        <v>25</v>
      </c>
    </row>
    <row r="241" spans="1:19" ht="13.8" hidden="1" x14ac:dyDescent="0.3">
      <c r="A241" s="6" t="s">
        <v>260</v>
      </c>
      <c r="B241" s="5" t="s">
        <v>23</v>
      </c>
      <c r="C241" s="8" t="s">
        <v>25</v>
      </c>
      <c r="D241" s="8" t="s">
        <v>25</v>
      </c>
      <c r="E241" s="8" t="s">
        <v>25</v>
      </c>
      <c r="F241" s="8" t="s">
        <v>25</v>
      </c>
      <c r="G241" s="8" t="s">
        <v>25</v>
      </c>
      <c r="H241" s="8">
        <v>0.11984</v>
      </c>
      <c r="I241" s="8">
        <v>0.11942999999999999</v>
      </c>
      <c r="J241" s="8">
        <v>0.12414</v>
      </c>
      <c r="K241" s="8" t="s">
        <v>25</v>
      </c>
      <c r="L241" s="8" t="s">
        <v>25</v>
      </c>
      <c r="M241" s="8" t="s">
        <v>25</v>
      </c>
      <c r="N241" s="8" t="s">
        <v>25</v>
      </c>
      <c r="O241" s="8" t="s">
        <v>25</v>
      </c>
      <c r="P241" s="8" t="s">
        <v>25</v>
      </c>
      <c r="Q241" s="8" t="s">
        <v>25</v>
      </c>
      <c r="R241" s="8" t="s">
        <v>25</v>
      </c>
      <c r="S241" s="8" t="s">
        <v>25</v>
      </c>
    </row>
    <row r="242" spans="1:19" ht="20.399999999999999" hidden="1" x14ac:dyDescent="0.3">
      <c r="A242" s="6" t="s">
        <v>261</v>
      </c>
      <c r="B242" s="5" t="s">
        <v>23</v>
      </c>
      <c r="C242" s="7" t="s">
        <v>25</v>
      </c>
      <c r="D242" s="7" t="s">
        <v>25</v>
      </c>
      <c r="E242" s="7" t="s">
        <v>25</v>
      </c>
      <c r="F242" s="7" t="s">
        <v>25</v>
      </c>
      <c r="G242" s="7" t="s">
        <v>25</v>
      </c>
      <c r="H242" s="7" t="s">
        <v>25</v>
      </c>
      <c r="I242" s="7" t="s">
        <v>25</v>
      </c>
      <c r="J242" s="7" t="s">
        <v>25</v>
      </c>
      <c r="K242" s="7" t="s">
        <v>25</v>
      </c>
      <c r="L242" s="7" t="s">
        <v>25</v>
      </c>
      <c r="M242" s="7" t="s">
        <v>25</v>
      </c>
      <c r="N242" s="7" t="s">
        <v>25</v>
      </c>
      <c r="O242" s="7" t="s">
        <v>25</v>
      </c>
      <c r="P242" s="7" t="s">
        <v>25</v>
      </c>
      <c r="Q242" s="7" t="s">
        <v>25</v>
      </c>
      <c r="R242" s="7" t="s">
        <v>25</v>
      </c>
      <c r="S242" s="7" t="s">
        <v>25</v>
      </c>
    </row>
    <row r="243" spans="1:19" ht="13.8" hidden="1" x14ac:dyDescent="0.3">
      <c r="A243" s="6" t="s">
        <v>262</v>
      </c>
      <c r="B243" s="5" t="s">
        <v>23</v>
      </c>
      <c r="C243" s="8" t="s">
        <v>25</v>
      </c>
      <c r="D243" s="8" t="s">
        <v>25</v>
      </c>
      <c r="E243" s="8" t="s">
        <v>25</v>
      </c>
      <c r="F243" s="8" t="s">
        <v>25</v>
      </c>
      <c r="G243" s="8" t="s">
        <v>25</v>
      </c>
      <c r="H243" s="8" t="s">
        <v>25</v>
      </c>
      <c r="I243" s="8" t="s">
        <v>25</v>
      </c>
      <c r="J243" s="8" t="s">
        <v>25</v>
      </c>
      <c r="K243" s="8" t="s">
        <v>25</v>
      </c>
      <c r="L243" s="8" t="s">
        <v>25</v>
      </c>
      <c r="M243" s="8" t="s">
        <v>25</v>
      </c>
      <c r="N243" s="8" t="s">
        <v>25</v>
      </c>
      <c r="O243" s="8" t="s">
        <v>25</v>
      </c>
      <c r="P243" s="8" t="s">
        <v>25</v>
      </c>
      <c r="Q243" s="8" t="s">
        <v>25</v>
      </c>
      <c r="R243" s="8" t="s">
        <v>25</v>
      </c>
      <c r="S243" s="8" t="s">
        <v>25</v>
      </c>
    </row>
    <row r="244" spans="1:19" ht="13.8" hidden="1" x14ac:dyDescent="0.3">
      <c r="A244" s="6" t="s">
        <v>263</v>
      </c>
      <c r="B244" s="5" t="s">
        <v>23</v>
      </c>
      <c r="C244" s="7" t="s">
        <v>25</v>
      </c>
      <c r="D244" s="7" t="s">
        <v>25</v>
      </c>
      <c r="E244" s="7" t="s">
        <v>25</v>
      </c>
      <c r="F244" s="7" t="s">
        <v>25</v>
      </c>
      <c r="G244" s="7" t="s">
        <v>25</v>
      </c>
      <c r="H244" s="7" t="s">
        <v>25</v>
      </c>
      <c r="I244" s="7" t="s">
        <v>25</v>
      </c>
      <c r="J244" s="7" t="s">
        <v>25</v>
      </c>
      <c r="K244" s="7" t="s">
        <v>25</v>
      </c>
      <c r="L244" s="7" t="s">
        <v>25</v>
      </c>
      <c r="M244" s="7" t="s">
        <v>25</v>
      </c>
      <c r="N244" s="7" t="s">
        <v>25</v>
      </c>
      <c r="O244" s="7" t="s">
        <v>25</v>
      </c>
      <c r="P244" s="7" t="s">
        <v>25</v>
      </c>
      <c r="Q244" s="7" t="s">
        <v>25</v>
      </c>
      <c r="R244" s="7" t="s">
        <v>25</v>
      </c>
      <c r="S244" s="7" t="s">
        <v>25</v>
      </c>
    </row>
    <row r="245" spans="1:19" ht="13.8" hidden="1" x14ac:dyDescent="0.3">
      <c r="A245" s="6" t="s">
        <v>264</v>
      </c>
      <c r="B245" s="5" t="s">
        <v>23</v>
      </c>
      <c r="C245" s="8" t="s">
        <v>25</v>
      </c>
      <c r="D245" s="8" t="s">
        <v>25</v>
      </c>
      <c r="E245" s="8" t="s">
        <v>25</v>
      </c>
      <c r="F245" s="8" t="s">
        <v>25</v>
      </c>
      <c r="G245" s="8" t="s">
        <v>25</v>
      </c>
      <c r="H245" s="8" t="s">
        <v>25</v>
      </c>
      <c r="I245" s="8" t="s">
        <v>25</v>
      </c>
      <c r="J245" s="8" t="s">
        <v>25</v>
      </c>
      <c r="K245" s="8" t="s">
        <v>25</v>
      </c>
      <c r="L245" s="8" t="s">
        <v>25</v>
      </c>
      <c r="M245" s="8" t="s">
        <v>25</v>
      </c>
      <c r="N245" s="8" t="s">
        <v>25</v>
      </c>
      <c r="O245" s="8" t="s">
        <v>25</v>
      </c>
      <c r="P245" s="8" t="s">
        <v>25</v>
      </c>
      <c r="Q245" s="8" t="s">
        <v>25</v>
      </c>
      <c r="R245" s="8" t="s">
        <v>25</v>
      </c>
      <c r="S245" s="8" t="s">
        <v>25</v>
      </c>
    </row>
    <row r="246" spans="1:19" ht="13.8" hidden="1" x14ac:dyDescent="0.3">
      <c r="A246" s="6" t="s">
        <v>265</v>
      </c>
      <c r="B246" s="5" t="s">
        <v>23</v>
      </c>
      <c r="C246" s="7" t="s">
        <v>25</v>
      </c>
      <c r="D246" s="7" t="s">
        <v>25</v>
      </c>
      <c r="E246" s="7" t="s">
        <v>25</v>
      </c>
      <c r="F246" s="7" t="s">
        <v>25</v>
      </c>
      <c r="G246" s="7" t="s">
        <v>25</v>
      </c>
      <c r="H246" s="7" t="s">
        <v>25</v>
      </c>
      <c r="I246" s="7" t="s">
        <v>25</v>
      </c>
      <c r="J246" s="7" t="s">
        <v>25</v>
      </c>
      <c r="K246" s="7" t="s">
        <v>25</v>
      </c>
      <c r="L246" s="7" t="s">
        <v>25</v>
      </c>
      <c r="M246" s="7" t="s">
        <v>25</v>
      </c>
      <c r="N246" s="7" t="s">
        <v>25</v>
      </c>
      <c r="O246" s="7" t="s">
        <v>25</v>
      </c>
      <c r="P246" s="7" t="s">
        <v>25</v>
      </c>
      <c r="Q246" s="7" t="s">
        <v>25</v>
      </c>
      <c r="R246" s="7" t="s">
        <v>25</v>
      </c>
      <c r="S246" s="7" t="s">
        <v>25</v>
      </c>
    </row>
    <row r="247" spans="1:19" ht="13.8" hidden="1" x14ac:dyDescent="0.3">
      <c r="A247" s="6" t="s">
        <v>266</v>
      </c>
      <c r="B247" s="5" t="s">
        <v>23</v>
      </c>
      <c r="C247" s="8" t="s">
        <v>25</v>
      </c>
      <c r="D247" s="8" t="s">
        <v>25</v>
      </c>
      <c r="E247" s="8" t="s">
        <v>25</v>
      </c>
      <c r="F247" s="8" t="s">
        <v>25</v>
      </c>
      <c r="G247" s="8" t="s">
        <v>25</v>
      </c>
      <c r="H247" s="8" t="s">
        <v>25</v>
      </c>
      <c r="I247" s="8" t="s">
        <v>25</v>
      </c>
      <c r="J247" s="8" t="s">
        <v>25</v>
      </c>
      <c r="K247" s="8" t="s">
        <v>25</v>
      </c>
      <c r="L247" s="8" t="s">
        <v>25</v>
      </c>
      <c r="M247" s="8" t="s">
        <v>25</v>
      </c>
      <c r="N247" s="8" t="s">
        <v>25</v>
      </c>
      <c r="O247" s="8" t="s">
        <v>25</v>
      </c>
      <c r="P247" s="8" t="s">
        <v>25</v>
      </c>
      <c r="Q247" s="8" t="s">
        <v>25</v>
      </c>
      <c r="R247" s="8" t="s">
        <v>25</v>
      </c>
      <c r="S247" s="8" t="s">
        <v>25</v>
      </c>
    </row>
    <row r="248" spans="1:19" ht="20.399999999999999" hidden="1" x14ac:dyDescent="0.3">
      <c r="A248" s="6" t="s">
        <v>267</v>
      </c>
      <c r="B248" s="5" t="s">
        <v>23</v>
      </c>
      <c r="C248" s="7" t="s">
        <v>25</v>
      </c>
      <c r="D248" s="7" t="s">
        <v>25</v>
      </c>
      <c r="E248" s="7" t="s">
        <v>25</v>
      </c>
      <c r="F248" s="7" t="s">
        <v>25</v>
      </c>
      <c r="G248" s="7" t="s">
        <v>25</v>
      </c>
      <c r="H248" s="7" t="s">
        <v>25</v>
      </c>
      <c r="I248" s="7" t="s">
        <v>25</v>
      </c>
      <c r="J248" s="7" t="s">
        <v>25</v>
      </c>
      <c r="K248" s="7" t="s">
        <v>25</v>
      </c>
      <c r="L248" s="7" t="s">
        <v>25</v>
      </c>
      <c r="M248" s="7" t="s">
        <v>25</v>
      </c>
      <c r="N248" s="7" t="s">
        <v>25</v>
      </c>
      <c r="O248" s="7" t="s">
        <v>25</v>
      </c>
      <c r="P248" s="7" t="s">
        <v>25</v>
      </c>
      <c r="Q248" s="7" t="s">
        <v>25</v>
      </c>
      <c r="R248" s="7" t="s">
        <v>25</v>
      </c>
      <c r="S248" s="7" t="s">
        <v>25</v>
      </c>
    </row>
    <row r="249" spans="1:19" ht="13.8" hidden="1" x14ac:dyDescent="0.3">
      <c r="A249" s="6" t="s">
        <v>268</v>
      </c>
      <c r="B249" s="5" t="s">
        <v>23</v>
      </c>
      <c r="C249" s="8" t="s">
        <v>25</v>
      </c>
      <c r="D249" s="8" t="s">
        <v>25</v>
      </c>
      <c r="E249" s="8" t="s">
        <v>25</v>
      </c>
      <c r="F249" s="8" t="s">
        <v>25</v>
      </c>
      <c r="G249" s="8" t="s">
        <v>25</v>
      </c>
      <c r="H249" s="8" t="s">
        <v>25</v>
      </c>
      <c r="I249" s="8" t="s">
        <v>25</v>
      </c>
      <c r="J249" s="8" t="s">
        <v>25</v>
      </c>
      <c r="K249" s="8" t="s">
        <v>25</v>
      </c>
      <c r="L249" s="8" t="s">
        <v>25</v>
      </c>
      <c r="M249" s="8" t="s">
        <v>25</v>
      </c>
      <c r="N249" s="8" t="s">
        <v>25</v>
      </c>
      <c r="O249" s="8" t="s">
        <v>25</v>
      </c>
      <c r="P249" s="8" t="s">
        <v>25</v>
      </c>
      <c r="Q249" s="8" t="s">
        <v>25</v>
      </c>
      <c r="R249" s="8" t="s">
        <v>25</v>
      </c>
      <c r="S249" s="8" t="s">
        <v>25</v>
      </c>
    </row>
    <row r="250" spans="1:19" ht="13.8" hidden="1" x14ac:dyDescent="0.3">
      <c r="A250" s="6" t="s">
        <v>269</v>
      </c>
      <c r="B250" s="5" t="s">
        <v>23</v>
      </c>
      <c r="C250" s="7" t="s">
        <v>25</v>
      </c>
      <c r="D250" s="7" t="s">
        <v>25</v>
      </c>
      <c r="E250" s="7" t="s">
        <v>25</v>
      </c>
      <c r="F250" s="7" t="s">
        <v>25</v>
      </c>
      <c r="G250" s="7" t="s">
        <v>25</v>
      </c>
      <c r="H250" s="7" t="s">
        <v>25</v>
      </c>
      <c r="I250" s="7" t="s">
        <v>25</v>
      </c>
      <c r="J250" s="7" t="s">
        <v>25</v>
      </c>
      <c r="K250" s="7" t="s">
        <v>25</v>
      </c>
      <c r="L250" s="7" t="s">
        <v>25</v>
      </c>
      <c r="M250" s="7" t="s">
        <v>25</v>
      </c>
      <c r="N250" s="7" t="s">
        <v>25</v>
      </c>
      <c r="O250" s="7" t="s">
        <v>25</v>
      </c>
      <c r="P250" s="7" t="s">
        <v>25</v>
      </c>
      <c r="Q250" s="7" t="s">
        <v>25</v>
      </c>
      <c r="R250" s="7" t="s">
        <v>25</v>
      </c>
      <c r="S250" s="7" t="s">
        <v>25</v>
      </c>
    </row>
    <row r="251" spans="1:19" ht="13.8" hidden="1" x14ac:dyDescent="0.3">
      <c r="A251" s="6" t="s">
        <v>270</v>
      </c>
      <c r="B251" s="5" t="s">
        <v>23</v>
      </c>
      <c r="C251" s="8" t="s">
        <v>25</v>
      </c>
      <c r="D251" s="8" t="s">
        <v>25</v>
      </c>
      <c r="E251" s="8" t="s">
        <v>25</v>
      </c>
      <c r="F251" s="8" t="s">
        <v>25</v>
      </c>
      <c r="G251" s="8" t="s">
        <v>25</v>
      </c>
      <c r="H251" s="8" t="s">
        <v>25</v>
      </c>
      <c r="I251" s="8" t="s">
        <v>25</v>
      </c>
      <c r="J251" s="8" t="s">
        <v>25</v>
      </c>
      <c r="K251" s="8" t="s">
        <v>25</v>
      </c>
      <c r="L251" s="8" t="s">
        <v>25</v>
      </c>
      <c r="M251" s="8" t="s">
        <v>25</v>
      </c>
      <c r="N251" s="8" t="s">
        <v>25</v>
      </c>
      <c r="O251" s="8" t="s">
        <v>25</v>
      </c>
      <c r="P251" s="8" t="s">
        <v>25</v>
      </c>
      <c r="Q251" s="8" t="s">
        <v>25</v>
      </c>
      <c r="R251" s="8" t="s">
        <v>25</v>
      </c>
      <c r="S251" s="8" t="s">
        <v>25</v>
      </c>
    </row>
    <row r="252" spans="1:19" ht="13.8" hidden="1" x14ac:dyDescent="0.3">
      <c r="A252" s="6" t="s">
        <v>271</v>
      </c>
      <c r="B252" s="5" t="s">
        <v>23</v>
      </c>
      <c r="C252" s="7" t="s">
        <v>25</v>
      </c>
      <c r="D252" s="7" t="s">
        <v>25</v>
      </c>
      <c r="E252" s="7" t="s">
        <v>25</v>
      </c>
      <c r="F252" s="7" t="s">
        <v>25</v>
      </c>
      <c r="G252" s="7" t="s">
        <v>25</v>
      </c>
      <c r="H252" s="7" t="s">
        <v>25</v>
      </c>
      <c r="I252" s="7" t="s">
        <v>25</v>
      </c>
      <c r="J252" s="7" t="s">
        <v>25</v>
      </c>
      <c r="K252" s="7" t="s">
        <v>25</v>
      </c>
      <c r="L252" s="7" t="s">
        <v>25</v>
      </c>
      <c r="M252" s="7" t="s">
        <v>25</v>
      </c>
      <c r="N252" s="7" t="s">
        <v>25</v>
      </c>
      <c r="O252" s="7" t="s">
        <v>25</v>
      </c>
      <c r="P252" s="7" t="s">
        <v>25</v>
      </c>
      <c r="Q252" s="7" t="s">
        <v>25</v>
      </c>
      <c r="R252" s="7" t="s">
        <v>25</v>
      </c>
      <c r="S252" s="7" t="s">
        <v>25</v>
      </c>
    </row>
    <row r="253" spans="1:19" ht="13.8" hidden="1" x14ac:dyDescent="0.3">
      <c r="A253" s="6" t="s">
        <v>272</v>
      </c>
      <c r="B253" s="5" t="s">
        <v>23</v>
      </c>
      <c r="C253" s="8" t="s">
        <v>25</v>
      </c>
      <c r="D253" s="8" t="s">
        <v>25</v>
      </c>
      <c r="E253" s="8" t="s">
        <v>25</v>
      </c>
      <c r="F253" s="8" t="s">
        <v>25</v>
      </c>
      <c r="G253" s="8" t="s">
        <v>25</v>
      </c>
      <c r="H253" s="8" t="s">
        <v>25</v>
      </c>
      <c r="I253" s="8" t="s">
        <v>25</v>
      </c>
      <c r="J253" s="8" t="s">
        <v>25</v>
      </c>
      <c r="K253" s="8" t="s">
        <v>25</v>
      </c>
      <c r="L253" s="8" t="s">
        <v>25</v>
      </c>
      <c r="M253" s="8" t="s">
        <v>25</v>
      </c>
      <c r="N253" s="8" t="s">
        <v>25</v>
      </c>
      <c r="O253" s="8" t="s">
        <v>25</v>
      </c>
      <c r="P253" s="8" t="s">
        <v>25</v>
      </c>
      <c r="Q253" s="8" t="s">
        <v>25</v>
      </c>
      <c r="R253" s="8" t="s">
        <v>25</v>
      </c>
      <c r="S253" s="8" t="s">
        <v>25</v>
      </c>
    </row>
    <row r="254" spans="1:19" ht="13.8" hidden="1" x14ac:dyDescent="0.3">
      <c r="A254" s="6" t="s">
        <v>273</v>
      </c>
      <c r="B254" s="5" t="s">
        <v>23</v>
      </c>
      <c r="C254" s="7" t="s">
        <v>25</v>
      </c>
      <c r="D254" s="7" t="s">
        <v>25</v>
      </c>
      <c r="E254" s="7" t="s">
        <v>25</v>
      </c>
      <c r="F254" s="7" t="s">
        <v>25</v>
      </c>
      <c r="G254" s="7" t="s">
        <v>25</v>
      </c>
      <c r="H254" s="7" t="s">
        <v>25</v>
      </c>
      <c r="I254" s="7" t="s">
        <v>25</v>
      </c>
      <c r="J254" s="7" t="s">
        <v>25</v>
      </c>
      <c r="K254" s="7" t="s">
        <v>25</v>
      </c>
      <c r="L254" s="7" t="s">
        <v>25</v>
      </c>
      <c r="M254" s="7" t="s">
        <v>25</v>
      </c>
      <c r="N254" s="7" t="s">
        <v>25</v>
      </c>
      <c r="O254" s="7" t="s">
        <v>25</v>
      </c>
      <c r="P254" s="7" t="s">
        <v>25</v>
      </c>
      <c r="Q254" s="7" t="s">
        <v>25</v>
      </c>
      <c r="R254" s="7" t="s">
        <v>25</v>
      </c>
      <c r="S254" s="7" t="s">
        <v>25</v>
      </c>
    </row>
    <row r="255" spans="1:19" ht="13.8" hidden="1" x14ac:dyDescent="0.3">
      <c r="A255" s="6" t="s">
        <v>274</v>
      </c>
      <c r="B255" s="5" t="s">
        <v>23</v>
      </c>
      <c r="C255" s="8" t="s">
        <v>25</v>
      </c>
      <c r="D255" s="8" t="s">
        <v>25</v>
      </c>
      <c r="E255" s="8" t="s">
        <v>25</v>
      </c>
      <c r="F255" s="8" t="s">
        <v>25</v>
      </c>
      <c r="G255" s="8" t="s">
        <v>25</v>
      </c>
      <c r="H255" s="8" t="s">
        <v>25</v>
      </c>
      <c r="I255" s="8" t="s">
        <v>25</v>
      </c>
      <c r="J255" s="8" t="s">
        <v>25</v>
      </c>
      <c r="K255" s="8" t="s">
        <v>25</v>
      </c>
      <c r="L255" s="8" t="s">
        <v>25</v>
      </c>
      <c r="M255" s="8" t="s">
        <v>25</v>
      </c>
      <c r="N255" s="8" t="s">
        <v>25</v>
      </c>
      <c r="O255" s="8" t="s">
        <v>25</v>
      </c>
      <c r="P255" s="8" t="s">
        <v>25</v>
      </c>
      <c r="Q255" s="8" t="s">
        <v>25</v>
      </c>
      <c r="R255" s="8" t="s">
        <v>25</v>
      </c>
      <c r="S255" s="8" t="s">
        <v>25</v>
      </c>
    </row>
    <row r="256" spans="1:19" ht="13.8" hidden="1" x14ac:dyDescent="0.3">
      <c r="A256" s="6" t="s">
        <v>275</v>
      </c>
      <c r="B256" s="5" t="s">
        <v>23</v>
      </c>
      <c r="C256" s="7" t="s">
        <v>25</v>
      </c>
      <c r="D256" s="7" t="s">
        <v>25</v>
      </c>
      <c r="E256" s="7" t="s">
        <v>25</v>
      </c>
      <c r="F256" s="7" t="s">
        <v>25</v>
      </c>
      <c r="G256" s="7" t="s">
        <v>25</v>
      </c>
      <c r="H256" s="7" t="s">
        <v>25</v>
      </c>
      <c r="I256" s="7" t="s">
        <v>25</v>
      </c>
      <c r="J256" s="7" t="s">
        <v>25</v>
      </c>
      <c r="K256" s="7" t="s">
        <v>25</v>
      </c>
      <c r="L256" s="7" t="s">
        <v>25</v>
      </c>
      <c r="M256" s="7" t="s">
        <v>25</v>
      </c>
      <c r="N256" s="7" t="s">
        <v>25</v>
      </c>
      <c r="O256" s="7" t="s">
        <v>25</v>
      </c>
      <c r="P256" s="7" t="s">
        <v>25</v>
      </c>
      <c r="Q256" s="7" t="s">
        <v>25</v>
      </c>
      <c r="R256" s="7" t="s">
        <v>25</v>
      </c>
      <c r="S256" s="7" t="s">
        <v>25</v>
      </c>
    </row>
    <row r="257" spans="1:19" ht="13.8" hidden="1" x14ac:dyDescent="0.3">
      <c r="A257" s="6" t="s">
        <v>276</v>
      </c>
      <c r="B257" s="5" t="s">
        <v>23</v>
      </c>
      <c r="C257" s="8" t="s">
        <v>25</v>
      </c>
      <c r="D257" s="8" t="s">
        <v>25</v>
      </c>
      <c r="E257" s="8" t="s">
        <v>25</v>
      </c>
      <c r="F257" s="8" t="s">
        <v>25</v>
      </c>
      <c r="G257" s="8" t="s">
        <v>25</v>
      </c>
      <c r="H257" s="8" t="s">
        <v>25</v>
      </c>
      <c r="I257" s="8" t="s">
        <v>25</v>
      </c>
      <c r="J257" s="8" t="s">
        <v>25</v>
      </c>
      <c r="K257" s="8" t="s">
        <v>25</v>
      </c>
      <c r="L257" s="8" t="s">
        <v>25</v>
      </c>
      <c r="M257" s="8" t="s">
        <v>25</v>
      </c>
      <c r="N257" s="8" t="s">
        <v>25</v>
      </c>
      <c r="O257" s="8" t="s">
        <v>25</v>
      </c>
      <c r="P257" s="8" t="s">
        <v>25</v>
      </c>
      <c r="Q257" s="8" t="s">
        <v>25</v>
      </c>
      <c r="R257" s="8" t="s">
        <v>25</v>
      </c>
      <c r="S257" s="8" t="s">
        <v>25</v>
      </c>
    </row>
    <row r="258" spans="1:19" ht="13.8" hidden="1" x14ac:dyDescent="0.3">
      <c r="A258" s="6" t="s">
        <v>277</v>
      </c>
      <c r="B258" s="5" t="s">
        <v>23</v>
      </c>
      <c r="C258" s="7" t="s">
        <v>25</v>
      </c>
      <c r="D258" s="7" t="s">
        <v>25</v>
      </c>
      <c r="E258" s="7" t="s">
        <v>25</v>
      </c>
      <c r="F258" s="7" t="s">
        <v>25</v>
      </c>
      <c r="G258" s="7" t="s">
        <v>25</v>
      </c>
      <c r="H258" s="7" t="s">
        <v>25</v>
      </c>
      <c r="I258" s="7" t="s">
        <v>25</v>
      </c>
      <c r="J258" s="7" t="s">
        <v>25</v>
      </c>
      <c r="K258" s="7" t="s">
        <v>25</v>
      </c>
      <c r="L258" s="7" t="s">
        <v>25</v>
      </c>
      <c r="M258" s="7" t="s">
        <v>25</v>
      </c>
      <c r="N258" s="7" t="s">
        <v>25</v>
      </c>
      <c r="O258" s="7" t="s">
        <v>25</v>
      </c>
      <c r="P258" s="7" t="s">
        <v>25</v>
      </c>
      <c r="Q258" s="7" t="s">
        <v>25</v>
      </c>
      <c r="R258" s="7" t="s">
        <v>25</v>
      </c>
      <c r="S258" s="7" t="s">
        <v>25</v>
      </c>
    </row>
    <row r="259" spans="1:19" ht="13.8" hidden="1" x14ac:dyDescent="0.3">
      <c r="A259" s="6" t="s">
        <v>278</v>
      </c>
      <c r="B259" s="5" t="s">
        <v>23</v>
      </c>
      <c r="C259" s="8" t="s">
        <v>25</v>
      </c>
      <c r="D259" s="8" t="s">
        <v>25</v>
      </c>
      <c r="E259" s="8" t="s">
        <v>25</v>
      </c>
      <c r="F259" s="8" t="s">
        <v>25</v>
      </c>
      <c r="G259" s="8" t="s">
        <v>25</v>
      </c>
      <c r="H259" s="8" t="s">
        <v>25</v>
      </c>
      <c r="I259" s="8" t="s">
        <v>25</v>
      </c>
      <c r="J259" s="8" t="s">
        <v>25</v>
      </c>
      <c r="K259" s="8" t="s">
        <v>25</v>
      </c>
      <c r="L259" s="8" t="s">
        <v>25</v>
      </c>
      <c r="M259" s="8" t="s">
        <v>25</v>
      </c>
      <c r="N259" s="8" t="s">
        <v>25</v>
      </c>
      <c r="O259" s="8" t="s">
        <v>25</v>
      </c>
      <c r="P259" s="8" t="s">
        <v>25</v>
      </c>
      <c r="Q259" s="8" t="s">
        <v>25</v>
      </c>
      <c r="R259" s="8" t="s">
        <v>25</v>
      </c>
      <c r="S259" s="8" t="s">
        <v>25</v>
      </c>
    </row>
    <row r="260" spans="1:19" ht="20.399999999999999" hidden="1" x14ac:dyDescent="0.3">
      <c r="A260" s="6" t="s">
        <v>279</v>
      </c>
      <c r="B260" s="5" t="s">
        <v>23</v>
      </c>
      <c r="C260" s="7" t="s">
        <v>25</v>
      </c>
      <c r="D260" s="7" t="s">
        <v>25</v>
      </c>
      <c r="E260" s="7" t="s">
        <v>25</v>
      </c>
      <c r="F260" s="7" t="s">
        <v>25</v>
      </c>
      <c r="G260" s="7" t="s">
        <v>25</v>
      </c>
      <c r="H260" s="7" t="s">
        <v>25</v>
      </c>
      <c r="I260" s="7" t="s">
        <v>25</v>
      </c>
      <c r="J260" s="7" t="s">
        <v>25</v>
      </c>
      <c r="K260" s="7" t="s">
        <v>25</v>
      </c>
      <c r="L260" s="7" t="s">
        <v>25</v>
      </c>
      <c r="M260" s="7" t="s">
        <v>25</v>
      </c>
      <c r="N260" s="7" t="s">
        <v>25</v>
      </c>
      <c r="O260" s="7" t="s">
        <v>25</v>
      </c>
      <c r="P260" s="7" t="s">
        <v>25</v>
      </c>
      <c r="Q260" s="7" t="s">
        <v>25</v>
      </c>
      <c r="R260" s="7" t="s">
        <v>25</v>
      </c>
      <c r="S260" s="7" t="s">
        <v>25</v>
      </c>
    </row>
    <row r="261" spans="1:19" ht="13.8" hidden="1" x14ac:dyDescent="0.3">
      <c r="A261" s="6" t="s">
        <v>280</v>
      </c>
      <c r="B261" s="5" t="s">
        <v>23</v>
      </c>
      <c r="C261" s="8" t="s">
        <v>25</v>
      </c>
      <c r="D261" s="8" t="s">
        <v>25</v>
      </c>
      <c r="E261" s="8" t="s">
        <v>25</v>
      </c>
      <c r="F261" s="8" t="s">
        <v>25</v>
      </c>
      <c r="G261" s="8" t="s">
        <v>25</v>
      </c>
      <c r="H261" s="8" t="s">
        <v>25</v>
      </c>
      <c r="I261" s="8" t="s">
        <v>25</v>
      </c>
      <c r="J261" s="8" t="s">
        <v>25</v>
      </c>
      <c r="K261" s="8" t="s">
        <v>25</v>
      </c>
      <c r="L261" s="8" t="s">
        <v>25</v>
      </c>
      <c r="M261" s="8" t="s">
        <v>25</v>
      </c>
      <c r="N261" s="8" t="s">
        <v>25</v>
      </c>
      <c r="O261" s="8" t="s">
        <v>25</v>
      </c>
      <c r="P261" s="8" t="s">
        <v>25</v>
      </c>
      <c r="Q261" s="8" t="s">
        <v>25</v>
      </c>
      <c r="R261" s="8" t="s">
        <v>25</v>
      </c>
      <c r="S261" s="8" t="s">
        <v>25</v>
      </c>
    </row>
    <row r="262" spans="1:19" ht="13.8" hidden="1" x14ac:dyDescent="0.3">
      <c r="A262" s="6" t="s">
        <v>281</v>
      </c>
      <c r="B262" s="5" t="s">
        <v>23</v>
      </c>
      <c r="C262" s="7" t="s">
        <v>25</v>
      </c>
      <c r="D262" s="7" t="s">
        <v>25</v>
      </c>
      <c r="E262" s="7" t="s">
        <v>25</v>
      </c>
      <c r="F262" s="7" t="s">
        <v>25</v>
      </c>
      <c r="G262" s="7" t="s">
        <v>25</v>
      </c>
      <c r="H262" s="7" t="s">
        <v>25</v>
      </c>
      <c r="I262" s="7" t="s">
        <v>25</v>
      </c>
      <c r="J262" s="7" t="s">
        <v>25</v>
      </c>
      <c r="K262" s="7" t="s">
        <v>25</v>
      </c>
      <c r="L262" s="7" t="s">
        <v>25</v>
      </c>
      <c r="M262" s="7" t="s">
        <v>25</v>
      </c>
      <c r="N262" s="7" t="s">
        <v>25</v>
      </c>
      <c r="O262" s="7" t="s">
        <v>25</v>
      </c>
      <c r="P262" s="7" t="s">
        <v>25</v>
      </c>
      <c r="Q262" s="7" t="s">
        <v>25</v>
      </c>
      <c r="R262" s="7" t="s">
        <v>25</v>
      </c>
      <c r="S262" s="7" t="s">
        <v>25</v>
      </c>
    </row>
    <row r="263" spans="1:19" ht="13.8" hidden="1" x14ac:dyDescent="0.3">
      <c r="A263" s="6" t="s">
        <v>282</v>
      </c>
      <c r="B263" s="5" t="s">
        <v>23</v>
      </c>
      <c r="C263" s="8" t="s">
        <v>25</v>
      </c>
      <c r="D263" s="8" t="s">
        <v>25</v>
      </c>
      <c r="E263" s="8" t="s">
        <v>25</v>
      </c>
      <c r="F263" s="8" t="s">
        <v>25</v>
      </c>
      <c r="G263" s="8" t="s">
        <v>25</v>
      </c>
      <c r="H263" s="8" t="s">
        <v>25</v>
      </c>
      <c r="I263" s="8" t="s">
        <v>25</v>
      </c>
      <c r="J263" s="8" t="s">
        <v>25</v>
      </c>
      <c r="K263" s="8" t="s">
        <v>25</v>
      </c>
      <c r="L263" s="8" t="s">
        <v>25</v>
      </c>
      <c r="M263" s="8" t="s">
        <v>25</v>
      </c>
      <c r="N263" s="8" t="s">
        <v>25</v>
      </c>
      <c r="O263" s="8" t="s">
        <v>25</v>
      </c>
      <c r="P263" s="8" t="s">
        <v>25</v>
      </c>
      <c r="Q263" s="8" t="s">
        <v>25</v>
      </c>
      <c r="R263" s="8" t="s">
        <v>25</v>
      </c>
      <c r="S263" s="8" t="s">
        <v>25</v>
      </c>
    </row>
    <row r="264" spans="1:19" ht="13.8" hidden="1" x14ac:dyDescent="0.3">
      <c r="A264" s="6" t="s">
        <v>283</v>
      </c>
      <c r="B264" s="5" t="s">
        <v>23</v>
      </c>
      <c r="C264" s="7" t="s">
        <v>25</v>
      </c>
      <c r="D264" s="7" t="s">
        <v>25</v>
      </c>
      <c r="E264" s="7" t="s">
        <v>25</v>
      </c>
      <c r="F264" s="7" t="s">
        <v>25</v>
      </c>
      <c r="G264" s="7" t="s">
        <v>25</v>
      </c>
      <c r="H264" s="7" t="s">
        <v>25</v>
      </c>
      <c r="I264" s="7" t="s">
        <v>25</v>
      </c>
      <c r="J264" s="7" t="s">
        <v>25</v>
      </c>
      <c r="K264" s="7" t="s">
        <v>25</v>
      </c>
      <c r="L264" s="7" t="s">
        <v>25</v>
      </c>
      <c r="M264" s="7" t="s">
        <v>25</v>
      </c>
      <c r="N264" s="7" t="s">
        <v>25</v>
      </c>
      <c r="O264" s="7" t="s">
        <v>25</v>
      </c>
      <c r="P264" s="7" t="s">
        <v>25</v>
      </c>
      <c r="Q264" s="7" t="s">
        <v>25</v>
      </c>
      <c r="R264" s="7" t="s">
        <v>25</v>
      </c>
      <c r="S264" s="7" t="s">
        <v>25</v>
      </c>
    </row>
    <row r="265" spans="1:19" ht="13.8" hidden="1" x14ac:dyDescent="0.3">
      <c r="A265" s="6" t="s">
        <v>262</v>
      </c>
      <c r="B265" s="5" t="s">
        <v>23</v>
      </c>
      <c r="C265" s="8" t="s">
        <v>25</v>
      </c>
      <c r="D265" s="8" t="s">
        <v>25</v>
      </c>
      <c r="E265" s="8" t="s">
        <v>25</v>
      </c>
      <c r="F265" s="8" t="s">
        <v>25</v>
      </c>
      <c r="G265" s="8" t="s">
        <v>25</v>
      </c>
      <c r="H265" s="8" t="s">
        <v>25</v>
      </c>
      <c r="I265" s="8" t="s">
        <v>25</v>
      </c>
      <c r="J265" s="8" t="s">
        <v>25</v>
      </c>
      <c r="K265" s="8" t="s">
        <v>25</v>
      </c>
      <c r="L265" s="8" t="s">
        <v>25</v>
      </c>
      <c r="M265" s="8" t="s">
        <v>25</v>
      </c>
      <c r="N265" s="8" t="s">
        <v>25</v>
      </c>
      <c r="O265" s="8" t="s">
        <v>25</v>
      </c>
      <c r="P265" s="8" t="s">
        <v>25</v>
      </c>
      <c r="Q265" s="8" t="s">
        <v>25</v>
      </c>
      <c r="R265" s="8" t="s">
        <v>25</v>
      </c>
      <c r="S265" s="8" t="s">
        <v>25</v>
      </c>
    </row>
    <row r="266" spans="1:19" ht="13.8" hidden="1" x14ac:dyDescent="0.3">
      <c r="A266" s="6" t="s">
        <v>284</v>
      </c>
      <c r="B266" s="5" t="s">
        <v>23</v>
      </c>
      <c r="C266" s="7" t="s">
        <v>25</v>
      </c>
      <c r="D266" s="7" t="s">
        <v>25</v>
      </c>
      <c r="E266" s="7" t="s">
        <v>25</v>
      </c>
      <c r="F266" s="7" t="s">
        <v>25</v>
      </c>
      <c r="G266" s="7" t="s">
        <v>25</v>
      </c>
      <c r="H266" s="7" t="s">
        <v>25</v>
      </c>
      <c r="I266" s="7" t="s">
        <v>25</v>
      </c>
      <c r="J266" s="7" t="s">
        <v>25</v>
      </c>
      <c r="K266" s="7" t="s">
        <v>25</v>
      </c>
      <c r="L266" s="7" t="s">
        <v>25</v>
      </c>
      <c r="M266" s="7" t="s">
        <v>25</v>
      </c>
      <c r="N266" s="7" t="s">
        <v>25</v>
      </c>
      <c r="O266" s="7" t="s">
        <v>25</v>
      </c>
      <c r="P266" s="7" t="s">
        <v>25</v>
      </c>
      <c r="Q266" s="7" t="s">
        <v>25</v>
      </c>
      <c r="R266" s="7" t="s">
        <v>25</v>
      </c>
      <c r="S266" s="7" t="s">
        <v>25</v>
      </c>
    </row>
    <row r="267" spans="1:19" ht="13.8" hidden="1" x14ac:dyDescent="0.3">
      <c r="A267" s="6" t="s">
        <v>285</v>
      </c>
      <c r="B267" s="5" t="s">
        <v>23</v>
      </c>
      <c r="C267" s="8" t="s">
        <v>25</v>
      </c>
      <c r="D267" s="8" t="s">
        <v>25</v>
      </c>
      <c r="E267" s="8" t="s">
        <v>25</v>
      </c>
      <c r="F267" s="8" t="s">
        <v>25</v>
      </c>
      <c r="G267" s="8" t="s">
        <v>25</v>
      </c>
      <c r="H267" s="8" t="s">
        <v>25</v>
      </c>
      <c r="I267" s="8" t="s">
        <v>25</v>
      </c>
      <c r="J267" s="8" t="s">
        <v>25</v>
      </c>
      <c r="K267" s="8" t="s">
        <v>25</v>
      </c>
      <c r="L267" s="8" t="s">
        <v>25</v>
      </c>
      <c r="M267" s="8" t="s">
        <v>25</v>
      </c>
      <c r="N267" s="8" t="s">
        <v>25</v>
      </c>
      <c r="O267" s="8" t="s">
        <v>25</v>
      </c>
      <c r="P267" s="8" t="s">
        <v>25</v>
      </c>
      <c r="Q267" s="8" t="s">
        <v>25</v>
      </c>
      <c r="R267" s="8" t="s">
        <v>25</v>
      </c>
      <c r="S267" s="8" t="s">
        <v>25</v>
      </c>
    </row>
    <row r="268" spans="1:19" ht="13.8" hidden="1" x14ac:dyDescent="0.3">
      <c r="A268" s="6" t="s">
        <v>271</v>
      </c>
      <c r="B268" s="5" t="s">
        <v>23</v>
      </c>
      <c r="C268" s="7" t="s">
        <v>25</v>
      </c>
      <c r="D268" s="7" t="s">
        <v>25</v>
      </c>
      <c r="E268" s="7" t="s">
        <v>25</v>
      </c>
      <c r="F268" s="7" t="s">
        <v>25</v>
      </c>
      <c r="G268" s="7" t="s">
        <v>25</v>
      </c>
      <c r="H268" s="7" t="s">
        <v>25</v>
      </c>
      <c r="I268" s="7" t="s">
        <v>25</v>
      </c>
      <c r="J268" s="7" t="s">
        <v>25</v>
      </c>
      <c r="K268" s="7" t="s">
        <v>25</v>
      </c>
      <c r="L268" s="7" t="s">
        <v>25</v>
      </c>
      <c r="M268" s="7" t="s">
        <v>25</v>
      </c>
      <c r="N268" s="7" t="s">
        <v>25</v>
      </c>
      <c r="O268" s="7" t="s">
        <v>25</v>
      </c>
      <c r="P268" s="7" t="s">
        <v>25</v>
      </c>
      <c r="Q268" s="7" t="s">
        <v>25</v>
      </c>
      <c r="R268" s="7" t="s">
        <v>25</v>
      </c>
      <c r="S268" s="7" t="s">
        <v>25</v>
      </c>
    </row>
    <row r="269" spans="1:19" ht="13.8" hidden="1" x14ac:dyDescent="0.3">
      <c r="A269" s="6" t="s">
        <v>286</v>
      </c>
      <c r="B269" s="5" t="s">
        <v>23</v>
      </c>
      <c r="C269" s="8" t="s">
        <v>25</v>
      </c>
      <c r="D269" s="8" t="s">
        <v>25</v>
      </c>
      <c r="E269" s="8" t="s">
        <v>25</v>
      </c>
      <c r="F269" s="8" t="s">
        <v>25</v>
      </c>
      <c r="G269" s="8" t="s">
        <v>25</v>
      </c>
      <c r="H269" s="8" t="s">
        <v>25</v>
      </c>
      <c r="I269" s="8" t="s">
        <v>25</v>
      </c>
      <c r="J269" s="8" t="s">
        <v>25</v>
      </c>
      <c r="K269" s="8" t="s">
        <v>25</v>
      </c>
      <c r="L269" s="8" t="s">
        <v>25</v>
      </c>
      <c r="M269" s="8" t="s">
        <v>25</v>
      </c>
      <c r="N269" s="8" t="s">
        <v>25</v>
      </c>
      <c r="O269" s="8" t="s">
        <v>25</v>
      </c>
      <c r="P269" s="8" t="s">
        <v>25</v>
      </c>
      <c r="Q269" s="8" t="s">
        <v>25</v>
      </c>
      <c r="R269" s="8" t="s">
        <v>25</v>
      </c>
      <c r="S269" s="8" t="s">
        <v>25</v>
      </c>
    </row>
    <row r="270" spans="1:19" ht="13.8" hidden="1" x14ac:dyDescent="0.3">
      <c r="A270" s="6" t="s">
        <v>276</v>
      </c>
      <c r="B270" s="5" t="s">
        <v>23</v>
      </c>
      <c r="C270" s="7" t="s">
        <v>25</v>
      </c>
      <c r="D270" s="7" t="s">
        <v>25</v>
      </c>
      <c r="E270" s="7" t="s">
        <v>25</v>
      </c>
      <c r="F270" s="7" t="s">
        <v>25</v>
      </c>
      <c r="G270" s="7" t="s">
        <v>25</v>
      </c>
      <c r="H270" s="7" t="s">
        <v>25</v>
      </c>
      <c r="I270" s="7" t="s">
        <v>25</v>
      </c>
      <c r="J270" s="7" t="s">
        <v>25</v>
      </c>
      <c r="K270" s="7" t="s">
        <v>25</v>
      </c>
      <c r="L270" s="7" t="s">
        <v>25</v>
      </c>
      <c r="M270" s="7" t="s">
        <v>25</v>
      </c>
      <c r="N270" s="7" t="s">
        <v>25</v>
      </c>
      <c r="O270" s="7" t="s">
        <v>25</v>
      </c>
      <c r="P270" s="7" t="s">
        <v>25</v>
      </c>
      <c r="Q270" s="7" t="s">
        <v>25</v>
      </c>
      <c r="R270" s="7" t="s">
        <v>25</v>
      </c>
      <c r="S270" s="7" t="s">
        <v>25</v>
      </c>
    </row>
    <row r="271" spans="1:19" ht="20.399999999999999" hidden="1" x14ac:dyDescent="0.3">
      <c r="A271" s="6" t="s">
        <v>287</v>
      </c>
      <c r="B271" s="5" t="s">
        <v>23</v>
      </c>
      <c r="C271" s="8" t="s">
        <v>25</v>
      </c>
      <c r="D271" s="8" t="s">
        <v>25</v>
      </c>
      <c r="E271" s="8" t="s">
        <v>25</v>
      </c>
      <c r="F271" s="8" t="s">
        <v>25</v>
      </c>
      <c r="G271" s="8" t="s">
        <v>25</v>
      </c>
      <c r="H271" s="8" t="s">
        <v>25</v>
      </c>
      <c r="I271" s="8" t="s">
        <v>25</v>
      </c>
      <c r="J271" s="8" t="s">
        <v>25</v>
      </c>
      <c r="K271" s="8" t="s">
        <v>25</v>
      </c>
      <c r="L271" s="8" t="s">
        <v>25</v>
      </c>
      <c r="M271" s="8" t="s">
        <v>25</v>
      </c>
      <c r="N271" s="8" t="s">
        <v>25</v>
      </c>
      <c r="O271" s="8" t="s">
        <v>25</v>
      </c>
      <c r="P271" s="8" t="s">
        <v>25</v>
      </c>
      <c r="Q271" s="8" t="s">
        <v>25</v>
      </c>
      <c r="R271" s="8" t="s">
        <v>25</v>
      </c>
      <c r="S271" s="8" t="s">
        <v>25</v>
      </c>
    </row>
    <row r="272" spans="1:19" ht="13.8" hidden="1" x14ac:dyDescent="0.3">
      <c r="A272" s="6" t="s">
        <v>288</v>
      </c>
      <c r="B272" s="5" t="s">
        <v>23</v>
      </c>
      <c r="C272" s="7" t="s">
        <v>25</v>
      </c>
      <c r="D272" s="7" t="s">
        <v>25</v>
      </c>
      <c r="E272" s="7" t="s">
        <v>25</v>
      </c>
      <c r="F272" s="7" t="s">
        <v>25</v>
      </c>
      <c r="G272" s="7" t="s">
        <v>25</v>
      </c>
      <c r="H272" s="7" t="s">
        <v>25</v>
      </c>
      <c r="I272" s="7" t="s">
        <v>25</v>
      </c>
      <c r="J272" s="7" t="s">
        <v>25</v>
      </c>
      <c r="K272" s="7" t="s">
        <v>25</v>
      </c>
      <c r="L272" s="7" t="s">
        <v>25</v>
      </c>
      <c r="M272" s="7" t="s">
        <v>25</v>
      </c>
      <c r="N272" s="7" t="s">
        <v>25</v>
      </c>
      <c r="O272" s="7" t="s">
        <v>25</v>
      </c>
      <c r="P272" s="7" t="s">
        <v>25</v>
      </c>
      <c r="Q272" s="7" t="s">
        <v>25</v>
      </c>
      <c r="R272" s="7" t="s">
        <v>25</v>
      </c>
      <c r="S272" s="7" t="s">
        <v>25</v>
      </c>
    </row>
    <row r="273" spans="1:19" ht="13.8" hidden="1" x14ac:dyDescent="0.3">
      <c r="A273" s="6" t="s">
        <v>266</v>
      </c>
      <c r="B273" s="5" t="s">
        <v>23</v>
      </c>
      <c r="C273" s="8" t="s">
        <v>25</v>
      </c>
      <c r="D273" s="8" t="s">
        <v>25</v>
      </c>
      <c r="E273" s="8" t="s">
        <v>25</v>
      </c>
      <c r="F273" s="8" t="s">
        <v>25</v>
      </c>
      <c r="G273" s="8" t="s">
        <v>25</v>
      </c>
      <c r="H273" s="8" t="s">
        <v>25</v>
      </c>
      <c r="I273" s="8" t="s">
        <v>25</v>
      </c>
      <c r="J273" s="8" t="s">
        <v>25</v>
      </c>
      <c r="K273" s="8" t="s">
        <v>25</v>
      </c>
      <c r="L273" s="8" t="s">
        <v>25</v>
      </c>
      <c r="M273" s="8" t="s">
        <v>25</v>
      </c>
      <c r="N273" s="8" t="s">
        <v>25</v>
      </c>
      <c r="O273" s="8" t="s">
        <v>25</v>
      </c>
      <c r="P273" s="8" t="s">
        <v>25</v>
      </c>
      <c r="Q273" s="8" t="s">
        <v>25</v>
      </c>
      <c r="R273" s="8" t="s">
        <v>25</v>
      </c>
      <c r="S273" s="8" t="s">
        <v>25</v>
      </c>
    </row>
    <row r="274" spans="1:19" ht="13.8" hidden="1" x14ac:dyDescent="0.3">
      <c r="A274" s="6" t="s">
        <v>265</v>
      </c>
      <c r="B274" s="5" t="s">
        <v>23</v>
      </c>
      <c r="C274" s="7" t="s">
        <v>25</v>
      </c>
      <c r="D274" s="7" t="s">
        <v>25</v>
      </c>
      <c r="E274" s="7" t="s">
        <v>25</v>
      </c>
      <c r="F274" s="7" t="s">
        <v>25</v>
      </c>
      <c r="G274" s="7" t="s">
        <v>25</v>
      </c>
      <c r="H274" s="7" t="s">
        <v>25</v>
      </c>
      <c r="I274" s="7" t="s">
        <v>25</v>
      </c>
      <c r="J274" s="7" t="s">
        <v>25</v>
      </c>
      <c r="K274" s="7" t="s">
        <v>25</v>
      </c>
      <c r="L274" s="7" t="s">
        <v>25</v>
      </c>
      <c r="M274" s="7" t="s">
        <v>25</v>
      </c>
      <c r="N274" s="7" t="s">
        <v>25</v>
      </c>
      <c r="O274" s="7" t="s">
        <v>25</v>
      </c>
      <c r="P274" s="7" t="s">
        <v>25</v>
      </c>
      <c r="Q274" s="7" t="s">
        <v>25</v>
      </c>
      <c r="R274" s="7" t="s">
        <v>25</v>
      </c>
      <c r="S274" s="7" t="s">
        <v>25</v>
      </c>
    </row>
    <row r="275" spans="1:19" ht="13.8" hidden="1" x14ac:dyDescent="0.3">
      <c r="A275" s="6" t="s">
        <v>289</v>
      </c>
      <c r="B275" s="5" t="s">
        <v>23</v>
      </c>
      <c r="C275" s="8" t="s">
        <v>25</v>
      </c>
      <c r="D275" s="8" t="s">
        <v>25</v>
      </c>
      <c r="E275" s="8" t="s">
        <v>25</v>
      </c>
      <c r="F275" s="8" t="s">
        <v>25</v>
      </c>
      <c r="G275" s="8" t="s">
        <v>25</v>
      </c>
      <c r="H275" s="8" t="s">
        <v>25</v>
      </c>
      <c r="I275" s="8" t="s">
        <v>25</v>
      </c>
      <c r="J275" s="8" t="s">
        <v>25</v>
      </c>
      <c r="K275" s="8" t="s">
        <v>25</v>
      </c>
      <c r="L275" s="8" t="s">
        <v>25</v>
      </c>
      <c r="M275" s="8" t="s">
        <v>25</v>
      </c>
      <c r="N275" s="8" t="s">
        <v>25</v>
      </c>
      <c r="O275" s="8" t="s">
        <v>25</v>
      </c>
      <c r="P275" s="8" t="s">
        <v>25</v>
      </c>
      <c r="Q275" s="8" t="s">
        <v>25</v>
      </c>
      <c r="R275" s="8" t="s">
        <v>25</v>
      </c>
      <c r="S275" s="8" t="s">
        <v>25</v>
      </c>
    </row>
    <row r="276" spans="1:19" ht="13.8" hidden="1" x14ac:dyDescent="0.3">
      <c r="A276" s="6" t="s">
        <v>290</v>
      </c>
      <c r="B276" s="5" t="s">
        <v>23</v>
      </c>
      <c r="C276" s="7" t="s">
        <v>25</v>
      </c>
      <c r="D276" s="7" t="s">
        <v>25</v>
      </c>
      <c r="E276" s="7" t="s">
        <v>25</v>
      </c>
      <c r="F276" s="7" t="s">
        <v>25</v>
      </c>
      <c r="G276" s="7" t="s">
        <v>25</v>
      </c>
      <c r="H276" s="7" t="s">
        <v>25</v>
      </c>
      <c r="I276" s="7" t="s">
        <v>25</v>
      </c>
      <c r="J276" s="7" t="s">
        <v>25</v>
      </c>
      <c r="K276" s="7" t="s">
        <v>25</v>
      </c>
      <c r="L276" s="7" t="s">
        <v>25</v>
      </c>
      <c r="M276" s="7" t="s">
        <v>25</v>
      </c>
      <c r="N276" s="7" t="s">
        <v>25</v>
      </c>
      <c r="O276" s="7" t="s">
        <v>25</v>
      </c>
      <c r="P276" s="7" t="s">
        <v>25</v>
      </c>
      <c r="Q276" s="7" t="s">
        <v>25</v>
      </c>
      <c r="R276" s="7" t="s">
        <v>25</v>
      </c>
      <c r="S276" s="7" t="s">
        <v>25</v>
      </c>
    </row>
    <row r="277" spans="1:19" ht="13.8" hidden="1" x14ac:dyDescent="0.3">
      <c r="A277" s="6" t="s">
        <v>291</v>
      </c>
      <c r="B277" s="5" t="s">
        <v>23</v>
      </c>
      <c r="C277" s="8" t="s">
        <v>25</v>
      </c>
      <c r="D277" s="8" t="s">
        <v>25</v>
      </c>
      <c r="E277" s="8" t="s">
        <v>25</v>
      </c>
      <c r="F277" s="8" t="s">
        <v>25</v>
      </c>
      <c r="G277" s="8" t="s">
        <v>25</v>
      </c>
      <c r="H277" s="8" t="s">
        <v>25</v>
      </c>
      <c r="I277" s="8" t="s">
        <v>25</v>
      </c>
      <c r="J277" s="8" t="s">
        <v>25</v>
      </c>
      <c r="K277" s="8" t="s">
        <v>25</v>
      </c>
      <c r="L277" s="8" t="s">
        <v>25</v>
      </c>
      <c r="M277" s="8" t="s">
        <v>25</v>
      </c>
      <c r="N277" s="8" t="s">
        <v>25</v>
      </c>
      <c r="O277" s="8" t="s">
        <v>25</v>
      </c>
      <c r="P277" s="8" t="s">
        <v>25</v>
      </c>
      <c r="Q277" s="8" t="s">
        <v>25</v>
      </c>
      <c r="R277" s="8" t="s">
        <v>25</v>
      </c>
      <c r="S277" s="8" t="s">
        <v>25</v>
      </c>
    </row>
    <row r="278" spans="1:19" ht="13.8" hidden="1" x14ac:dyDescent="0.3">
      <c r="A278" s="6" t="s">
        <v>292</v>
      </c>
      <c r="B278" s="5" t="s">
        <v>23</v>
      </c>
      <c r="C278" s="7" t="s">
        <v>25</v>
      </c>
      <c r="D278" s="7" t="s">
        <v>25</v>
      </c>
      <c r="E278" s="7" t="s">
        <v>25</v>
      </c>
      <c r="F278" s="7" t="s">
        <v>25</v>
      </c>
      <c r="G278" s="7" t="s">
        <v>25</v>
      </c>
      <c r="H278" s="7" t="s">
        <v>25</v>
      </c>
      <c r="I278" s="7" t="s">
        <v>25</v>
      </c>
      <c r="J278" s="7" t="s">
        <v>25</v>
      </c>
      <c r="K278" s="7" t="s">
        <v>25</v>
      </c>
      <c r="L278" s="7" t="s">
        <v>25</v>
      </c>
      <c r="M278" s="7" t="s">
        <v>25</v>
      </c>
      <c r="N278" s="7" t="s">
        <v>25</v>
      </c>
      <c r="O278" s="7" t="s">
        <v>25</v>
      </c>
      <c r="P278" s="7" t="s">
        <v>25</v>
      </c>
      <c r="Q278" s="7" t="s">
        <v>25</v>
      </c>
      <c r="R278" s="7" t="s">
        <v>25</v>
      </c>
      <c r="S278" s="7" t="s">
        <v>25</v>
      </c>
    </row>
    <row r="279" spans="1:19" ht="13.8" hidden="1" x14ac:dyDescent="0.3">
      <c r="A279" s="6" t="s">
        <v>293</v>
      </c>
      <c r="B279" s="5" t="s">
        <v>23</v>
      </c>
      <c r="C279" s="8" t="s">
        <v>25</v>
      </c>
      <c r="D279" s="8" t="s">
        <v>25</v>
      </c>
      <c r="E279" s="8" t="s">
        <v>25</v>
      </c>
      <c r="F279" s="8" t="s">
        <v>25</v>
      </c>
      <c r="G279" s="8" t="s">
        <v>25</v>
      </c>
      <c r="H279" s="8" t="s">
        <v>25</v>
      </c>
      <c r="I279" s="8" t="s">
        <v>25</v>
      </c>
      <c r="J279" s="8" t="s">
        <v>25</v>
      </c>
      <c r="K279" s="8" t="s">
        <v>25</v>
      </c>
      <c r="L279" s="8" t="s">
        <v>25</v>
      </c>
      <c r="M279" s="8" t="s">
        <v>25</v>
      </c>
      <c r="N279" s="8" t="s">
        <v>25</v>
      </c>
      <c r="O279" s="8" t="s">
        <v>25</v>
      </c>
      <c r="P279" s="8" t="s">
        <v>25</v>
      </c>
      <c r="Q279" s="8" t="s">
        <v>25</v>
      </c>
      <c r="R279" s="8" t="s">
        <v>25</v>
      </c>
      <c r="S279" s="8" t="s">
        <v>25</v>
      </c>
    </row>
    <row r="280" spans="1:19" ht="13.8" hidden="1" x14ac:dyDescent="0.3">
      <c r="A280" s="6" t="s">
        <v>294</v>
      </c>
      <c r="B280" s="5" t="s">
        <v>23</v>
      </c>
      <c r="C280" s="7" t="s">
        <v>25</v>
      </c>
      <c r="D280" s="7" t="s">
        <v>25</v>
      </c>
      <c r="E280" s="7" t="s">
        <v>25</v>
      </c>
      <c r="F280" s="7" t="s">
        <v>25</v>
      </c>
      <c r="G280" s="7" t="s">
        <v>25</v>
      </c>
      <c r="H280" s="7" t="s">
        <v>25</v>
      </c>
      <c r="I280" s="7" t="s">
        <v>25</v>
      </c>
      <c r="J280" s="7" t="s">
        <v>25</v>
      </c>
      <c r="K280" s="7" t="s">
        <v>25</v>
      </c>
      <c r="L280" s="7" t="s">
        <v>25</v>
      </c>
      <c r="M280" s="7" t="s">
        <v>25</v>
      </c>
      <c r="N280" s="7" t="s">
        <v>25</v>
      </c>
      <c r="O280" s="7" t="s">
        <v>25</v>
      </c>
      <c r="P280" s="7" t="s">
        <v>25</v>
      </c>
      <c r="Q280" s="7" t="s">
        <v>25</v>
      </c>
      <c r="R280" s="7" t="s">
        <v>25</v>
      </c>
      <c r="S280" s="7" t="s">
        <v>25</v>
      </c>
    </row>
    <row r="281" spans="1:19" x14ac:dyDescent="0.25">
      <c r="A281" s="9" t="s">
        <v>295</v>
      </c>
    </row>
    <row r="282" spans="1:19" x14ac:dyDescent="0.25">
      <c r="A282" s="10" t="s">
        <v>296</v>
      </c>
    </row>
    <row r="283" spans="1:19" x14ac:dyDescent="0.25">
      <c r="A283" s="11" t="s">
        <v>297</v>
      </c>
      <c r="B283" s="10" t="s">
        <v>298</v>
      </c>
    </row>
    <row r="284" spans="1:19" x14ac:dyDescent="0.25">
      <c r="A284" s="11" t="s">
        <v>299</v>
      </c>
      <c r="B284" s="10" t="s">
        <v>300</v>
      </c>
    </row>
    <row r="285" spans="1:19" x14ac:dyDescent="0.25">
      <c r="A285" s="11" t="s">
        <v>301</v>
      </c>
      <c r="B285" s="10" t="s">
        <v>302</v>
      </c>
    </row>
    <row r="286" spans="1:19" x14ac:dyDescent="0.25">
      <c r="A286" s="11" t="s">
        <v>303</v>
      </c>
      <c r="B286" s="10" t="s">
        <v>304</v>
      </c>
    </row>
  </sheetData>
  <mergeCells count="3">
    <mergeCell ref="A3:B3"/>
    <mergeCell ref="C3:S3"/>
    <mergeCell ref="A4:B4"/>
  </mergeCells>
  <hyperlinks>
    <hyperlink ref="A2" r:id="rId1" tooltip="Click once to display linked information. Click and hold to select this cell." display="http://data.uis.unesco.org/OECDStat_Metadata/ShowMetadata.ashx?Dataset=NATMON_DS&amp;ShowOnWeb=true&amp;Lang=en" xr:uid="{2F6D79D7-24B7-4A3D-A807-9A45804FC5EE}"/>
    <hyperlink ref="A281" r:id="rId2" tooltip="Click once to display linked information. Click and hold to select this cell." display="http://data.uis.unesco.org/" xr:uid="{1098F7E7-B6F3-46E1-BAF5-BEE06B4A70AB}"/>
  </hyperlinks>
  <pageMargins left="0.75" right="0.75" top="1" bottom="1" header="0.5" footer="0.5"/>
  <pageSetup orientation="portrait" horizontalDpi="0" verticalDpi="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99F4-3218-4194-9805-94C2AF18E368}">
  <dimension ref="A1:I1447"/>
  <sheetViews>
    <sheetView topLeftCell="A28" workbookViewId="0">
      <selection sqref="A1:F1"/>
    </sheetView>
  </sheetViews>
  <sheetFormatPr defaultRowHeight="13.2" x14ac:dyDescent="0.25"/>
  <cols>
    <col min="1" max="1" width="43.88671875" customWidth="1"/>
  </cols>
  <sheetData>
    <row r="1" spans="1:6" x14ac:dyDescent="0.25">
      <c r="A1" t="s">
        <v>22</v>
      </c>
      <c r="B1" t="s">
        <v>776</v>
      </c>
      <c r="C1" t="s">
        <v>777</v>
      </c>
      <c r="D1" t="s">
        <v>778</v>
      </c>
      <c r="E1" t="s">
        <v>779</v>
      </c>
      <c r="F1" t="s">
        <v>780</v>
      </c>
    </row>
    <row r="2" spans="1:6" ht="14.4" x14ac:dyDescent="0.3">
      <c r="A2" s="16" t="s">
        <v>24</v>
      </c>
      <c r="B2">
        <f t="shared" ref="B2:B33" si="0">IF(A2=A1,B1+1,2007)</f>
        <v>2007</v>
      </c>
      <c r="C2" s="19">
        <v>1.8316404109855142</v>
      </c>
    </row>
    <row r="3" spans="1:6" ht="14.4" x14ac:dyDescent="0.3">
      <c r="A3" s="16" t="s">
        <v>24</v>
      </c>
      <c r="B3">
        <f t="shared" si="0"/>
        <v>2008</v>
      </c>
      <c r="C3" s="19">
        <v>0.57938319751835365</v>
      </c>
    </row>
    <row r="4" spans="1:6" ht="14.4" x14ac:dyDescent="0.3">
      <c r="A4" s="16" t="s">
        <v>24</v>
      </c>
      <c r="B4">
        <f t="shared" si="0"/>
        <v>2009</v>
      </c>
      <c r="C4" s="19">
        <v>-12.760270362801577</v>
      </c>
    </row>
    <row r="5" spans="1:6" ht="14.4" x14ac:dyDescent="0.3">
      <c r="A5" s="16" t="s">
        <v>24</v>
      </c>
      <c r="B5">
        <f t="shared" si="0"/>
        <v>2010</v>
      </c>
      <c r="C5" s="19">
        <v>-3.8278641362767445</v>
      </c>
    </row>
    <row r="6" spans="1:6" ht="14.4" x14ac:dyDescent="0.3">
      <c r="A6" s="16" t="s">
        <v>24</v>
      </c>
      <c r="B6">
        <f t="shared" si="0"/>
        <v>2011</v>
      </c>
      <c r="C6" s="19">
        <v>2.4027784959850038</v>
      </c>
    </row>
    <row r="7" spans="1:6" ht="14.4" x14ac:dyDescent="0.3">
      <c r="A7" s="16" t="s">
        <v>24</v>
      </c>
      <c r="B7">
        <f t="shared" si="0"/>
        <v>2012</v>
      </c>
      <c r="C7" s="19">
        <v>-1.8393581428994423</v>
      </c>
    </row>
    <row r="8" spans="1:6" ht="14.4" x14ac:dyDescent="0.3">
      <c r="A8" s="16" t="s">
        <v>24</v>
      </c>
      <c r="B8">
        <f t="shared" si="0"/>
        <v>2013</v>
      </c>
      <c r="C8" s="19">
        <v>5.6369707589314544</v>
      </c>
    </row>
    <row r="9" spans="1:6" ht="14.4" x14ac:dyDescent="0.3">
      <c r="A9" s="16" t="s">
        <v>24</v>
      </c>
      <c r="B9">
        <f t="shared" si="0"/>
        <v>2014</v>
      </c>
      <c r="C9" s="19">
        <v>-2.2648691064653548</v>
      </c>
    </row>
    <row r="10" spans="1:6" ht="14.4" x14ac:dyDescent="0.3">
      <c r="A10" s="16" t="s">
        <v>24</v>
      </c>
      <c r="B10">
        <f t="shared" si="0"/>
        <v>2015</v>
      </c>
      <c r="C10" s="19">
        <v>-1.2555886101676208</v>
      </c>
    </row>
    <row r="11" spans="1:6" ht="14.4" x14ac:dyDescent="0.3">
      <c r="A11" s="16" t="s">
        <v>24</v>
      </c>
      <c r="B11">
        <f t="shared" si="0"/>
        <v>2016</v>
      </c>
      <c r="C11" s="19">
        <v>1.1211829579195154</v>
      </c>
    </row>
    <row r="12" spans="1:6" ht="14.4" x14ac:dyDescent="0.3">
      <c r="A12" s="16" t="s">
        <v>24</v>
      </c>
      <c r="B12">
        <f t="shared" si="0"/>
        <v>2017</v>
      </c>
      <c r="C12" s="19">
        <v>6.4749086232516646</v>
      </c>
    </row>
    <row r="13" spans="1:6" ht="14.4" x14ac:dyDescent="0.3">
      <c r="A13" s="16" t="s">
        <v>24</v>
      </c>
      <c r="B13">
        <f t="shared" si="0"/>
        <v>2018</v>
      </c>
      <c r="C13" s="19">
        <v>1.8764014374955735</v>
      </c>
    </row>
    <row r="14" spans="1:6" ht="14.4" x14ac:dyDescent="0.3">
      <c r="A14" s="16" t="s">
        <v>24</v>
      </c>
      <c r="B14">
        <f t="shared" si="0"/>
        <v>2019</v>
      </c>
      <c r="C14" s="19">
        <v>-2.7434014797617152</v>
      </c>
    </row>
    <row r="15" spans="1:6" ht="14.4" x14ac:dyDescent="0.3">
      <c r="A15" s="16" t="s">
        <v>24</v>
      </c>
      <c r="B15">
        <f t="shared" si="0"/>
        <v>2020</v>
      </c>
      <c r="C15" s="19">
        <v>-24.084569897394445</v>
      </c>
    </row>
    <row r="16" spans="1:6" ht="14.4" x14ac:dyDescent="0.3">
      <c r="A16" s="16" t="s">
        <v>24</v>
      </c>
      <c r="B16">
        <f t="shared" si="0"/>
        <v>2021</v>
      </c>
      <c r="C16" s="19">
        <v>27.696864587184677</v>
      </c>
    </row>
    <row r="17" spans="1:3" ht="14.4" x14ac:dyDescent="0.3">
      <c r="A17" s="16" t="s">
        <v>29</v>
      </c>
      <c r="B17">
        <f t="shared" si="0"/>
        <v>2007</v>
      </c>
      <c r="C17" s="19">
        <v>11.803382663996629</v>
      </c>
    </row>
    <row r="18" spans="1:3" ht="14.4" x14ac:dyDescent="0.3">
      <c r="A18" s="16" t="s">
        <v>29</v>
      </c>
      <c r="B18">
        <f t="shared" si="0"/>
        <v>2008</v>
      </c>
      <c r="C18" s="19">
        <v>1.8647544641205371</v>
      </c>
    </row>
    <row r="19" spans="1:3" ht="14.4" x14ac:dyDescent="0.3">
      <c r="A19" s="16" t="s">
        <v>29</v>
      </c>
      <c r="B19">
        <f t="shared" si="0"/>
        <v>2009</v>
      </c>
      <c r="C19" s="19">
        <v>17.143534324727199</v>
      </c>
    </row>
    <row r="20" spans="1:3" ht="14.4" x14ac:dyDescent="0.3">
      <c r="A20" s="16" t="s">
        <v>29</v>
      </c>
      <c r="B20">
        <f t="shared" si="0"/>
        <v>2010</v>
      </c>
      <c r="C20" s="19">
        <v>11.099219918375994</v>
      </c>
    </row>
    <row r="21" spans="1:3" ht="14.4" x14ac:dyDescent="0.3">
      <c r="A21" s="16" t="s">
        <v>29</v>
      </c>
      <c r="B21">
        <f t="shared" si="0"/>
        <v>2011</v>
      </c>
      <c r="C21" s="19">
        <v>-3.2113643031494377</v>
      </c>
    </row>
    <row r="22" spans="1:3" ht="14.4" x14ac:dyDescent="0.3">
      <c r="A22" s="16" t="s">
        <v>29</v>
      </c>
      <c r="B22">
        <f t="shared" si="0"/>
        <v>2012</v>
      </c>
      <c r="C22" s="19">
        <v>8.2471442559073154</v>
      </c>
    </row>
    <row r="23" spans="1:3" ht="14.4" x14ac:dyDescent="0.3">
      <c r="A23" s="16" t="s">
        <v>29</v>
      </c>
      <c r="B23">
        <f t="shared" si="0"/>
        <v>2013</v>
      </c>
      <c r="C23" s="19">
        <v>2.0025221457611337</v>
      </c>
    </row>
    <row r="24" spans="1:3" ht="14.4" x14ac:dyDescent="0.3">
      <c r="A24" s="16" t="s">
        <v>29</v>
      </c>
      <c r="B24">
        <f t="shared" si="0"/>
        <v>2014</v>
      </c>
      <c r="C24" s="19">
        <v>-0.9648033309305788</v>
      </c>
    </row>
    <row r="25" spans="1:3" ht="14.4" x14ac:dyDescent="0.3">
      <c r="A25" s="16" t="s">
        <v>29</v>
      </c>
      <c r="B25">
        <f t="shared" si="0"/>
        <v>2015</v>
      </c>
      <c r="C25" s="19">
        <v>-1.6664164146545914</v>
      </c>
    </row>
    <row r="26" spans="1:3" ht="14.4" x14ac:dyDescent="0.3">
      <c r="A26" s="16" t="s">
        <v>29</v>
      </c>
      <c r="B26">
        <f t="shared" si="0"/>
        <v>2016</v>
      </c>
      <c r="C26" s="19">
        <v>-0.34580249552627151</v>
      </c>
    </row>
    <row r="27" spans="1:3" ht="14.4" x14ac:dyDescent="0.3">
      <c r="A27" s="16" t="s">
        <v>29</v>
      </c>
      <c r="B27">
        <f t="shared" si="0"/>
        <v>2017</v>
      </c>
      <c r="C27" s="19">
        <v>-0.25359378104697328</v>
      </c>
    </row>
    <row r="28" spans="1:3" ht="14.4" x14ac:dyDescent="0.3">
      <c r="A28" s="16" t="s">
        <v>29</v>
      </c>
      <c r="B28">
        <f t="shared" si="0"/>
        <v>2018</v>
      </c>
      <c r="C28" s="19">
        <v>-1.6885765916365756</v>
      </c>
    </row>
    <row r="29" spans="1:3" ht="14.4" x14ac:dyDescent="0.3">
      <c r="A29" s="16" t="s">
        <v>29</v>
      </c>
      <c r="B29">
        <f t="shared" si="0"/>
        <v>2019</v>
      </c>
      <c r="C29" s="19">
        <v>0.93283338563287543</v>
      </c>
    </row>
    <row r="30" spans="1:3" ht="14.4" x14ac:dyDescent="0.3">
      <c r="A30" s="16" t="s">
        <v>29</v>
      </c>
      <c r="B30">
        <f t="shared" si="0"/>
        <v>2020</v>
      </c>
      <c r="C30" s="19">
        <v>-5.3646659295942811</v>
      </c>
    </row>
    <row r="31" spans="1:3" ht="14.4" x14ac:dyDescent="0.3">
      <c r="A31" s="16" t="s">
        <v>29</v>
      </c>
      <c r="B31">
        <f t="shared" si="0"/>
        <v>2021</v>
      </c>
      <c r="C31" s="19">
        <v>-22.966941994595828</v>
      </c>
    </row>
    <row r="32" spans="1:3" ht="14.4" x14ac:dyDescent="0.3">
      <c r="A32" s="16" t="s">
        <v>31</v>
      </c>
      <c r="B32">
        <f t="shared" si="0"/>
        <v>2007</v>
      </c>
      <c r="C32" s="19">
        <v>9.9351087072150506</v>
      </c>
    </row>
    <row r="33" spans="1:5" ht="14.4" x14ac:dyDescent="0.3">
      <c r="A33" s="16" t="s">
        <v>31</v>
      </c>
      <c r="B33">
        <f t="shared" si="0"/>
        <v>2008</v>
      </c>
      <c r="C33" s="19">
        <v>7.1630460121253918</v>
      </c>
    </row>
    <row r="34" spans="1:5" ht="14.4" x14ac:dyDescent="0.3">
      <c r="A34" s="16" t="s">
        <v>31</v>
      </c>
      <c r="B34">
        <f t="shared" ref="B34:B65" si="1">IF(A34=A33,B33+1,2007)</f>
        <v>2009</v>
      </c>
      <c r="C34" s="19">
        <v>-2.7972899835541796</v>
      </c>
    </row>
    <row r="35" spans="1:5" ht="14.4" x14ac:dyDescent="0.3">
      <c r="A35" s="16" t="s">
        <v>31</v>
      </c>
      <c r="B35">
        <f t="shared" si="1"/>
        <v>2010</v>
      </c>
      <c r="C35" s="19">
        <v>0.57122094112722266</v>
      </c>
    </row>
    <row r="36" spans="1:5" ht="14.4" x14ac:dyDescent="0.3">
      <c r="A36" s="16" t="s">
        <v>31</v>
      </c>
      <c r="B36">
        <f t="shared" si="1"/>
        <v>2011</v>
      </c>
      <c r="C36" s="19">
        <v>-0.34506243533569148</v>
      </c>
    </row>
    <row r="37" spans="1:5" ht="14.4" x14ac:dyDescent="0.3">
      <c r="A37" s="16" t="s">
        <v>31</v>
      </c>
      <c r="B37">
        <f t="shared" si="1"/>
        <v>2012</v>
      </c>
      <c r="C37" s="19">
        <v>4.5380537801738399</v>
      </c>
    </row>
    <row r="38" spans="1:5" ht="14.4" x14ac:dyDescent="0.3">
      <c r="A38" s="16" t="s">
        <v>31</v>
      </c>
      <c r="B38">
        <f t="shared" si="1"/>
        <v>2013</v>
      </c>
      <c r="C38" s="19">
        <v>1.1063310346265212</v>
      </c>
    </row>
    <row r="39" spans="1:5" ht="14.4" x14ac:dyDescent="0.3">
      <c r="A39" s="16" t="s">
        <v>31</v>
      </c>
      <c r="B39">
        <f t="shared" si="1"/>
        <v>2014</v>
      </c>
      <c r="C39" s="19">
        <v>1.0307291179667146</v>
      </c>
    </row>
    <row r="40" spans="1:5" ht="14.4" x14ac:dyDescent="0.3">
      <c r="A40" s="16" t="s">
        <v>31</v>
      </c>
      <c r="B40">
        <f t="shared" si="1"/>
        <v>2015</v>
      </c>
      <c r="C40" s="19">
        <v>-2.6429753303070385</v>
      </c>
    </row>
    <row r="41" spans="1:5" ht="14.4" x14ac:dyDescent="0.3">
      <c r="A41" s="16" t="s">
        <v>31</v>
      </c>
      <c r="B41">
        <f t="shared" si="1"/>
        <v>2016</v>
      </c>
      <c r="C41" s="19">
        <v>-6.0118907775114252</v>
      </c>
    </row>
    <row r="42" spans="1:5" ht="14.4" x14ac:dyDescent="0.3">
      <c r="A42" s="16" t="s">
        <v>31</v>
      </c>
      <c r="B42">
        <f t="shared" si="1"/>
        <v>2017</v>
      </c>
      <c r="C42" s="19">
        <v>-3.6306950380174783</v>
      </c>
    </row>
    <row r="43" spans="1:5" ht="14.4" x14ac:dyDescent="0.3">
      <c r="A43" s="16" t="s">
        <v>31</v>
      </c>
      <c r="B43">
        <f t="shared" si="1"/>
        <v>2018</v>
      </c>
      <c r="C43" s="19">
        <v>-4.6766695843259924</v>
      </c>
    </row>
    <row r="44" spans="1:5" ht="14.4" x14ac:dyDescent="0.3">
      <c r="A44" s="16" t="s">
        <v>31</v>
      </c>
      <c r="B44">
        <f t="shared" si="1"/>
        <v>2019</v>
      </c>
      <c r="C44" s="19">
        <v>-4.0171141610325378</v>
      </c>
    </row>
    <row r="45" spans="1:5" ht="14.4" x14ac:dyDescent="0.3">
      <c r="A45" s="16" t="s">
        <v>31</v>
      </c>
      <c r="B45">
        <f t="shared" si="1"/>
        <v>2020</v>
      </c>
      <c r="C45" s="19">
        <v>-8.6724321291184339</v>
      </c>
    </row>
    <row r="46" spans="1:5" ht="14.4" x14ac:dyDescent="0.3">
      <c r="A46" s="16" t="s">
        <v>31</v>
      </c>
      <c r="B46">
        <f t="shared" si="1"/>
        <v>2021</v>
      </c>
      <c r="C46" s="19">
        <v>-1.9545980063689399</v>
      </c>
    </row>
    <row r="47" spans="1:5" ht="14.4" x14ac:dyDescent="0.3">
      <c r="A47" s="16" t="s">
        <v>33</v>
      </c>
      <c r="B47">
        <f t="shared" si="1"/>
        <v>2007</v>
      </c>
      <c r="C47" s="19">
        <v>-13.923387402839936</v>
      </c>
      <c r="D47" s="14">
        <v>0.96</v>
      </c>
      <c r="E47" s="15">
        <v>1.1000000000000001</v>
      </c>
    </row>
    <row r="48" spans="1:5" ht="14.4" x14ac:dyDescent="0.3">
      <c r="A48" s="16" t="s">
        <v>33</v>
      </c>
      <c r="B48">
        <f t="shared" si="1"/>
        <v>2008</v>
      </c>
      <c r="C48" s="19">
        <v>-13.287427562873575</v>
      </c>
      <c r="D48" s="14">
        <v>0.96</v>
      </c>
      <c r="E48" s="15">
        <v>1.1000000000000001</v>
      </c>
    </row>
    <row r="49" spans="1:6" ht="14.4" x14ac:dyDescent="0.3">
      <c r="A49" s="16" t="s">
        <v>33</v>
      </c>
      <c r="B49">
        <f t="shared" si="1"/>
        <v>2009</v>
      </c>
      <c r="C49" s="19">
        <v>-17.145393897890344</v>
      </c>
      <c r="D49" s="14">
        <v>0.96</v>
      </c>
      <c r="E49" s="15">
        <v>1.2</v>
      </c>
    </row>
    <row r="50" spans="1:6" ht="14.4" x14ac:dyDescent="0.3">
      <c r="A50" s="16" t="s">
        <v>33</v>
      </c>
      <c r="B50">
        <f t="shared" si="1"/>
        <v>2010</v>
      </c>
      <c r="C50" s="19">
        <v>-4.2563858646072106</v>
      </c>
      <c r="D50" s="14">
        <v>0.96</v>
      </c>
      <c r="E50" s="15">
        <v>1.2</v>
      </c>
    </row>
    <row r="51" spans="1:6" ht="14.4" x14ac:dyDescent="0.3">
      <c r="A51" s="16" t="s">
        <v>33</v>
      </c>
      <c r="B51">
        <f t="shared" si="1"/>
        <v>2011</v>
      </c>
      <c r="C51" s="19">
        <v>5.0588087114973774</v>
      </c>
      <c r="D51" s="14">
        <v>0.96</v>
      </c>
      <c r="E51" s="15">
        <v>2.2999999999999998</v>
      </c>
    </row>
    <row r="52" spans="1:6" ht="14.4" x14ac:dyDescent="0.3">
      <c r="A52" s="16" t="s">
        <v>33</v>
      </c>
      <c r="B52">
        <f t="shared" si="1"/>
        <v>2012</v>
      </c>
      <c r="C52" s="19">
        <v>0.76963884703815211</v>
      </c>
      <c r="D52" s="14">
        <v>0.96</v>
      </c>
      <c r="E52" s="15">
        <v>2.2999999999999998</v>
      </c>
    </row>
    <row r="53" spans="1:6" ht="14.4" x14ac:dyDescent="0.3">
      <c r="A53" s="16" t="s">
        <v>33</v>
      </c>
      <c r="B53">
        <f t="shared" si="1"/>
        <v>2013</v>
      </c>
      <c r="C53" s="19">
        <v>4.012692145430691</v>
      </c>
      <c r="D53" s="14">
        <v>0.96</v>
      </c>
      <c r="E53" s="15">
        <v>2.2999999999999998</v>
      </c>
    </row>
    <row r="54" spans="1:6" ht="14.4" x14ac:dyDescent="0.3">
      <c r="A54" s="16" t="s">
        <v>33</v>
      </c>
      <c r="B54">
        <f t="shared" si="1"/>
        <v>2014</v>
      </c>
      <c r="C54" s="19">
        <v>3.174202486920791</v>
      </c>
      <c r="D54" s="14">
        <v>0.96</v>
      </c>
      <c r="E54" s="15">
        <v>1.9</v>
      </c>
    </row>
    <row r="55" spans="1:6" ht="14.4" x14ac:dyDescent="0.3">
      <c r="A55" s="16" t="s">
        <v>33</v>
      </c>
      <c r="B55">
        <f t="shared" si="1"/>
        <v>2015</v>
      </c>
      <c r="C55" s="19">
        <v>5.8173578713258678</v>
      </c>
      <c r="D55" s="14">
        <v>0.96</v>
      </c>
      <c r="E55" s="15">
        <v>2.4</v>
      </c>
    </row>
    <row r="56" spans="1:6" ht="14.4" x14ac:dyDescent="0.3">
      <c r="A56" s="16" t="s">
        <v>33</v>
      </c>
      <c r="B56">
        <f t="shared" si="1"/>
        <v>2016</v>
      </c>
      <c r="C56" s="19">
        <v>4.6535053950016447</v>
      </c>
      <c r="D56" s="14">
        <v>0.96</v>
      </c>
      <c r="E56" s="15">
        <v>2.7</v>
      </c>
    </row>
    <row r="57" spans="1:6" ht="14.4" x14ac:dyDescent="0.3">
      <c r="A57" s="16" t="s">
        <v>33</v>
      </c>
      <c r="B57">
        <f t="shared" si="1"/>
        <v>2017</v>
      </c>
      <c r="C57" s="19">
        <v>-8.7326071374505432E-2</v>
      </c>
      <c r="D57" s="14">
        <v>0.96</v>
      </c>
      <c r="E57" s="15">
        <v>2.2000000000000002</v>
      </c>
    </row>
    <row r="58" spans="1:6" ht="14.4" x14ac:dyDescent="0.3">
      <c r="A58" s="16" t="s">
        <v>33</v>
      </c>
      <c r="B58">
        <f t="shared" si="1"/>
        <v>2018</v>
      </c>
      <c r="C58" s="19">
        <v>0.51723988870180904</v>
      </c>
      <c r="D58" s="14">
        <v>0.97</v>
      </c>
      <c r="E58" s="15">
        <v>0.76500000000000001</v>
      </c>
    </row>
    <row r="59" spans="1:6" ht="14.4" x14ac:dyDescent="0.3">
      <c r="A59" s="16" t="s">
        <v>33</v>
      </c>
      <c r="B59">
        <f t="shared" si="1"/>
        <v>2019</v>
      </c>
      <c r="C59" s="19">
        <v>0.32368652680685273</v>
      </c>
      <c r="E59" s="15">
        <v>0.76500000000000001</v>
      </c>
    </row>
    <row r="60" spans="1:6" ht="14.4" x14ac:dyDescent="0.3">
      <c r="A60" s="16" t="s">
        <v>33</v>
      </c>
      <c r="B60">
        <f t="shared" si="1"/>
        <v>2020</v>
      </c>
      <c r="C60" s="19">
        <v>-5.7310445216162407</v>
      </c>
      <c r="D60" s="14">
        <v>0.97</v>
      </c>
    </row>
    <row r="61" spans="1:6" ht="14.4" x14ac:dyDescent="0.3">
      <c r="A61" s="16" t="s">
        <v>33</v>
      </c>
      <c r="B61">
        <f t="shared" si="1"/>
        <v>2021</v>
      </c>
      <c r="C61" s="19">
        <v>3.4872146628586336</v>
      </c>
      <c r="D61" s="14">
        <v>0.96</v>
      </c>
    </row>
    <row r="62" spans="1:6" ht="14.4" x14ac:dyDescent="0.3">
      <c r="A62" s="16" t="s">
        <v>34</v>
      </c>
      <c r="B62">
        <f t="shared" si="1"/>
        <v>2007</v>
      </c>
      <c r="C62" s="19">
        <v>7.9162105716445836</v>
      </c>
      <c r="D62" s="14">
        <v>0.98</v>
      </c>
      <c r="E62" s="15">
        <v>1.7</v>
      </c>
      <c r="F62" s="8"/>
    </row>
    <row r="63" spans="1:6" ht="14.4" x14ac:dyDescent="0.3">
      <c r="A63" s="16" t="s">
        <v>34</v>
      </c>
      <c r="B63">
        <f t="shared" si="1"/>
        <v>2008</v>
      </c>
      <c r="C63" s="19">
        <v>3.0297854066404284</v>
      </c>
      <c r="D63" s="14">
        <v>0.98</v>
      </c>
      <c r="E63" s="15">
        <v>1.7</v>
      </c>
      <c r="F63" s="8">
        <v>0.38913999999999999</v>
      </c>
    </row>
    <row r="64" spans="1:6" ht="14.4" x14ac:dyDescent="0.3">
      <c r="A64" s="16" t="s">
        <v>34</v>
      </c>
      <c r="B64">
        <f t="shared" si="1"/>
        <v>2009</v>
      </c>
      <c r="C64" s="19">
        <v>-6.8679552250698066</v>
      </c>
      <c r="D64" s="14">
        <v>0.98</v>
      </c>
      <c r="E64" s="15">
        <v>2.1</v>
      </c>
      <c r="F64" s="8">
        <v>0.41891</v>
      </c>
    </row>
    <row r="65" spans="1:6" ht="14.4" x14ac:dyDescent="0.3">
      <c r="A65" s="16" t="s">
        <v>34</v>
      </c>
      <c r="B65">
        <f t="shared" si="1"/>
        <v>2010</v>
      </c>
      <c r="C65" s="19">
        <v>9.8442963984772405</v>
      </c>
      <c r="D65" s="14">
        <v>0.98</v>
      </c>
      <c r="E65" s="15">
        <v>1.6</v>
      </c>
      <c r="F65" s="8">
        <v>0.37331999999999999</v>
      </c>
    </row>
    <row r="66" spans="1:6" ht="14.4" x14ac:dyDescent="0.3">
      <c r="A66" s="16" t="s">
        <v>34</v>
      </c>
      <c r="B66">
        <f t="shared" ref="B66:B91" si="2">IF(A66=A65,B65+1,2007)</f>
        <v>2011</v>
      </c>
      <c r="C66" s="19">
        <v>4.7886831385943509</v>
      </c>
      <c r="D66" s="14">
        <v>0.98</v>
      </c>
      <c r="E66" s="15">
        <v>1.9</v>
      </c>
      <c r="F66" s="8">
        <v>0.42995</v>
      </c>
    </row>
    <row r="67" spans="1:6" ht="14.4" x14ac:dyDescent="0.3">
      <c r="A67" s="16" t="s">
        <v>34</v>
      </c>
      <c r="B67">
        <f t="shared" si="2"/>
        <v>2012</v>
      </c>
      <c r="C67" s="19">
        <v>-2.1452844498181207</v>
      </c>
      <c r="D67" s="14">
        <v>0.98</v>
      </c>
      <c r="E67" s="15">
        <v>1.9</v>
      </c>
      <c r="F67" s="8">
        <v>0.41815999999999998</v>
      </c>
    </row>
    <row r="68" spans="1:6" ht="14.4" x14ac:dyDescent="0.3">
      <c r="A68" s="16" t="s">
        <v>34</v>
      </c>
      <c r="B68">
        <f t="shared" si="2"/>
        <v>2013</v>
      </c>
      <c r="C68" s="19">
        <v>1.2656851753707627</v>
      </c>
      <c r="D68" s="14">
        <v>0.98</v>
      </c>
      <c r="E68" s="15">
        <v>2</v>
      </c>
      <c r="F68" s="8">
        <v>0.44611000000000001</v>
      </c>
    </row>
    <row r="69" spans="1:6" ht="14.4" x14ac:dyDescent="0.3">
      <c r="A69" s="16" t="s">
        <v>34</v>
      </c>
      <c r="B69">
        <f t="shared" si="2"/>
        <v>2014</v>
      </c>
      <c r="C69" s="19">
        <v>-3.5785805098328893</v>
      </c>
      <c r="D69" s="14">
        <v>0.98</v>
      </c>
      <c r="E69" s="15">
        <v>2.5</v>
      </c>
      <c r="F69" s="8">
        <v>0.43203999999999998</v>
      </c>
    </row>
    <row r="70" spans="1:6" ht="14.4" x14ac:dyDescent="0.3">
      <c r="A70" s="16" t="s">
        <v>34</v>
      </c>
      <c r="B70">
        <f t="shared" si="2"/>
        <v>2015</v>
      </c>
      <c r="C70" s="19">
        <v>1.6296642794626308</v>
      </c>
      <c r="D70" s="14">
        <v>0.98</v>
      </c>
      <c r="E70" s="15">
        <v>2.6</v>
      </c>
      <c r="F70" s="8">
        <v>0.46729999999999999</v>
      </c>
    </row>
    <row r="71" spans="1:6" ht="14.4" x14ac:dyDescent="0.3">
      <c r="A71" s="16" t="s">
        <v>34</v>
      </c>
      <c r="B71">
        <f t="shared" si="2"/>
        <v>2016</v>
      </c>
      <c r="C71" s="19">
        <v>-3.1100638982146478</v>
      </c>
      <c r="D71" s="14">
        <v>0.98</v>
      </c>
      <c r="E71" s="15">
        <v>2.6</v>
      </c>
      <c r="F71" s="8">
        <v>0.47815000000000002</v>
      </c>
    </row>
    <row r="72" spans="1:6" ht="14.4" x14ac:dyDescent="0.3">
      <c r="A72" s="16" t="s">
        <v>34</v>
      </c>
      <c r="B72">
        <f t="shared" si="2"/>
        <v>2017</v>
      </c>
      <c r="C72" s="19">
        <v>1.7576481826569363</v>
      </c>
      <c r="D72" s="14">
        <v>0.98</v>
      </c>
      <c r="E72" s="15">
        <v>2.7</v>
      </c>
      <c r="F72" s="8">
        <v>0.47920000000000001</v>
      </c>
    </row>
    <row r="73" spans="1:6" ht="14.4" x14ac:dyDescent="0.3">
      <c r="A73" s="16" t="s">
        <v>34</v>
      </c>
      <c r="B73">
        <f t="shared" si="2"/>
        <v>2018</v>
      </c>
      <c r="C73" s="19">
        <v>-3.6016097565715484</v>
      </c>
      <c r="D73" s="14">
        <v>0.98</v>
      </c>
      <c r="E73" s="15">
        <v>2.2400000000000002</v>
      </c>
      <c r="F73" s="8">
        <v>0.54613999999999996</v>
      </c>
    </row>
    <row r="74" spans="1:6" ht="14.4" x14ac:dyDescent="0.3">
      <c r="A74" s="16" t="s">
        <v>34</v>
      </c>
      <c r="B74">
        <f t="shared" si="2"/>
        <v>2019</v>
      </c>
      <c r="C74" s="19">
        <v>-2.9695624986621851</v>
      </c>
      <c r="E74" s="15">
        <v>2.74</v>
      </c>
      <c r="F74" s="8">
        <v>0.49125000000000002</v>
      </c>
    </row>
    <row r="75" spans="1:6" ht="14.4" x14ac:dyDescent="0.3">
      <c r="A75" s="16" t="s">
        <v>34</v>
      </c>
      <c r="B75">
        <f t="shared" si="2"/>
        <v>2020</v>
      </c>
      <c r="C75" s="19">
        <v>-10.770273227749399</v>
      </c>
      <c r="D75" s="14">
        <v>0.98</v>
      </c>
      <c r="F75" s="8">
        <v>0.56447999999999998</v>
      </c>
    </row>
    <row r="76" spans="1:6" ht="14.4" x14ac:dyDescent="0.3">
      <c r="A76" s="16" t="s">
        <v>34</v>
      </c>
      <c r="B76">
        <f t="shared" si="2"/>
        <v>2021</v>
      </c>
      <c r="C76" s="19">
        <v>9.6739209346542907</v>
      </c>
      <c r="D76" s="14">
        <v>0.98</v>
      </c>
      <c r="F76" s="8">
        <v>0.51942999999999995</v>
      </c>
    </row>
    <row r="77" spans="1:6" ht="14.4" x14ac:dyDescent="0.3">
      <c r="A77" s="16" t="s">
        <v>35</v>
      </c>
      <c r="B77">
        <f t="shared" si="2"/>
        <v>2007</v>
      </c>
      <c r="C77" s="19">
        <v>14.536100371915751</v>
      </c>
      <c r="D77" s="14">
        <v>0.92</v>
      </c>
      <c r="E77" s="15">
        <v>3.4</v>
      </c>
      <c r="F77" s="7" t="s">
        <v>25</v>
      </c>
    </row>
    <row r="78" spans="1:6" ht="14.4" x14ac:dyDescent="0.3">
      <c r="A78" s="16" t="s">
        <v>35</v>
      </c>
      <c r="B78">
        <f t="shared" si="2"/>
        <v>2008</v>
      </c>
      <c r="C78" s="19">
        <v>7.651455058233708</v>
      </c>
      <c r="D78" s="14">
        <v>0.93</v>
      </c>
      <c r="E78" s="15">
        <v>4</v>
      </c>
      <c r="F78" s="7">
        <v>0.26705000000000001</v>
      </c>
    </row>
    <row r="79" spans="1:6" ht="14.4" x14ac:dyDescent="0.3">
      <c r="A79" s="16" t="s">
        <v>35</v>
      </c>
      <c r="B79">
        <f t="shared" si="2"/>
        <v>2009</v>
      </c>
      <c r="C79" s="19">
        <v>-13.545791682776539</v>
      </c>
      <c r="D79" s="14">
        <v>0.93</v>
      </c>
      <c r="E79" s="15">
        <v>4.4000000000000004</v>
      </c>
      <c r="F79" s="7">
        <v>0.43420999999999998</v>
      </c>
    </row>
    <row r="80" spans="1:6" ht="14.4" x14ac:dyDescent="0.3">
      <c r="A80" s="16" t="s">
        <v>35</v>
      </c>
      <c r="B80">
        <f t="shared" si="2"/>
        <v>2010</v>
      </c>
      <c r="C80" s="19">
        <v>2.82448188304339</v>
      </c>
      <c r="D80" s="14">
        <v>0.94</v>
      </c>
      <c r="E80" s="15">
        <v>4.7</v>
      </c>
      <c r="F80" s="7" t="s">
        <v>25</v>
      </c>
    </row>
    <row r="81" spans="1:6" ht="14.4" x14ac:dyDescent="0.3">
      <c r="A81" s="16" t="s">
        <v>35</v>
      </c>
      <c r="B81">
        <f t="shared" si="2"/>
        <v>2011</v>
      </c>
      <c r="C81" s="19">
        <v>5.3190183518381957</v>
      </c>
      <c r="D81" s="14">
        <v>0.94</v>
      </c>
      <c r="E81" s="15">
        <v>5.9</v>
      </c>
      <c r="F81" s="7">
        <v>0.28305999999999998</v>
      </c>
    </row>
    <row r="82" spans="1:6" ht="14.4" x14ac:dyDescent="0.3">
      <c r="A82" s="16" t="s">
        <v>35</v>
      </c>
      <c r="B82">
        <f t="shared" si="2"/>
        <v>2012</v>
      </c>
      <c r="C82" s="19">
        <v>7.7353708344902969</v>
      </c>
      <c r="D82" s="14">
        <v>0.94</v>
      </c>
      <c r="E82" s="15">
        <v>6</v>
      </c>
      <c r="F82" s="7">
        <v>0.28092</v>
      </c>
    </row>
    <row r="83" spans="1:6" ht="14.4" x14ac:dyDescent="0.3">
      <c r="A83" s="16" t="s">
        <v>35</v>
      </c>
      <c r="B83">
        <f t="shared" si="2"/>
        <v>2013</v>
      </c>
      <c r="C83" s="19">
        <v>3.7641296484265183</v>
      </c>
      <c r="D83" s="14">
        <v>0.95</v>
      </c>
      <c r="E83" s="15">
        <v>5.2</v>
      </c>
      <c r="F83" s="7">
        <v>0.2903</v>
      </c>
    </row>
    <row r="84" spans="1:6" ht="14.4" x14ac:dyDescent="0.3">
      <c r="A84" s="16" t="s">
        <v>35</v>
      </c>
      <c r="B84">
        <f t="shared" si="2"/>
        <v>2014</v>
      </c>
      <c r="C84" s="19">
        <v>4.010645933192734</v>
      </c>
      <c r="D84" s="14">
        <v>0.93</v>
      </c>
      <c r="E84" s="15">
        <v>4.5</v>
      </c>
      <c r="F84" s="7" t="s">
        <v>25</v>
      </c>
    </row>
    <row r="85" spans="1:6" ht="14.4" x14ac:dyDescent="0.3">
      <c r="A85" s="16" t="s">
        <v>35</v>
      </c>
      <c r="B85">
        <f t="shared" si="2"/>
        <v>2015</v>
      </c>
      <c r="C85" s="19">
        <v>3.606369078322075</v>
      </c>
      <c r="D85" s="14">
        <v>0.94</v>
      </c>
      <c r="E85" s="15">
        <v>3.8</v>
      </c>
      <c r="F85" s="7">
        <v>0.33001000000000003</v>
      </c>
    </row>
    <row r="86" spans="1:6" ht="14.4" x14ac:dyDescent="0.3">
      <c r="A86" s="16" t="s">
        <v>35</v>
      </c>
      <c r="B86">
        <f t="shared" si="2"/>
        <v>2016</v>
      </c>
      <c r="C86" s="19">
        <v>0.64613594275282082</v>
      </c>
      <c r="D86" s="14">
        <v>0.94</v>
      </c>
      <c r="E86" s="15">
        <v>3.8</v>
      </c>
      <c r="F86" s="7">
        <v>0.3286</v>
      </c>
    </row>
    <row r="87" spans="1:6" ht="14.4" x14ac:dyDescent="0.3">
      <c r="A87" s="16" t="s">
        <v>35</v>
      </c>
      <c r="B87">
        <f t="shared" si="2"/>
        <v>2017</v>
      </c>
      <c r="C87" s="19">
        <v>8.024397048834814</v>
      </c>
      <c r="D87" s="14">
        <v>0.94</v>
      </c>
      <c r="E87" s="15">
        <v>3.7</v>
      </c>
      <c r="F87" s="7">
        <v>0.32483000000000001</v>
      </c>
    </row>
    <row r="88" spans="1:6" ht="14.4" x14ac:dyDescent="0.3">
      <c r="A88" s="16" t="s">
        <v>35</v>
      </c>
      <c r="B88">
        <f t="shared" si="2"/>
        <v>2018</v>
      </c>
      <c r="C88" s="19">
        <v>5.7698821490317584</v>
      </c>
      <c r="D88" s="14">
        <v>0.94</v>
      </c>
      <c r="E88" s="15">
        <v>3.67</v>
      </c>
      <c r="F88" s="7" t="s">
        <v>25</v>
      </c>
    </row>
    <row r="89" spans="1:6" ht="14.4" x14ac:dyDescent="0.3">
      <c r="A89" s="16" t="s">
        <v>35</v>
      </c>
      <c r="B89">
        <f t="shared" si="2"/>
        <v>2019</v>
      </c>
      <c r="C89" s="19">
        <v>8.208649499594884</v>
      </c>
      <c r="E89" s="15">
        <v>3.7</v>
      </c>
      <c r="F89" s="7" t="s">
        <v>25</v>
      </c>
    </row>
    <row r="90" spans="1:6" ht="14.4" x14ac:dyDescent="0.3">
      <c r="A90" s="16" t="s">
        <v>35</v>
      </c>
      <c r="B90">
        <f t="shared" si="2"/>
        <v>2020</v>
      </c>
      <c r="C90" s="19">
        <v>-6.704049317567268</v>
      </c>
      <c r="D90" s="14">
        <v>0.95</v>
      </c>
      <c r="F90" s="7">
        <v>0.32906999999999997</v>
      </c>
    </row>
    <row r="91" spans="1:6" ht="14.4" x14ac:dyDescent="0.3">
      <c r="A91" s="16" t="s">
        <v>35</v>
      </c>
      <c r="B91">
        <f t="shared" si="2"/>
        <v>2021</v>
      </c>
      <c r="C91" s="19">
        <v>6.3547444017184631</v>
      </c>
      <c r="D91" s="14">
        <v>0.95</v>
      </c>
      <c r="F91" s="7">
        <v>0.37430999999999998</v>
      </c>
    </row>
    <row r="92" spans="1:6" ht="14.4" x14ac:dyDescent="0.3">
      <c r="A92" s="16" t="s">
        <v>36</v>
      </c>
      <c r="B92">
        <v>2007</v>
      </c>
      <c r="C92" s="19">
        <v>2.671970340416479</v>
      </c>
    </row>
    <row r="93" spans="1:6" ht="14.4" x14ac:dyDescent="0.3">
      <c r="A93" s="16" t="s">
        <v>36</v>
      </c>
      <c r="B93">
        <f t="shared" ref="B93:B156" si="3">IF(A93=A92,B92+1,2007)</f>
        <v>2008</v>
      </c>
      <c r="C93" s="19">
        <v>-1.8004500017704288</v>
      </c>
    </row>
    <row r="94" spans="1:6" ht="14.4" x14ac:dyDescent="0.3">
      <c r="A94" s="16" t="s">
        <v>36</v>
      </c>
      <c r="B94">
        <f t="shared" si="3"/>
        <v>2009</v>
      </c>
      <c r="C94" s="19">
        <v>-3.2579410950162071</v>
      </c>
    </row>
    <row r="95" spans="1:6" ht="14.4" x14ac:dyDescent="0.3">
      <c r="A95" s="16" t="s">
        <v>36</v>
      </c>
      <c r="B95">
        <f t="shared" si="3"/>
        <v>2010</v>
      </c>
      <c r="C95" s="19">
        <v>1.2452642573314847</v>
      </c>
    </row>
    <row r="96" spans="1:6" ht="14.4" x14ac:dyDescent="0.3">
      <c r="A96" s="16" t="s">
        <v>36</v>
      </c>
      <c r="B96">
        <f t="shared" si="3"/>
        <v>2011</v>
      </c>
      <c r="C96" s="19">
        <v>0.99245074571901171</v>
      </c>
    </row>
    <row r="97" spans="1:5" ht="14.4" x14ac:dyDescent="0.3">
      <c r="A97" s="16" t="s">
        <v>36</v>
      </c>
      <c r="B97">
        <f t="shared" si="3"/>
        <v>2012</v>
      </c>
      <c r="C97" s="19">
        <v>-3.2319106405225995</v>
      </c>
    </row>
    <row r="98" spans="1:5" ht="14.4" x14ac:dyDescent="0.3">
      <c r="A98" s="16" t="s">
        <v>36</v>
      </c>
      <c r="B98">
        <f t="shared" si="3"/>
        <v>2013</v>
      </c>
      <c r="C98" s="19">
        <v>-1.2195018397962087</v>
      </c>
    </row>
    <row r="99" spans="1:5" ht="14.4" x14ac:dyDescent="0.3">
      <c r="A99" s="16" t="s">
        <v>36</v>
      </c>
      <c r="B99">
        <f t="shared" si="3"/>
        <v>2014</v>
      </c>
      <c r="C99" s="19">
        <v>3.2790216419350742</v>
      </c>
    </row>
    <row r="100" spans="1:5" ht="14.4" x14ac:dyDescent="0.3">
      <c r="A100" s="16" t="s">
        <v>36</v>
      </c>
      <c r="B100">
        <f t="shared" si="3"/>
        <v>2015</v>
      </c>
      <c r="C100" s="19">
        <v>4.8544423011599491</v>
      </c>
    </row>
    <row r="101" spans="1:5" ht="14.4" x14ac:dyDescent="0.3">
      <c r="A101" s="16" t="s">
        <v>36</v>
      </c>
      <c r="B101">
        <f t="shared" si="3"/>
        <v>2016</v>
      </c>
      <c r="C101" s="19">
        <v>0.11364434211449748</v>
      </c>
    </row>
    <row r="102" spans="1:5" ht="14.4" x14ac:dyDescent="0.3">
      <c r="A102" s="16" t="s">
        <v>36</v>
      </c>
      <c r="B102">
        <f t="shared" si="3"/>
        <v>2017</v>
      </c>
      <c r="C102" s="19">
        <v>-5.1353398857769719</v>
      </c>
    </row>
    <row r="103" spans="1:5" ht="14.4" x14ac:dyDescent="0.3">
      <c r="A103" s="16" t="s">
        <v>36</v>
      </c>
      <c r="B103">
        <f t="shared" si="3"/>
        <v>2018</v>
      </c>
      <c r="C103" s="19">
        <v>4.8740611245075911</v>
      </c>
    </row>
    <row r="104" spans="1:5" ht="14.4" x14ac:dyDescent="0.3">
      <c r="A104" s="16" t="s">
        <v>36</v>
      </c>
      <c r="B104">
        <f t="shared" si="3"/>
        <v>2019</v>
      </c>
      <c r="C104" s="19">
        <v>1.8317139660059212</v>
      </c>
    </row>
    <row r="105" spans="1:5" ht="14.4" x14ac:dyDescent="0.3">
      <c r="A105" s="16" t="s">
        <v>36</v>
      </c>
      <c r="B105">
        <f t="shared" si="3"/>
        <v>2020</v>
      </c>
      <c r="C105" s="19">
        <v>6.9706882081677293</v>
      </c>
    </row>
    <row r="106" spans="1:5" ht="14.4" x14ac:dyDescent="0.3">
      <c r="A106" s="16" t="s">
        <v>36</v>
      </c>
      <c r="B106">
        <f t="shared" si="3"/>
        <v>2021</v>
      </c>
      <c r="C106" s="19">
        <v>1.7599283325627511</v>
      </c>
    </row>
    <row r="107" spans="1:5" ht="14.4" x14ac:dyDescent="0.3">
      <c r="A107" s="16" t="s">
        <v>37</v>
      </c>
      <c r="B107">
        <f t="shared" si="3"/>
        <v>2007</v>
      </c>
      <c r="C107" s="19">
        <v>7.8212014922653026</v>
      </c>
      <c r="E107" s="15">
        <v>1.3</v>
      </c>
    </row>
    <row r="108" spans="1:5" ht="14.4" x14ac:dyDescent="0.3">
      <c r="A108" s="16" t="s">
        <v>37</v>
      </c>
      <c r="B108">
        <f t="shared" si="3"/>
        <v>2008</v>
      </c>
      <c r="C108" s="19">
        <v>-1.4972643305154492</v>
      </c>
      <c r="E108" s="15">
        <v>0.9</v>
      </c>
    </row>
    <row r="109" spans="1:5" ht="14.4" x14ac:dyDescent="0.3">
      <c r="A109" s="16" t="s">
        <v>37</v>
      </c>
      <c r="B109">
        <f t="shared" si="3"/>
        <v>2009</v>
      </c>
      <c r="C109" s="19">
        <v>-13.299132760644426</v>
      </c>
      <c r="E109" s="15">
        <v>0.6</v>
      </c>
    </row>
    <row r="110" spans="1:5" ht="14.4" x14ac:dyDescent="0.3">
      <c r="A110" s="16" t="s">
        <v>37</v>
      </c>
      <c r="B110">
        <f t="shared" si="3"/>
        <v>2010</v>
      </c>
      <c r="C110" s="19">
        <v>-9.0890123691164177</v>
      </c>
      <c r="E110" s="15">
        <v>1.7</v>
      </c>
    </row>
    <row r="111" spans="1:5" ht="14.4" x14ac:dyDescent="0.3">
      <c r="A111" s="16" t="s">
        <v>37</v>
      </c>
      <c r="B111">
        <f t="shared" si="3"/>
        <v>2011</v>
      </c>
      <c r="C111" s="19">
        <v>-3.127588990430425</v>
      </c>
      <c r="E111" s="15">
        <v>2.2000000000000002</v>
      </c>
    </row>
    <row r="112" spans="1:5" ht="14.4" x14ac:dyDescent="0.3">
      <c r="A112" s="16" t="s">
        <v>37</v>
      </c>
      <c r="B112">
        <f t="shared" si="3"/>
        <v>2012</v>
      </c>
      <c r="C112" s="19">
        <v>2.2586243188430473</v>
      </c>
      <c r="E112" s="15">
        <v>1.6</v>
      </c>
    </row>
    <row r="113" spans="1:6" ht="14.4" x14ac:dyDescent="0.3">
      <c r="A113" s="16" t="s">
        <v>37</v>
      </c>
      <c r="B113">
        <f t="shared" si="3"/>
        <v>2013</v>
      </c>
      <c r="C113" s="19">
        <v>-1.5251040350871108</v>
      </c>
      <c r="E113" s="15">
        <v>1.4</v>
      </c>
    </row>
    <row r="114" spans="1:6" ht="14.4" x14ac:dyDescent="0.3">
      <c r="A114" s="16" t="s">
        <v>37</v>
      </c>
      <c r="B114">
        <f t="shared" si="3"/>
        <v>2014</v>
      </c>
      <c r="C114" s="19">
        <v>1.3649974568930645</v>
      </c>
      <c r="E114" s="15">
        <v>1</v>
      </c>
    </row>
    <row r="115" spans="1:6" ht="14.4" x14ac:dyDescent="0.3">
      <c r="A115" s="16" t="s">
        <v>37</v>
      </c>
      <c r="B115">
        <f t="shared" si="3"/>
        <v>2015</v>
      </c>
      <c r="C115" s="19">
        <v>0.64998030083656033</v>
      </c>
      <c r="E115" s="15">
        <v>1.1000000000000001</v>
      </c>
    </row>
    <row r="116" spans="1:6" ht="14.4" x14ac:dyDescent="0.3">
      <c r="A116" s="16" t="s">
        <v>37</v>
      </c>
      <c r="B116">
        <f t="shared" si="3"/>
        <v>2016</v>
      </c>
      <c r="C116" s="19">
        <v>3.3836514765602175</v>
      </c>
      <c r="E116" s="15">
        <v>1.2</v>
      </c>
    </row>
    <row r="117" spans="1:6" ht="14.4" x14ac:dyDescent="0.3">
      <c r="A117" s="16" t="s">
        <v>37</v>
      </c>
      <c r="B117">
        <f t="shared" si="3"/>
        <v>2017</v>
      </c>
      <c r="C117" s="19">
        <v>1.8392357570840829</v>
      </c>
      <c r="E117" s="15">
        <v>1.1000000000000001</v>
      </c>
    </row>
    <row r="118" spans="1:6" ht="14.4" x14ac:dyDescent="0.3">
      <c r="A118" s="16" t="s">
        <v>37</v>
      </c>
      <c r="B118">
        <f t="shared" si="3"/>
        <v>2018</v>
      </c>
      <c r="C118" s="19">
        <v>6.3613751941035588</v>
      </c>
      <c r="E118" s="15">
        <v>1.92</v>
      </c>
    </row>
    <row r="119" spans="1:6" ht="14.4" x14ac:dyDescent="0.3">
      <c r="A119" s="16" t="s">
        <v>37</v>
      </c>
      <c r="B119">
        <f t="shared" si="3"/>
        <v>2019</v>
      </c>
      <c r="C119" s="19">
        <v>2.5509014329405488</v>
      </c>
      <c r="E119" s="15">
        <v>1.585</v>
      </c>
    </row>
    <row r="120" spans="1:6" ht="14.4" x14ac:dyDescent="0.3">
      <c r="A120" s="16" t="s">
        <v>37</v>
      </c>
      <c r="B120">
        <f t="shared" si="3"/>
        <v>2020</v>
      </c>
      <c r="C120" s="19">
        <v>-19.359252064975621</v>
      </c>
    </row>
    <row r="121" spans="1:6" ht="14.4" x14ac:dyDescent="0.3">
      <c r="A121" s="16" t="s">
        <v>37</v>
      </c>
      <c r="B121">
        <f t="shared" si="3"/>
        <v>2021</v>
      </c>
      <c r="C121" s="19">
        <v>7.5475750602971345</v>
      </c>
    </row>
    <row r="122" spans="1:6" ht="14.4" x14ac:dyDescent="0.3">
      <c r="A122" s="16" t="s">
        <v>38</v>
      </c>
      <c r="B122">
        <f t="shared" si="3"/>
        <v>2007</v>
      </c>
      <c r="C122" s="19">
        <v>1.8967083916534762</v>
      </c>
      <c r="D122" s="14">
        <v>0.97</v>
      </c>
      <c r="E122" s="15">
        <v>2.6</v>
      </c>
      <c r="F122" s="8">
        <v>0.39019999999999999</v>
      </c>
    </row>
    <row r="123" spans="1:6" ht="14.4" x14ac:dyDescent="0.3">
      <c r="A123" s="16" t="s">
        <v>38</v>
      </c>
      <c r="B123">
        <f t="shared" si="3"/>
        <v>2008</v>
      </c>
      <c r="C123" s="19">
        <v>1.5311118678101394</v>
      </c>
      <c r="D123" s="14">
        <v>0.97</v>
      </c>
      <c r="E123" s="15">
        <v>3.1</v>
      </c>
      <c r="F123" s="8">
        <v>0.43945000000000001</v>
      </c>
    </row>
    <row r="124" spans="1:6" ht="14.4" x14ac:dyDescent="0.3">
      <c r="A124" s="16" t="s">
        <v>38</v>
      </c>
      <c r="B124">
        <f t="shared" si="3"/>
        <v>2009</v>
      </c>
      <c r="C124" s="19">
        <v>-0.18577315288420948</v>
      </c>
      <c r="D124" s="14">
        <v>0.97</v>
      </c>
      <c r="E124" s="15">
        <v>3.5</v>
      </c>
      <c r="F124" s="8">
        <v>0.52595000000000003</v>
      </c>
    </row>
    <row r="125" spans="1:6" ht="14.4" x14ac:dyDescent="0.3">
      <c r="A125" s="16" t="s">
        <v>38</v>
      </c>
      <c r="B125">
        <f t="shared" si="3"/>
        <v>2010</v>
      </c>
      <c r="C125" s="19">
        <v>0.64850006825250261</v>
      </c>
      <c r="D125" s="14">
        <v>0.97</v>
      </c>
      <c r="E125" s="15">
        <v>3.2</v>
      </c>
      <c r="F125" s="8">
        <v>0.58872999999999998</v>
      </c>
    </row>
    <row r="126" spans="1:6" ht="14.4" x14ac:dyDescent="0.3">
      <c r="A126" s="16" t="s">
        <v>38</v>
      </c>
      <c r="B126">
        <f t="shared" si="3"/>
        <v>2011</v>
      </c>
      <c r="C126" s="19">
        <v>0.99581200160159256</v>
      </c>
      <c r="D126" s="14">
        <v>0.97</v>
      </c>
      <c r="E126" s="15">
        <v>2.5</v>
      </c>
      <c r="F126" s="8">
        <v>0.57196999999999998</v>
      </c>
    </row>
    <row r="127" spans="1:6" ht="14.4" x14ac:dyDescent="0.3">
      <c r="A127" s="16" t="s">
        <v>38</v>
      </c>
      <c r="B127">
        <f t="shared" si="3"/>
        <v>2012</v>
      </c>
      <c r="C127" s="19">
        <v>2.1199260681508747</v>
      </c>
      <c r="D127" s="14">
        <v>0.97</v>
      </c>
      <c r="E127" s="15">
        <v>3.8</v>
      </c>
      <c r="F127" s="8">
        <v>0.45484000000000002</v>
      </c>
    </row>
    <row r="128" spans="1:6" ht="14.4" x14ac:dyDescent="0.3">
      <c r="A128" s="16" t="s">
        <v>38</v>
      </c>
      <c r="B128">
        <f t="shared" si="3"/>
        <v>2013</v>
      </c>
      <c r="C128" s="19">
        <v>0.85530140286311962</v>
      </c>
      <c r="D128" s="14">
        <v>0.97</v>
      </c>
      <c r="E128" s="15">
        <v>3.1</v>
      </c>
      <c r="F128" s="8">
        <v>0.46576000000000001</v>
      </c>
    </row>
    <row r="129" spans="1:6" ht="14.4" x14ac:dyDescent="0.3">
      <c r="A129" s="16" t="s">
        <v>38</v>
      </c>
      <c r="B129">
        <f t="shared" si="3"/>
        <v>2014</v>
      </c>
      <c r="C129" s="19">
        <v>1.0883007815054384</v>
      </c>
      <c r="D129" s="14">
        <v>0.97</v>
      </c>
      <c r="E129" s="15">
        <v>3.4</v>
      </c>
      <c r="F129" s="8">
        <v>0.47771999999999998</v>
      </c>
    </row>
    <row r="130" spans="1:6" ht="14.4" x14ac:dyDescent="0.3">
      <c r="A130" s="16" t="s">
        <v>38</v>
      </c>
      <c r="B130">
        <f t="shared" si="3"/>
        <v>2015</v>
      </c>
      <c r="C130" s="19">
        <v>0.74143884360408663</v>
      </c>
      <c r="D130" s="14">
        <v>0.97</v>
      </c>
      <c r="E130" s="15">
        <v>4.0999999999999996</v>
      </c>
      <c r="F130" s="8">
        <v>0.48098000000000002</v>
      </c>
    </row>
    <row r="131" spans="1:6" ht="14.4" x14ac:dyDescent="0.3">
      <c r="A131" s="16" t="s">
        <v>38</v>
      </c>
      <c r="B131">
        <f t="shared" si="3"/>
        <v>2016</v>
      </c>
      <c r="C131" s="19">
        <v>1.1862658506417887</v>
      </c>
      <c r="D131" s="14">
        <v>0.97</v>
      </c>
      <c r="E131" s="15">
        <v>3.9</v>
      </c>
      <c r="F131" s="8">
        <v>0.49841999999999997</v>
      </c>
    </row>
    <row r="132" spans="1:6" ht="14.4" x14ac:dyDescent="0.3">
      <c r="A132" s="16" t="s">
        <v>38</v>
      </c>
      <c r="B132">
        <f t="shared" si="3"/>
        <v>2017</v>
      </c>
      <c r="C132" s="19">
        <v>0.64749521850477265</v>
      </c>
      <c r="D132" s="14">
        <v>0.97</v>
      </c>
      <c r="E132" s="15">
        <v>4.2</v>
      </c>
      <c r="F132" s="8">
        <v>0.50631999999999999</v>
      </c>
    </row>
    <row r="133" spans="1:6" ht="14.4" x14ac:dyDescent="0.3">
      <c r="A133" s="16" t="s">
        <v>38</v>
      </c>
      <c r="B133">
        <f t="shared" si="3"/>
        <v>2018</v>
      </c>
      <c r="C133" s="19">
        <v>1.378345353319574</v>
      </c>
      <c r="D133" s="14">
        <v>0.97</v>
      </c>
      <c r="E133" s="15">
        <v>4.5199999999999996</v>
      </c>
      <c r="F133" s="8">
        <v>0.49273</v>
      </c>
    </row>
    <row r="134" spans="1:6" ht="14.4" x14ac:dyDescent="0.3">
      <c r="A134" s="16" t="s">
        <v>38</v>
      </c>
      <c r="B134">
        <f t="shared" si="3"/>
        <v>2019</v>
      </c>
      <c r="C134" s="19">
        <v>0.6824909451504908</v>
      </c>
      <c r="E134" s="15">
        <v>4.585</v>
      </c>
      <c r="F134" s="8">
        <v>0.49580000000000002</v>
      </c>
    </row>
    <row r="135" spans="1:6" ht="14.4" x14ac:dyDescent="0.3">
      <c r="A135" s="16" t="s">
        <v>38</v>
      </c>
      <c r="B135">
        <f t="shared" si="3"/>
        <v>2020</v>
      </c>
      <c r="C135" s="19">
        <v>-1.5564363010269489</v>
      </c>
      <c r="D135" s="14">
        <v>0.97</v>
      </c>
      <c r="F135" s="8">
        <v>0.54666000000000003</v>
      </c>
    </row>
    <row r="136" spans="1:6" ht="14.4" x14ac:dyDescent="0.3">
      <c r="A136" s="16" t="s">
        <v>38</v>
      </c>
      <c r="B136">
        <f t="shared" si="3"/>
        <v>2021</v>
      </c>
      <c r="C136" s="19">
        <v>1.968061645749458</v>
      </c>
      <c r="D136" s="14">
        <v>0.97</v>
      </c>
      <c r="F136" s="8">
        <v>0.53529000000000004</v>
      </c>
    </row>
    <row r="137" spans="1:6" ht="14.4" x14ac:dyDescent="0.3">
      <c r="A137" s="16" t="s">
        <v>39</v>
      </c>
      <c r="B137">
        <f t="shared" si="3"/>
        <v>2007</v>
      </c>
      <c r="C137" s="19">
        <v>23.590685413704662</v>
      </c>
      <c r="D137" s="14">
        <v>0.93</v>
      </c>
      <c r="E137" s="15">
        <v>5</v>
      </c>
      <c r="F137" s="7">
        <v>0.16283</v>
      </c>
    </row>
    <row r="138" spans="1:6" ht="14.4" x14ac:dyDescent="0.3">
      <c r="A138" s="16" t="s">
        <v>39</v>
      </c>
      <c r="B138">
        <f t="shared" si="3"/>
        <v>2008</v>
      </c>
      <c r="C138" s="19">
        <v>8.4574501255559653</v>
      </c>
      <c r="D138" s="14">
        <v>0.93</v>
      </c>
      <c r="E138" s="15">
        <v>5.2</v>
      </c>
      <c r="F138" s="7">
        <v>0.1681</v>
      </c>
    </row>
    <row r="139" spans="1:6" ht="14.4" x14ac:dyDescent="0.3">
      <c r="A139" s="16" t="s">
        <v>39</v>
      </c>
      <c r="B139">
        <f t="shared" si="3"/>
        <v>2009</v>
      </c>
      <c r="C139" s="19">
        <v>7.0506025194907949</v>
      </c>
      <c r="D139" s="14">
        <v>0.94</v>
      </c>
      <c r="E139" s="15">
        <v>5.3</v>
      </c>
      <c r="F139" s="7">
        <v>0.21801999999999999</v>
      </c>
    </row>
    <row r="140" spans="1:6" ht="14.4" x14ac:dyDescent="0.3">
      <c r="A140" s="16" t="s">
        <v>39</v>
      </c>
      <c r="B140">
        <f t="shared" si="3"/>
        <v>2010</v>
      </c>
      <c r="C140" s="19">
        <v>3.8064910206256286</v>
      </c>
      <c r="D140" s="14">
        <v>0.93</v>
      </c>
      <c r="E140" s="15">
        <v>6.9</v>
      </c>
      <c r="F140" s="7">
        <v>0.19606999999999999</v>
      </c>
    </row>
    <row r="141" spans="1:6" ht="14.4" x14ac:dyDescent="0.3">
      <c r="A141" s="16" t="s">
        <v>39</v>
      </c>
      <c r="B141">
        <f t="shared" si="3"/>
        <v>2011</v>
      </c>
      <c r="C141" s="19">
        <v>-1.1958429622770836</v>
      </c>
      <c r="D141" s="14">
        <v>0.93</v>
      </c>
      <c r="E141" s="15">
        <v>6.5</v>
      </c>
      <c r="F141" s="7">
        <v>0.16943</v>
      </c>
    </row>
    <row r="142" spans="1:6" ht="14.4" x14ac:dyDescent="0.3">
      <c r="A142" s="16" t="s">
        <v>39</v>
      </c>
      <c r="B142">
        <f t="shared" si="3"/>
        <v>2012</v>
      </c>
      <c r="C142" s="19">
        <v>0.81668412824123493</v>
      </c>
      <c r="D142" s="14">
        <v>0.92</v>
      </c>
      <c r="E142" s="15">
        <v>7.3</v>
      </c>
      <c r="F142" s="7" t="s">
        <v>25</v>
      </c>
    </row>
    <row r="143" spans="1:6" ht="14.4" x14ac:dyDescent="0.3">
      <c r="A143" s="16" t="s">
        <v>39</v>
      </c>
      <c r="B143">
        <f t="shared" si="3"/>
        <v>2013</v>
      </c>
      <c r="C143" s="19">
        <v>4.4500200988202465</v>
      </c>
      <c r="D143" s="14">
        <v>0.93</v>
      </c>
      <c r="E143" s="15">
        <v>7.3</v>
      </c>
      <c r="F143" s="7" t="s">
        <v>25</v>
      </c>
    </row>
    <row r="144" spans="1:6" ht="14.4" x14ac:dyDescent="0.3">
      <c r="A144" s="16" t="s">
        <v>39</v>
      </c>
      <c r="B144">
        <f t="shared" si="3"/>
        <v>2014</v>
      </c>
      <c r="C144" s="19">
        <v>1.4759369407786949</v>
      </c>
      <c r="D144" s="14">
        <v>0.94</v>
      </c>
      <c r="E144" s="15">
        <v>7.5</v>
      </c>
      <c r="F144" s="7" t="s">
        <v>25</v>
      </c>
    </row>
    <row r="145" spans="1:6" ht="14.4" x14ac:dyDescent="0.3">
      <c r="A145" s="16" t="s">
        <v>39</v>
      </c>
      <c r="B145">
        <f t="shared" si="3"/>
        <v>2015</v>
      </c>
      <c r="C145" s="19">
        <v>-0.10312136489147861</v>
      </c>
      <c r="D145" s="14">
        <v>0.95</v>
      </c>
      <c r="E145" s="15">
        <v>6.8</v>
      </c>
      <c r="F145" s="7">
        <v>0.27990999999999999</v>
      </c>
    </row>
    <row r="146" spans="1:6" ht="14.4" x14ac:dyDescent="0.3">
      <c r="A146" s="16" t="s">
        <v>39</v>
      </c>
      <c r="B146">
        <f t="shared" si="3"/>
        <v>2016</v>
      </c>
      <c r="C146" s="19">
        <v>-4.1771716800523677</v>
      </c>
      <c r="D146" s="14">
        <v>0.95</v>
      </c>
      <c r="E146" s="15">
        <v>6.9</v>
      </c>
      <c r="F146" s="7">
        <v>0.30457000000000001</v>
      </c>
    </row>
    <row r="147" spans="1:6" ht="14.4" x14ac:dyDescent="0.3">
      <c r="A147" s="16" t="s">
        <v>39</v>
      </c>
      <c r="B147">
        <f t="shared" si="3"/>
        <v>2017</v>
      </c>
      <c r="C147" s="19">
        <v>-0.77841612623278422</v>
      </c>
      <c r="D147" s="14">
        <v>0.94</v>
      </c>
      <c r="E147" s="15">
        <v>6.8</v>
      </c>
      <c r="F147" s="7">
        <v>0.27934999999999999</v>
      </c>
    </row>
    <row r="148" spans="1:6" ht="14.4" x14ac:dyDescent="0.3">
      <c r="A148" s="16" t="s">
        <v>39</v>
      </c>
      <c r="B148">
        <f t="shared" si="3"/>
        <v>2018</v>
      </c>
      <c r="C148" s="19">
        <v>0.62448616773966137</v>
      </c>
      <c r="D148" s="14">
        <v>0.94</v>
      </c>
      <c r="E148" s="15">
        <v>6.9850000000000003</v>
      </c>
      <c r="F148" s="7">
        <v>0.21661</v>
      </c>
    </row>
    <row r="149" spans="1:6" ht="14.4" x14ac:dyDescent="0.3">
      <c r="A149" s="16" t="s">
        <v>39</v>
      </c>
      <c r="B149">
        <f t="shared" si="3"/>
        <v>2019</v>
      </c>
      <c r="C149" s="19">
        <v>1.6358504813074148</v>
      </c>
      <c r="E149" s="15">
        <v>6.7350000000000003</v>
      </c>
      <c r="F149" s="7">
        <v>0.27294000000000002</v>
      </c>
    </row>
    <row r="150" spans="1:6" ht="14.4" x14ac:dyDescent="0.3">
      <c r="A150" s="16" t="s">
        <v>39</v>
      </c>
      <c r="B150">
        <f t="shared" si="3"/>
        <v>2020</v>
      </c>
      <c r="C150" s="19">
        <v>-4.9527017386949126</v>
      </c>
      <c r="D150" s="14">
        <v>0.94</v>
      </c>
      <c r="F150" s="7">
        <v>0.29221000000000003</v>
      </c>
    </row>
    <row r="151" spans="1:6" ht="14.4" x14ac:dyDescent="0.3">
      <c r="A151" s="16" t="s">
        <v>39</v>
      </c>
      <c r="B151">
        <f t="shared" si="3"/>
        <v>2021</v>
      </c>
      <c r="C151" s="19">
        <v>5.1515000687066106</v>
      </c>
      <c r="D151" s="14">
        <v>0.94</v>
      </c>
      <c r="F151" s="7">
        <v>0.30085000000000001</v>
      </c>
    </row>
    <row r="152" spans="1:6" ht="14.4" x14ac:dyDescent="0.3">
      <c r="A152" s="16" t="s">
        <v>397</v>
      </c>
      <c r="B152">
        <f t="shared" si="3"/>
        <v>2007</v>
      </c>
      <c r="C152" s="19">
        <v>-0.27770051717379829</v>
      </c>
      <c r="D152" s="14"/>
      <c r="E152" s="15">
        <v>1.4</v>
      </c>
    </row>
    <row r="153" spans="1:6" ht="14.4" x14ac:dyDescent="0.3">
      <c r="A153" s="16" t="s">
        <v>397</v>
      </c>
      <c r="B153">
        <f t="shared" si="3"/>
        <v>2008</v>
      </c>
      <c r="C153" s="19">
        <v>0.63715464555005497</v>
      </c>
      <c r="D153" s="14"/>
      <c r="E153" s="15">
        <v>1.2</v>
      </c>
    </row>
    <row r="154" spans="1:6" ht="14.4" x14ac:dyDescent="0.3">
      <c r="A154" s="16" t="s">
        <v>397</v>
      </c>
      <c r="B154">
        <f t="shared" si="3"/>
        <v>2009</v>
      </c>
      <c r="C154" s="19">
        <v>-1.3276946069600086</v>
      </c>
      <c r="D154" s="14"/>
      <c r="E154" s="15">
        <v>1.6</v>
      </c>
    </row>
    <row r="155" spans="1:6" ht="14.4" x14ac:dyDescent="0.3">
      <c r="A155" s="16" t="s">
        <v>397</v>
      </c>
      <c r="B155">
        <f t="shared" si="3"/>
        <v>2010</v>
      </c>
      <c r="C155" s="19">
        <v>0.31822181783593351</v>
      </c>
      <c r="D155" s="14"/>
      <c r="E155" s="15">
        <v>3</v>
      </c>
    </row>
    <row r="156" spans="1:6" ht="14.4" x14ac:dyDescent="0.3">
      <c r="A156" s="16" t="s">
        <v>397</v>
      </c>
      <c r="B156">
        <f t="shared" si="3"/>
        <v>2011</v>
      </c>
      <c r="C156" s="19">
        <v>0.41151195973219501</v>
      </c>
      <c r="D156" s="14">
        <v>0.97</v>
      </c>
      <c r="E156" s="15">
        <v>2.8</v>
      </c>
    </row>
    <row r="157" spans="1:6" ht="14.4" x14ac:dyDescent="0.3">
      <c r="A157" s="16" t="s">
        <v>397</v>
      </c>
      <c r="B157">
        <f t="shared" ref="B157:B220" si="4">IF(A157=A156,B156+1,2007)</f>
        <v>2012</v>
      </c>
      <c r="C157" s="19">
        <v>0.82408096596731184</v>
      </c>
      <c r="D157" s="14">
        <v>0.97</v>
      </c>
      <c r="E157" s="15">
        <v>3.3</v>
      </c>
    </row>
    <row r="158" spans="1:6" ht="14.4" x14ac:dyDescent="0.3">
      <c r="A158" s="16" t="s">
        <v>397</v>
      </c>
      <c r="B158">
        <f t="shared" si="4"/>
        <v>2013</v>
      </c>
      <c r="C158" s="19">
        <v>1.2635993343632634</v>
      </c>
      <c r="D158" s="14">
        <v>0.97</v>
      </c>
      <c r="E158" s="15">
        <v>3</v>
      </c>
    </row>
    <row r="159" spans="1:6" ht="14.4" x14ac:dyDescent="0.3">
      <c r="A159" s="16" t="s">
        <v>397</v>
      </c>
      <c r="B159">
        <f t="shared" si="4"/>
        <v>2014</v>
      </c>
      <c r="C159" s="19">
        <v>0.81060280131232787</v>
      </c>
      <c r="D159" s="14">
        <v>0.98</v>
      </c>
      <c r="E159" s="15">
        <v>3.6</v>
      </c>
    </row>
    <row r="160" spans="1:6" ht="14.4" x14ac:dyDescent="0.3">
      <c r="A160" s="16" t="s">
        <v>397</v>
      </c>
      <c r="B160">
        <f t="shared" si="4"/>
        <v>2015</v>
      </c>
      <c r="C160" s="19">
        <v>-5.9804956121318043</v>
      </c>
      <c r="D160" s="14">
        <v>0.97</v>
      </c>
      <c r="E160" s="15">
        <v>3.6</v>
      </c>
    </row>
    <row r="161" spans="1:5" ht="14.4" x14ac:dyDescent="0.3">
      <c r="A161" s="16" t="s">
        <v>397</v>
      </c>
      <c r="B161">
        <f t="shared" si="4"/>
        <v>2016</v>
      </c>
      <c r="C161" s="19">
        <v>-2.2061338298141635</v>
      </c>
      <c r="D161" s="14">
        <v>0.97</v>
      </c>
      <c r="E161" s="15">
        <v>3</v>
      </c>
    </row>
    <row r="162" spans="1:5" ht="14.4" x14ac:dyDescent="0.3">
      <c r="A162" s="16" t="s">
        <v>397</v>
      </c>
      <c r="B162">
        <f t="shared" si="4"/>
        <v>2017</v>
      </c>
      <c r="C162" s="19">
        <v>-1.7726464864145441</v>
      </c>
      <c r="D162" s="14">
        <v>0.98</v>
      </c>
      <c r="E162" s="15">
        <v>3</v>
      </c>
    </row>
    <row r="163" spans="1:5" ht="14.4" x14ac:dyDescent="0.3">
      <c r="A163" s="16" t="s">
        <v>397</v>
      </c>
      <c r="B163">
        <f t="shared" si="4"/>
        <v>2018</v>
      </c>
      <c r="C163" s="19">
        <v>-1.3771396218608771</v>
      </c>
      <c r="D163" s="14">
        <v>0.98</v>
      </c>
      <c r="E163" s="15">
        <v>3.4250000000000003</v>
      </c>
    </row>
    <row r="164" spans="1:5" ht="14.4" x14ac:dyDescent="0.3">
      <c r="A164" s="16" t="s">
        <v>397</v>
      </c>
      <c r="B164">
        <f t="shared" si="4"/>
        <v>2019</v>
      </c>
      <c r="C164" s="19">
        <v>-1.457193032886579</v>
      </c>
      <c r="E164" s="15">
        <v>3.4250000000000003</v>
      </c>
    </row>
    <row r="165" spans="1:5" ht="14.4" x14ac:dyDescent="0.3">
      <c r="A165" s="16" t="s">
        <v>397</v>
      </c>
      <c r="B165">
        <f t="shared" si="4"/>
        <v>2020</v>
      </c>
      <c r="C165" s="19">
        <v>-2.5084611684656863</v>
      </c>
      <c r="D165" s="14">
        <v>0.98</v>
      </c>
    </row>
    <row r="166" spans="1:5" ht="14.4" x14ac:dyDescent="0.3">
      <c r="A166" s="16" t="s">
        <v>397</v>
      </c>
      <c r="B166">
        <f t="shared" si="4"/>
        <v>2021</v>
      </c>
      <c r="C166" s="19">
        <v>0.38116663976546761</v>
      </c>
      <c r="D166" s="14">
        <v>0.98</v>
      </c>
    </row>
    <row r="167" spans="1:5" ht="14.4" x14ac:dyDescent="0.3">
      <c r="A167" s="16" t="s">
        <v>41</v>
      </c>
      <c r="B167">
        <f t="shared" si="4"/>
        <v>2007</v>
      </c>
      <c r="C167" s="19">
        <v>2.9183383488137196</v>
      </c>
      <c r="D167" s="14">
        <v>0.98</v>
      </c>
      <c r="E167" s="15">
        <v>4.3</v>
      </c>
    </row>
    <row r="168" spans="1:5" ht="14.4" x14ac:dyDescent="0.3">
      <c r="A168" s="16" t="s">
        <v>41</v>
      </c>
      <c r="B168">
        <f t="shared" si="4"/>
        <v>2008</v>
      </c>
      <c r="C168" s="19">
        <v>-0.34345271809542055</v>
      </c>
      <c r="D168" s="14">
        <v>0.98</v>
      </c>
      <c r="E168" s="15">
        <v>4</v>
      </c>
    </row>
    <row r="169" spans="1:5" ht="14.4" x14ac:dyDescent="0.3">
      <c r="A169" s="16" t="s">
        <v>41</v>
      </c>
      <c r="B169">
        <f t="shared" si="4"/>
        <v>2009</v>
      </c>
      <c r="C169" s="19">
        <v>-2.8059207402515796</v>
      </c>
      <c r="D169" s="14">
        <v>0.98</v>
      </c>
      <c r="E169" s="15">
        <v>4.2</v>
      </c>
    </row>
    <row r="170" spans="1:5" ht="14.4" x14ac:dyDescent="0.3">
      <c r="A170" s="16" t="s">
        <v>41</v>
      </c>
      <c r="B170">
        <f t="shared" si="4"/>
        <v>2010</v>
      </c>
      <c r="C170" s="19">
        <v>1.9287641957029962</v>
      </c>
      <c r="D170" s="14">
        <v>0.98</v>
      </c>
      <c r="E170" s="15">
        <v>4.2</v>
      </c>
    </row>
    <row r="171" spans="1:5" ht="14.4" x14ac:dyDescent="0.3">
      <c r="A171" s="16" t="s">
        <v>41</v>
      </c>
      <c r="B171">
        <f t="shared" si="4"/>
        <v>2011</v>
      </c>
      <c r="C171" s="19">
        <v>0.38003456979618022</v>
      </c>
      <c r="D171" s="14">
        <v>0.98</v>
      </c>
      <c r="E171" s="15">
        <v>6.2</v>
      </c>
    </row>
    <row r="172" spans="1:5" ht="14.4" x14ac:dyDescent="0.3">
      <c r="A172" s="16" t="s">
        <v>41</v>
      </c>
      <c r="B172">
        <f t="shared" si="4"/>
        <v>2012</v>
      </c>
      <c r="C172" s="19">
        <v>0.11640257847660962</v>
      </c>
      <c r="D172" s="14">
        <v>0.98</v>
      </c>
      <c r="E172" s="15">
        <v>6.5</v>
      </c>
    </row>
    <row r="173" spans="1:5" ht="14.4" x14ac:dyDescent="0.3">
      <c r="A173" s="16" t="s">
        <v>41</v>
      </c>
      <c r="B173">
        <f t="shared" si="4"/>
        <v>2013</v>
      </c>
      <c r="C173" s="19">
        <v>-1.3148386096446529E-2</v>
      </c>
      <c r="D173" s="14">
        <v>0.98</v>
      </c>
      <c r="E173" s="15">
        <v>6.5</v>
      </c>
    </row>
    <row r="174" spans="1:5" ht="14.4" x14ac:dyDescent="0.3">
      <c r="A174" s="16" t="s">
        <v>41</v>
      </c>
      <c r="B174">
        <f t="shared" si="4"/>
        <v>2014</v>
      </c>
      <c r="C174" s="19">
        <v>1.1285957247117153</v>
      </c>
      <c r="D174" s="14">
        <v>0.98</v>
      </c>
      <c r="E174" s="15">
        <v>6.2</v>
      </c>
    </row>
    <row r="175" spans="1:5" ht="14.4" x14ac:dyDescent="0.3">
      <c r="A175" s="16" t="s">
        <v>41</v>
      </c>
      <c r="B175">
        <f t="shared" si="4"/>
        <v>2015</v>
      </c>
      <c r="C175" s="19">
        <v>1.4518933675875587</v>
      </c>
      <c r="D175" s="14">
        <v>0.97</v>
      </c>
      <c r="E175" s="15">
        <v>5.9</v>
      </c>
    </row>
    <row r="176" spans="1:5" ht="14.4" x14ac:dyDescent="0.3">
      <c r="A176" s="16" t="s">
        <v>41</v>
      </c>
      <c r="B176">
        <f t="shared" si="4"/>
        <v>2016</v>
      </c>
      <c r="C176" s="19">
        <v>0.75526891910284633</v>
      </c>
      <c r="D176" s="14">
        <v>0.97</v>
      </c>
      <c r="E176" s="15">
        <v>6.1</v>
      </c>
    </row>
    <row r="177" spans="1:5" ht="14.4" x14ac:dyDescent="0.3">
      <c r="A177" s="16" t="s">
        <v>41</v>
      </c>
      <c r="B177">
        <f t="shared" si="4"/>
        <v>2017</v>
      </c>
      <c r="C177" s="19">
        <v>1.228866236169182</v>
      </c>
      <c r="D177" s="14">
        <v>0.98</v>
      </c>
      <c r="E177" s="15">
        <v>6.2</v>
      </c>
    </row>
    <row r="178" spans="1:5" ht="14.4" x14ac:dyDescent="0.3">
      <c r="A178" s="16" t="s">
        <v>41</v>
      </c>
      <c r="B178">
        <f t="shared" si="4"/>
        <v>2018</v>
      </c>
      <c r="C178" s="19">
        <v>1.3306522272452241</v>
      </c>
      <c r="D178" s="14">
        <v>0.97</v>
      </c>
      <c r="E178" s="15">
        <v>6.29</v>
      </c>
    </row>
    <row r="179" spans="1:5" ht="14.4" x14ac:dyDescent="0.3">
      <c r="A179" s="16" t="s">
        <v>41</v>
      </c>
      <c r="B179">
        <f t="shared" si="4"/>
        <v>2019</v>
      </c>
      <c r="C179" s="19">
        <v>1.6897536885610123</v>
      </c>
      <c r="E179" s="15">
        <v>6.4550000000000001</v>
      </c>
    </row>
    <row r="180" spans="1:5" ht="14.4" x14ac:dyDescent="0.3">
      <c r="A180" s="16" t="s">
        <v>41</v>
      </c>
      <c r="B180">
        <f t="shared" si="4"/>
        <v>2020</v>
      </c>
      <c r="C180" s="19">
        <v>-5.711729807523767</v>
      </c>
      <c r="D180" s="14">
        <v>0.97</v>
      </c>
    </row>
    <row r="181" spans="1:5" ht="14.4" x14ac:dyDescent="0.3">
      <c r="A181" s="16" t="s">
        <v>41</v>
      </c>
      <c r="B181">
        <f t="shared" si="4"/>
        <v>2021</v>
      </c>
      <c r="C181" s="19">
        <v>6.4887704127265948</v>
      </c>
      <c r="D181" s="14">
        <v>0.97</v>
      </c>
    </row>
    <row r="182" spans="1:5" ht="14.4" x14ac:dyDescent="0.3">
      <c r="A182" s="16" t="s">
        <v>42</v>
      </c>
      <c r="B182">
        <f t="shared" si="4"/>
        <v>2007</v>
      </c>
      <c r="C182" s="19">
        <v>2.9820533185392719</v>
      </c>
      <c r="D182" s="14">
        <v>0.98</v>
      </c>
      <c r="E182" s="15">
        <v>4</v>
      </c>
    </row>
    <row r="183" spans="1:5" ht="14.4" x14ac:dyDescent="0.3">
      <c r="A183" s="16" t="s">
        <v>42</v>
      </c>
      <c r="B183">
        <f t="shared" si="4"/>
        <v>2008</v>
      </c>
      <c r="C183" s="19">
        <v>1.8496250694941807</v>
      </c>
      <c r="D183" s="14">
        <v>0.98</v>
      </c>
      <c r="E183" s="15">
        <v>4.5999999999999996</v>
      </c>
    </row>
    <row r="184" spans="1:5" ht="14.4" x14ac:dyDescent="0.3">
      <c r="A184" s="16" t="s">
        <v>42</v>
      </c>
      <c r="B184">
        <f t="shared" si="4"/>
        <v>2009</v>
      </c>
      <c r="C184" s="19">
        <v>-0.64843689101040525</v>
      </c>
      <c r="D184" s="14">
        <v>0.98</v>
      </c>
      <c r="E184" s="15">
        <v>5.0999999999999996</v>
      </c>
    </row>
    <row r="185" spans="1:5" ht="14.4" x14ac:dyDescent="0.3">
      <c r="A185" s="16" t="s">
        <v>42</v>
      </c>
      <c r="B185">
        <f t="shared" si="4"/>
        <v>2010</v>
      </c>
      <c r="C185" s="19">
        <v>-0.83935582390523678</v>
      </c>
      <c r="D185" s="14">
        <v>0.96</v>
      </c>
      <c r="E185" s="15">
        <v>5.6</v>
      </c>
    </row>
    <row r="186" spans="1:5" ht="14.4" x14ac:dyDescent="0.3">
      <c r="A186" s="16" t="s">
        <v>42</v>
      </c>
      <c r="B186">
        <f t="shared" si="4"/>
        <v>2011</v>
      </c>
      <c r="C186" s="19">
        <v>-7.4281916885610144E-3</v>
      </c>
      <c r="D186" s="14">
        <v>0.96</v>
      </c>
      <c r="E186" s="15">
        <v>6.1</v>
      </c>
    </row>
    <row r="187" spans="1:5" ht="14.4" x14ac:dyDescent="0.3">
      <c r="A187" s="16" t="s">
        <v>42</v>
      </c>
      <c r="B187">
        <f t="shared" si="4"/>
        <v>2012</v>
      </c>
      <c r="C187" s="19">
        <v>1.8000644925315612</v>
      </c>
      <c r="D187" s="14">
        <v>0.96</v>
      </c>
      <c r="E187" s="15">
        <v>5.3</v>
      </c>
    </row>
    <row r="188" spans="1:5" ht="14.4" x14ac:dyDescent="0.3">
      <c r="A188" s="16" t="s">
        <v>42</v>
      </c>
      <c r="B188">
        <f t="shared" si="4"/>
        <v>2013</v>
      </c>
      <c r="C188" s="19">
        <v>4.1276062345628759</v>
      </c>
      <c r="D188" s="14">
        <v>0.96</v>
      </c>
      <c r="E188" s="15">
        <v>5.2</v>
      </c>
    </row>
    <row r="189" spans="1:5" ht="14.4" x14ac:dyDescent="0.3">
      <c r="A189" s="16" t="s">
        <v>42</v>
      </c>
      <c r="B189">
        <f t="shared" si="4"/>
        <v>2014</v>
      </c>
      <c r="C189" s="19">
        <v>3.2905049991402251</v>
      </c>
      <c r="D189" s="14"/>
      <c r="E189" s="15">
        <v>4.3</v>
      </c>
    </row>
    <row r="190" spans="1:5" ht="14.4" x14ac:dyDescent="0.3">
      <c r="A190" s="16" t="s">
        <v>42</v>
      </c>
      <c r="B190">
        <f t="shared" si="4"/>
        <v>2015</v>
      </c>
      <c r="C190" s="19">
        <v>-1.1816848360066814</v>
      </c>
      <c r="D190" s="14">
        <v>0.97</v>
      </c>
      <c r="E190" s="15">
        <v>5</v>
      </c>
    </row>
    <row r="191" spans="1:5" ht="14.4" x14ac:dyDescent="0.3">
      <c r="A191" s="16" t="s">
        <v>42</v>
      </c>
      <c r="B191">
        <f t="shared" si="4"/>
        <v>2016</v>
      </c>
      <c r="C191" s="19">
        <v>0.33585224805771929</v>
      </c>
      <c r="D191" s="14">
        <v>0.97</v>
      </c>
      <c r="E191" s="15">
        <v>4.9000000000000004</v>
      </c>
    </row>
    <row r="192" spans="1:5" ht="14.4" x14ac:dyDescent="0.3">
      <c r="A192" s="16" t="s">
        <v>42</v>
      </c>
      <c r="B192">
        <f t="shared" si="4"/>
        <v>2017</v>
      </c>
      <c r="C192" s="19">
        <v>2.6035565269206131</v>
      </c>
      <c r="D192" s="14">
        <v>0.96</v>
      </c>
      <c r="E192" s="15">
        <v>4.8</v>
      </c>
    </row>
    <row r="193" spans="1:5" ht="14.4" x14ac:dyDescent="0.3">
      <c r="A193" s="16" t="s">
        <v>42</v>
      </c>
      <c r="B193">
        <f t="shared" si="4"/>
        <v>2018</v>
      </c>
      <c r="C193" s="19">
        <v>3.6242625450376096</v>
      </c>
      <c r="D193" s="14">
        <v>0.97</v>
      </c>
      <c r="E193" s="15">
        <v>4.7850000000000001</v>
      </c>
    </row>
    <row r="194" spans="1:5" ht="14.4" x14ac:dyDescent="0.3">
      <c r="A194" s="16" t="s">
        <v>42</v>
      </c>
      <c r="B194">
        <f t="shared" si="4"/>
        <v>2019</v>
      </c>
      <c r="C194" s="19">
        <v>3.8245068777058577</v>
      </c>
      <c r="E194" s="15">
        <v>5.1400000000000006</v>
      </c>
    </row>
    <row r="195" spans="1:5" ht="14.4" x14ac:dyDescent="0.3">
      <c r="A195" s="16" t="s">
        <v>42</v>
      </c>
      <c r="B195">
        <f t="shared" si="4"/>
        <v>2020</v>
      </c>
      <c r="C195" s="19">
        <v>0.9519378608852378</v>
      </c>
      <c r="D195" s="14">
        <v>0.97</v>
      </c>
    </row>
    <row r="196" spans="1:5" ht="14.4" x14ac:dyDescent="0.3">
      <c r="A196" s="16" t="s">
        <v>42</v>
      </c>
      <c r="B196">
        <f t="shared" si="4"/>
        <v>2021</v>
      </c>
      <c r="C196" s="19">
        <v>4.2387089591678091</v>
      </c>
      <c r="D196" s="14">
        <v>0.97</v>
      </c>
    </row>
    <row r="197" spans="1:5" ht="14.4" x14ac:dyDescent="0.3">
      <c r="A197" s="16" t="s">
        <v>43</v>
      </c>
      <c r="B197">
        <f t="shared" si="4"/>
        <v>2007</v>
      </c>
      <c r="C197" s="19">
        <v>1.0013026274653782</v>
      </c>
      <c r="D197" s="14">
        <v>0.97</v>
      </c>
      <c r="E197" s="15">
        <v>0.8</v>
      </c>
    </row>
    <row r="198" spans="1:5" ht="14.4" x14ac:dyDescent="0.3">
      <c r="A198" s="16" t="s">
        <v>43</v>
      </c>
      <c r="B198">
        <f t="shared" si="4"/>
        <v>2008</v>
      </c>
      <c r="C198" s="19">
        <v>2.7310856339255025</v>
      </c>
      <c r="D198" s="14">
        <v>0.97</v>
      </c>
      <c r="E198" s="15">
        <v>0.8</v>
      </c>
    </row>
    <row r="199" spans="1:5" ht="14.4" x14ac:dyDescent="0.3">
      <c r="A199" s="16" t="s">
        <v>43</v>
      </c>
      <c r="B199">
        <f t="shared" si="4"/>
        <v>2009</v>
      </c>
      <c r="C199" s="19">
        <v>-1.2474271014013993E-2</v>
      </c>
      <c r="D199" s="14">
        <v>0.97</v>
      </c>
      <c r="E199" s="15">
        <v>0.8</v>
      </c>
    </row>
    <row r="200" spans="1:5" ht="14.4" x14ac:dyDescent="0.3">
      <c r="A200" s="16" t="s">
        <v>43</v>
      </c>
      <c r="B200">
        <f t="shared" si="4"/>
        <v>2010</v>
      </c>
      <c r="C200" s="19">
        <v>5.3051445552425349</v>
      </c>
      <c r="D200" s="14">
        <v>0.97</v>
      </c>
      <c r="E200" s="15">
        <v>0.8</v>
      </c>
    </row>
    <row r="201" spans="1:5" ht="14.4" x14ac:dyDescent="0.3">
      <c r="A201" s="16" t="s">
        <v>43</v>
      </c>
      <c r="B201">
        <f t="shared" si="4"/>
        <v>2011</v>
      </c>
      <c r="C201" s="19">
        <v>3.5027065941213067</v>
      </c>
      <c r="D201" s="14">
        <v>0.97</v>
      </c>
      <c r="E201" s="15">
        <v>1.4</v>
      </c>
    </row>
    <row r="202" spans="1:5" ht="14.4" x14ac:dyDescent="0.3">
      <c r="A202" s="16" t="s">
        <v>43</v>
      </c>
      <c r="B202">
        <f t="shared" si="4"/>
        <v>2012</v>
      </c>
      <c r="C202" s="19">
        <v>3.2735914956890042</v>
      </c>
      <c r="D202" s="14">
        <v>0.97</v>
      </c>
      <c r="E202" s="15">
        <v>1.6</v>
      </c>
    </row>
    <row r="203" spans="1:5" ht="14.4" x14ac:dyDescent="0.3">
      <c r="A203" s="16" t="s">
        <v>43</v>
      </c>
      <c r="B203">
        <f t="shared" si="4"/>
        <v>2013</v>
      </c>
      <c r="C203" s="19">
        <v>2.6572953305616664</v>
      </c>
      <c r="D203" s="14">
        <v>0.97</v>
      </c>
      <c r="E203" s="15">
        <v>1.5</v>
      </c>
    </row>
    <row r="204" spans="1:5" ht="14.4" x14ac:dyDescent="0.3">
      <c r="A204" s="16" t="s">
        <v>43</v>
      </c>
      <c r="B204">
        <f t="shared" si="4"/>
        <v>2014</v>
      </c>
      <c r="C204" s="19">
        <v>1.2639963853762453</v>
      </c>
      <c r="D204" s="14">
        <v>0.97</v>
      </c>
      <c r="E204" s="15">
        <v>1.5</v>
      </c>
    </row>
    <row r="205" spans="1:5" ht="14.4" x14ac:dyDescent="0.3">
      <c r="A205" s="16" t="s">
        <v>43</v>
      </c>
      <c r="B205">
        <f t="shared" si="4"/>
        <v>2015</v>
      </c>
      <c r="C205" s="19">
        <v>0.87778560482701096</v>
      </c>
      <c r="D205" s="14">
        <v>0.97</v>
      </c>
      <c r="E205" s="15">
        <v>2.2000000000000002</v>
      </c>
    </row>
    <row r="206" spans="1:5" ht="14.4" x14ac:dyDescent="0.3">
      <c r="A206" s="16" t="s">
        <v>43</v>
      </c>
      <c r="B206">
        <f t="shared" si="4"/>
        <v>2016</v>
      </c>
      <c r="C206" s="19">
        <v>2.8934983269067942</v>
      </c>
      <c r="D206" s="14">
        <v>0.97</v>
      </c>
      <c r="E206" s="15">
        <v>2.2999999999999998</v>
      </c>
    </row>
    <row r="207" spans="1:5" ht="14.4" x14ac:dyDescent="0.3">
      <c r="A207" s="16" t="s">
        <v>43</v>
      </c>
      <c r="B207">
        <f t="shared" si="4"/>
        <v>2017</v>
      </c>
      <c r="C207" s="19">
        <v>3.2032568361281619</v>
      </c>
      <c r="D207" s="14">
        <v>0.96</v>
      </c>
      <c r="E207" s="15">
        <v>2.2999999999999998</v>
      </c>
    </row>
    <row r="208" spans="1:5" ht="14.4" x14ac:dyDescent="0.3">
      <c r="A208" s="16" t="s">
        <v>43</v>
      </c>
      <c r="B208">
        <f t="shared" si="4"/>
        <v>2018</v>
      </c>
      <c r="C208" s="19">
        <v>3.6935133275967331</v>
      </c>
      <c r="D208" s="14">
        <v>0.96</v>
      </c>
      <c r="E208" s="15">
        <v>1.99</v>
      </c>
    </row>
    <row r="209" spans="1:6" ht="14.4" x14ac:dyDescent="0.3">
      <c r="A209" s="16" t="s">
        <v>43</v>
      </c>
      <c r="B209">
        <f t="shared" si="4"/>
        <v>2019</v>
      </c>
      <c r="C209" s="19">
        <v>3.0644536044552666</v>
      </c>
      <c r="E209" s="15">
        <v>0.66</v>
      </c>
    </row>
    <row r="210" spans="1:6" ht="14.4" x14ac:dyDescent="0.3">
      <c r="A210" s="16" t="s">
        <v>43</v>
      </c>
      <c r="B210">
        <f t="shared" si="4"/>
        <v>2020</v>
      </c>
      <c r="C210" s="19">
        <v>-0.69553398680940859</v>
      </c>
      <c r="D210" s="14">
        <v>0.96</v>
      </c>
    </row>
    <row r="211" spans="1:6" ht="14.4" x14ac:dyDescent="0.3">
      <c r="A211" s="16" t="s">
        <v>43</v>
      </c>
      <c r="B211">
        <f t="shared" si="4"/>
        <v>2021</v>
      </c>
      <c r="C211" s="19">
        <v>4.1420956597542897</v>
      </c>
      <c r="D211" s="14">
        <v>0.98</v>
      </c>
    </row>
    <row r="212" spans="1:6" ht="14.4" x14ac:dyDescent="0.3">
      <c r="A212" s="16" t="s">
        <v>44</v>
      </c>
      <c r="B212">
        <f t="shared" si="4"/>
        <v>2007</v>
      </c>
      <c r="C212" s="19">
        <v>5.9391815120126523</v>
      </c>
      <c r="D212" s="14">
        <v>0.95</v>
      </c>
      <c r="E212" s="15">
        <v>5.9</v>
      </c>
      <c r="F212" s="8">
        <v>0.97497</v>
      </c>
    </row>
    <row r="213" spans="1:6" ht="14.4" x14ac:dyDescent="0.3">
      <c r="A213" s="16" t="s">
        <v>44</v>
      </c>
      <c r="B213">
        <f t="shared" si="4"/>
        <v>2008</v>
      </c>
      <c r="C213" s="19">
        <v>5.0767302463891326</v>
      </c>
      <c r="D213" s="14">
        <v>0.95</v>
      </c>
      <c r="E213" s="15">
        <v>6.1</v>
      </c>
      <c r="F213" s="8" t="s">
        <v>25</v>
      </c>
    </row>
    <row r="214" spans="1:6" ht="14.4" x14ac:dyDescent="0.3">
      <c r="A214" s="16" t="s">
        <v>44</v>
      </c>
      <c r="B214">
        <f t="shared" si="4"/>
        <v>2009</v>
      </c>
      <c r="C214" s="19">
        <v>4.1246858122890444</v>
      </c>
      <c r="D214" s="14">
        <v>0.95</v>
      </c>
      <c r="E214" s="15">
        <v>6.4</v>
      </c>
      <c r="F214" s="8">
        <v>0.91239999999999999</v>
      </c>
    </row>
    <row r="215" spans="1:6" ht="14.4" x14ac:dyDescent="0.3">
      <c r="A215" s="16" t="s">
        <v>44</v>
      </c>
      <c r="B215">
        <f t="shared" si="4"/>
        <v>2010</v>
      </c>
      <c r="C215" s="19">
        <v>4.3734846638358533</v>
      </c>
      <c r="D215" s="14">
        <v>0.96</v>
      </c>
      <c r="E215" s="15">
        <v>6.8</v>
      </c>
      <c r="F215" s="8">
        <v>0.99136000000000002</v>
      </c>
    </row>
    <row r="216" spans="1:6" ht="14.4" x14ac:dyDescent="0.3">
      <c r="A216" s="16" t="s">
        <v>44</v>
      </c>
      <c r="B216">
        <f t="shared" si="4"/>
        <v>2011</v>
      </c>
      <c r="C216" s="19">
        <v>5.1745208767040936</v>
      </c>
      <c r="D216" s="14">
        <v>0.96</v>
      </c>
      <c r="E216" s="15">
        <v>6.3</v>
      </c>
      <c r="F216" s="8">
        <v>0.98597000000000001</v>
      </c>
    </row>
    <row r="217" spans="1:6" ht="14.4" x14ac:dyDescent="0.3">
      <c r="A217" s="16" t="s">
        <v>44</v>
      </c>
      <c r="B217">
        <f t="shared" si="4"/>
        <v>2012</v>
      </c>
      <c r="C217" s="19">
        <v>5.2049911186146716</v>
      </c>
      <c r="D217" s="14">
        <v>0.96</v>
      </c>
      <c r="E217" s="15">
        <v>6.3</v>
      </c>
      <c r="F217" s="8" t="s">
        <v>25</v>
      </c>
    </row>
    <row r="218" spans="1:6" ht="14.4" x14ac:dyDescent="0.3">
      <c r="A218" s="16" t="s">
        <v>44</v>
      </c>
      <c r="B218">
        <f t="shared" si="4"/>
        <v>2013</v>
      </c>
      <c r="C218" s="19">
        <v>4.6787219182313748</v>
      </c>
      <c r="D218" s="14">
        <v>0.96</v>
      </c>
      <c r="E218" s="15">
        <v>6.3</v>
      </c>
      <c r="F218" s="8" t="s">
        <v>25</v>
      </c>
    </row>
    <row r="219" spans="1:6" ht="14.4" x14ac:dyDescent="0.3">
      <c r="A219" s="16" t="s">
        <v>44</v>
      </c>
      <c r="B219">
        <f t="shared" si="4"/>
        <v>2014</v>
      </c>
      <c r="C219" s="19">
        <v>4.7477792265044059</v>
      </c>
      <c r="D219" s="14">
        <v>0.97</v>
      </c>
      <c r="E219" s="15">
        <v>5.8</v>
      </c>
      <c r="F219" s="8" t="s">
        <v>25</v>
      </c>
    </row>
    <row r="220" spans="1:6" ht="14.4" x14ac:dyDescent="0.3">
      <c r="A220" s="16" t="s">
        <v>44</v>
      </c>
      <c r="B220">
        <f t="shared" si="4"/>
        <v>2015</v>
      </c>
      <c r="C220" s="19">
        <v>5.2910608076876713</v>
      </c>
      <c r="D220" s="14">
        <v>0.97</v>
      </c>
      <c r="E220" s="15">
        <v>6.4</v>
      </c>
      <c r="F220" s="8" t="s">
        <v>25</v>
      </c>
    </row>
    <row r="221" spans="1:6" ht="14.4" x14ac:dyDescent="0.3">
      <c r="A221" s="16" t="s">
        <v>44</v>
      </c>
      <c r="B221">
        <f t="shared" ref="B221:B284" si="5">IF(A221=A220,B220+1,2007)</f>
        <v>2016</v>
      </c>
      <c r="C221" s="19">
        <v>5.8032103970802922</v>
      </c>
      <c r="D221" s="14">
        <v>0.97</v>
      </c>
      <c r="E221" s="15">
        <v>6.4</v>
      </c>
      <c r="F221" s="8" t="s">
        <v>25</v>
      </c>
    </row>
    <row r="222" spans="1:6" ht="14.4" x14ac:dyDescent="0.3">
      <c r="A222" s="16" t="s">
        <v>44</v>
      </c>
      <c r="B222">
        <f t="shared" si="5"/>
        <v>2017</v>
      </c>
      <c r="C222" s="19">
        <v>5.2664551128306414</v>
      </c>
      <c r="D222" s="14">
        <v>0.97</v>
      </c>
      <c r="E222" s="15">
        <v>6.4</v>
      </c>
      <c r="F222" s="8">
        <v>1.1485300000000001</v>
      </c>
    </row>
    <row r="223" spans="1:6" ht="14.4" x14ac:dyDescent="0.3">
      <c r="A223" s="16" t="s">
        <v>44</v>
      </c>
      <c r="B223">
        <f t="shared" si="5"/>
        <v>2018</v>
      </c>
      <c r="C223" s="19">
        <v>6.0802377688242188</v>
      </c>
      <c r="D223" s="14">
        <v>0.97</v>
      </c>
      <c r="E223" s="15">
        <v>5.78</v>
      </c>
      <c r="F223" s="8" t="s">
        <v>25</v>
      </c>
    </row>
    <row r="224" spans="1:6" ht="14.4" x14ac:dyDescent="0.3">
      <c r="A224" s="16" t="s">
        <v>44</v>
      </c>
      <c r="B224">
        <f t="shared" si="5"/>
        <v>2019</v>
      </c>
      <c r="C224" s="19">
        <v>6.6876627268888313</v>
      </c>
      <c r="E224" s="15">
        <v>6.2149999999999999</v>
      </c>
      <c r="F224" s="8">
        <v>1.1827000000000001</v>
      </c>
    </row>
    <row r="225" spans="1:6" ht="14.4" x14ac:dyDescent="0.3">
      <c r="A225" s="16" t="s">
        <v>44</v>
      </c>
      <c r="B225">
        <f t="shared" si="5"/>
        <v>2020</v>
      </c>
      <c r="C225" s="19">
        <v>2.2711012940570328</v>
      </c>
      <c r="D225" s="14">
        <v>0.97</v>
      </c>
      <c r="F225" s="8">
        <v>1.1977100000000001</v>
      </c>
    </row>
    <row r="226" spans="1:6" ht="14.4" x14ac:dyDescent="0.3">
      <c r="A226" s="16" t="s">
        <v>44</v>
      </c>
      <c r="B226">
        <f t="shared" si="5"/>
        <v>2021</v>
      </c>
      <c r="C226" s="19">
        <v>5.7166490872249511</v>
      </c>
      <c r="D226" s="14">
        <v>0.96</v>
      </c>
      <c r="F226" s="8">
        <v>1.1066199999999999</v>
      </c>
    </row>
    <row r="227" spans="1:6" ht="14.4" x14ac:dyDescent="0.3">
      <c r="A227" s="16" t="s">
        <v>45</v>
      </c>
      <c r="B227">
        <f t="shared" si="5"/>
        <v>2007</v>
      </c>
      <c r="C227" s="19">
        <v>7.4414886031963619</v>
      </c>
      <c r="D227" s="14">
        <v>0.98</v>
      </c>
      <c r="E227" s="15">
        <v>4</v>
      </c>
      <c r="F227" s="7" t="s">
        <v>25</v>
      </c>
    </row>
    <row r="228" spans="1:6" ht="14.4" x14ac:dyDescent="0.3">
      <c r="A228" s="16" t="s">
        <v>45</v>
      </c>
      <c r="B228">
        <f t="shared" si="5"/>
        <v>2008</v>
      </c>
      <c r="C228" s="19">
        <v>6.8771268799311827</v>
      </c>
      <c r="D228" s="14">
        <v>0.98</v>
      </c>
      <c r="E228" s="15">
        <v>3.9</v>
      </c>
      <c r="F228" s="7">
        <v>0.58199999999999996</v>
      </c>
    </row>
    <row r="229" spans="1:6" ht="14.4" x14ac:dyDescent="0.3">
      <c r="A229" s="16" t="s">
        <v>45</v>
      </c>
      <c r="B229">
        <f t="shared" si="5"/>
        <v>2009</v>
      </c>
      <c r="C229" s="19">
        <v>-2.7224155764344431</v>
      </c>
      <c r="D229" s="14">
        <v>0.98</v>
      </c>
      <c r="E229" s="15">
        <v>3.6</v>
      </c>
      <c r="F229" s="7">
        <v>0.58950000000000002</v>
      </c>
    </row>
    <row r="230" spans="1:6" ht="14.4" x14ac:dyDescent="0.3">
      <c r="A230" s="16" t="s">
        <v>45</v>
      </c>
      <c r="B230">
        <f t="shared" si="5"/>
        <v>2010</v>
      </c>
      <c r="C230" s="19">
        <v>2.2260786772168046</v>
      </c>
      <c r="D230" s="14">
        <v>0.98</v>
      </c>
      <c r="E230" s="15">
        <v>3.7</v>
      </c>
      <c r="F230" s="7">
        <v>0.61048999999999998</v>
      </c>
    </row>
    <row r="231" spans="1:6" ht="14.4" x14ac:dyDescent="0.3">
      <c r="A231" s="16" t="s">
        <v>45</v>
      </c>
      <c r="B231">
        <f t="shared" si="5"/>
        <v>2011</v>
      </c>
      <c r="C231" s="19">
        <v>2.7469107653366791</v>
      </c>
      <c r="D231" s="14">
        <v>0.98</v>
      </c>
      <c r="E231" s="15">
        <v>3.9</v>
      </c>
      <c r="F231" s="7">
        <v>0.61480000000000001</v>
      </c>
    </row>
    <row r="232" spans="1:6" ht="14.4" x14ac:dyDescent="0.3">
      <c r="A232" s="16" t="s">
        <v>45</v>
      </c>
      <c r="B232">
        <f t="shared" si="5"/>
        <v>2012</v>
      </c>
      <c r="C232" s="19">
        <v>1.3340660003801901</v>
      </c>
      <c r="D232" s="14">
        <v>0.98</v>
      </c>
      <c r="E232" s="15">
        <v>4.7</v>
      </c>
      <c r="F232" s="7" t="s">
        <v>25</v>
      </c>
    </row>
    <row r="233" spans="1:6" ht="14.4" x14ac:dyDescent="0.3">
      <c r="A233" s="16" t="s">
        <v>45</v>
      </c>
      <c r="B233">
        <f t="shared" si="5"/>
        <v>2013</v>
      </c>
      <c r="C233" s="19">
        <v>1.541884674132632E-2</v>
      </c>
      <c r="D233" s="14">
        <v>0.98</v>
      </c>
      <c r="E233" s="15">
        <v>3.8</v>
      </c>
      <c r="F233" s="7">
        <v>0.70567999999999997</v>
      </c>
    </row>
    <row r="234" spans="1:6" ht="14.4" x14ac:dyDescent="0.3">
      <c r="A234" s="16" t="s">
        <v>45</v>
      </c>
      <c r="B234">
        <f t="shared" si="5"/>
        <v>2014</v>
      </c>
      <c r="C234" s="19">
        <v>1.5248681107659507</v>
      </c>
      <c r="D234" s="14">
        <v>0.98</v>
      </c>
      <c r="E234" s="15">
        <v>3.5</v>
      </c>
      <c r="F234" s="7">
        <v>0.69862000000000002</v>
      </c>
    </row>
    <row r="235" spans="1:6" ht="14.4" x14ac:dyDescent="0.3">
      <c r="A235" s="16" t="s">
        <v>45</v>
      </c>
      <c r="B235">
        <f t="shared" si="5"/>
        <v>2015</v>
      </c>
      <c r="C235" s="19">
        <v>4.0594114079006545</v>
      </c>
      <c r="D235" s="14">
        <v>0.98</v>
      </c>
      <c r="E235" s="15">
        <v>3.9</v>
      </c>
      <c r="F235" s="7">
        <v>0.68944000000000005</v>
      </c>
    </row>
    <row r="236" spans="1:6" ht="14.4" x14ac:dyDescent="0.3">
      <c r="A236" s="16" t="s">
        <v>45</v>
      </c>
      <c r="B236">
        <f t="shared" si="5"/>
        <v>2016</v>
      </c>
      <c r="C236" s="19">
        <v>3.7517787845785335</v>
      </c>
      <c r="D236" s="14">
        <v>0.98</v>
      </c>
      <c r="E236" s="15">
        <v>4</v>
      </c>
      <c r="F236" s="7">
        <v>0.69655</v>
      </c>
    </row>
    <row r="237" spans="1:6" ht="14.4" x14ac:dyDescent="0.3">
      <c r="A237" s="16" t="s">
        <v>45</v>
      </c>
      <c r="B237">
        <f t="shared" si="5"/>
        <v>2017</v>
      </c>
      <c r="C237" s="19">
        <v>3.4991755485791032</v>
      </c>
      <c r="D237" s="14">
        <v>0.98</v>
      </c>
      <c r="E237" s="15">
        <v>3.8</v>
      </c>
      <c r="F237" s="7">
        <v>0.68555999999999995</v>
      </c>
    </row>
    <row r="238" spans="1:6" ht="14.4" x14ac:dyDescent="0.3">
      <c r="A238" s="16" t="s">
        <v>45</v>
      </c>
      <c r="B238">
        <f t="shared" si="5"/>
        <v>2018</v>
      </c>
      <c r="C238" s="19">
        <v>3.4391300631909445</v>
      </c>
      <c r="D238" s="14">
        <v>0.98</v>
      </c>
      <c r="E238" s="15">
        <v>3.3</v>
      </c>
      <c r="F238" s="7">
        <v>0.69137999999999999</v>
      </c>
    </row>
    <row r="239" spans="1:6" ht="14.4" x14ac:dyDescent="0.3">
      <c r="A239" s="16" t="s">
        <v>45</v>
      </c>
      <c r="B239">
        <f t="shared" si="5"/>
        <v>2019</v>
      </c>
      <c r="C239" s="19">
        <v>4.7700819526402114</v>
      </c>
      <c r="E239" s="15">
        <v>3.6</v>
      </c>
      <c r="F239" s="7">
        <v>0.68032000000000004</v>
      </c>
    </row>
    <row r="240" spans="1:6" ht="14.4" x14ac:dyDescent="0.3">
      <c r="A240" s="16" t="s">
        <v>45</v>
      </c>
      <c r="B240">
        <f t="shared" si="5"/>
        <v>2020</v>
      </c>
      <c r="C240" s="19">
        <v>-3.3879876659231627</v>
      </c>
      <c r="D240" s="14">
        <v>0.98</v>
      </c>
      <c r="F240" s="7">
        <v>0.72353000000000001</v>
      </c>
    </row>
    <row r="241" spans="1:6" ht="14.4" x14ac:dyDescent="0.3">
      <c r="A241" s="16" t="s">
        <v>45</v>
      </c>
      <c r="B241">
        <f t="shared" si="5"/>
        <v>2021</v>
      </c>
      <c r="C241" s="19">
        <v>8.5426099918781659</v>
      </c>
      <c r="D241" s="14">
        <v>0.98</v>
      </c>
      <c r="F241" s="7">
        <v>0.69320000000000004</v>
      </c>
    </row>
    <row r="242" spans="1:6" ht="14.4" x14ac:dyDescent="0.3">
      <c r="A242" s="16" t="s">
        <v>46</v>
      </c>
      <c r="B242">
        <f t="shared" si="5"/>
        <v>2007</v>
      </c>
      <c r="C242" s="19">
        <v>1.0554005156669888</v>
      </c>
      <c r="D242" s="14">
        <v>0.96</v>
      </c>
      <c r="E242" s="15">
        <v>1.3</v>
      </c>
      <c r="F242" s="8" t="s">
        <v>25</v>
      </c>
    </row>
    <row r="243" spans="1:6" ht="14.4" x14ac:dyDescent="0.3">
      <c r="A243" s="16" t="s">
        <v>46</v>
      </c>
      <c r="B243">
        <f t="shared" si="5"/>
        <v>2008</v>
      </c>
      <c r="C243" s="19">
        <v>-0.43497049858164871</v>
      </c>
      <c r="D243" s="14">
        <v>0.96</v>
      </c>
      <c r="E243" s="15">
        <v>1.1000000000000001</v>
      </c>
      <c r="F243" s="8">
        <v>6.9800000000000001E-2</v>
      </c>
    </row>
    <row r="244" spans="1:6" ht="14.4" x14ac:dyDescent="0.3">
      <c r="A244" s="16" t="s">
        <v>46</v>
      </c>
      <c r="B244">
        <f t="shared" si="5"/>
        <v>2009</v>
      </c>
      <c r="C244" s="19">
        <v>-3.4684344610000579</v>
      </c>
      <c r="D244" s="14">
        <v>0.96</v>
      </c>
      <c r="E244" s="15">
        <v>0.8</v>
      </c>
      <c r="F244" s="8">
        <v>8.3769999999999997E-2</v>
      </c>
    </row>
    <row r="245" spans="1:6" ht="14.4" x14ac:dyDescent="0.3">
      <c r="A245" s="16" t="s">
        <v>46</v>
      </c>
      <c r="B245">
        <f t="shared" si="5"/>
        <v>2010</v>
      </c>
      <c r="C245" s="19">
        <v>1.39489073188075</v>
      </c>
      <c r="D245" s="14">
        <v>0.96</v>
      </c>
      <c r="E245" s="15">
        <v>0.8</v>
      </c>
      <c r="F245" s="8">
        <v>7.979E-2</v>
      </c>
    </row>
    <row r="246" spans="1:6" ht="14.4" x14ac:dyDescent="0.3">
      <c r="A246" s="16" t="s">
        <v>46</v>
      </c>
      <c r="B246">
        <f t="shared" si="5"/>
        <v>2011</v>
      </c>
      <c r="C246" s="19">
        <v>2.1154456987907224</v>
      </c>
      <c r="D246" s="14">
        <v>0.96</v>
      </c>
      <c r="E246" s="15">
        <v>1.2</v>
      </c>
      <c r="F246" s="8" t="s">
        <v>25</v>
      </c>
    </row>
    <row r="247" spans="1:6" ht="14.4" x14ac:dyDescent="0.3">
      <c r="A247" s="16" t="s">
        <v>46</v>
      </c>
      <c r="B247">
        <f t="shared" si="5"/>
        <v>2012</v>
      </c>
      <c r="C247" s="19">
        <v>2.6389513943689167</v>
      </c>
      <c r="D247" s="14">
        <v>0.96</v>
      </c>
      <c r="E247" s="15">
        <v>1.4</v>
      </c>
      <c r="F247" s="8" t="s">
        <v>25</v>
      </c>
    </row>
    <row r="248" spans="1:6" ht="14.4" x14ac:dyDescent="0.3">
      <c r="A248" s="16" t="s">
        <v>46</v>
      </c>
      <c r="B248">
        <f t="shared" si="5"/>
        <v>2013</v>
      </c>
      <c r="C248" s="19">
        <v>2.3475958827441303</v>
      </c>
      <c r="D248" s="14">
        <v>0.96</v>
      </c>
      <c r="E248" s="15">
        <v>1.1000000000000001</v>
      </c>
      <c r="F248" s="8">
        <v>7.4090000000000003E-2</v>
      </c>
    </row>
    <row r="249" spans="1:6" ht="14.4" x14ac:dyDescent="0.3">
      <c r="A249" s="16" t="s">
        <v>46</v>
      </c>
      <c r="B249">
        <f t="shared" si="5"/>
        <v>2014</v>
      </c>
      <c r="C249" s="19">
        <v>0.41389413903054617</v>
      </c>
      <c r="D249" s="14">
        <v>0.96</v>
      </c>
      <c r="E249" s="15">
        <v>1.2</v>
      </c>
      <c r="F249" s="8" t="s">
        <v>25</v>
      </c>
    </row>
    <row r="250" spans="1:6" ht="14.4" x14ac:dyDescent="0.3">
      <c r="A250" s="16" t="s">
        <v>46</v>
      </c>
      <c r="B250">
        <f t="shared" si="5"/>
        <v>2015</v>
      </c>
      <c r="C250" s="19">
        <v>-0.98885529990906207</v>
      </c>
      <c r="D250" s="14">
        <v>0.96</v>
      </c>
      <c r="E250" s="15">
        <v>1.1000000000000001</v>
      </c>
      <c r="F250" s="8">
        <v>0.26254</v>
      </c>
    </row>
    <row r="251" spans="1:6" ht="14.4" x14ac:dyDescent="0.3">
      <c r="A251" s="16" t="s">
        <v>46</v>
      </c>
      <c r="B251">
        <f t="shared" si="5"/>
        <v>2016</v>
      </c>
      <c r="C251" s="19">
        <v>-1.4526319313944214E-2</v>
      </c>
      <c r="D251" s="14">
        <v>0.96</v>
      </c>
      <c r="E251" s="15">
        <v>1.1000000000000001</v>
      </c>
      <c r="F251" s="8">
        <v>0.27373999999999998</v>
      </c>
    </row>
    <row r="252" spans="1:6" ht="14.4" x14ac:dyDescent="0.3">
      <c r="A252" s="16" t="s">
        <v>46</v>
      </c>
      <c r="B252">
        <f t="shared" si="5"/>
        <v>2017</v>
      </c>
      <c r="C252" s="19">
        <v>0.45023218838487367</v>
      </c>
      <c r="D252" s="14">
        <v>0.96</v>
      </c>
      <c r="E252" s="15">
        <v>1.1000000000000001</v>
      </c>
      <c r="F252" s="8">
        <v>0.27028999999999997</v>
      </c>
    </row>
    <row r="253" spans="1:6" ht="14.4" x14ac:dyDescent="0.3">
      <c r="A253" s="16" t="s">
        <v>46</v>
      </c>
      <c r="B253">
        <f t="shared" si="5"/>
        <v>2018</v>
      </c>
      <c r="C253" s="19">
        <v>0.19145763348838329</v>
      </c>
      <c r="D253" s="14">
        <v>0.96</v>
      </c>
      <c r="E253" s="15">
        <v>1.4650000000000001</v>
      </c>
      <c r="F253" s="8">
        <v>0.28469</v>
      </c>
    </row>
    <row r="254" spans="1:6" ht="14.4" x14ac:dyDescent="0.3">
      <c r="A254" s="16" t="s">
        <v>46</v>
      </c>
      <c r="B254">
        <f t="shared" si="5"/>
        <v>2019</v>
      </c>
      <c r="C254" s="19">
        <v>1.6987241435001437</v>
      </c>
      <c r="E254" s="15">
        <v>1.365</v>
      </c>
      <c r="F254" s="8">
        <v>0.27943000000000001</v>
      </c>
    </row>
    <row r="255" spans="1:6" ht="14.4" x14ac:dyDescent="0.3">
      <c r="A255" s="16" t="s">
        <v>46</v>
      </c>
      <c r="B255">
        <f t="shared" si="5"/>
        <v>2020</v>
      </c>
      <c r="C255" s="19">
        <v>-3.5655986053501465</v>
      </c>
      <c r="D255" s="14">
        <v>0.96</v>
      </c>
      <c r="F255" s="8">
        <v>0.27282000000000001</v>
      </c>
    </row>
    <row r="256" spans="1:6" ht="14.4" x14ac:dyDescent="0.3">
      <c r="A256" s="16" t="s">
        <v>46</v>
      </c>
      <c r="B256">
        <f t="shared" si="5"/>
        <v>2021</v>
      </c>
      <c r="C256" s="19">
        <v>3.5862590018989096</v>
      </c>
      <c r="D256" s="14">
        <v>0.96</v>
      </c>
      <c r="F256" s="8">
        <v>0.32862999999999998</v>
      </c>
    </row>
    <row r="257" spans="1:6" ht="14.4" x14ac:dyDescent="0.3">
      <c r="A257" s="16" t="s">
        <v>47</v>
      </c>
      <c r="B257">
        <f t="shared" si="5"/>
        <v>2007</v>
      </c>
      <c r="C257" s="19">
        <v>2.7364578941458717E-2</v>
      </c>
      <c r="D257" s="14"/>
      <c r="E257" s="15">
        <v>0.3</v>
      </c>
      <c r="F257" s="7">
        <v>3.9390000000000001E-2</v>
      </c>
    </row>
    <row r="258" spans="1:6" ht="14.4" x14ac:dyDescent="0.3">
      <c r="A258" s="16" t="s">
        <v>47</v>
      </c>
      <c r="B258">
        <f t="shared" si="5"/>
        <v>2008</v>
      </c>
      <c r="C258" s="19">
        <v>-3.7045436424270122</v>
      </c>
      <c r="D258" s="14"/>
      <c r="E258" s="15">
        <v>0.3</v>
      </c>
      <c r="F258" s="7">
        <v>3.5400000000000001E-2</v>
      </c>
    </row>
    <row r="259" spans="1:6" ht="14.4" x14ac:dyDescent="0.3">
      <c r="A259" s="16" t="s">
        <v>47</v>
      </c>
      <c r="B259">
        <f t="shared" si="5"/>
        <v>2009</v>
      </c>
      <c r="C259" s="19">
        <v>-5.5454030809039665</v>
      </c>
      <c r="D259" s="14">
        <v>0.98</v>
      </c>
      <c r="E259" s="15">
        <v>0.3</v>
      </c>
      <c r="F259" s="7">
        <v>4.2380000000000001E-2</v>
      </c>
    </row>
    <row r="260" spans="1:6" ht="14.4" x14ac:dyDescent="0.3">
      <c r="A260" s="16" t="s">
        <v>47</v>
      </c>
      <c r="B260">
        <f t="shared" si="5"/>
        <v>2010</v>
      </c>
      <c r="C260" s="19">
        <v>0.12006123940469138</v>
      </c>
      <c r="D260" s="14">
        <v>0.98</v>
      </c>
      <c r="E260" s="15">
        <v>0.5</v>
      </c>
      <c r="F260" s="7">
        <v>9.3890000000000001E-2</v>
      </c>
    </row>
    <row r="261" spans="1:6" ht="14.4" x14ac:dyDescent="0.3">
      <c r="A261" s="16" t="s">
        <v>47</v>
      </c>
      <c r="B261">
        <f t="shared" si="5"/>
        <v>2011</v>
      </c>
      <c r="C261" s="19">
        <v>-0.63214851983762799</v>
      </c>
      <c r="D261" s="14">
        <v>0.98</v>
      </c>
      <c r="E261" s="15">
        <v>0.5</v>
      </c>
      <c r="F261" s="7" t="s">
        <v>25</v>
      </c>
    </row>
    <row r="262" spans="1:6" ht="14.4" x14ac:dyDescent="0.3">
      <c r="A262" s="16" t="s">
        <v>47</v>
      </c>
      <c r="B262">
        <f t="shared" si="5"/>
        <v>2012</v>
      </c>
      <c r="C262" s="19">
        <v>1.8896393950684569</v>
      </c>
      <c r="D262" s="14">
        <v>0.98</v>
      </c>
      <c r="E262" s="15">
        <v>0.3</v>
      </c>
      <c r="F262" s="7">
        <v>7.6480000000000006E-2</v>
      </c>
    </row>
    <row r="263" spans="1:6" ht="14.4" x14ac:dyDescent="0.3">
      <c r="A263" s="16" t="s">
        <v>47</v>
      </c>
      <c r="B263">
        <f t="shared" si="5"/>
        <v>2013</v>
      </c>
      <c r="C263" s="19">
        <v>-3.7672988412766841</v>
      </c>
      <c r="D263" s="14">
        <v>0.98</v>
      </c>
      <c r="E263" s="15">
        <v>0.3</v>
      </c>
      <c r="F263" s="7">
        <v>8.2250000000000004E-2</v>
      </c>
    </row>
    <row r="264" spans="1:6" ht="14.4" x14ac:dyDescent="0.3">
      <c r="A264" s="16" t="s">
        <v>47</v>
      </c>
      <c r="B264">
        <f t="shared" si="5"/>
        <v>2014</v>
      </c>
      <c r="C264" s="19">
        <v>0.93617867579638414</v>
      </c>
      <c r="D264" s="14">
        <v>0.98</v>
      </c>
      <c r="E264" s="15">
        <v>0.4</v>
      </c>
      <c r="F264" s="7">
        <v>0.1341</v>
      </c>
    </row>
    <row r="265" spans="1:6" ht="14.4" x14ac:dyDescent="0.3">
      <c r="A265" s="16" t="s">
        <v>47</v>
      </c>
      <c r="B265">
        <f t="shared" si="5"/>
        <v>2015</v>
      </c>
      <c r="C265" s="19">
        <v>7.9627995373272142E-2</v>
      </c>
      <c r="D265" s="14">
        <v>0.98</v>
      </c>
      <c r="E265" s="15">
        <v>0.7</v>
      </c>
      <c r="F265" s="7">
        <v>0.13666</v>
      </c>
    </row>
    <row r="266" spans="1:6" ht="14.4" x14ac:dyDescent="0.3">
      <c r="A266" s="16" t="s">
        <v>47</v>
      </c>
      <c r="B266">
        <f t="shared" si="5"/>
        <v>2016</v>
      </c>
      <c r="C266" s="19">
        <v>-1.7820238876750381</v>
      </c>
      <c r="D266" s="14">
        <v>0.98</v>
      </c>
      <c r="E266" s="15">
        <v>1.2</v>
      </c>
      <c r="F266" s="7" t="s">
        <v>25</v>
      </c>
    </row>
    <row r="267" spans="1:6" ht="14.4" x14ac:dyDescent="0.3">
      <c r="A267" s="16" t="s">
        <v>47</v>
      </c>
      <c r="B267">
        <f t="shared" si="5"/>
        <v>2017</v>
      </c>
      <c r="C267" s="19">
        <v>2.0152929495595799</v>
      </c>
      <c r="D267" s="14">
        <v>0.98</v>
      </c>
      <c r="E267" s="15">
        <v>1.2</v>
      </c>
      <c r="F267" s="7" t="s">
        <v>25</v>
      </c>
    </row>
    <row r="268" spans="1:6" ht="14.4" x14ac:dyDescent="0.3">
      <c r="A268" s="16" t="s">
        <v>47</v>
      </c>
      <c r="B268">
        <f t="shared" si="5"/>
        <v>2018</v>
      </c>
      <c r="C268" s="19">
        <v>1.8929268334212423</v>
      </c>
      <c r="D268" s="14">
        <v>0.98</v>
      </c>
      <c r="E268" s="15">
        <v>1.345</v>
      </c>
      <c r="F268" s="7" t="s">
        <v>25</v>
      </c>
    </row>
    <row r="269" spans="1:6" ht="14.4" x14ac:dyDescent="0.3">
      <c r="A269" s="16" t="s">
        <v>47</v>
      </c>
      <c r="B269">
        <f t="shared" si="5"/>
        <v>2019</v>
      </c>
      <c r="C269" s="19">
        <v>-2.003655927853174</v>
      </c>
      <c r="E269" s="15">
        <v>1.345</v>
      </c>
      <c r="F269" s="7" t="s">
        <v>25</v>
      </c>
    </row>
    <row r="270" spans="1:6" ht="14.4" x14ac:dyDescent="0.3">
      <c r="A270" s="16" t="s">
        <v>47</v>
      </c>
      <c r="B270">
        <f t="shared" si="5"/>
        <v>2020</v>
      </c>
      <c r="C270" s="19">
        <v>-21.793466071455441</v>
      </c>
      <c r="D270" s="14">
        <v>0.98</v>
      </c>
      <c r="F270" s="7" t="s">
        <v>25</v>
      </c>
    </row>
    <row r="271" spans="1:6" ht="14.4" x14ac:dyDescent="0.3">
      <c r="A271" s="16" t="s">
        <v>47</v>
      </c>
      <c r="B271">
        <f t="shared" si="5"/>
        <v>2021</v>
      </c>
      <c r="C271" s="19">
        <v>14.997164429850685</v>
      </c>
      <c r="D271" s="14">
        <v>0.98</v>
      </c>
      <c r="F271" s="7" t="s">
        <v>25</v>
      </c>
    </row>
    <row r="272" spans="1:6" ht="14.4" x14ac:dyDescent="0.3">
      <c r="A272" s="16" t="s">
        <v>48</v>
      </c>
      <c r="B272">
        <f t="shared" si="5"/>
        <v>2007</v>
      </c>
      <c r="C272" s="19">
        <v>7.1832867108151817</v>
      </c>
    </row>
    <row r="273" spans="1:5" ht="14.4" x14ac:dyDescent="0.3">
      <c r="A273" s="16" t="s">
        <v>48</v>
      </c>
      <c r="B273">
        <f t="shared" si="5"/>
        <v>2008</v>
      </c>
      <c r="C273" s="19">
        <v>7.1680927869293214</v>
      </c>
    </row>
    <row r="274" spans="1:5" ht="14.4" x14ac:dyDescent="0.3">
      <c r="A274" s="16" t="s">
        <v>48</v>
      </c>
      <c r="B274">
        <f t="shared" si="5"/>
        <v>2009</v>
      </c>
      <c r="C274" s="19">
        <v>-1.3625291674916582</v>
      </c>
    </row>
    <row r="275" spans="1:5" ht="14.4" x14ac:dyDescent="0.3">
      <c r="A275" s="16" t="s">
        <v>48</v>
      </c>
      <c r="B275">
        <f t="shared" si="5"/>
        <v>2010</v>
      </c>
      <c r="C275" s="19">
        <v>2.629970489761547</v>
      </c>
    </row>
    <row r="276" spans="1:5" ht="14.4" x14ac:dyDescent="0.3">
      <c r="A276" s="16" t="s">
        <v>48</v>
      </c>
      <c r="B276">
        <f t="shared" si="5"/>
        <v>2011</v>
      </c>
      <c r="C276" s="19">
        <v>2.7921414149466557</v>
      </c>
    </row>
    <row r="277" spans="1:5" ht="14.4" x14ac:dyDescent="0.3">
      <c r="A277" s="16" t="s">
        <v>48</v>
      </c>
      <c r="B277">
        <f t="shared" si="5"/>
        <v>2012</v>
      </c>
      <c r="C277" s="19">
        <v>1.0343392850664657</v>
      </c>
    </row>
    <row r="278" spans="1:5" ht="14.4" x14ac:dyDescent="0.3">
      <c r="A278" s="16" t="s">
        <v>48</v>
      </c>
      <c r="B278">
        <f t="shared" si="5"/>
        <v>2013</v>
      </c>
      <c r="C278" s="19">
        <v>3.9572961290077444</v>
      </c>
    </row>
    <row r="279" spans="1:5" ht="14.4" x14ac:dyDescent="0.3">
      <c r="A279" s="16" t="s">
        <v>48</v>
      </c>
      <c r="B279">
        <f t="shared" si="5"/>
        <v>2014</v>
      </c>
      <c r="C279" s="19">
        <v>2.4707522798610881</v>
      </c>
    </row>
    <row r="280" spans="1:5" ht="14.4" x14ac:dyDescent="0.3">
      <c r="A280" s="16" t="s">
        <v>48</v>
      </c>
      <c r="B280">
        <f t="shared" si="5"/>
        <v>2015</v>
      </c>
      <c r="C280" s="19">
        <v>5.6983035145196368</v>
      </c>
    </row>
    <row r="281" spans="1:5" ht="14.4" x14ac:dyDescent="0.3">
      <c r="A281" s="16" t="s">
        <v>48</v>
      </c>
      <c r="B281">
        <f t="shared" si="5"/>
        <v>2016</v>
      </c>
      <c r="C281" s="19">
        <v>4.5276131121432002</v>
      </c>
    </row>
    <row r="282" spans="1:5" ht="14.4" x14ac:dyDescent="0.3">
      <c r="A282" s="16" t="s">
        <v>48</v>
      </c>
      <c r="B282">
        <f t="shared" si="5"/>
        <v>2017</v>
      </c>
      <c r="C282" s="19">
        <v>4.4733864067052309</v>
      </c>
    </row>
    <row r="283" spans="1:5" ht="14.4" x14ac:dyDescent="0.3">
      <c r="A283" s="16" t="s">
        <v>48</v>
      </c>
      <c r="B283">
        <f t="shared" si="5"/>
        <v>2018</v>
      </c>
      <c r="C283" s="19">
        <v>5.0458381459326489</v>
      </c>
    </row>
    <row r="284" spans="1:5" ht="14.4" x14ac:dyDescent="0.3">
      <c r="A284" s="16" t="s">
        <v>48</v>
      </c>
      <c r="B284">
        <f t="shared" si="5"/>
        <v>2019</v>
      </c>
      <c r="C284" s="19">
        <v>4.0941157503269636</v>
      </c>
    </row>
    <row r="285" spans="1:5" ht="14.4" x14ac:dyDescent="0.3">
      <c r="A285" s="16" t="s">
        <v>48</v>
      </c>
      <c r="B285">
        <f t="shared" ref="B285:B348" si="6">IF(A285=A284,B284+1,2007)</f>
        <v>2020</v>
      </c>
      <c r="C285" s="19">
        <v>-1.7787038867086835</v>
      </c>
    </row>
    <row r="286" spans="1:5" ht="14.4" x14ac:dyDescent="0.3">
      <c r="A286" s="16" t="s">
        <v>48</v>
      </c>
      <c r="B286">
        <f t="shared" si="6"/>
        <v>2021</v>
      </c>
      <c r="C286" s="19">
        <v>8.9482766160143399</v>
      </c>
    </row>
    <row r="287" spans="1:5" ht="14.4" x14ac:dyDescent="0.3">
      <c r="A287" s="16" t="s">
        <v>49</v>
      </c>
      <c r="B287">
        <f t="shared" si="6"/>
        <v>2007</v>
      </c>
      <c r="C287" s="19">
        <v>9.099460041594682</v>
      </c>
      <c r="D287" s="14">
        <v>0.98</v>
      </c>
      <c r="E287" s="15">
        <v>4.4000000000000004</v>
      </c>
    </row>
    <row r="288" spans="1:5" ht="14.4" x14ac:dyDescent="0.3">
      <c r="A288" s="16" t="s">
        <v>49</v>
      </c>
      <c r="B288">
        <f t="shared" si="6"/>
        <v>2008</v>
      </c>
      <c r="C288" s="19">
        <v>10.581305025009996</v>
      </c>
      <c r="D288" s="14">
        <v>0.98</v>
      </c>
      <c r="E288" s="15">
        <v>4.4000000000000004</v>
      </c>
    </row>
    <row r="289" spans="1:6" ht="14.4" x14ac:dyDescent="0.3">
      <c r="A289" s="16" t="s">
        <v>49</v>
      </c>
      <c r="B289">
        <f t="shared" si="6"/>
        <v>2009</v>
      </c>
      <c r="C289" s="19">
        <v>0.446705735139588</v>
      </c>
      <c r="D289" s="14">
        <v>0.98</v>
      </c>
      <c r="E289" s="15">
        <v>4.7</v>
      </c>
    </row>
    <row r="290" spans="1:6" ht="14.4" x14ac:dyDescent="0.3">
      <c r="A290" s="16" t="s">
        <v>49</v>
      </c>
      <c r="B290">
        <f t="shared" si="6"/>
        <v>2010</v>
      </c>
      <c r="C290" s="19">
        <v>8.0340881465819507</v>
      </c>
      <c r="D290" s="14"/>
      <c r="E290" s="15">
        <v>3.6</v>
      </c>
    </row>
    <row r="291" spans="1:6" ht="14.4" x14ac:dyDescent="0.3">
      <c r="A291" s="16" t="s">
        <v>49</v>
      </c>
      <c r="B291">
        <f t="shared" si="6"/>
        <v>2011</v>
      </c>
      <c r="C291" s="19">
        <v>5.6258812410737278</v>
      </c>
      <c r="D291" s="14"/>
      <c r="E291" s="15">
        <v>4.3</v>
      </c>
    </row>
    <row r="292" spans="1:6" ht="14.4" x14ac:dyDescent="0.3">
      <c r="A292" s="16" t="s">
        <v>49</v>
      </c>
      <c r="B292">
        <f t="shared" si="6"/>
        <v>2012</v>
      </c>
      <c r="C292" s="19">
        <v>1.8465202654741404</v>
      </c>
      <c r="D292" s="14"/>
      <c r="E292" s="15">
        <v>5.0999999999999996</v>
      </c>
    </row>
    <row r="293" spans="1:6" ht="14.4" x14ac:dyDescent="0.3">
      <c r="A293" s="16" t="s">
        <v>49</v>
      </c>
      <c r="B293">
        <f t="shared" si="6"/>
        <v>2013</v>
      </c>
      <c r="C293" s="19">
        <v>1.0422433439175336</v>
      </c>
      <c r="D293" s="14"/>
      <c r="E293" s="15">
        <v>5</v>
      </c>
    </row>
    <row r="294" spans="1:6" ht="14.4" x14ac:dyDescent="0.3">
      <c r="A294" s="16" t="s">
        <v>49</v>
      </c>
      <c r="B294">
        <f t="shared" si="6"/>
        <v>2014</v>
      </c>
      <c r="C294" s="19">
        <v>1.6691051620507409</v>
      </c>
      <c r="D294" s="14">
        <v>0.98</v>
      </c>
      <c r="E294" s="15">
        <v>4.5</v>
      </c>
    </row>
    <row r="295" spans="1:6" ht="14.4" x14ac:dyDescent="0.3">
      <c r="A295" s="16" t="s">
        <v>49</v>
      </c>
      <c r="B295">
        <f t="shared" si="6"/>
        <v>2015</v>
      </c>
      <c r="C295" s="19">
        <v>-3.9573436434146601</v>
      </c>
      <c r="D295" s="14">
        <v>0.98</v>
      </c>
      <c r="E295" s="15">
        <v>5.2</v>
      </c>
    </row>
    <row r="296" spans="1:6" ht="14.4" x14ac:dyDescent="0.3">
      <c r="A296" s="16" t="s">
        <v>49</v>
      </c>
      <c r="B296">
        <f t="shared" si="6"/>
        <v>2016</v>
      </c>
      <c r="C296" s="19">
        <v>-2.6112993178811621</v>
      </c>
      <c r="D296" s="14">
        <v>0.98</v>
      </c>
      <c r="E296" s="15">
        <v>4.5999999999999996</v>
      </c>
    </row>
    <row r="297" spans="1:6" ht="14.4" x14ac:dyDescent="0.3">
      <c r="A297" s="16" t="s">
        <v>49</v>
      </c>
      <c r="B297">
        <f t="shared" si="6"/>
        <v>2017</v>
      </c>
      <c r="C297" s="19">
        <v>2.6442470875854838</v>
      </c>
      <c r="D297" s="14">
        <v>0.98</v>
      </c>
      <c r="E297" s="15">
        <v>4.5999999999999996</v>
      </c>
    </row>
    <row r="298" spans="1:6" ht="14.4" x14ac:dyDescent="0.3">
      <c r="A298" s="16" t="s">
        <v>49</v>
      </c>
      <c r="B298">
        <f t="shared" si="6"/>
        <v>2018</v>
      </c>
      <c r="C298" s="19">
        <v>3.3704343700900807</v>
      </c>
      <c r="D298" s="14">
        <v>0.98</v>
      </c>
      <c r="E298" s="15">
        <v>4.8049999999999997</v>
      </c>
    </row>
    <row r="299" spans="1:6" ht="14.4" x14ac:dyDescent="0.3">
      <c r="A299" s="16" t="s">
        <v>49</v>
      </c>
      <c r="B299">
        <f t="shared" si="6"/>
        <v>2019</v>
      </c>
      <c r="C299" s="19">
        <v>1.6511181957527867</v>
      </c>
      <c r="E299" s="15">
        <v>4.3499999999999996</v>
      </c>
    </row>
    <row r="300" spans="1:6" ht="14.4" x14ac:dyDescent="0.3">
      <c r="A300" s="16" t="s">
        <v>49</v>
      </c>
      <c r="B300">
        <f t="shared" si="6"/>
        <v>2020</v>
      </c>
      <c r="C300" s="19">
        <v>-0.25138657609306847</v>
      </c>
      <c r="D300" s="14">
        <v>0.98</v>
      </c>
    </row>
    <row r="301" spans="1:6" ht="14.4" x14ac:dyDescent="0.3">
      <c r="A301" s="16" t="s">
        <v>49</v>
      </c>
      <c r="B301">
        <f t="shared" si="6"/>
        <v>2021</v>
      </c>
      <c r="C301" s="19">
        <v>3.29082150587152</v>
      </c>
      <c r="D301" s="14">
        <v>0.98</v>
      </c>
    </row>
    <row r="302" spans="1:6" ht="14.4" x14ac:dyDescent="0.3">
      <c r="A302" s="16" t="s">
        <v>305</v>
      </c>
      <c r="B302">
        <f t="shared" si="6"/>
        <v>2007</v>
      </c>
      <c r="C302" s="19">
        <v>0.3618985504139971</v>
      </c>
      <c r="D302" s="14">
        <v>0.98</v>
      </c>
      <c r="E302" s="15">
        <v>1</v>
      </c>
      <c r="F302" s="8">
        <v>0.18959000000000001</v>
      </c>
    </row>
    <row r="303" spans="1:6" ht="14.4" x14ac:dyDescent="0.3">
      <c r="A303" s="16" t="s">
        <v>305</v>
      </c>
      <c r="B303">
        <f t="shared" si="6"/>
        <v>2008</v>
      </c>
      <c r="C303" s="19">
        <v>-4.2759325265272423</v>
      </c>
      <c r="D303" s="14">
        <v>0.98</v>
      </c>
      <c r="E303" s="15">
        <v>1</v>
      </c>
      <c r="F303" s="8">
        <v>0.18909000000000001</v>
      </c>
    </row>
    <row r="304" spans="1:6" ht="14.4" x14ac:dyDescent="0.3">
      <c r="A304" s="16" t="s">
        <v>305</v>
      </c>
      <c r="B304">
        <f t="shared" si="6"/>
        <v>2009</v>
      </c>
      <c r="C304" s="19">
        <v>-3.1440316004069899</v>
      </c>
      <c r="D304" s="14">
        <v>0.98</v>
      </c>
      <c r="E304" s="15">
        <v>0.8</v>
      </c>
      <c r="F304" s="8">
        <v>0.22819</v>
      </c>
    </row>
    <row r="305" spans="1:6" ht="14.4" x14ac:dyDescent="0.3">
      <c r="A305" s="16" t="s">
        <v>305</v>
      </c>
      <c r="B305">
        <f t="shared" si="6"/>
        <v>2010</v>
      </c>
      <c r="C305" s="19">
        <v>-1.254067768448266</v>
      </c>
      <c r="D305" s="14">
        <v>0.98</v>
      </c>
      <c r="E305" s="15">
        <v>1</v>
      </c>
      <c r="F305" s="8">
        <v>0.22750000000000001</v>
      </c>
    </row>
    <row r="306" spans="1:6" ht="14.4" x14ac:dyDescent="0.3">
      <c r="A306" s="16" t="s">
        <v>305</v>
      </c>
      <c r="B306">
        <f t="shared" si="6"/>
        <v>2011</v>
      </c>
      <c r="C306" s="19">
        <v>-2.5467353026105854</v>
      </c>
      <c r="D306" s="14">
        <v>0.98</v>
      </c>
      <c r="E306" s="15">
        <v>1.1000000000000001</v>
      </c>
      <c r="F306" s="8">
        <v>0.26129999999999998</v>
      </c>
    </row>
    <row r="307" spans="1:6" ht="14.4" x14ac:dyDescent="0.3">
      <c r="A307" s="16" t="s">
        <v>305</v>
      </c>
      <c r="B307">
        <f t="shared" si="6"/>
        <v>2012</v>
      </c>
      <c r="C307" s="19">
        <v>1.3485358262069695</v>
      </c>
      <c r="D307" s="14">
        <v>0.98</v>
      </c>
      <c r="E307" s="15">
        <v>1.4</v>
      </c>
      <c r="F307" s="8">
        <v>0.28687000000000001</v>
      </c>
    </row>
    <row r="308" spans="1:6" ht="14.4" x14ac:dyDescent="0.3">
      <c r="A308" s="16" t="s">
        <v>305</v>
      </c>
      <c r="B308">
        <f t="shared" si="6"/>
        <v>2013</v>
      </c>
      <c r="C308" s="19">
        <v>2.1261192556082875</v>
      </c>
      <c r="D308" s="14">
        <v>0.98</v>
      </c>
      <c r="E308" s="15">
        <v>1.5</v>
      </c>
      <c r="F308" s="8">
        <v>0.31752000000000002</v>
      </c>
    </row>
    <row r="309" spans="1:6" ht="14.4" x14ac:dyDescent="0.3">
      <c r="A309" s="16" t="s">
        <v>305</v>
      </c>
      <c r="B309">
        <f t="shared" si="6"/>
        <v>2014</v>
      </c>
      <c r="C309" s="19">
        <v>1.7480101606643501</v>
      </c>
      <c r="D309" s="14">
        <v>0.98</v>
      </c>
      <c r="E309" s="15">
        <v>1.9</v>
      </c>
      <c r="F309" s="8">
        <v>0.36873</v>
      </c>
    </row>
    <row r="310" spans="1:6" ht="14.4" x14ac:dyDescent="0.3">
      <c r="A310" s="16" t="s">
        <v>305</v>
      </c>
      <c r="B310">
        <f t="shared" si="6"/>
        <v>2015</v>
      </c>
      <c r="C310" s="19">
        <v>1.0638648526027481</v>
      </c>
      <c r="D310" s="14">
        <v>0.98</v>
      </c>
      <c r="E310" s="15">
        <v>1</v>
      </c>
      <c r="F310" s="8">
        <v>0.42363000000000001</v>
      </c>
    </row>
    <row r="311" spans="1:6" ht="14.4" x14ac:dyDescent="0.3">
      <c r="A311" s="16" t="s">
        <v>305</v>
      </c>
      <c r="B311">
        <f t="shared" si="6"/>
        <v>2016</v>
      </c>
      <c r="C311" s="19">
        <v>-2.0368758138389467</v>
      </c>
      <c r="D311" s="14">
        <v>0.98</v>
      </c>
      <c r="E311" s="15">
        <v>1</v>
      </c>
      <c r="F311" s="8">
        <v>0.41983999999999999</v>
      </c>
    </row>
    <row r="312" spans="1:6" ht="14.4" x14ac:dyDescent="0.3">
      <c r="A312" s="16" t="s">
        <v>305</v>
      </c>
      <c r="B312">
        <f t="shared" si="6"/>
        <v>2017</v>
      </c>
      <c r="C312" s="19">
        <v>-3.7472613385834563</v>
      </c>
      <c r="D312" s="14">
        <v>0.98</v>
      </c>
      <c r="E312" s="15">
        <v>1</v>
      </c>
      <c r="F312" s="8">
        <v>0.42270999999999997</v>
      </c>
    </row>
    <row r="313" spans="1:6" ht="14.4" x14ac:dyDescent="0.3">
      <c r="A313" s="16" t="s">
        <v>305</v>
      </c>
      <c r="B313">
        <f t="shared" si="6"/>
        <v>2018</v>
      </c>
      <c r="C313" s="19">
        <v>-0.89454369701937253</v>
      </c>
      <c r="D313" s="14">
        <v>0.98</v>
      </c>
      <c r="E313" s="15">
        <v>0.94499999999999995</v>
      </c>
      <c r="F313" s="8">
        <v>0.39995999999999998</v>
      </c>
    </row>
    <row r="314" spans="1:6" ht="14.4" x14ac:dyDescent="0.3">
      <c r="A314" s="16" t="s">
        <v>305</v>
      </c>
      <c r="B314">
        <f t="shared" si="6"/>
        <v>2019</v>
      </c>
      <c r="C314" s="19">
        <v>2.353207273447893</v>
      </c>
      <c r="E314" s="15">
        <v>0.90999999999999992</v>
      </c>
      <c r="F314" s="8">
        <v>0.40035999999999999</v>
      </c>
    </row>
    <row r="315" spans="1:6" ht="14.4" x14ac:dyDescent="0.3">
      <c r="A315" s="16" t="s">
        <v>305</v>
      </c>
      <c r="B315">
        <f t="shared" si="6"/>
        <v>2020</v>
      </c>
      <c r="C315" s="19">
        <v>-15.004348570966258</v>
      </c>
      <c r="D315" s="14">
        <v>0.98</v>
      </c>
      <c r="F315" s="8">
        <v>0.38341999999999998</v>
      </c>
    </row>
    <row r="316" spans="1:6" ht="14.4" x14ac:dyDescent="0.3">
      <c r="A316" s="16" t="s">
        <v>305</v>
      </c>
      <c r="B316">
        <f t="shared" si="6"/>
        <v>2021</v>
      </c>
      <c r="C316" s="19">
        <v>16.356871750373074</v>
      </c>
      <c r="D316" s="14">
        <v>0.98</v>
      </c>
      <c r="F316" s="8">
        <v>0.36188999999999999</v>
      </c>
    </row>
    <row r="317" spans="1:6" ht="14.4" x14ac:dyDescent="0.3">
      <c r="A317" s="16" t="s">
        <v>775</v>
      </c>
      <c r="B317">
        <f t="shared" si="6"/>
        <v>2007</v>
      </c>
      <c r="C317" s="19">
        <v>2.7638153345666154</v>
      </c>
    </row>
    <row r="318" spans="1:6" ht="14.4" x14ac:dyDescent="0.3">
      <c r="A318" s="16" t="s">
        <v>775</v>
      </c>
      <c r="B318">
        <f t="shared" si="6"/>
        <v>2008</v>
      </c>
      <c r="C318" s="19">
        <v>-2.4447802561598166</v>
      </c>
    </row>
    <row r="319" spans="1:6" ht="14.4" x14ac:dyDescent="0.3">
      <c r="A319" s="16" t="s">
        <v>775</v>
      </c>
      <c r="B319">
        <f t="shared" si="6"/>
        <v>2009</v>
      </c>
      <c r="C319" s="19">
        <v>-6.148629405486588</v>
      </c>
    </row>
    <row r="320" spans="1:6" ht="14.4" x14ac:dyDescent="0.3">
      <c r="A320" s="16" t="s">
        <v>775</v>
      </c>
      <c r="B320">
        <f t="shared" si="6"/>
        <v>2010</v>
      </c>
      <c r="C320" s="19">
        <v>-1.7363632364089199</v>
      </c>
    </row>
    <row r="321" spans="1:5" ht="14.4" x14ac:dyDescent="0.3">
      <c r="A321" s="16" t="s">
        <v>775</v>
      </c>
      <c r="B321">
        <f t="shared" si="6"/>
        <v>2011</v>
      </c>
      <c r="C321" s="19">
        <v>-2.9078508290504885</v>
      </c>
    </row>
    <row r="322" spans="1:5" ht="14.4" x14ac:dyDescent="0.3">
      <c r="A322" s="16" t="s">
        <v>775</v>
      </c>
      <c r="B322">
        <f t="shared" si="6"/>
        <v>2012</v>
      </c>
      <c r="C322" s="19">
        <v>-5.6472627477452875</v>
      </c>
    </row>
    <row r="323" spans="1:5" ht="14.4" x14ac:dyDescent="0.3">
      <c r="A323" s="16" t="s">
        <v>775</v>
      </c>
      <c r="B323">
        <f t="shared" si="6"/>
        <v>2013</v>
      </c>
      <c r="C323" s="19">
        <v>-0.59113789520654336</v>
      </c>
    </row>
    <row r="324" spans="1:5" ht="14.4" x14ac:dyDescent="0.3">
      <c r="A324" s="16" t="s">
        <v>775</v>
      </c>
      <c r="B324">
        <f t="shared" si="6"/>
        <v>2014</v>
      </c>
      <c r="C324" s="19">
        <v>-3.9036061078688533</v>
      </c>
    </row>
    <row r="325" spans="1:5" ht="14.4" x14ac:dyDescent="0.3">
      <c r="A325" s="16" t="s">
        <v>775</v>
      </c>
      <c r="B325">
        <f t="shared" si="6"/>
        <v>2015</v>
      </c>
      <c r="C325" s="19">
        <v>0.62259842682104249</v>
      </c>
    </row>
    <row r="326" spans="1:5" ht="14.4" x14ac:dyDescent="0.3">
      <c r="A326" s="16" t="s">
        <v>775</v>
      </c>
      <c r="B326">
        <f t="shared" si="6"/>
        <v>2016</v>
      </c>
      <c r="C326" s="19">
        <v>0.39386919987983049</v>
      </c>
    </row>
    <row r="327" spans="1:5" ht="14.4" x14ac:dyDescent="0.3">
      <c r="A327" s="16" t="s">
        <v>775</v>
      </c>
      <c r="B327">
        <f t="shared" si="6"/>
        <v>2017</v>
      </c>
      <c r="C327" s="19">
        <v>4.7161022053394248</v>
      </c>
    </row>
    <row r="328" spans="1:5" ht="14.4" x14ac:dyDescent="0.3">
      <c r="A328" s="16" t="s">
        <v>775</v>
      </c>
      <c r="B328">
        <f t="shared" si="6"/>
        <v>2018</v>
      </c>
      <c r="C328" s="19">
        <v>-0.50289929998704963</v>
      </c>
    </row>
    <row r="329" spans="1:5" ht="14.4" x14ac:dyDescent="0.3">
      <c r="A329" s="16" t="s">
        <v>775</v>
      </c>
      <c r="B329">
        <f t="shared" si="6"/>
        <v>2019</v>
      </c>
      <c r="C329" s="19">
        <v>0.31725301094776626</v>
      </c>
    </row>
    <row r="330" spans="1:5" ht="14.4" x14ac:dyDescent="0.3">
      <c r="A330" s="16" t="s">
        <v>775</v>
      </c>
      <c r="B330">
        <f t="shared" si="6"/>
        <v>2020</v>
      </c>
      <c r="C330" s="19">
        <v>-6.8166253225697204</v>
      </c>
    </row>
    <row r="331" spans="1:5" ht="14.4" x14ac:dyDescent="0.3">
      <c r="A331" s="16" t="s">
        <v>775</v>
      </c>
      <c r="B331">
        <f t="shared" si="6"/>
        <v>2021</v>
      </c>
      <c r="C331" s="19">
        <v>5.63236664329429</v>
      </c>
    </row>
    <row r="332" spans="1:5" ht="14.4" x14ac:dyDescent="0.3">
      <c r="A332" s="16" t="s">
        <v>52</v>
      </c>
      <c r="B332">
        <f t="shared" si="6"/>
        <v>2007</v>
      </c>
      <c r="C332" s="19">
        <v>2.7501866802633259</v>
      </c>
      <c r="D332" s="14">
        <v>0.97</v>
      </c>
      <c r="E332" s="15">
        <v>0.9</v>
      </c>
    </row>
    <row r="333" spans="1:5" ht="14.4" x14ac:dyDescent="0.3">
      <c r="A333" s="16" t="s">
        <v>52</v>
      </c>
      <c r="B333">
        <f t="shared" si="6"/>
        <v>2008</v>
      </c>
      <c r="C333" s="19">
        <v>4.3281711362999715</v>
      </c>
      <c r="D333" s="14">
        <v>0.97</v>
      </c>
      <c r="E333" s="15">
        <v>0.8</v>
      </c>
    </row>
    <row r="334" spans="1:5" ht="14.4" x14ac:dyDescent="0.3">
      <c r="A334" s="16" t="s">
        <v>52</v>
      </c>
      <c r="B334">
        <f t="shared" si="6"/>
        <v>2009</v>
      </c>
      <c r="C334" s="19">
        <v>1.6014564553965727</v>
      </c>
      <c r="D334" s="14">
        <v>0.97</v>
      </c>
      <c r="E334" s="15">
        <v>0.7</v>
      </c>
    </row>
    <row r="335" spans="1:5" ht="14.4" x14ac:dyDescent="0.3">
      <c r="A335" s="16" t="s">
        <v>52</v>
      </c>
      <c r="B335">
        <f t="shared" si="6"/>
        <v>2010</v>
      </c>
      <c r="C335" s="19">
        <v>2.3753355759725139</v>
      </c>
      <c r="D335" s="14">
        <v>0.97</v>
      </c>
      <c r="E335" s="15">
        <v>1.2</v>
      </c>
    </row>
    <row r="336" spans="1:5" ht="14.4" x14ac:dyDescent="0.3">
      <c r="A336" s="16" t="s">
        <v>52</v>
      </c>
      <c r="B336">
        <f t="shared" si="6"/>
        <v>2011</v>
      </c>
      <c r="C336" s="19">
        <v>3.4536737732665728</v>
      </c>
      <c r="D336" s="14">
        <v>0.97</v>
      </c>
      <c r="E336" s="15">
        <v>0.6</v>
      </c>
    </row>
    <row r="337" spans="1:5" ht="14.4" x14ac:dyDescent="0.3">
      <c r="A337" s="16" t="s">
        <v>52</v>
      </c>
      <c r="B337">
        <f t="shared" si="6"/>
        <v>2012</v>
      </c>
      <c r="C337" s="19">
        <v>3.3971964398801617</v>
      </c>
      <c r="D337" s="14">
        <v>0.97</v>
      </c>
      <c r="E337" s="15">
        <v>0.5</v>
      </c>
    </row>
    <row r="338" spans="1:5" ht="14.4" x14ac:dyDescent="0.3">
      <c r="A338" s="16" t="s">
        <v>52</v>
      </c>
      <c r="B338">
        <f t="shared" si="6"/>
        <v>2013</v>
      </c>
      <c r="C338" s="19">
        <v>5.0697954244661787</v>
      </c>
      <c r="D338" s="14">
        <v>0.97</v>
      </c>
      <c r="E338" s="15">
        <v>0.7</v>
      </c>
    </row>
    <row r="339" spans="1:5" ht="14.4" x14ac:dyDescent="0.3">
      <c r="A339" s="16" t="s">
        <v>52</v>
      </c>
      <c r="B339">
        <f t="shared" si="6"/>
        <v>2014</v>
      </c>
      <c r="C339" s="19">
        <v>3.7831870593498422</v>
      </c>
      <c r="D339" s="14">
        <v>0.98</v>
      </c>
      <c r="E339" s="15">
        <v>0.8</v>
      </c>
    </row>
    <row r="340" spans="1:5" ht="14.4" x14ac:dyDescent="0.3">
      <c r="A340" s="16" t="s">
        <v>52</v>
      </c>
      <c r="B340">
        <f t="shared" si="6"/>
        <v>2015</v>
      </c>
      <c r="C340" s="19">
        <v>3.2205388234180248</v>
      </c>
      <c r="D340" s="14">
        <v>0.98</v>
      </c>
      <c r="E340" s="15">
        <v>1.1000000000000001</v>
      </c>
    </row>
    <row r="341" spans="1:5" ht="14.4" x14ac:dyDescent="0.3">
      <c r="A341" s="16" t="s">
        <v>52</v>
      </c>
      <c r="B341">
        <f t="shared" si="6"/>
        <v>2016</v>
      </c>
      <c r="C341" s="19">
        <v>2.6630742135253911</v>
      </c>
      <c r="D341" s="14">
        <v>0.98</v>
      </c>
      <c r="E341" s="15">
        <v>1.6</v>
      </c>
    </row>
    <row r="342" spans="1:5" ht="14.4" x14ac:dyDescent="0.3">
      <c r="A342" s="16" t="s">
        <v>52</v>
      </c>
      <c r="B342">
        <f t="shared" si="6"/>
        <v>2017</v>
      </c>
      <c r="C342" s="19">
        <v>2.6233033356185729</v>
      </c>
      <c r="D342" s="14">
        <v>0.98</v>
      </c>
      <c r="E342" s="15">
        <v>1.3</v>
      </c>
    </row>
    <row r="343" spans="1:5" ht="14.4" x14ac:dyDescent="0.3">
      <c r="A343" s="16" t="s">
        <v>52</v>
      </c>
      <c r="B343">
        <f t="shared" si="6"/>
        <v>2018</v>
      </c>
      <c r="C343" s="19">
        <v>2.6847973391909647</v>
      </c>
      <c r="D343" s="14">
        <v>0.98</v>
      </c>
      <c r="E343" s="15">
        <v>2</v>
      </c>
    </row>
    <row r="344" spans="1:5" ht="14.4" x14ac:dyDescent="0.3">
      <c r="A344" s="16" t="s">
        <v>52</v>
      </c>
      <c r="B344">
        <f t="shared" si="6"/>
        <v>2019</v>
      </c>
      <c r="C344" s="19">
        <v>0.73769715524475998</v>
      </c>
      <c r="E344" s="15">
        <v>1.6</v>
      </c>
    </row>
    <row r="345" spans="1:5" ht="14.4" x14ac:dyDescent="0.3">
      <c r="A345" s="16" t="s">
        <v>52</v>
      </c>
      <c r="B345">
        <f t="shared" si="6"/>
        <v>2020</v>
      </c>
      <c r="C345" s="19">
        <v>-9.9524048445553461</v>
      </c>
      <c r="D345" s="14">
        <v>0.98</v>
      </c>
    </row>
    <row r="346" spans="1:5" ht="14.4" x14ac:dyDescent="0.3">
      <c r="A346" s="16" t="s">
        <v>52</v>
      </c>
      <c r="B346">
        <f t="shared" si="6"/>
        <v>2021</v>
      </c>
      <c r="C346" s="19">
        <v>4.8524748892548928</v>
      </c>
      <c r="D346" s="14">
        <v>0.96</v>
      </c>
    </row>
    <row r="347" spans="1:5" ht="14.4" x14ac:dyDescent="0.3">
      <c r="A347" s="16" t="s">
        <v>53</v>
      </c>
      <c r="B347">
        <f t="shared" si="6"/>
        <v>2007</v>
      </c>
      <c r="C347" s="19">
        <v>4.9808299200050357</v>
      </c>
      <c r="D347" s="14">
        <v>0.98</v>
      </c>
      <c r="E347" s="15">
        <v>0.4</v>
      </c>
    </row>
    <row r="348" spans="1:5" ht="14.4" x14ac:dyDescent="0.3">
      <c r="A348" s="16" t="s">
        <v>53</v>
      </c>
      <c r="B348">
        <f t="shared" si="6"/>
        <v>2008</v>
      </c>
      <c r="C348" s="19">
        <v>4.0617221662156311</v>
      </c>
      <c r="D348" s="14">
        <v>0.98</v>
      </c>
      <c r="E348" s="15">
        <v>0.6</v>
      </c>
    </row>
    <row r="349" spans="1:5" ht="14.4" x14ac:dyDescent="0.3">
      <c r="A349" s="16" t="s">
        <v>53</v>
      </c>
      <c r="B349">
        <f t="shared" ref="B349:B412" si="7">IF(A349=A348,B348+1,2007)</f>
        <v>2009</v>
      </c>
      <c r="C349" s="19">
        <v>-1.0732383326647863</v>
      </c>
      <c r="D349" s="14">
        <v>0.98</v>
      </c>
      <c r="E349" s="15">
        <v>1</v>
      </c>
    </row>
    <row r="350" spans="1:5" ht="14.4" x14ac:dyDescent="0.3">
      <c r="A350" s="16" t="s">
        <v>53</v>
      </c>
      <c r="B350">
        <f t="shared" si="7"/>
        <v>2010</v>
      </c>
      <c r="C350" s="19">
        <v>6.5228161792292667</v>
      </c>
      <c r="D350" s="14">
        <v>0.98</v>
      </c>
      <c r="E350" s="15">
        <v>1</v>
      </c>
    </row>
    <row r="351" spans="1:5" ht="14.4" x14ac:dyDescent="0.3">
      <c r="A351" s="16" t="s">
        <v>53</v>
      </c>
      <c r="B351">
        <f t="shared" si="7"/>
        <v>2011</v>
      </c>
      <c r="C351" s="19">
        <v>3.0133962726197439</v>
      </c>
      <c r="D351" s="14">
        <v>0.98</v>
      </c>
      <c r="E351" s="15">
        <v>0.4</v>
      </c>
    </row>
    <row r="352" spans="1:5" ht="14.4" x14ac:dyDescent="0.3">
      <c r="A352" s="16" t="s">
        <v>53</v>
      </c>
      <c r="B352">
        <f t="shared" si="7"/>
        <v>2012</v>
      </c>
      <c r="C352" s="19">
        <v>1.0076540328270482</v>
      </c>
      <c r="D352" s="14">
        <v>0.98</v>
      </c>
      <c r="E352" s="15">
        <v>0.6</v>
      </c>
    </row>
    <row r="353" spans="1:5" ht="14.4" x14ac:dyDescent="0.3">
      <c r="A353" s="16" t="s">
        <v>53</v>
      </c>
      <c r="B353">
        <f t="shared" si="7"/>
        <v>2013</v>
      </c>
      <c r="C353" s="19">
        <v>2.1142564519430351</v>
      </c>
      <c r="D353" s="14">
        <v>0.98</v>
      </c>
      <c r="E353" s="15">
        <v>0.2</v>
      </c>
    </row>
    <row r="354" spans="1:5" ht="14.4" x14ac:dyDescent="0.3">
      <c r="A354" s="16" t="s">
        <v>53</v>
      </c>
      <c r="B354">
        <f t="shared" si="7"/>
        <v>2014</v>
      </c>
      <c r="C354" s="19">
        <v>-0.35451480226443266</v>
      </c>
      <c r="D354" s="14">
        <v>0.98</v>
      </c>
      <c r="E354" s="15">
        <v>0.7</v>
      </c>
    </row>
    <row r="355" spans="1:5" ht="14.4" x14ac:dyDescent="0.3">
      <c r="A355" s="16" t="s">
        <v>53</v>
      </c>
      <c r="B355">
        <f t="shared" si="7"/>
        <v>2015</v>
      </c>
      <c r="C355" s="19">
        <v>-4.3583171793933673</v>
      </c>
      <c r="D355" s="14">
        <v>0.98</v>
      </c>
      <c r="E355" s="15">
        <v>0.7</v>
      </c>
    </row>
    <row r="356" spans="1:5" ht="14.4" x14ac:dyDescent="0.3">
      <c r="A356" s="16" t="s">
        <v>53</v>
      </c>
      <c r="B356">
        <f t="shared" si="7"/>
        <v>2016</v>
      </c>
      <c r="C356" s="19">
        <v>-4.0574230024056845</v>
      </c>
      <c r="D356" s="14">
        <v>0.98</v>
      </c>
      <c r="E356" s="15">
        <v>1.4</v>
      </c>
    </row>
    <row r="357" spans="1:5" ht="14.4" x14ac:dyDescent="0.3">
      <c r="A357" s="16" t="s">
        <v>53</v>
      </c>
      <c r="B357">
        <f t="shared" si="7"/>
        <v>2017</v>
      </c>
      <c r="C357" s="19">
        <v>0.5232965885742118</v>
      </c>
      <c r="D357" s="14">
        <v>0.98</v>
      </c>
      <c r="E357" s="15">
        <v>1.3</v>
      </c>
    </row>
    <row r="358" spans="1:5" ht="14.4" x14ac:dyDescent="0.3">
      <c r="A358" s="16" t="s">
        <v>53</v>
      </c>
      <c r="B358">
        <f t="shared" si="7"/>
        <v>2018</v>
      </c>
      <c r="C358" s="19">
        <v>0.97893849269739519</v>
      </c>
      <c r="D358" s="14">
        <v>0.98</v>
      </c>
      <c r="E358" s="15">
        <v>2.4550000000000001</v>
      </c>
    </row>
    <row r="359" spans="1:5" ht="14.4" x14ac:dyDescent="0.3">
      <c r="A359" s="16" t="s">
        <v>53</v>
      </c>
      <c r="B359">
        <f t="shared" si="7"/>
        <v>2019</v>
      </c>
      <c r="C359" s="19">
        <v>0.44828040714865836</v>
      </c>
      <c r="E359" s="15">
        <v>2.4800000000000004</v>
      </c>
    </row>
    <row r="360" spans="1:5" ht="14.4" x14ac:dyDescent="0.3">
      <c r="A360" s="16" t="s">
        <v>53</v>
      </c>
      <c r="B360">
        <f t="shared" si="7"/>
        <v>2020</v>
      </c>
      <c r="C360" s="19">
        <v>-3.9180041715403888</v>
      </c>
      <c r="D360" s="14">
        <v>0.98</v>
      </c>
    </row>
    <row r="361" spans="1:5" ht="14.4" x14ac:dyDescent="0.3">
      <c r="A361" s="16" t="s">
        <v>53</v>
      </c>
      <c r="B361">
        <f t="shared" si="7"/>
        <v>2021</v>
      </c>
      <c r="C361" s="19">
        <v>4.210300253531571</v>
      </c>
      <c r="D361" s="14">
        <v>0.98</v>
      </c>
    </row>
    <row r="362" spans="1:5" ht="14.4" x14ac:dyDescent="0.3">
      <c r="A362" s="16" t="s">
        <v>55</v>
      </c>
      <c r="B362">
        <f t="shared" si="7"/>
        <v>2007</v>
      </c>
      <c r="C362" s="19">
        <v>1.6959789246799915</v>
      </c>
      <c r="D362" s="14"/>
      <c r="E362" s="15">
        <v>7.2</v>
      </c>
    </row>
    <row r="363" spans="1:5" ht="14.4" x14ac:dyDescent="0.3">
      <c r="A363" s="16" t="s">
        <v>55</v>
      </c>
      <c r="B363">
        <f t="shared" si="7"/>
        <v>2008</v>
      </c>
      <c r="C363" s="19">
        <v>0.19384599843503736</v>
      </c>
      <c r="D363" s="14">
        <v>0.98</v>
      </c>
      <c r="E363" s="15">
        <v>6.7</v>
      </c>
    </row>
    <row r="364" spans="1:5" ht="14.4" x14ac:dyDescent="0.3">
      <c r="A364" s="16" t="s">
        <v>55</v>
      </c>
      <c r="B364">
        <f t="shared" si="7"/>
        <v>2009</v>
      </c>
      <c r="C364" s="19">
        <v>-5.418311891980963</v>
      </c>
      <c r="D364" s="14">
        <v>0.98</v>
      </c>
      <c r="E364" s="15">
        <v>5.8</v>
      </c>
    </row>
    <row r="365" spans="1:5" ht="14.4" x14ac:dyDescent="0.3">
      <c r="A365" s="16" t="s">
        <v>55</v>
      </c>
      <c r="B365">
        <f t="shared" si="7"/>
        <v>2010</v>
      </c>
      <c r="C365" s="19">
        <v>-2.5451807834260194</v>
      </c>
      <c r="D365" s="14">
        <v>0.98</v>
      </c>
      <c r="E365" s="15">
        <v>6.5</v>
      </c>
    </row>
    <row r="366" spans="1:5" ht="14.4" x14ac:dyDescent="0.3">
      <c r="A366" s="16" t="s">
        <v>55</v>
      </c>
      <c r="B366">
        <f t="shared" si="7"/>
        <v>2011</v>
      </c>
      <c r="C366" s="19">
        <v>-1.05154423827166</v>
      </c>
      <c r="D366" s="14">
        <v>0.98</v>
      </c>
      <c r="E366" s="15">
        <v>6.8</v>
      </c>
    </row>
    <row r="367" spans="1:5" ht="14.4" x14ac:dyDescent="0.3">
      <c r="A367" s="16" t="s">
        <v>55</v>
      </c>
      <c r="B367">
        <f t="shared" si="7"/>
        <v>2012</v>
      </c>
      <c r="C367" s="19">
        <v>-0.50589405927603082</v>
      </c>
      <c r="D367" s="14">
        <v>0.98</v>
      </c>
      <c r="E367" s="15">
        <v>7</v>
      </c>
    </row>
    <row r="368" spans="1:5" ht="14.4" x14ac:dyDescent="0.3">
      <c r="A368" s="16" t="s">
        <v>55</v>
      </c>
      <c r="B368">
        <f t="shared" si="7"/>
        <v>2013</v>
      </c>
      <c r="C368" s="19">
        <v>-1.5516470666634632</v>
      </c>
      <c r="D368" s="14">
        <v>0.98</v>
      </c>
      <c r="E368" s="15">
        <v>6.9</v>
      </c>
    </row>
    <row r="369" spans="1:6" ht="14.4" x14ac:dyDescent="0.3">
      <c r="A369" s="16" t="s">
        <v>55</v>
      </c>
      <c r="B369">
        <f t="shared" si="7"/>
        <v>2014</v>
      </c>
      <c r="C369" s="19">
        <v>-0.28446800299660424</v>
      </c>
      <c r="D369" s="14">
        <v>0.98</v>
      </c>
      <c r="E369" s="15">
        <v>5.6</v>
      </c>
    </row>
    <row r="370" spans="1:6" ht="14.4" x14ac:dyDescent="0.3">
      <c r="A370" s="16" t="s">
        <v>55</v>
      </c>
      <c r="B370">
        <f t="shared" si="7"/>
        <v>2015</v>
      </c>
      <c r="C370" s="19">
        <v>2.2066157705039871</v>
      </c>
      <c r="D370" s="14">
        <v>0.98</v>
      </c>
      <c r="E370" s="15">
        <v>6.9</v>
      </c>
    </row>
    <row r="371" spans="1:6" ht="14.4" x14ac:dyDescent="0.3">
      <c r="A371" s="16" t="s">
        <v>55</v>
      </c>
      <c r="B371">
        <f t="shared" si="7"/>
        <v>2016</v>
      </c>
      <c r="C371" s="19">
        <v>2.3443699936477174</v>
      </c>
      <c r="D371" s="14">
        <v>0.98</v>
      </c>
      <c r="E371" s="15">
        <v>7.2</v>
      </c>
    </row>
    <row r="372" spans="1:6" ht="14.4" x14ac:dyDescent="0.3">
      <c r="A372" s="16" t="s">
        <v>55</v>
      </c>
      <c r="B372">
        <f t="shared" si="7"/>
        <v>2017</v>
      </c>
      <c r="C372" s="19">
        <v>0.32105880202082915</v>
      </c>
      <c r="D372" s="14">
        <v>0.97</v>
      </c>
      <c r="E372" s="15">
        <v>6.6</v>
      </c>
    </row>
    <row r="373" spans="1:6" ht="14.4" x14ac:dyDescent="0.3">
      <c r="A373" s="16" t="s">
        <v>55</v>
      </c>
      <c r="B373">
        <f t="shared" si="7"/>
        <v>2018</v>
      </c>
      <c r="C373" s="19">
        <v>-0.92414374051395498</v>
      </c>
      <c r="D373" s="14">
        <v>0.98</v>
      </c>
      <c r="E373" s="15">
        <v>7.2349999999999994</v>
      </c>
    </row>
    <row r="374" spans="1:6" ht="14.4" x14ac:dyDescent="0.3">
      <c r="A374" s="16" t="s">
        <v>55</v>
      </c>
      <c r="B374">
        <f t="shared" si="7"/>
        <v>2019</v>
      </c>
      <c r="C374" s="19">
        <v>0.20362523472373084</v>
      </c>
      <c r="E374" s="15">
        <v>6.5049999999999999</v>
      </c>
    </row>
    <row r="375" spans="1:6" ht="14.4" x14ac:dyDescent="0.3">
      <c r="A375" s="16" t="s">
        <v>55</v>
      </c>
      <c r="B375">
        <f t="shared" si="7"/>
        <v>2020</v>
      </c>
      <c r="C375" s="19">
        <v>-12.699510624482315</v>
      </c>
      <c r="D375" s="14">
        <v>0.98</v>
      </c>
    </row>
    <row r="376" spans="1:6" ht="14.4" x14ac:dyDescent="0.3">
      <c r="A376" s="16" t="s">
        <v>55</v>
      </c>
      <c r="B376">
        <f t="shared" si="7"/>
        <v>2021</v>
      </c>
      <c r="C376" s="19">
        <v>-1.3613625505985567</v>
      </c>
      <c r="D376" s="14">
        <v>0.97</v>
      </c>
    </row>
    <row r="377" spans="1:6" ht="14.4" x14ac:dyDescent="0.3">
      <c r="A377" s="16" t="s">
        <v>56</v>
      </c>
      <c r="B377">
        <f t="shared" si="7"/>
        <v>2007</v>
      </c>
      <c r="C377" s="19">
        <v>-1.4161676468992681</v>
      </c>
      <c r="D377" s="14"/>
      <c r="E377" s="15">
        <v>4</v>
      </c>
      <c r="F377" s="8">
        <v>0.70248999999999995</v>
      </c>
    </row>
    <row r="378" spans="1:6" ht="14.4" x14ac:dyDescent="0.3">
      <c r="A378" s="16" t="s">
        <v>56</v>
      </c>
      <c r="B378">
        <f t="shared" si="7"/>
        <v>2008</v>
      </c>
      <c r="C378" s="19">
        <v>-3.423745708574728</v>
      </c>
      <c r="D378" s="14">
        <v>0.97</v>
      </c>
      <c r="E378" s="15">
        <v>4.9000000000000004</v>
      </c>
      <c r="F378" s="8">
        <v>0.80444000000000004</v>
      </c>
    </row>
    <row r="379" spans="1:6" ht="14.4" x14ac:dyDescent="0.3">
      <c r="A379" s="16" t="s">
        <v>56</v>
      </c>
      <c r="B379">
        <f t="shared" si="7"/>
        <v>2009</v>
      </c>
      <c r="C379" s="19">
        <v>-3.209963091116208</v>
      </c>
      <c r="D379" s="14">
        <v>0.97</v>
      </c>
      <c r="E379" s="15">
        <v>4.9000000000000004</v>
      </c>
      <c r="F379" s="8">
        <v>0.85268999999999995</v>
      </c>
    </row>
    <row r="380" spans="1:6" ht="14.4" x14ac:dyDescent="0.3">
      <c r="A380" s="16" t="s">
        <v>56</v>
      </c>
      <c r="B380">
        <f t="shared" si="7"/>
        <v>2010</v>
      </c>
      <c r="C380" s="19">
        <v>1.1114798258206093</v>
      </c>
      <c r="D380" s="14">
        <v>0.97</v>
      </c>
      <c r="E380" s="15">
        <v>3.3</v>
      </c>
      <c r="F380" s="8">
        <v>0.86909999999999998</v>
      </c>
    </row>
    <row r="381" spans="1:6" ht="14.4" x14ac:dyDescent="0.3">
      <c r="A381" s="16" t="s">
        <v>56</v>
      </c>
      <c r="B381">
        <f t="shared" si="7"/>
        <v>2011</v>
      </c>
      <c r="C381" s="19">
        <v>2.3363151965061206</v>
      </c>
      <c r="D381" s="14">
        <v>0.97</v>
      </c>
      <c r="E381" s="15">
        <v>3.9</v>
      </c>
      <c r="F381" s="8">
        <v>0.81330999999999998</v>
      </c>
    </row>
    <row r="382" spans="1:6" ht="14.4" x14ac:dyDescent="0.3">
      <c r="A382" s="16" t="s">
        <v>56</v>
      </c>
      <c r="B382">
        <f t="shared" si="7"/>
        <v>2012</v>
      </c>
      <c r="C382" s="19">
        <v>-0.35975494439166766</v>
      </c>
      <c r="D382" s="14">
        <v>0.97</v>
      </c>
      <c r="E382" s="15">
        <v>5.2</v>
      </c>
      <c r="F382" s="8">
        <v>0.84543999999999997</v>
      </c>
    </row>
    <row r="383" spans="1:6" ht="14.4" x14ac:dyDescent="0.3">
      <c r="A383" s="16" t="s">
        <v>56</v>
      </c>
      <c r="B383">
        <f t="shared" si="7"/>
        <v>2013</v>
      </c>
      <c r="C383" s="19">
        <v>-3.3308448347230382</v>
      </c>
      <c r="D383" s="14">
        <v>0.97</v>
      </c>
      <c r="E383" s="15">
        <v>5.4</v>
      </c>
      <c r="F383" s="8">
        <v>1.0282</v>
      </c>
    </row>
    <row r="384" spans="1:6" ht="14.4" x14ac:dyDescent="0.3">
      <c r="A384" s="16" t="s">
        <v>56</v>
      </c>
      <c r="B384">
        <f t="shared" si="7"/>
        <v>2014</v>
      </c>
      <c r="C384" s="19">
        <v>-3.6675189324305677</v>
      </c>
      <c r="D384" s="14">
        <v>0.97</v>
      </c>
      <c r="E384" s="15">
        <v>5.5</v>
      </c>
      <c r="F384" s="8" t="s">
        <v>25</v>
      </c>
    </row>
    <row r="385" spans="1:6" ht="14.4" x14ac:dyDescent="0.3">
      <c r="A385" s="16" t="s">
        <v>56</v>
      </c>
      <c r="B385">
        <f t="shared" si="7"/>
        <v>2015</v>
      </c>
      <c r="C385" s="19">
        <v>-1.522384231884061</v>
      </c>
      <c r="D385" s="14">
        <v>0.97</v>
      </c>
      <c r="E385" s="15">
        <v>5</v>
      </c>
      <c r="F385" s="8" t="s">
        <v>25</v>
      </c>
    </row>
    <row r="386" spans="1:6" ht="14.4" x14ac:dyDescent="0.3">
      <c r="A386" s="16" t="s">
        <v>56</v>
      </c>
      <c r="B386">
        <f t="shared" si="7"/>
        <v>2016</v>
      </c>
      <c r="C386" s="19">
        <v>-3.521143981982803</v>
      </c>
      <c r="D386" s="14">
        <v>0.97</v>
      </c>
      <c r="E386" s="15">
        <v>5.7</v>
      </c>
      <c r="F386" s="8" t="s">
        <v>25</v>
      </c>
    </row>
    <row r="387" spans="1:6" ht="14.4" x14ac:dyDescent="0.3">
      <c r="A387" s="16" t="s">
        <v>56</v>
      </c>
      <c r="B387">
        <f t="shared" si="7"/>
        <v>2017</v>
      </c>
      <c r="C387" s="19">
        <v>0.32020543877322893</v>
      </c>
      <c r="D387" s="14">
        <v>0.97</v>
      </c>
      <c r="E387" s="15">
        <v>5.3</v>
      </c>
      <c r="F387" s="8">
        <v>0.93381000000000003</v>
      </c>
    </row>
    <row r="388" spans="1:6" ht="14.4" x14ac:dyDescent="0.3">
      <c r="A388" s="16" t="s">
        <v>56</v>
      </c>
      <c r="B388">
        <f t="shared" si="7"/>
        <v>2018</v>
      </c>
      <c r="C388" s="19">
        <v>-0.86886005686672263</v>
      </c>
      <c r="D388" s="14">
        <v>0.97</v>
      </c>
      <c r="E388" s="15">
        <v>4.4799999999999995</v>
      </c>
      <c r="F388" s="8">
        <v>0.91605999999999999</v>
      </c>
    </row>
    <row r="389" spans="1:6" ht="14.4" x14ac:dyDescent="0.3">
      <c r="A389" s="16" t="s">
        <v>56</v>
      </c>
      <c r="B389">
        <f t="shared" si="7"/>
        <v>2019</v>
      </c>
      <c r="C389" s="19">
        <v>2.9742261522544027</v>
      </c>
      <c r="E389" s="15">
        <v>4.6549999999999994</v>
      </c>
      <c r="F389" s="8">
        <v>0.9335</v>
      </c>
    </row>
    <row r="390" spans="1:6" ht="14.4" x14ac:dyDescent="0.3">
      <c r="A390" s="16" t="s">
        <v>56</v>
      </c>
      <c r="B390">
        <f t="shared" si="7"/>
        <v>2020</v>
      </c>
      <c r="C390" s="19">
        <v>0.29171891700163144</v>
      </c>
      <c r="D390" s="14">
        <v>0.97</v>
      </c>
      <c r="F390" s="8">
        <v>0.97209999999999996</v>
      </c>
    </row>
    <row r="391" spans="1:6" ht="14.4" x14ac:dyDescent="0.3">
      <c r="A391" s="16" t="s">
        <v>56</v>
      </c>
      <c r="B391">
        <f t="shared" si="7"/>
        <v>2021</v>
      </c>
      <c r="C391" s="19">
        <v>-2.3968215628809588</v>
      </c>
      <c r="D391" s="14">
        <v>0.96</v>
      </c>
      <c r="F391" s="8">
        <v>1.0318700000000001</v>
      </c>
    </row>
    <row r="392" spans="1:6" ht="14.4" x14ac:dyDescent="0.3">
      <c r="A392" s="16" t="s">
        <v>57</v>
      </c>
      <c r="B392">
        <f t="shared" si="7"/>
        <v>2007</v>
      </c>
      <c r="C392" s="19">
        <v>14.681779774574878</v>
      </c>
      <c r="D392" s="14"/>
      <c r="E392" s="15">
        <v>0.3</v>
      </c>
    </row>
    <row r="393" spans="1:6" ht="14.4" x14ac:dyDescent="0.3">
      <c r="A393" s="16" t="s">
        <v>57</v>
      </c>
      <c r="B393">
        <f t="shared" si="7"/>
        <v>2008</v>
      </c>
      <c r="C393" s="19">
        <v>3.298410322521292</v>
      </c>
      <c r="D393" s="14"/>
      <c r="E393" s="15">
        <v>0.7</v>
      </c>
    </row>
    <row r="394" spans="1:6" ht="14.4" x14ac:dyDescent="0.3">
      <c r="A394" s="16" t="s">
        <v>57</v>
      </c>
      <c r="B394">
        <f t="shared" si="7"/>
        <v>2009</v>
      </c>
      <c r="C394" s="19">
        <v>6.4420165285707043</v>
      </c>
      <c r="D394" s="14"/>
      <c r="E394" s="15">
        <v>0.8</v>
      </c>
    </row>
    <row r="395" spans="1:6" ht="14.4" x14ac:dyDescent="0.3">
      <c r="A395" s="16" t="s">
        <v>57</v>
      </c>
      <c r="B395">
        <f t="shared" si="7"/>
        <v>2010</v>
      </c>
      <c r="C395" s="19">
        <v>10.68835564193445</v>
      </c>
      <c r="D395" s="14"/>
      <c r="E395" s="15">
        <v>1.3</v>
      </c>
    </row>
    <row r="396" spans="1:6" ht="14.4" x14ac:dyDescent="0.3">
      <c r="A396" s="16" t="s">
        <v>57</v>
      </c>
      <c r="B396">
        <f t="shared" si="7"/>
        <v>2011</v>
      </c>
      <c r="C396" s="19">
        <v>7.1210678747336544</v>
      </c>
      <c r="D396" s="14"/>
      <c r="E396" s="15">
        <v>0.8</v>
      </c>
    </row>
    <row r="397" spans="1:6" ht="14.4" x14ac:dyDescent="0.3">
      <c r="A397" s="16" t="s">
        <v>57</v>
      </c>
      <c r="B397">
        <f t="shared" si="7"/>
        <v>2012</v>
      </c>
      <c r="C397" s="19">
        <v>3.9567255726462633</v>
      </c>
      <c r="D397" s="14"/>
      <c r="E397" s="15">
        <v>0.8</v>
      </c>
    </row>
    <row r="398" spans="1:6" ht="14.4" x14ac:dyDescent="0.3">
      <c r="A398" s="16" t="s">
        <v>57</v>
      </c>
      <c r="B398">
        <f t="shared" si="7"/>
        <v>2013</v>
      </c>
      <c r="C398" s="19">
        <v>0.57839663873315317</v>
      </c>
      <c r="D398" s="14">
        <v>0.97</v>
      </c>
      <c r="E398" s="15">
        <v>1.3</v>
      </c>
    </row>
    <row r="399" spans="1:6" ht="14.4" x14ac:dyDescent="0.3">
      <c r="A399" s="16" t="s">
        <v>57</v>
      </c>
      <c r="B399">
        <f t="shared" si="7"/>
        <v>2014</v>
      </c>
      <c r="C399" s="19">
        <v>4.6456940695834987</v>
      </c>
      <c r="D399" s="14">
        <v>0.97</v>
      </c>
      <c r="E399" s="15">
        <v>0.4</v>
      </c>
    </row>
    <row r="400" spans="1:6" ht="14.4" x14ac:dyDescent="0.3">
      <c r="A400" s="16" t="s">
        <v>57</v>
      </c>
      <c r="B400">
        <f t="shared" si="7"/>
        <v>2015</v>
      </c>
      <c r="C400" s="19">
        <v>5.5767150682372488</v>
      </c>
      <c r="D400" s="14">
        <v>0.97</v>
      </c>
      <c r="E400" s="15">
        <v>1.6</v>
      </c>
    </row>
    <row r="401" spans="1:5" ht="14.4" x14ac:dyDescent="0.3">
      <c r="A401" s="16" t="s">
        <v>57</v>
      </c>
      <c r="B401">
        <f t="shared" si="7"/>
        <v>2016</v>
      </c>
      <c r="C401" s="19">
        <v>7.4626623573832944</v>
      </c>
      <c r="D401" s="14">
        <v>0.97</v>
      </c>
      <c r="E401" s="15">
        <v>1.2</v>
      </c>
    </row>
    <row r="402" spans="1:5" ht="14.4" x14ac:dyDescent="0.3">
      <c r="A402" s="16" t="s">
        <v>57</v>
      </c>
      <c r="B402">
        <f t="shared" si="7"/>
        <v>2017</v>
      </c>
      <c r="C402" s="19">
        <v>2.636928803707363</v>
      </c>
      <c r="D402" s="14">
        <v>0.96</v>
      </c>
      <c r="E402" s="15">
        <v>1.8</v>
      </c>
    </row>
    <row r="403" spans="1:5" ht="14.4" x14ac:dyDescent="0.3">
      <c r="A403" s="16" t="s">
        <v>57</v>
      </c>
      <c r="B403">
        <f t="shared" si="7"/>
        <v>2018</v>
      </c>
      <c r="C403" s="19">
        <v>2.6903944524498797</v>
      </c>
      <c r="D403" s="14">
        <v>0.96</v>
      </c>
      <c r="E403" s="15">
        <v>2.6850000000000001</v>
      </c>
    </row>
    <row r="404" spans="1:5" ht="14.4" x14ac:dyDescent="0.3">
      <c r="A404" s="16" t="s">
        <v>57</v>
      </c>
      <c r="B404">
        <f t="shared" si="7"/>
        <v>2019</v>
      </c>
      <c r="C404" s="19">
        <v>5.016132015854339</v>
      </c>
      <c r="E404" s="15">
        <v>2.95</v>
      </c>
    </row>
    <row r="405" spans="1:5" ht="14.4" x14ac:dyDescent="0.3">
      <c r="A405" s="16" t="s">
        <v>57</v>
      </c>
      <c r="B405">
        <f t="shared" si="7"/>
        <v>2020</v>
      </c>
      <c r="C405" s="19">
        <v>-10.804966001834799</v>
      </c>
      <c r="D405" s="14">
        <v>0.96</v>
      </c>
    </row>
    <row r="406" spans="1:5" ht="14.4" x14ac:dyDescent="0.3">
      <c r="A406" s="16" t="s">
        <v>57</v>
      </c>
      <c r="B406">
        <f t="shared" si="7"/>
        <v>2021</v>
      </c>
      <c r="C406" s="19">
        <v>3.7525213785901883</v>
      </c>
      <c r="D406" s="14">
        <v>0.96</v>
      </c>
    </row>
    <row r="407" spans="1:5" ht="14.4" x14ac:dyDescent="0.3">
      <c r="A407" s="16" t="s">
        <v>58</v>
      </c>
      <c r="B407">
        <f t="shared" si="7"/>
        <v>2007</v>
      </c>
      <c r="C407" s="19">
        <v>3.7340678095605853</v>
      </c>
      <c r="D407" s="14">
        <v>0.95</v>
      </c>
      <c r="E407" s="15">
        <v>0.4</v>
      </c>
    </row>
    <row r="408" spans="1:5" ht="14.4" x14ac:dyDescent="0.3">
      <c r="A408" s="16" t="s">
        <v>58</v>
      </c>
      <c r="B408">
        <f t="shared" si="7"/>
        <v>2008</v>
      </c>
      <c r="C408" s="19">
        <v>1.1769188323962538</v>
      </c>
      <c r="D408" s="14">
        <v>0.95</v>
      </c>
      <c r="E408" s="15">
        <v>0.3</v>
      </c>
    </row>
    <row r="409" spans="1:5" ht="14.4" x14ac:dyDescent="0.3">
      <c r="A409" s="16" t="s">
        <v>58</v>
      </c>
      <c r="B409">
        <f t="shared" si="7"/>
        <v>2009</v>
      </c>
      <c r="C409" s="19">
        <v>-15.89055768753019</v>
      </c>
      <c r="D409" s="14">
        <v>0.95</v>
      </c>
      <c r="E409" s="15">
        <v>0.2</v>
      </c>
    </row>
    <row r="410" spans="1:5" ht="14.4" x14ac:dyDescent="0.3">
      <c r="A410" s="16" t="s">
        <v>58</v>
      </c>
      <c r="B410">
        <f t="shared" si="7"/>
        <v>2010</v>
      </c>
      <c r="C410" s="19">
        <v>7.8758711323136907</v>
      </c>
      <c r="D410" s="14">
        <v>0.95</v>
      </c>
      <c r="E410" s="15">
        <v>0.7</v>
      </c>
    </row>
    <row r="411" spans="1:5" ht="14.4" x14ac:dyDescent="0.3">
      <c r="A411" s="16" t="s">
        <v>58</v>
      </c>
      <c r="B411">
        <f t="shared" si="7"/>
        <v>2011</v>
      </c>
      <c r="C411" s="19">
        <v>4.7171658630536797</v>
      </c>
      <c r="D411" s="14">
        <v>0.95</v>
      </c>
      <c r="E411" s="15">
        <v>0.2</v>
      </c>
    </row>
    <row r="412" spans="1:5" ht="14.4" x14ac:dyDescent="0.3">
      <c r="A412" s="16" t="s">
        <v>58</v>
      </c>
      <c r="B412">
        <f t="shared" si="7"/>
        <v>2012</v>
      </c>
      <c r="C412" s="19">
        <v>-2.0701741261028133</v>
      </c>
      <c r="D412" s="14">
        <v>0.95</v>
      </c>
      <c r="E412" s="15">
        <v>0.2</v>
      </c>
    </row>
    <row r="413" spans="1:5" ht="14.4" x14ac:dyDescent="0.3">
      <c r="A413" s="16" t="s">
        <v>58</v>
      </c>
      <c r="B413">
        <f t="shared" ref="B413:B476" si="8">IF(A413=A412,B412+1,2007)</f>
        <v>2013</v>
      </c>
      <c r="C413" s="19">
        <v>9.0056638893299521</v>
      </c>
      <c r="D413" s="14">
        <v>0.95</v>
      </c>
      <c r="E413" s="15">
        <v>2.2999999999999998</v>
      </c>
    </row>
    <row r="414" spans="1:5" ht="14.4" x14ac:dyDescent="0.3">
      <c r="A414" s="16" t="s">
        <v>58</v>
      </c>
      <c r="B414">
        <f t="shared" si="8"/>
        <v>2014</v>
      </c>
      <c r="C414" s="19">
        <v>3.6795226120321303</v>
      </c>
      <c r="D414" s="14">
        <v>0.97</v>
      </c>
      <c r="E414" s="15">
        <v>2.9</v>
      </c>
    </row>
    <row r="415" spans="1:5" ht="14.4" x14ac:dyDescent="0.3">
      <c r="A415" s="16" t="s">
        <v>58</v>
      </c>
      <c r="B415">
        <f t="shared" si="8"/>
        <v>2015</v>
      </c>
      <c r="C415" s="19">
        <v>-6.7003023417430541</v>
      </c>
      <c r="D415" s="14">
        <v>0.97</v>
      </c>
      <c r="E415" s="15">
        <v>2.9</v>
      </c>
    </row>
    <row r="416" spans="1:5" ht="14.4" x14ac:dyDescent="0.3">
      <c r="A416" s="16" t="s">
        <v>58</v>
      </c>
      <c r="B416">
        <f t="shared" si="8"/>
        <v>2016</v>
      </c>
      <c r="C416" s="19">
        <v>5.0513731527322108</v>
      </c>
      <c r="D416" s="14">
        <v>0.97</v>
      </c>
      <c r="E416" s="15">
        <v>2.9</v>
      </c>
    </row>
    <row r="417" spans="1:6" ht="14.4" x14ac:dyDescent="0.3">
      <c r="A417" s="16" t="s">
        <v>58</v>
      </c>
      <c r="B417">
        <f t="shared" si="8"/>
        <v>2017</v>
      </c>
      <c r="C417" s="19">
        <v>1.9719443891535349</v>
      </c>
      <c r="D417" s="14">
        <v>0.98</v>
      </c>
      <c r="E417" s="15">
        <v>2.4</v>
      </c>
    </row>
    <row r="418" spans="1:6" ht="14.4" x14ac:dyDescent="0.3">
      <c r="A418" s="16" t="s">
        <v>58</v>
      </c>
      <c r="B418">
        <f t="shared" si="8"/>
        <v>2018</v>
      </c>
      <c r="C418" s="19">
        <v>2.0813461242524625</v>
      </c>
      <c r="D418" s="14">
        <v>0.98</v>
      </c>
      <c r="E418" s="15">
        <v>2.7750000000000004</v>
      </c>
    </row>
    <row r="419" spans="1:6" ht="14.4" x14ac:dyDescent="0.3">
      <c r="A419" s="16" t="s">
        <v>58</v>
      </c>
      <c r="B419">
        <f t="shared" si="8"/>
        <v>2019</v>
      </c>
      <c r="C419" s="19">
        <v>1.0416716395978938</v>
      </c>
      <c r="E419" s="15">
        <v>3.2750000000000004</v>
      </c>
    </row>
    <row r="420" spans="1:6" ht="14.4" x14ac:dyDescent="0.3">
      <c r="A420" s="16" t="s">
        <v>58</v>
      </c>
      <c r="B420">
        <f t="shared" si="8"/>
        <v>2020</v>
      </c>
      <c r="C420" s="19">
        <v>-10.402630907344204</v>
      </c>
      <c r="D420" s="14">
        <v>0.98</v>
      </c>
    </row>
    <row r="421" spans="1:6" ht="14.4" x14ac:dyDescent="0.3">
      <c r="A421" s="16" t="s">
        <v>58</v>
      </c>
      <c r="B421">
        <f t="shared" si="8"/>
        <v>2021</v>
      </c>
      <c r="C421" s="19">
        <v>10.103693502393995</v>
      </c>
      <c r="D421" s="14">
        <v>0.98</v>
      </c>
    </row>
    <row r="422" spans="1:6" ht="14.4" x14ac:dyDescent="0.3">
      <c r="A422" s="16" t="s">
        <v>784</v>
      </c>
      <c r="B422">
        <f t="shared" si="8"/>
        <v>2007</v>
      </c>
      <c r="C422" s="19">
        <v>2.6658650606535588</v>
      </c>
      <c r="E422" s="15">
        <v>0.3</v>
      </c>
      <c r="F422" s="8">
        <v>1.6029999999999999E-2</v>
      </c>
    </row>
    <row r="423" spans="1:6" ht="14.4" x14ac:dyDescent="0.3">
      <c r="A423" s="16" t="s">
        <v>784</v>
      </c>
      <c r="B423">
        <f t="shared" si="8"/>
        <v>2008</v>
      </c>
      <c r="C423" s="19">
        <v>-3.9937079778781026E-2</v>
      </c>
      <c r="E423" s="15">
        <v>0.3</v>
      </c>
      <c r="F423" s="8">
        <v>1.555E-2</v>
      </c>
    </row>
    <row r="424" spans="1:6" ht="14.4" x14ac:dyDescent="0.3">
      <c r="A424" s="16" t="s">
        <v>784</v>
      </c>
      <c r="B424">
        <f t="shared" si="8"/>
        <v>2009</v>
      </c>
      <c r="C424" s="19">
        <v>6.2723939666324782</v>
      </c>
      <c r="E424" s="15">
        <v>0.3</v>
      </c>
      <c r="F424" s="8" t="s">
        <v>25</v>
      </c>
    </row>
    <row r="425" spans="1:6" ht="14.4" x14ac:dyDescent="0.3">
      <c r="A425" s="16" t="s">
        <v>784</v>
      </c>
      <c r="B425">
        <f t="shared" si="8"/>
        <v>2010</v>
      </c>
      <c r="C425" s="19">
        <v>2.4859848510043037</v>
      </c>
      <c r="E425" s="15">
        <v>0.3</v>
      </c>
      <c r="F425" s="8" t="s">
        <v>25</v>
      </c>
    </row>
    <row r="426" spans="1:6" ht="14.4" x14ac:dyDescent="0.3">
      <c r="A426" s="16" t="s">
        <v>784</v>
      </c>
      <c r="B426">
        <f t="shared" si="8"/>
        <v>2011</v>
      </c>
      <c r="C426" s="19">
        <v>2.6102348027131654</v>
      </c>
      <c r="E426" s="15">
        <v>0.3</v>
      </c>
      <c r="F426" s="8" t="s">
        <v>25</v>
      </c>
    </row>
    <row r="427" spans="1:6" ht="14.4" x14ac:dyDescent="0.3">
      <c r="A427" s="16" t="s">
        <v>784</v>
      </c>
      <c r="B427">
        <f t="shared" si="8"/>
        <v>2012</v>
      </c>
      <c r="C427" s="19">
        <v>4.1451583943365335</v>
      </c>
      <c r="E427" s="15">
        <v>0.3</v>
      </c>
      <c r="F427" s="8" t="s">
        <v>25</v>
      </c>
    </row>
    <row r="428" spans="1:6" ht="14.4" x14ac:dyDescent="0.3">
      <c r="A428" s="16" t="s">
        <v>784</v>
      </c>
      <c r="B428">
        <f t="shared" si="8"/>
        <v>2013</v>
      </c>
      <c r="C428" s="19">
        <v>-36.777697163934832</v>
      </c>
      <c r="E428" s="15">
        <v>0.3</v>
      </c>
      <c r="F428" s="8">
        <v>3.1640000000000001E-2</v>
      </c>
    </row>
    <row r="429" spans="1:6" ht="14.4" x14ac:dyDescent="0.3">
      <c r="A429" s="16" t="s">
        <v>784</v>
      </c>
      <c r="B429">
        <f t="shared" si="8"/>
        <v>2014</v>
      </c>
      <c r="C429" s="19">
        <v>0.1581115587524522</v>
      </c>
      <c r="E429" s="15">
        <v>0.4</v>
      </c>
      <c r="F429" s="8">
        <v>7.2340000000000002E-2</v>
      </c>
    </row>
    <row r="430" spans="1:6" ht="14.4" x14ac:dyDescent="0.3">
      <c r="A430" s="16" t="s">
        <v>784</v>
      </c>
      <c r="B430">
        <f t="shared" si="8"/>
        <v>2015</v>
      </c>
      <c r="C430" s="19">
        <v>3.891158828357959</v>
      </c>
      <c r="E430" s="15">
        <v>0.3</v>
      </c>
      <c r="F430" s="8">
        <v>5.7020000000000001E-2</v>
      </c>
    </row>
    <row r="431" spans="1:6" ht="14.4" x14ac:dyDescent="0.3">
      <c r="A431" s="16" t="s">
        <v>784</v>
      </c>
      <c r="B431">
        <f t="shared" si="8"/>
        <v>2016</v>
      </c>
      <c r="C431" s="19">
        <v>2.9380992393553242</v>
      </c>
      <c r="E431" s="15">
        <v>1.1000000000000001</v>
      </c>
      <c r="F431" s="8">
        <v>5.033E-2</v>
      </c>
    </row>
    <row r="432" spans="1:6" ht="14.4" x14ac:dyDescent="0.3">
      <c r="A432" s="16" t="s">
        <v>784</v>
      </c>
      <c r="B432">
        <f t="shared" si="8"/>
        <v>2017</v>
      </c>
      <c r="C432" s="19">
        <v>2.5909235013507725</v>
      </c>
      <c r="E432" s="15">
        <v>0.5</v>
      </c>
      <c r="F432" s="8">
        <v>4.752E-2</v>
      </c>
    </row>
    <row r="433" spans="1:6" ht="14.4" x14ac:dyDescent="0.3">
      <c r="A433" s="16" t="s">
        <v>784</v>
      </c>
      <c r="B433">
        <f t="shared" si="8"/>
        <v>2018</v>
      </c>
      <c r="C433" s="19">
        <v>1.7922203053133359</v>
      </c>
      <c r="E433" s="15">
        <v>0.94000000000000006</v>
      </c>
      <c r="F433" s="8">
        <v>1.5100000000000001E-2</v>
      </c>
    </row>
    <row r="434" spans="1:6" ht="14.4" x14ac:dyDescent="0.3">
      <c r="A434" s="16" t="s">
        <v>784</v>
      </c>
      <c r="B434">
        <f t="shared" si="8"/>
        <v>2019</v>
      </c>
      <c r="C434" s="19">
        <v>0.83300981086989623</v>
      </c>
      <c r="E434" s="15">
        <v>0.77500000000000002</v>
      </c>
      <c r="F434" s="8">
        <v>2.2179999999999998E-2</v>
      </c>
    </row>
    <row r="435" spans="1:6" ht="14.4" x14ac:dyDescent="0.3">
      <c r="A435" s="16" t="s">
        <v>784</v>
      </c>
      <c r="B435">
        <f t="shared" si="8"/>
        <v>2020</v>
      </c>
      <c r="C435" s="19">
        <v>-1.6247755794237264</v>
      </c>
      <c r="F435" s="8" t="s">
        <v>25</v>
      </c>
    </row>
    <row r="436" spans="1:6" ht="14.4" x14ac:dyDescent="0.3">
      <c r="A436" s="16" t="s">
        <v>784</v>
      </c>
      <c r="B436">
        <f t="shared" si="8"/>
        <v>2021</v>
      </c>
      <c r="C436" s="19">
        <v>-1.129093809989655</v>
      </c>
      <c r="F436" s="8">
        <v>2.0049999999999998E-2</v>
      </c>
    </row>
    <row r="437" spans="1:6" ht="14.4" x14ac:dyDescent="0.3">
      <c r="A437" s="16" t="s">
        <v>60</v>
      </c>
      <c r="B437">
        <f t="shared" si="8"/>
        <v>2007</v>
      </c>
      <c r="C437" s="19">
        <v>1.0641448518324097</v>
      </c>
      <c r="D437" s="14">
        <v>0.98</v>
      </c>
      <c r="E437" s="15">
        <v>1.1000000000000001</v>
      </c>
      <c r="F437" s="8" t="s">
        <v>25</v>
      </c>
    </row>
    <row r="438" spans="1:6" ht="14.4" x14ac:dyDescent="0.3">
      <c r="A438" s="16" t="s">
        <v>60</v>
      </c>
      <c r="B438">
        <f t="shared" si="8"/>
        <v>2008</v>
      </c>
      <c r="C438" s="19">
        <v>-9.3342783733561419E-2</v>
      </c>
      <c r="D438" s="14">
        <v>0.98</v>
      </c>
      <c r="E438" s="15">
        <v>0.7</v>
      </c>
      <c r="F438" s="8">
        <v>0.11261</v>
      </c>
    </row>
    <row r="439" spans="1:6" ht="14.4" x14ac:dyDescent="0.3">
      <c r="A439" s="16" t="s">
        <v>60</v>
      </c>
      <c r="B439">
        <f t="shared" si="8"/>
        <v>2009</v>
      </c>
      <c r="C439" s="19">
        <v>-4.0200881211473813</v>
      </c>
      <c r="D439" s="14">
        <v>0.98</v>
      </c>
      <c r="E439" s="15">
        <v>0.8</v>
      </c>
      <c r="F439" s="8">
        <v>9.5530000000000004E-2</v>
      </c>
    </row>
    <row r="440" spans="1:6" ht="14.4" x14ac:dyDescent="0.3">
      <c r="A440" s="16" t="s">
        <v>60</v>
      </c>
      <c r="B440">
        <f t="shared" si="8"/>
        <v>2010</v>
      </c>
      <c r="C440" s="19">
        <v>1.9514474759255336</v>
      </c>
      <c r="D440" s="14">
        <v>0.98</v>
      </c>
      <c r="E440" s="15">
        <v>0.6</v>
      </c>
      <c r="F440" s="8">
        <v>0.11090999999999999</v>
      </c>
    </row>
    <row r="441" spans="1:6" ht="14.4" x14ac:dyDescent="0.3">
      <c r="A441" s="16" t="s">
        <v>60</v>
      </c>
      <c r="B441">
        <f t="shared" si="8"/>
        <v>2011</v>
      </c>
      <c r="C441" s="19">
        <v>2.1360771396745832</v>
      </c>
      <c r="D441" s="14">
        <v>0.98</v>
      </c>
      <c r="E441" s="15">
        <v>2.2000000000000002</v>
      </c>
      <c r="F441" s="8">
        <v>8.8510000000000005E-2</v>
      </c>
    </row>
    <row r="442" spans="1:6" ht="14.4" x14ac:dyDescent="0.3">
      <c r="A442" s="16" t="s">
        <v>60</v>
      </c>
      <c r="B442">
        <f t="shared" si="8"/>
        <v>2012</v>
      </c>
      <c r="C442" s="19">
        <v>0.65884199036912605</v>
      </c>
      <c r="D442" s="14">
        <v>0.98</v>
      </c>
      <c r="E442" s="15">
        <v>1.3</v>
      </c>
      <c r="F442" s="8">
        <v>9.0700000000000003E-2</v>
      </c>
    </row>
    <row r="443" spans="1:6" ht="14.4" x14ac:dyDescent="0.3">
      <c r="A443" s="16" t="s">
        <v>60</v>
      </c>
      <c r="B443">
        <f t="shared" si="8"/>
        <v>2013</v>
      </c>
      <c r="C443" s="19">
        <v>1.2535901290465148</v>
      </c>
      <c r="D443" s="14">
        <v>0.98</v>
      </c>
      <c r="E443" s="15">
        <v>1.8</v>
      </c>
      <c r="F443" s="8">
        <v>0.10638</v>
      </c>
    </row>
    <row r="444" spans="1:6" ht="14.4" x14ac:dyDescent="0.3">
      <c r="A444" s="16" t="s">
        <v>60</v>
      </c>
      <c r="B444">
        <f t="shared" si="8"/>
        <v>2014</v>
      </c>
      <c r="C444" s="19">
        <v>1.8484095174269015</v>
      </c>
      <c r="D444" s="14">
        <v>0.97</v>
      </c>
      <c r="E444" s="15">
        <v>0.4</v>
      </c>
      <c r="F444" s="8">
        <v>6.3979999999999995E-2</v>
      </c>
    </row>
    <row r="445" spans="1:6" ht="14.4" x14ac:dyDescent="0.3">
      <c r="A445" s="16" t="s">
        <v>60</v>
      </c>
      <c r="B445">
        <f t="shared" si="8"/>
        <v>2015</v>
      </c>
      <c r="C445" s="19">
        <v>-0.11236917294915827</v>
      </c>
      <c r="D445" s="14">
        <v>0.97</v>
      </c>
      <c r="E445" s="15">
        <v>3.2</v>
      </c>
      <c r="F445" s="8">
        <v>6.608E-2</v>
      </c>
    </row>
    <row r="446" spans="1:6" ht="14.4" x14ac:dyDescent="0.3">
      <c r="A446" s="16" t="s">
        <v>60</v>
      </c>
      <c r="B446">
        <f t="shared" si="8"/>
        <v>2016</v>
      </c>
      <c r="C446" s="19">
        <v>-9.8296352515987451E-2</v>
      </c>
      <c r="D446" s="14">
        <v>0.97</v>
      </c>
      <c r="E446" s="15">
        <v>3</v>
      </c>
      <c r="F446" s="8">
        <v>6.2829999999999997E-2</v>
      </c>
    </row>
    <row r="447" spans="1:6" ht="14.4" x14ac:dyDescent="0.3">
      <c r="A447" s="16" t="s">
        <v>60</v>
      </c>
      <c r="B447">
        <f t="shared" si="8"/>
        <v>2017</v>
      </c>
      <c r="C447" s="19">
        <v>1.8094644627928176</v>
      </c>
      <c r="D447" s="14">
        <v>0.97</v>
      </c>
      <c r="E447" s="15">
        <v>3.2</v>
      </c>
      <c r="F447" s="8">
        <v>6.6839999999999997E-2</v>
      </c>
    </row>
    <row r="448" spans="1:6" ht="14.4" x14ac:dyDescent="0.3">
      <c r="A448" s="16" t="s">
        <v>60</v>
      </c>
      <c r="B448">
        <f t="shared" si="8"/>
        <v>2018</v>
      </c>
      <c r="C448" s="19">
        <v>1.2809265790424433</v>
      </c>
      <c r="D448" s="14">
        <v>0.97</v>
      </c>
      <c r="E448" s="15">
        <v>2.66</v>
      </c>
      <c r="F448" s="8">
        <v>6.1510000000000002E-2</v>
      </c>
    </row>
    <row r="449" spans="1:9" ht="14.4" x14ac:dyDescent="0.3">
      <c r="A449" s="16" t="s">
        <v>60</v>
      </c>
      <c r="B449">
        <f t="shared" si="8"/>
        <v>2019</v>
      </c>
      <c r="C449" s="19">
        <v>0.42965758108582008</v>
      </c>
      <c r="E449" s="15">
        <v>2.56</v>
      </c>
      <c r="F449" s="8">
        <v>6.5060000000000007E-2</v>
      </c>
    </row>
    <row r="450" spans="1:9" ht="14.4" x14ac:dyDescent="0.3">
      <c r="A450" s="16" t="s">
        <v>60</v>
      </c>
      <c r="B450">
        <f t="shared" si="8"/>
        <v>2020</v>
      </c>
      <c r="C450" s="19">
        <v>-6.0624064295901547</v>
      </c>
      <c r="D450" s="14">
        <v>0.97</v>
      </c>
      <c r="F450" s="8">
        <v>6.3630000000000006E-2</v>
      </c>
    </row>
    <row r="451" spans="1:9" ht="14.4" x14ac:dyDescent="0.3">
      <c r="A451" s="16" t="s">
        <v>60</v>
      </c>
      <c r="B451">
        <f t="shared" si="8"/>
        <v>2021</v>
      </c>
      <c r="C451" s="19">
        <v>4.7053820518735137</v>
      </c>
      <c r="D451" s="14">
        <v>0.97</v>
      </c>
      <c r="F451" s="8">
        <v>5.2699999999999997E-2</v>
      </c>
    </row>
    <row r="452" spans="1:9" ht="14.4" x14ac:dyDescent="0.3">
      <c r="A452" s="16" t="s">
        <v>61</v>
      </c>
      <c r="B452">
        <f t="shared" si="8"/>
        <v>2007</v>
      </c>
      <c r="C452" s="19">
        <v>2.9918220230827899</v>
      </c>
      <c r="D452" s="14">
        <v>0.98</v>
      </c>
      <c r="E452" s="15">
        <v>1</v>
      </c>
    </row>
    <row r="453" spans="1:9" ht="14.4" x14ac:dyDescent="0.3">
      <c r="A453" s="16" t="s">
        <v>61</v>
      </c>
      <c r="B453">
        <f t="shared" si="8"/>
        <v>2008</v>
      </c>
      <c r="C453" s="19">
        <v>1.5099507937971595</v>
      </c>
      <c r="D453" s="14">
        <v>0.98</v>
      </c>
      <c r="E453" s="15">
        <v>1.3</v>
      </c>
    </row>
    <row r="454" spans="1:9" ht="14.4" x14ac:dyDescent="0.3">
      <c r="A454" s="16" t="s">
        <v>61</v>
      </c>
      <c r="B454">
        <f t="shared" si="8"/>
        <v>2009</v>
      </c>
      <c r="C454" s="19">
        <v>-3.5105588602019822</v>
      </c>
      <c r="D454" s="14">
        <v>0.98</v>
      </c>
      <c r="E454" s="15">
        <v>1.4</v>
      </c>
      <c r="I454" s="16" t="s">
        <v>66</v>
      </c>
    </row>
    <row r="455" spans="1:9" ht="14.4" x14ac:dyDescent="0.3">
      <c r="A455" s="16" t="s">
        <v>61</v>
      </c>
      <c r="B455">
        <f t="shared" si="8"/>
        <v>2010</v>
      </c>
      <c r="C455" s="19">
        <v>2.1736381639678655</v>
      </c>
      <c r="D455" s="14">
        <v>0.98</v>
      </c>
      <c r="E455" s="15">
        <v>1.6</v>
      </c>
      <c r="I455" s="16" t="s">
        <v>67</v>
      </c>
    </row>
    <row r="456" spans="1:9" ht="14.4" x14ac:dyDescent="0.3">
      <c r="A456" s="16" t="s">
        <v>61</v>
      </c>
      <c r="B456">
        <f t="shared" si="8"/>
        <v>2011</v>
      </c>
      <c r="C456" s="19">
        <v>0.68733986963795246</v>
      </c>
      <c r="D456" s="14">
        <v>0.98</v>
      </c>
      <c r="E456" s="15">
        <v>1.9</v>
      </c>
      <c r="I456" s="16" t="s">
        <v>68</v>
      </c>
    </row>
    <row r="457" spans="1:9" ht="14.4" x14ac:dyDescent="0.3">
      <c r="A457" s="16" t="s">
        <v>61</v>
      </c>
      <c r="B457">
        <f t="shared" si="8"/>
        <v>2012</v>
      </c>
      <c r="C457" s="19">
        <v>0.11059660430612439</v>
      </c>
      <c r="D457" s="14">
        <v>0.98</v>
      </c>
      <c r="E457" s="15">
        <v>1.9</v>
      </c>
      <c r="I457" s="16" t="s">
        <v>309</v>
      </c>
    </row>
    <row r="458" spans="1:9" ht="14.4" x14ac:dyDescent="0.3">
      <c r="A458" s="16" t="s">
        <v>61</v>
      </c>
      <c r="B458">
        <f t="shared" si="8"/>
        <v>2013</v>
      </c>
      <c r="C458" s="19">
        <v>0.62836067543700835</v>
      </c>
      <c r="D458" s="14">
        <v>0.98</v>
      </c>
      <c r="E458" s="15">
        <v>1.2</v>
      </c>
      <c r="I458" s="16" t="s">
        <v>60</v>
      </c>
    </row>
    <row r="459" spans="1:9" ht="14.4" x14ac:dyDescent="0.3">
      <c r="A459" s="16" t="s">
        <v>61</v>
      </c>
      <c r="B459">
        <f t="shared" si="8"/>
        <v>2014</v>
      </c>
      <c r="C459" s="19">
        <v>1.1086935944004637</v>
      </c>
      <c r="D459" s="14">
        <v>0.97</v>
      </c>
      <c r="E459" s="15">
        <v>1.2</v>
      </c>
      <c r="I459" s="16" t="s">
        <v>414</v>
      </c>
    </row>
    <row r="460" spans="1:9" ht="14.4" x14ac:dyDescent="0.3">
      <c r="A460" s="16" t="s">
        <v>61</v>
      </c>
      <c r="B460">
        <f t="shared" si="8"/>
        <v>2015</v>
      </c>
      <c r="C460" s="19">
        <v>0.49412982239276459</v>
      </c>
      <c r="D460" s="14">
        <v>0.97</v>
      </c>
      <c r="E460" s="15">
        <v>1.2</v>
      </c>
      <c r="I460" s="16" t="s">
        <v>620</v>
      </c>
    </row>
    <row r="461" spans="1:9" ht="14.4" x14ac:dyDescent="0.3">
      <c r="A461" s="16" t="s">
        <v>61</v>
      </c>
      <c r="B461">
        <f t="shared" si="8"/>
        <v>2016</v>
      </c>
      <c r="C461" s="19">
        <v>0.96013167317825321</v>
      </c>
      <c r="D461" s="14">
        <v>0.97</v>
      </c>
      <c r="E461" s="15">
        <v>1.2</v>
      </c>
      <c r="I461" s="16" t="s">
        <v>71</v>
      </c>
    </row>
    <row r="462" spans="1:9" ht="14.4" x14ac:dyDescent="0.3">
      <c r="A462" s="16" t="s">
        <v>61</v>
      </c>
      <c r="B462">
        <f t="shared" si="8"/>
        <v>2017</v>
      </c>
      <c r="C462" s="19">
        <v>0.4213261630564773</v>
      </c>
      <c r="D462" s="14">
        <v>0.97</v>
      </c>
      <c r="E462" s="15">
        <v>1.2</v>
      </c>
      <c r="I462" s="16" t="s">
        <v>72</v>
      </c>
    </row>
    <row r="463" spans="1:9" ht="14.4" x14ac:dyDescent="0.3">
      <c r="A463" s="16" t="s">
        <v>61</v>
      </c>
      <c r="B463">
        <f t="shared" si="8"/>
        <v>2018</v>
      </c>
      <c r="C463" s="19">
        <v>2.1055247201241514</v>
      </c>
      <c r="D463" s="14">
        <v>0.97</v>
      </c>
      <c r="E463" s="15">
        <v>2.0350000000000001</v>
      </c>
      <c r="I463" s="16" t="s">
        <v>62</v>
      </c>
    </row>
    <row r="464" spans="1:9" ht="14.4" x14ac:dyDescent="0.3">
      <c r="A464" s="16" t="s">
        <v>61</v>
      </c>
      <c r="B464">
        <f t="shared" si="8"/>
        <v>2019</v>
      </c>
      <c r="C464" s="19">
        <v>0.42308976822731381</v>
      </c>
      <c r="E464" s="15">
        <v>2.1350000000000002</v>
      </c>
      <c r="I464" s="16" t="s">
        <v>75</v>
      </c>
    </row>
    <row r="465" spans="1:9" ht="14.4" x14ac:dyDescent="0.3">
      <c r="A465" s="16" t="s">
        <v>61</v>
      </c>
      <c r="B465">
        <f t="shared" si="8"/>
        <v>2020</v>
      </c>
      <c r="C465" s="19">
        <v>-2.8541583222644249</v>
      </c>
      <c r="D465" s="14">
        <v>0.97</v>
      </c>
      <c r="I465" s="16" t="s">
        <v>622</v>
      </c>
    </row>
    <row r="466" spans="1:9" ht="14.4" x14ac:dyDescent="0.3">
      <c r="A466" s="16" t="s">
        <v>61</v>
      </c>
      <c r="B466">
        <f t="shared" si="8"/>
        <v>2021</v>
      </c>
      <c r="C466" s="19">
        <v>4.5881921178936977</v>
      </c>
      <c r="D466" s="14">
        <v>0.97</v>
      </c>
      <c r="I466" s="16" t="s">
        <v>78</v>
      </c>
    </row>
    <row r="467" spans="1:9" ht="14.4" x14ac:dyDescent="0.3">
      <c r="A467" s="16" t="s">
        <v>622</v>
      </c>
      <c r="B467">
        <f t="shared" si="8"/>
        <v>2007</v>
      </c>
      <c r="C467" s="19"/>
      <c r="D467" s="14">
        <v>0.98</v>
      </c>
      <c r="I467" s="16" t="s">
        <v>624</v>
      </c>
    </row>
    <row r="468" spans="1:9" ht="14.4" x14ac:dyDescent="0.3">
      <c r="A468" s="16" t="s">
        <v>622</v>
      </c>
      <c r="B468">
        <f t="shared" si="8"/>
        <v>2008</v>
      </c>
      <c r="C468" s="19"/>
      <c r="D468" s="14">
        <v>0.98</v>
      </c>
      <c r="I468" s="16" t="s">
        <v>63</v>
      </c>
    </row>
    <row r="469" spans="1:9" ht="14.4" x14ac:dyDescent="0.3">
      <c r="A469" s="16" t="s">
        <v>622</v>
      </c>
      <c r="B469">
        <f t="shared" si="8"/>
        <v>2009</v>
      </c>
      <c r="C469" s="19"/>
      <c r="D469" s="14">
        <v>0.98</v>
      </c>
      <c r="I469" s="16" t="s">
        <v>80</v>
      </c>
    </row>
    <row r="470" spans="1:9" ht="14.4" x14ac:dyDescent="0.3">
      <c r="A470" s="16" t="s">
        <v>622</v>
      </c>
      <c r="B470">
        <f t="shared" si="8"/>
        <v>2010</v>
      </c>
      <c r="C470" s="19"/>
      <c r="D470" s="14">
        <v>0.97</v>
      </c>
      <c r="I470" s="16" t="s">
        <v>81</v>
      </c>
    </row>
    <row r="471" spans="1:9" ht="14.4" x14ac:dyDescent="0.3">
      <c r="A471" s="16" t="s">
        <v>622</v>
      </c>
      <c r="B471">
        <f t="shared" si="8"/>
        <v>2011</v>
      </c>
      <c r="C471" s="19"/>
      <c r="D471" s="14">
        <v>0.97</v>
      </c>
      <c r="I471" s="16" t="s">
        <v>105</v>
      </c>
    </row>
    <row r="472" spans="1:9" ht="14.4" x14ac:dyDescent="0.3">
      <c r="A472" s="16" t="s">
        <v>622</v>
      </c>
      <c r="B472">
        <f t="shared" si="8"/>
        <v>2012</v>
      </c>
      <c r="C472" s="19"/>
      <c r="D472" s="14">
        <v>0.97</v>
      </c>
      <c r="I472" s="16" t="s">
        <v>85</v>
      </c>
    </row>
    <row r="473" spans="1:9" ht="14.4" x14ac:dyDescent="0.3">
      <c r="A473" s="16" t="s">
        <v>622</v>
      </c>
      <c r="B473">
        <f t="shared" si="8"/>
        <v>2013</v>
      </c>
      <c r="C473" s="19"/>
      <c r="D473" s="14">
        <v>0.97</v>
      </c>
      <c r="I473" s="16" t="s">
        <v>86</v>
      </c>
    </row>
    <row r="474" spans="1:9" ht="14.4" x14ac:dyDescent="0.3">
      <c r="A474" s="16" t="s">
        <v>622</v>
      </c>
      <c r="B474">
        <f t="shared" si="8"/>
        <v>2014</v>
      </c>
      <c r="C474" s="19"/>
      <c r="D474" s="14">
        <v>0.97</v>
      </c>
      <c r="I474" s="16" t="s">
        <v>84</v>
      </c>
    </row>
    <row r="475" spans="1:9" ht="14.4" x14ac:dyDescent="0.3">
      <c r="A475" s="16" t="s">
        <v>622</v>
      </c>
      <c r="B475">
        <f t="shared" si="8"/>
        <v>2015</v>
      </c>
      <c r="C475" s="19"/>
      <c r="D475" s="14">
        <v>0.97</v>
      </c>
      <c r="I475" s="16" t="s">
        <v>87</v>
      </c>
    </row>
    <row r="476" spans="1:9" ht="14.4" x14ac:dyDescent="0.3">
      <c r="A476" s="16" t="s">
        <v>622</v>
      </c>
      <c r="B476">
        <f t="shared" si="8"/>
        <v>2016</v>
      </c>
      <c r="C476" s="19"/>
      <c r="D476" s="14">
        <v>0.97</v>
      </c>
      <c r="I476" s="16" t="s">
        <v>28</v>
      </c>
    </row>
    <row r="477" spans="1:9" ht="14.4" x14ac:dyDescent="0.3">
      <c r="A477" s="16" t="s">
        <v>622</v>
      </c>
      <c r="B477">
        <f t="shared" ref="B477:B512" si="9">IF(A477=A476,B476+1,2007)</f>
        <v>2017</v>
      </c>
      <c r="C477" s="19">
        <v>1.6468680290693243</v>
      </c>
      <c r="D477" s="14">
        <v>0.97</v>
      </c>
      <c r="I477" s="16" t="s">
        <v>629</v>
      </c>
    </row>
    <row r="478" spans="1:9" ht="14.4" x14ac:dyDescent="0.3">
      <c r="A478" s="16" t="s">
        <v>622</v>
      </c>
      <c r="B478">
        <f t="shared" si="9"/>
        <v>2018</v>
      </c>
      <c r="C478" s="19">
        <v>0.81913677573891164</v>
      </c>
      <c r="D478" s="14">
        <v>0.97</v>
      </c>
      <c r="I478" s="16" t="s">
        <v>631</v>
      </c>
    </row>
    <row r="479" spans="1:9" ht="14.4" x14ac:dyDescent="0.3">
      <c r="A479" s="16" t="s">
        <v>622</v>
      </c>
      <c r="B479">
        <f t="shared" si="9"/>
        <v>2019</v>
      </c>
      <c r="C479" s="19">
        <v>1.0610695358740116</v>
      </c>
      <c r="I479" s="16" t="s">
        <v>633</v>
      </c>
    </row>
    <row r="480" spans="1:9" ht="14.4" x14ac:dyDescent="0.3">
      <c r="A480" s="16" t="s">
        <v>622</v>
      </c>
      <c r="B480">
        <f t="shared" si="9"/>
        <v>2020</v>
      </c>
      <c r="C480" s="19">
        <v>-9.3785724140408462</v>
      </c>
      <c r="D480" s="14">
        <v>0.97</v>
      </c>
      <c r="I480" s="16" t="s">
        <v>635</v>
      </c>
    </row>
    <row r="481" spans="1:9" ht="14.4" x14ac:dyDescent="0.3">
      <c r="A481" s="16" t="s">
        <v>622</v>
      </c>
      <c r="B481">
        <f t="shared" si="9"/>
        <v>2021</v>
      </c>
      <c r="C481" s="19">
        <v>14.405515144705532</v>
      </c>
      <c r="D481" s="14">
        <v>0.96</v>
      </c>
      <c r="I481" s="16" t="s">
        <v>637</v>
      </c>
    </row>
    <row r="482" spans="1:9" ht="14.4" x14ac:dyDescent="0.3">
      <c r="A482" s="16" t="s">
        <v>785</v>
      </c>
      <c r="B482">
        <f t="shared" si="9"/>
        <v>2007</v>
      </c>
      <c r="C482" s="19">
        <v>4.1420023207572569</v>
      </c>
      <c r="D482" s="14">
        <v>0.98</v>
      </c>
      <c r="I482" s="16" t="s">
        <v>88</v>
      </c>
    </row>
    <row r="483" spans="1:9" ht="14.4" x14ac:dyDescent="0.3">
      <c r="A483" s="16" t="s">
        <v>785</v>
      </c>
      <c r="B483">
        <f t="shared" si="9"/>
        <v>2008</v>
      </c>
      <c r="C483" s="19">
        <v>2.7558009595963568</v>
      </c>
      <c r="D483" s="14">
        <v>0.98</v>
      </c>
      <c r="I483" s="16" t="s">
        <v>428</v>
      </c>
    </row>
    <row r="484" spans="1:9" ht="14.4" x14ac:dyDescent="0.3">
      <c r="A484" s="16" t="s">
        <v>785</v>
      </c>
      <c r="B484">
        <f t="shared" si="9"/>
        <v>2009</v>
      </c>
      <c r="C484" s="19">
        <v>-2.1283005713077046</v>
      </c>
      <c r="D484" s="14">
        <v>0.98</v>
      </c>
      <c r="I484" s="16" t="s">
        <v>639</v>
      </c>
    </row>
    <row r="485" spans="1:9" ht="14.4" x14ac:dyDescent="0.3">
      <c r="A485" s="16" t="s">
        <v>785</v>
      </c>
      <c r="B485">
        <f t="shared" si="9"/>
        <v>2010</v>
      </c>
      <c r="C485" s="19">
        <v>4.788942687230076</v>
      </c>
      <c r="D485" s="14">
        <v>0.98</v>
      </c>
      <c r="I485" s="16" t="s">
        <v>92</v>
      </c>
    </row>
    <row r="486" spans="1:9" ht="14.4" x14ac:dyDescent="0.3">
      <c r="A486" s="16" t="s">
        <v>785</v>
      </c>
      <c r="B486">
        <f t="shared" si="9"/>
        <v>2011</v>
      </c>
      <c r="C486" s="19">
        <v>5.176036998030753</v>
      </c>
      <c r="D486" s="14">
        <v>0.98</v>
      </c>
      <c r="I486" s="16" t="s">
        <v>224</v>
      </c>
    </row>
    <row r="487" spans="1:9" ht="14.4" x14ac:dyDescent="0.3">
      <c r="A487" s="16" t="s">
        <v>785</v>
      </c>
      <c r="B487">
        <f t="shared" si="9"/>
        <v>2012</v>
      </c>
      <c r="C487" s="19">
        <v>5.1257383798838561</v>
      </c>
      <c r="D487" s="14">
        <v>0.98</v>
      </c>
      <c r="I487" s="16" t="s">
        <v>93</v>
      </c>
    </row>
    <row r="488" spans="1:9" ht="14.4" x14ac:dyDescent="0.3">
      <c r="A488" s="16" t="s">
        <v>785</v>
      </c>
      <c r="B488">
        <f t="shared" si="9"/>
        <v>2013</v>
      </c>
      <c r="C488" s="19">
        <v>2.3164001177072606</v>
      </c>
      <c r="D488" s="14">
        <v>0.98</v>
      </c>
      <c r="I488" s="16" t="s">
        <v>95</v>
      </c>
    </row>
    <row r="489" spans="1:9" ht="14.4" x14ac:dyDescent="0.3">
      <c r="A489" s="16" t="s">
        <v>785</v>
      </c>
      <c r="B489">
        <f t="shared" si="9"/>
        <v>2014</v>
      </c>
      <c r="C489" s="19">
        <v>0.77292782032776586</v>
      </c>
      <c r="D489" s="14">
        <v>0.98</v>
      </c>
      <c r="I489" s="16" t="s">
        <v>642</v>
      </c>
    </row>
    <row r="490" spans="1:9" ht="14.4" x14ac:dyDescent="0.3">
      <c r="A490" s="16" t="s">
        <v>785</v>
      </c>
      <c r="B490">
        <f t="shared" si="9"/>
        <v>2015</v>
      </c>
      <c r="C490" s="19">
        <v>1.105758380938056</v>
      </c>
      <c r="D490" s="14">
        <v>0.98</v>
      </c>
      <c r="I490" s="16" t="s">
        <v>644</v>
      </c>
    </row>
    <row r="491" spans="1:9" ht="14.4" x14ac:dyDescent="0.3">
      <c r="A491" s="16" t="s">
        <v>785</v>
      </c>
      <c r="B491">
        <f t="shared" si="9"/>
        <v>2016</v>
      </c>
      <c r="C491" s="19">
        <v>0.55029785144438392</v>
      </c>
      <c r="D491" s="14">
        <v>0.98</v>
      </c>
      <c r="I491" s="16" t="s">
        <v>98</v>
      </c>
    </row>
    <row r="492" spans="1:9" ht="14.4" x14ac:dyDescent="0.3">
      <c r="A492" s="16" t="s">
        <v>785</v>
      </c>
      <c r="B492">
        <f t="shared" si="9"/>
        <v>2017</v>
      </c>
      <c r="C492" s="19">
        <v>-0.21326644224498637</v>
      </c>
      <c r="D492" s="14">
        <v>0.98</v>
      </c>
      <c r="I492" s="16" t="s">
        <v>97</v>
      </c>
    </row>
    <row r="493" spans="1:9" ht="14.4" x14ac:dyDescent="0.3">
      <c r="A493" s="16" t="s">
        <v>785</v>
      </c>
      <c r="B493">
        <f t="shared" si="9"/>
        <v>2018</v>
      </c>
      <c r="C493" s="19">
        <v>2.1390781809853507</v>
      </c>
      <c r="D493" s="14">
        <v>0.98</v>
      </c>
      <c r="I493" s="16" t="s">
        <v>99</v>
      </c>
    </row>
    <row r="494" spans="1:9" ht="14.4" x14ac:dyDescent="0.3">
      <c r="A494" s="16" t="s">
        <v>785</v>
      </c>
      <c r="B494">
        <f t="shared" si="9"/>
        <v>2019</v>
      </c>
      <c r="C494" s="19">
        <v>-1.1523372236425473</v>
      </c>
      <c r="I494" s="16" t="s">
        <v>646</v>
      </c>
    </row>
    <row r="495" spans="1:9" ht="14.4" x14ac:dyDescent="0.3">
      <c r="A495" s="16" t="s">
        <v>785</v>
      </c>
      <c r="B495">
        <f t="shared" si="9"/>
        <v>2020</v>
      </c>
      <c r="C495" s="19">
        <v>-7.4118788296848663</v>
      </c>
      <c r="D495" s="14">
        <v>0.98</v>
      </c>
      <c r="I495" s="16" t="s">
        <v>648</v>
      </c>
    </row>
    <row r="496" spans="1:9" ht="14.4" x14ac:dyDescent="0.3">
      <c r="A496" s="16" t="s">
        <v>785</v>
      </c>
      <c r="B496">
        <f t="shared" si="9"/>
        <v>2021</v>
      </c>
      <c r="C496" s="19">
        <v>10.232399264884862</v>
      </c>
      <c r="D496" s="14">
        <v>0.97</v>
      </c>
      <c r="I496" s="16" t="s">
        <v>102</v>
      </c>
    </row>
    <row r="497" spans="1:9" ht="14.4" x14ac:dyDescent="0.3">
      <c r="A497" s="16" t="s">
        <v>63</v>
      </c>
      <c r="B497">
        <f t="shared" si="9"/>
        <v>2007</v>
      </c>
      <c r="C497" s="19">
        <v>13.635820500755386</v>
      </c>
      <c r="D497" s="14">
        <v>0.94</v>
      </c>
      <c r="I497" s="16" t="s">
        <v>327</v>
      </c>
    </row>
    <row r="498" spans="1:9" ht="14.4" x14ac:dyDescent="0.3">
      <c r="A498" s="16" t="s">
        <v>63</v>
      </c>
      <c r="B498">
        <f t="shared" si="9"/>
        <v>2008</v>
      </c>
      <c r="C498" s="19">
        <v>9.0902801013736081</v>
      </c>
      <c r="D498" s="14">
        <v>0.94</v>
      </c>
      <c r="I498" s="16" t="s">
        <v>104</v>
      </c>
    </row>
    <row r="499" spans="1:9" ht="14.4" x14ac:dyDescent="0.3">
      <c r="A499" s="16" t="s">
        <v>63</v>
      </c>
      <c r="B499">
        <f t="shared" si="9"/>
        <v>2009</v>
      </c>
      <c r="C499" s="19">
        <v>8.8559476757714037</v>
      </c>
      <c r="D499" s="14">
        <v>0.95</v>
      </c>
      <c r="I499" s="16" t="s">
        <v>106</v>
      </c>
    </row>
    <row r="500" spans="1:9" ht="14.4" x14ac:dyDescent="0.3">
      <c r="A500" s="16" t="s">
        <v>63</v>
      </c>
      <c r="B500">
        <f t="shared" si="9"/>
        <v>2010</v>
      </c>
      <c r="C500" s="19">
        <v>10.102832622524886</v>
      </c>
      <c r="D500" s="14">
        <v>0.93</v>
      </c>
      <c r="I500" s="16" t="s">
        <v>107</v>
      </c>
    </row>
    <row r="501" spans="1:9" ht="14.4" x14ac:dyDescent="0.3">
      <c r="A501" s="16" t="s">
        <v>63</v>
      </c>
      <c r="B501">
        <f t="shared" si="9"/>
        <v>2011</v>
      </c>
      <c r="C501" s="19">
        <v>8.9538160417454833</v>
      </c>
      <c r="D501" s="14">
        <v>0.93</v>
      </c>
      <c r="I501" s="16" t="s">
        <v>114</v>
      </c>
    </row>
    <row r="502" spans="1:9" ht="14.4" x14ac:dyDescent="0.3">
      <c r="A502" s="16" t="s">
        <v>63</v>
      </c>
      <c r="B502">
        <f t="shared" si="9"/>
        <v>2012</v>
      </c>
      <c r="C502" s="19">
        <v>7.1345237774397106</v>
      </c>
      <c r="D502" s="14">
        <v>0.93</v>
      </c>
      <c r="I502" s="16" t="s">
        <v>440</v>
      </c>
    </row>
    <row r="503" spans="1:9" ht="14.4" x14ac:dyDescent="0.3">
      <c r="A503" s="16" t="s">
        <v>63</v>
      </c>
      <c r="B503">
        <f t="shared" si="9"/>
        <v>2013</v>
      </c>
      <c r="C503" s="19">
        <v>7.0507341340080245</v>
      </c>
      <c r="D503" s="14">
        <v>0.94</v>
      </c>
      <c r="I503" s="16" t="s">
        <v>115</v>
      </c>
    </row>
    <row r="504" spans="1:9" ht="14.4" x14ac:dyDescent="0.3">
      <c r="A504" s="16" t="s">
        <v>63</v>
      </c>
      <c r="B504">
        <f t="shared" si="9"/>
        <v>2014</v>
      </c>
      <c r="C504" s="19">
        <v>6.7507603158101404</v>
      </c>
      <c r="D504" s="14">
        <v>0.94</v>
      </c>
      <c r="I504" s="16" t="s">
        <v>91</v>
      </c>
    </row>
    <row r="505" spans="1:9" ht="14.4" x14ac:dyDescent="0.3">
      <c r="A505" s="16" t="s">
        <v>63</v>
      </c>
      <c r="B505">
        <f t="shared" si="9"/>
        <v>2015</v>
      </c>
      <c r="C505" s="19">
        <v>6.4207364773118485</v>
      </c>
      <c r="D505" s="14">
        <v>0.92</v>
      </c>
      <c r="I505" s="16" t="s">
        <v>108</v>
      </c>
    </row>
    <row r="506" spans="1:9" ht="14.4" x14ac:dyDescent="0.3">
      <c r="A506" s="16" t="s">
        <v>63</v>
      </c>
      <c r="B506">
        <f t="shared" si="9"/>
        <v>2016</v>
      </c>
      <c r="C506" s="19">
        <v>6.2382154476778453</v>
      </c>
      <c r="D506" s="14">
        <v>0.92</v>
      </c>
      <c r="I506" s="16" t="s">
        <v>109</v>
      </c>
    </row>
    <row r="507" spans="1:9" ht="14.4" x14ac:dyDescent="0.3">
      <c r="A507" s="16" t="s">
        <v>63</v>
      </c>
      <c r="B507">
        <f t="shared" si="9"/>
        <v>2017</v>
      </c>
      <c r="C507" s="19">
        <v>6.3018631005663082</v>
      </c>
      <c r="D507" s="14">
        <v>0.92</v>
      </c>
      <c r="I507" s="16" t="s">
        <v>655</v>
      </c>
    </row>
    <row r="508" spans="1:9" ht="14.4" x14ac:dyDescent="0.3">
      <c r="A508" s="16" t="s">
        <v>63</v>
      </c>
      <c r="B508">
        <f t="shared" si="9"/>
        <v>2018</v>
      </c>
      <c r="C508" s="19">
        <v>6.2517005557174912</v>
      </c>
      <c r="D508" s="14">
        <v>0.92</v>
      </c>
      <c r="I508" s="16" t="s">
        <v>112</v>
      </c>
    </row>
    <row r="509" spans="1:9" ht="14.4" x14ac:dyDescent="0.3">
      <c r="A509" s="16" t="s">
        <v>63</v>
      </c>
      <c r="B509">
        <f t="shared" si="9"/>
        <v>2019</v>
      </c>
      <c r="C509" s="19">
        <v>5.5753168629431684</v>
      </c>
      <c r="I509" s="16" t="s">
        <v>111</v>
      </c>
    </row>
    <row r="510" spans="1:9" ht="14.4" x14ac:dyDescent="0.3">
      <c r="A510" s="16" t="s">
        <v>63</v>
      </c>
      <c r="B510">
        <f t="shared" si="9"/>
        <v>2020</v>
      </c>
      <c r="C510" s="19">
        <v>1.9955580419210577</v>
      </c>
      <c r="D510" s="14">
        <v>0.93</v>
      </c>
      <c r="I510" s="16" t="s">
        <v>116</v>
      </c>
    </row>
    <row r="511" spans="1:9" ht="14.4" x14ac:dyDescent="0.3">
      <c r="A511" s="16" t="s">
        <v>63</v>
      </c>
      <c r="B511">
        <f t="shared" si="9"/>
        <v>2021</v>
      </c>
      <c r="C511" s="19">
        <v>8.3517199539417248</v>
      </c>
      <c r="D511" s="14">
        <v>0.94</v>
      </c>
      <c r="I511" s="16" t="s">
        <v>658</v>
      </c>
    </row>
    <row r="512" spans="1:9" ht="14.4" x14ac:dyDescent="0.3">
      <c r="A512" s="16" t="s">
        <v>63</v>
      </c>
      <c r="B512">
        <f t="shared" si="9"/>
        <v>2022</v>
      </c>
      <c r="C512" s="19">
        <v>-1.0598156344669718</v>
      </c>
      <c r="D512" s="14"/>
      <c r="I512" s="16" t="s">
        <v>660</v>
      </c>
    </row>
    <row r="513" spans="1:9" ht="14.4" x14ac:dyDescent="0.3">
      <c r="A513" s="16"/>
      <c r="C513" s="19"/>
      <c r="D513" s="14"/>
      <c r="I513" s="16" t="s">
        <v>118</v>
      </c>
    </row>
    <row r="514" spans="1:9" ht="14.4" x14ac:dyDescent="0.3">
      <c r="A514" s="16"/>
      <c r="C514" s="19"/>
      <c r="D514" s="14"/>
      <c r="I514" s="16" t="s">
        <v>662</v>
      </c>
    </row>
    <row r="515" spans="1:9" ht="14.4" x14ac:dyDescent="0.3">
      <c r="A515" s="16"/>
      <c r="C515" s="19"/>
      <c r="D515" s="14"/>
      <c r="I515" s="16" t="s">
        <v>77</v>
      </c>
    </row>
    <row r="516" spans="1:9" ht="14.4" x14ac:dyDescent="0.3">
      <c r="A516" s="16"/>
      <c r="C516" s="19"/>
      <c r="D516" s="14"/>
      <c r="I516" s="16" t="s">
        <v>117</v>
      </c>
    </row>
    <row r="517" spans="1:9" ht="14.4" x14ac:dyDescent="0.3">
      <c r="A517" s="16"/>
      <c r="C517" s="19"/>
      <c r="D517" s="14"/>
      <c r="I517" s="16" t="s">
        <v>119</v>
      </c>
    </row>
    <row r="518" spans="1:9" ht="14.4" x14ac:dyDescent="0.3">
      <c r="A518" s="16"/>
      <c r="C518" s="19"/>
      <c r="D518" s="14"/>
      <c r="I518" s="16" t="s">
        <v>665</v>
      </c>
    </row>
    <row r="519" spans="1:9" ht="14.4" x14ac:dyDescent="0.3">
      <c r="A519" s="16"/>
      <c r="C519" s="19"/>
      <c r="D519" s="14"/>
      <c r="I519" s="16" t="s">
        <v>667</v>
      </c>
    </row>
    <row r="520" spans="1:9" ht="14.4" x14ac:dyDescent="0.3">
      <c r="A520" s="16"/>
      <c r="C520" s="19"/>
      <c r="D520" s="14"/>
      <c r="I520" s="16" t="s">
        <v>669</v>
      </c>
    </row>
    <row r="521" spans="1:9" ht="14.4" x14ac:dyDescent="0.3">
      <c r="A521" s="16"/>
      <c r="C521" s="19"/>
      <c r="D521" s="14"/>
      <c r="I521" s="16" t="s">
        <v>671</v>
      </c>
    </row>
    <row r="522" spans="1:9" ht="14.4" x14ac:dyDescent="0.3">
      <c r="A522" s="16"/>
      <c r="C522" s="19"/>
      <c r="D522" s="14"/>
      <c r="I522" s="16" t="s">
        <v>122</v>
      </c>
    </row>
    <row r="523" spans="1:9" ht="14.4" x14ac:dyDescent="0.3">
      <c r="A523" s="16"/>
      <c r="C523" s="19"/>
      <c r="D523" s="14"/>
      <c r="I523" s="16" t="s">
        <v>673</v>
      </c>
    </row>
    <row r="524" spans="1:9" ht="14.4" x14ac:dyDescent="0.3">
      <c r="A524" s="16"/>
      <c r="C524" s="19"/>
      <c r="I524" s="16" t="s">
        <v>126</v>
      </c>
    </row>
    <row r="525" spans="1:9" ht="14.4" x14ac:dyDescent="0.3">
      <c r="A525" s="16"/>
      <c r="C525" s="19"/>
      <c r="D525" s="14"/>
      <c r="I525" s="16" t="s">
        <v>121</v>
      </c>
    </row>
    <row r="526" spans="1:9" ht="14.4" x14ac:dyDescent="0.3">
      <c r="A526" s="16"/>
      <c r="C526" s="19"/>
      <c r="D526" s="14"/>
      <c r="I526" s="16" t="s">
        <v>676</v>
      </c>
    </row>
    <row r="527" spans="1:9" ht="14.4" x14ac:dyDescent="0.3">
      <c r="A527" s="16" t="s">
        <v>64</v>
      </c>
      <c r="B527">
        <f t="shared" ref="B527:B558" si="10">IF(A527=A526,B526+1,2007)</f>
        <v>2007</v>
      </c>
      <c r="C527" s="19">
        <v>1.4665444946195976</v>
      </c>
      <c r="D527" s="14">
        <v>0.97</v>
      </c>
      <c r="E527" s="15">
        <v>3.7</v>
      </c>
      <c r="I527" s="16" t="s">
        <v>125</v>
      </c>
    </row>
    <row r="528" spans="1:9" ht="14.4" x14ac:dyDescent="0.3">
      <c r="A528" s="16" t="s">
        <v>64</v>
      </c>
      <c r="B528">
        <f t="shared" si="10"/>
        <v>2008</v>
      </c>
      <c r="C528" s="19">
        <v>-2.9081450677409748E-2</v>
      </c>
      <c r="D528" s="14">
        <v>0.97</v>
      </c>
      <c r="E528" s="15">
        <v>2.9</v>
      </c>
      <c r="I528" s="16" t="s">
        <v>451</v>
      </c>
    </row>
    <row r="529" spans="1:9" ht="14.4" x14ac:dyDescent="0.3">
      <c r="A529" s="16" t="s">
        <v>64</v>
      </c>
      <c r="B529">
        <f t="shared" si="10"/>
        <v>2009</v>
      </c>
      <c r="C529" s="19">
        <v>-0.29962204876852638</v>
      </c>
      <c r="D529" s="14">
        <v>0.97</v>
      </c>
      <c r="E529" s="15">
        <v>3.3</v>
      </c>
      <c r="I529" s="16" t="s">
        <v>124</v>
      </c>
    </row>
    <row r="530" spans="1:9" ht="14.4" x14ac:dyDescent="0.3">
      <c r="A530" s="16" t="s">
        <v>64</v>
      </c>
      <c r="B530">
        <f t="shared" si="10"/>
        <v>2010</v>
      </c>
      <c r="C530" s="19">
        <v>6.5827892668011145E-3</v>
      </c>
      <c r="D530" s="14">
        <v>0.96</v>
      </c>
      <c r="E530" s="15">
        <v>4.4000000000000004</v>
      </c>
      <c r="I530" s="16" t="s">
        <v>120</v>
      </c>
    </row>
    <row r="531" spans="1:9" ht="14.4" x14ac:dyDescent="0.3">
      <c r="A531" s="16" t="s">
        <v>64</v>
      </c>
      <c r="B531">
        <f t="shared" si="10"/>
        <v>2011</v>
      </c>
      <c r="C531" s="19">
        <v>0.49334667861830894</v>
      </c>
      <c r="D531" s="14">
        <v>0.96</v>
      </c>
      <c r="E531" s="15">
        <v>4.8</v>
      </c>
      <c r="I531" s="16" t="s">
        <v>127</v>
      </c>
    </row>
    <row r="532" spans="1:9" ht="14.4" x14ac:dyDescent="0.3">
      <c r="A532" s="16" t="s">
        <v>64</v>
      </c>
      <c r="B532">
        <f t="shared" si="10"/>
        <v>2012</v>
      </c>
      <c r="C532" s="19">
        <v>1.7218416531545699</v>
      </c>
      <c r="D532" s="14">
        <v>0.96</v>
      </c>
      <c r="E532" s="15">
        <v>4.7</v>
      </c>
      <c r="I532" s="16" t="s">
        <v>128</v>
      </c>
    </row>
    <row r="533" spans="1:9" ht="14.4" x14ac:dyDescent="0.3">
      <c r="A533" s="16" t="s">
        <v>64</v>
      </c>
      <c r="B533">
        <f t="shared" si="10"/>
        <v>2013</v>
      </c>
      <c r="C533" s="19">
        <v>2.0826098393218047</v>
      </c>
      <c r="D533" s="14">
        <v>0.96</v>
      </c>
      <c r="E533" s="15">
        <v>4.2</v>
      </c>
      <c r="I533" s="16" t="s">
        <v>129</v>
      </c>
    </row>
    <row r="534" spans="1:9" ht="14.4" x14ac:dyDescent="0.3">
      <c r="A534" s="16" t="s">
        <v>64</v>
      </c>
      <c r="B534">
        <f t="shared" si="10"/>
        <v>2014</v>
      </c>
      <c r="C534" s="19">
        <v>2.5589026863079596</v>
      </c>
      <c r="D534" s="14"/>
      <c r="E534" s="15">
        <v>2.2999999999999998</v>
      </c>
      <c r="I534" s="16" t="s">
        <v>132</v>
      </c>
    </row>
    <row r="535" spans="1:9" ht="14.4" x14ac:dyDescent="0.3">
      <c r="A535" s="16" t="s">
        <v>64</v>
      </c>
      <c r="B535">
        <f t="shared" si="10"/>
        <v>2015</v>
      </c>
      <c r="C535" s="19">
        <v>2.3927974134520156</v>
      </c>
      <c r="D535" s="14">
        <v>0.97</v>
      </c>
      <c r="E535" s="15">
        <v>2.9</v>
      </c>
      <c r="I535" s="16" t="s">
        <v>130</v>
      </c>
    </row>
    <row r="536" spans="1:9" ht="14.4" x14ac:dyDescent="0.3">
      <c r="A536" s="16" t="s">
        <v>64</v>
      </c>
      <c r="B536">
        <f t="shared" si="10"/>
        <v>2016</v>
      </c>
      <c r="C536" s="19">
        <v>1.4542326740102993</v>
      </c>
      <c r="D536" s="14">
        <v>0.97</v>
      </c>
      <c r="E536" s="15">
        <v>3.1</v>
      </c>
      <c r="I536" s="16" t="s">
        <v>133</v>
      </c>
    </row>
    <row r="537" spans="1:9" ht="14.4" x14ac:dyDescent="0.3">
      <c r="A537" s="16" t="s">
        <v>64</v>
      </c>
      <c r="B537">
        <f t="shared" si="10"/>
        <v>2017</v>
      </c>
      <c r="C537" s="19">
        <v>0.6482126337164118</v>
      </c>
      <c r="D537" s="14">
        <v>0.97</v>
      </c>
      <c r="E537" s="15">
        <v>2.6</v>
      </c>
      <c r="I537" s="16" t="s">
        <v>134</v>
      </c>
    </row>
    <row r="538" spans="1:9" ht="14.4" x14ac:dyDescent="0.3">
      <c r="A538" s="16" t="s">
        <v>64</v>
      </c>
      <c r="B538">
        <f t="shared" si="10"/>
        <v>2018</v>
      </c>
      <c r="C538" s="19">
        <v>1.1217952144297243</v>
      </c>
      <c r="D538" s="14">
        <v>0.97</v>
      </c>
      <c r="E538" s="15">
        <v>2.7450000000000001</v>
      </c>
      <c r="I538" s="16" t="s">
        <v>462</v>
      </c>
    </row>
    <row r="539" spans="1:9" ht="14.4" x14ac:dyDescent="0.3">
      <c r="A539" s="16" t="s">
        <v>64</v>
      </c>
      <c r="B539">
        <f t="shared" si="10"/>
        <v>2019</v>
      </c>
      <c r="C539" s="19">
        <v>0.64322320371064734</v>
      </c>
      <c r="E539" s="15">
        <v>3.4550000000000001</v>
      </c>
      <c r="I539" s="16" t="s">
        <v>59</v>
      </c>
    </row>
    <row r="540" spans="1:9" ht="14.4" x14ac:dyDescent="0.3">
      <c r="A540" s="16" t="s">
        <v>64</v>
      </c>
      <c r="B540">
        <f t="shared" si="10"/>
        <v>2020</v>
      </c>
      <c r="C540" s="19">
        <v>-2.4224344182237161</v>
      </c>
      <c r="D540" s="14">
        <v>0.97</v>
      </c>
      <c r="I540" s="16" t="s">
        <v>135</v>
      </c>
    </row>
    <row r="541" spans="1:9" ht="14.4" x14ac:dyDescent="0.3">
      <c r="A541" s="16" t="s">
        <v>64</v>
      </c>
      <c r="B541">
        <f t="shared" si="10"/>
        <v>2021</v>
      </c>
      <c r="C541" s="19">
        <v>0.65061604452705524</v>
      </c>
      <c r="D541" s="14">
        <v>0.97</v>
      </c>
      <c r="I541" s="16" t="s">
        <v>679</v>
      </c>
    </row>
    <row r="542" spans="1:9" ht="14.4" x14ac:dyDescent="0.3">
      <c r="A542" s="16" t="s">
        <v>65</v>
      </c>
      <c r="B542">
        <f t="shared" si="10"/>
        <v>2007</v>
      </c>
      <c r="C542" s="19">
        <v>2.8970142528967671</v>
      </c>
      <c r="E542" s="15">
        <v>4.2</v>
      </c>
      <c r="I542" s="16" t="s">
        <v>465</v>
      </c>
    </row>
    <row r="543" spans="1:9" ht="14.4" x14ac:dyDescent="0.3">
      <c r="A543" s="16" t="s">
        <v>65</v>
      </c>
      <c r="B543">
        <f t="shared" si="10"/>
        <v>2008</v>
      </c>
      <c r="C543" s="19">
        <v>2.8807415578669691</v>
      </c>
      <c r="E543" s="15">
        <v>3.9</v>
      </c>
      <c r="I543" s="16" t="s">
        <v>136</v>
      </c>
    </row>
    <row r="544" spans="1:9" ht="14.4" x14ac:dyDescent="0.3">
      <c r="A544" s="16" t="s">
        <v>65</v>
      </c>
      <c r="B544">
        <f t="shared" si="10"/>
        <v>2009</v>
      </c>
      <c r="C544" s="19">
        <v>-0.37846219954546712</v>
      </c>
      <c r="E544" s="15">
        <v>3.7</v>
      </c>
      <c r="I544" s="16" t="s">
        <v>681</v>
      </c>
    </row>
    <row r="545" spans="1:9" ht="14.4" x14ac:dyDescent="0.3">
      <c r="A545" s="16" t="s">
        <v>65</v>
      </c>
      <c r="B545">
        <f t="shared" si="10"/>
        <v>2010</v>
      </c>
      <c r="C545" s="19">
        <v>3.6861601156026751</v>
      </c>
      <c r="E545" s="15">
        <v>6</v>
      </c>
      <c r="I545" s="16" t="s">
        <v>468</v>
      </c>
    </row>
    <row r="546" spans="1:9" ht="14.4" x14ac:dyDescent="0.3">
      <c r="A546" s="16" t="s">
        <v>65</v>
      </c>
      <c r="B546">
        <f t="shared" si="10"/>
        <v>2011</v>
      </c>
      <c r="C546" s="19">
        <v>3.3518213098953993</v>
      </c>
      <c r="E546" s="15">
        <v>5.5</v>
      </c>
      <c r="I546" s="16" t="s">
        <v>140</v>
      </c>
    </row>
    <row r="547" spans="1:9" ht="14.4" x14ac:dyDescent="0.3">
      <c r="A547" s="16" t="s">
        <v>65</v>
      </c>
      <c r="B547">
        <f t="shared" si="10"/>
        <v>2012</v>
      </c>
      <c r="C547" s="19">
        <v>3.5520187670966976</v>
      </c>
      <c r="E547" s="15">
        <v>4.5999999999999996</v>
      </c>
      <c r="I547" s="16" t="s">
        <v>142</v>
      </c>
    </row>
    <row r="548" spans="1:9" ht="14.4" x14ac:dyDescent="0.3">
      <c r="A548" s="16" t="s">
        <v>65</v>
      </c>
      <c r="B548">
        <f t="shared" si="10"/>
        <v>2013</v>
      </c>
      <c r="C548" s="19">
        <v>4.8459794831066176</v>
      </c>
      <c r="E548" s="15">
        <v>3</v>
      </c>
      <c r="I548" s="16" t="s">
        <v>143</v>
      </c>
    </row>
    <row r="549" spans="1:9" ht="14.4" x14ac:dyDescent="0.3">
      <c r="A549" s="16" t="s">
        <v>65</v>
      </c>
      <c r="B549">
        <f t="shared" si="10"/>
        <v>2014</v>
      </c>
      <c r="C549" s="19">
        <v>5.7621815543975146</v>
      </c>
      <c r="E549" s="15">
        <v>1.6</v>
      </c>
      <c r="I549" s="16" t="s">
        <v>684</v>
      </c>
    </row>
    <row r="550" spans="1:9" ht="14.4" x14ac:dyDescent="0.3">
      <c r="A550" s="16" t="s">
        <v>65</v>
      </c>
      <c r="B550">
        <f t="shared" si="10"/>
        <v>2015</v>
      </c>
      <c r="C550" s="19">
        <v>3.3530843473903502</v>
      </c>
      <c r="E550" s="15">
        <v>3</v>
      </c>
      <c r="I550" s="16" t="s">
        <v>686</v>
      </c>
    </row>
    <row r="551" spans="1:9" ht="14.4" x14ac:dyDescent="0.3">
      <c r="A551" s="16" t="s">
        <v>65</v>
      </c>
      <c r="B551">
        <f t="shared" si="10"/>
        <v>2016</v>
      </c>
      <c r="C551" s="19">
        <v>-1.0889960238774563</v>
      </c>
      <c r="E551" s="15">
        <v>3.5</v>
      </c>
      <c r="I551" s="16" t="s">
        <v>688</v>
      </c>
    </row>
    <row r="552" spans="1:9" ht="14.4" x14ac:dyDescent="0.3">
      <c r="A552" s="16" t="s">
        <v>65</v>
      </c>
      <c r="B552">
        <f t="shared" si="10"/>
        <v>2017</v>
      </c>
      <c r="C552" s="19">
        <v>0.21664309460784636</v>
      </c>
      <c r="E552" s="15">
        <v>3.9</v>
      </c>
      <c r="I552" s="16" t="s">
        <v>690</v>
      </c>
    </row>
    <row r="553" spans="1:9" ht="14.4" x14ac:dyDescent="0.3">
      <c r="A553" s="16" t="s">
        <v>65</v>
      </c>
      <c r="B553">
        <f t="shared" si="10"/>
        <v>2018</v>
      </c>
      <c r="C553" s="19">
        <v>2.4138399749452901</v>
      </c>
      <c r="E553" s="15">
        <v>3.85</v>
      </c>
      <c r="I553" s="16" t="s">
        <v>144</v>
      </c>
    </row>
    <row r="554" spans="1:9" ht="14.4" x14ac:dyDescent="0.3">
      <c r="A554" s="16" t="s">
        <v>65</v>
      </c>
      <c r="B554">
        <f t="shared" si="10"/>
        <v>2019</v>
      </c>
      <c r="C554" s="19">
        <v>1.1109662739281703</v>
      </c>
      <c r="E554" s="15">
        <v>4.55</v>
      </c>
      <c r="I554" s="16" t="s">
        <v>225</v>
      </c>
    </row>
    <row r="555" spans="1:9" ht="14.4" x14ac:dyDescent="0.3">
      <c r="A555" s="16" t="s">
        <v>65</v>
      </c>
      <c r="B555">
        <f t="shared" si="10"/>
        <v>2020</v>
      </c>
      <c r="C555" s="19">
        <v>-1.4926894273680631</v>
      </c>
      <c r="I555" s="16" t="s">
        <v>693</v>
      </c>
    </row>
    <row r="556" spans="1:9" ht="14.4" x14ac:dyDescent="0.3">
      <c r="A556" s="16" t="s">
        <v>65</v>
      </c>
      <c r="B556">
        <f t="shared" si="10"/>
        <v>2021</v>
      </c>
      <c r="C556" s="19">
        <v>2.8323793247288194</v>
      </c>
      <c r="I556" s="16" t="s">
        <v>695</v>
      </c>
    </row>
    <row r="557" spans="1:9" ht="14.4" x14ac:dyDescent="0.3">
      <c r="A557" s="16" t="s">
        <v>66</v>
      </c>
      <c r="B557">
        <f t="shared" si="10"/>
        <v>2007</v>
      </c>
      <c r="I557" s="16" t="s">
        <v>141</v>
      </c>
    </row>
    <row r="558" spans="1:9" ht="14.4" x14ac:dyDescent="0.3">
      <c r="A558" s="16" t="s">
        <v>66</v>
      </c>
      <c r="B558">
        <f t="shared" si="10"/>
        <v>2008</v>
      </c>
      <c r="I558" s="16" t="s">
        <v>697</v>
      </c>
    </row>
    <row r="559" spans="1:9" ht="14.4" x14ac:dyDescent="0.3">
      <c r="A559" s="16" t="s">
        <v>66</v>
      </c>
      <c r="B559">
        <f t="shared" ref="B559:B586" si="11">IF(A559=A558,B558+1,2007)</f>
        <v>2009</v>
      </c>
      <c r="I559" s="16" t="s">
        <v>145</v>
      </c>
    </row>
    <row r="560" spans="1:9" ht="14.4" x14ac:dyDescent="0.3">
      <c r="A560" s="16" t="s">
        <v>66</v>
      </c>
      <c r="B560">
        <f t="shared" si="11"/>
        <v>2010</v>
      </c>
      <c r="I560" s="16" t="s">
        <v>146</v>
      </c>
    </row>
    <row r="561" spans="1:9" ht="14.4" x14ac:dyDescent="0.3">
      <c r="A561" s="16" t="s">
        <v>66</v>
      </c>
      <c r="B561">
        <f t="shared" si="11"/>
        <v>2011</v>
      </c>
      <c r="I561" s="16" t="s">
        <v>139</v>
      </c>
    </row>
    <row r="562" spans="1:9" ht="14.4" x14ac:dyDescent="0.3">
      <c r="A562" s="16" t="s">
        <v>66</v>
      </c>
      <c r="B562">
        <f t="shared" si="11"/>
        <v>2012</v>
      </c>
      <c r="I562" s="16" t="s">
        <v>699</v>
      </c>
    </row>
    <row r="563" spans="1:9" ht="14.4" x14ac:dyDescent="0.3">
      <c r="A563" s="16" t="s">
        <v>66</v>
      </c>
      <c r="B563">
        <f t="shared" si="11"/>
        <v>2013</v>
      </c>
      <c r="I563" s="16" t="s">
        <v>701</v>
      </c>
    </row>
    <row r="564" spans="1:9" ht="14.4" x14ac:dyDescent="0.3">
      <c r="A564" s="16" t="s">
        <v>66</v>
      </c>
      <c r="B564">
        <f t="shared" si="11"/>
        <v>2014</v>
      </c>
      <c r="I564" s="16" t="s">
        <v>164</v>
      </c>
    </row>
    <row r="565" spans="1:9" ht="14.4" x14ac:dyDescent="0.3">
      <c r="A565" s="16" t="s">
        <v>66</v>
      </c>
      <c r="B565">
        <f t="shared" si="11"/>
        <v>2015</v>
      </c>
      <c r="I565" s="16" t="s">
        <v>160</v>
      </c>
    </row>
    <row r="566" spans="1:9" ht="14.4" x14ac:dyDescent="0.3">
      <c r="A566" s="16" t="s">
        <v>66</v>
      </c>
      <c r="B566">
        <f t="shared" si="11"/>
        <v>2016</v>
      </c>
      <c r="I566" s="16" t="s">
        <v>318</v>
      </c>
    </row>
    <row r="567" spans="1:9" ht="14.4" x14ac:dyDescent="0.3">
      <c r="A567" s="16" t="s">
        <v>66</v>
      </c>
      <c r="B567">
        <f t="shared" si="11"/>
        <v>2017</v>
      </c>
      <c r="I567" s="16" t="s">
        <v>147</v>
      </c>
    </row>
    <row r="568" spans="1:9" ht="14.4" x14ac:dyDescent="0.3">
      <c r="A568" s="16" t="s">
        <v>66</v>
      </c>
      <c r="B568">
        <f t="shared" si="11"/>
        <v>2018</v>
      </c>
      <c r="I568" s="16" t="s">
        <v>150</v>
      </c>
    </row>
    <row r="569" spans="1:9" ht="14.4" x14ac:dyDescent="0.3">
      <c r="A569" s="16" t="s">
        <v>66</v>
      </c>
      <c r="B569">
        <f t="shared" si="11"/>
        <v>2019</v>
      </c>
      <c r="I569" s="16" t="s">
        <v>704</v>
      </c>
    </row>
    <row r="570" spans="1:9" ht="14.4" x14ac:dyDescent="0.3">
      <c r="A570" s="16" t="s">
        <v>66</v>
      </c>
      <c r="B570">
        <f t="shared" si="11"/>
        <v>2020</v>
      </c>
      <c r="I570" s="16" t="s">
        <v>158</v>
      </c>
    </row>
    <row r="571" spans="1:9" ht="14.4" x14ac:dyDescent="0.3">
      <c r="A571" s="16" t="s">
        <v>66</v>
      </c>
      <c r="B571">
        <f t="shared" si="11"/>
        <v>2021</v>
      </c>
      <c r="I571" s="16" t="s">
        <v>153</v>
      </c>
    </row>
    <row r="572" spans="1:9" ht="14.4" x14ac:dyDescent="0.3">
      <c r="A572" s="16" t="s">
        <v>67</v>
      </c>
      <c r="B572">
        <f t="shared" si="11"/>
        <v>2007</v>
      </c>
      <c r="C572" s="19">
        <v>5.4228476187929289</v>
      </c>
      <c r="D572" s="14">
        <v>0.98</v>
      </c>
      <c r="E572" s="15">
        <v>1.2</v>
      </c>
      <c r="F572" s="7">
        <v>0.35159000000000001</v>
      </c>
      <c r="I572" s="16" t="s">
        <v>707</v>
      </c>
    </row>
    <row r="573" spans="1:9" ht="14.4" x14ac:dyDescent="0.3">
      <c r="A573" s="16" t="s">
        <v>67</v>
      </c>
      <c r="B573">
        <f t="shared" si="11"/>
        <v>2008</v>
      </c>
      <c r="C573" s="19">
        <v>2.0842423630240745</v>
      </c>
      <c r="D573" s="14">
        <v>0.98</v>
      </c>
      <c r="E573" s="15">
        <v>1.2</v>
      </c>
      <c r="F573" s="7">
        <v>0.42518</v>
      </c>
      <c r="I573" s="16" t="s">
        <v>178</v>
      </c>
    </row>
    <row r="574" spans="1:9" ht="14.4" x14ac:dyDescent="0.3">
      <c r="A574" s="16" t="s">
        <v>67</v>
      </c>
      <c r="B574">
        <f t="shared" si="11"/>
        <v>2009</v>
      </c>
      <c r="C574" s="19">
        <v>1.6622794089613535E-3</v>
      </c>
      <c r="D574" s="14">
        <v>0.98</v>
      </c>
      <c r="E574" s="15">
        <v>1.3</v>
      </c>
      <c r="F574" s="7">
        <v>0.54371999999999998</v>
      </c>
      <c r="I574" s="16" t="s">
        <v>151</v>
      </c>
    </row>
    <row r="575" spans="1:9" ht="14.4" x14ac:dyDescent="0.3">
      <c r="A575" s="16" t="s">
        <v>67</v>
      </c>
      <c r="B575">
        <f t="shared" si="11"/>
        <v>2010</v>
      </c>
      <c r="C575" s="19">
        <v>3.3237345057119683</v>
      </c>
      <c r="D575" s="14">
        <v>0.98</v>
      </c>
      <c r="E575" s="15">
        <v>1.3</v>
      </c>
      <c r="F575" s="7">
        <v>0.56149000000000004</v>
      </c>
      <c r="I575" s="16" t="s">
        <v>152</v>
      </c>
    </row>
    <row r="576" spans="1:9" ht="14.4" x14ac:dyDescent="0.3">
      <c r="A576" s="16" t="s">
        <v>67</v>
      </c>
      <c r="B576">
        <f t="shared" si="11"/>
        <v>2011</v>
      </c>
      <c r="C576" s="19">
        <v>5.7846997656198766</v>
      </c>
      <c r="D576" s="14">
        <v>0.98</v>
      </c>
      <c r="E576" s="15">
        <v>1.6</v>
      </c>
      <c r="F576" s="7">
        <v>0.52749000000000001</v>
      </c>
      <c r="I576" s="16" t="s">
        <v>166</v>
      </c>
    </row>
    <row r="577" spans="1:9" ht="14.4" x14ac:dyDescent="0.3">
      <c r="A577" s="16" t="s">
        <v>67</v>
      </c>
      <c r="B577">
        <f t="shared" si="11"/>
        <v>2012</v>
      </c>
      <c r="C577" s="19">
        <v>2.8378890262192158</v>
      </c>
      <c r="D577" s="14">
        <v>0.98</v>
      </c>
      <c r="E577" s="15">
        <v>1.2</v>
      </c>
      <c r="F577" s="7">
        <v>0.63656999999999997</v>
      </c>
      <c r="I577" s="16" t="s">
        <v>709</v>
      </c>
    </row>
    <row r="578" spans="1:9" ht="14.4" x14ac:dyDescent="0.3">
      <c r="A578" s="16" t="s">
        <v>67</v>
      </c>
      <c r="B578">
        <f t="shared" si="11"/>
        <v>2013</v>
      </c>
      <c r="C578" s="19">
        <v>4.098265908658874</v>
      </c>
      <c r="D578" s="14">
        <v>0.98</v>
      </c>
      <c r="E578" s="15">
        <v>1.6</v>
      </c>
      <c r="F578" s="7" t="s">
        <v>25</v>
      </c>
      <c r="I578" s="16" t="s">
        <v>162</v>
      </c>
    </row>
    <row r="579" spans="1:9" ht="14.4" x14ac:dyDescent="0.3">
      <c r="A579" s="16" t="s">
        <v>67</v>
      </c>
      <c r="B579">
        <f t="shared" si="11"/>
        <v>2014</v>
      </c>
      <c r="C579" s="19">
        <v>3.5139534791281903</v>
      </c>
      <c r="D579" s="14">
        <v>0.98</v>
      </c>
      <c r="E579" s="15">
        <v>1.3</v>
      </c>
      <c r="F579" s="7">
        <v>0.84272000000000002</v>
      </c>
      <c r="I579" s="16" t="s">
        <v>161</v>
      </c>
    </row>
    <row r="580" spans="1:9" ht="14.4" x14ac:dyDescent="0.3">
      <c r="A580" s="16" t="s">
        <v>67</v>
      </c>
      <c r="B580">
        <f t="shared" si="11"/>
        <v>2015</v>
      </c>
      <c r="C580" s="19">
        <v>1.990616493633496</v>
      </c>
      <c r="D580" s="14">
        <v>0.98</v>
      </c>
      <c r="E580" s="15">
        <v>1.3</v>
      </c>
      <c r="F580" s="7">
        <v>0.64644999999999997</v>
      </c>
      <c r="I580" s="16" t="s">
        <v>179</v>
      </c>
    </row>
    <row r="581" spans="1:9" ht="14.4" x14ac:dyDescent="0.3">
      <c r="A581" s="16" t="s">
        <v>67</v>
      </c>
      <c r="B581">
        <f t="shared" si="11"/>
        <v>2016</v>
      </c>
      <c r="C581" s="19">
        <v>1.0022727252118955</v>
      </c>
      <c r="D581" s="14">
        <v>0.98</v>
      </c>
      <c r="E581" s="15">
        <v>2.2000000000000002</v>
      </c>
      <c r="F581" s="7">
        <v>0.61362000000000005</v>
      </c>
      <c r="I581" s="16" t="s">
        <v>165</v>
      </c>
    </row>
    <row r="582" spans="1:9" ht="14.4" x14ac:dyDescent="0.3">
      <c r="A582" s="16" t="s">
        <v>67</v>
      </c>
      <c r="B582">
        <f t="shared" si="11"/>
        <v>2017</v>
      </c>
      <c r="C582" s="19">
        <v>-0.1619538749184386</v>
      </c>
      <c r="D582" s="14">
        <v>0.98</v>
      </c>
      <c r="E582" s="15">
        <v>1.3</v>
      </c>
      <c r="F582" s="7">
        <v>0.74956</v>
      </c>
      <c r="I582" s="16" t="s">
        <v>155</v>
      </c>
    </row>
    <row r="583" spans="1:9" ht="14.4" x14ac:dyDescent="0.3">
      <c r="A583" s="16" t="s">
        <v>67</v>
      </c>
      <c r="B583">
        <f t="shared" si="11"/>
        <v>2018</v>
      </c>
      <c r="C583" s="19">
        <v>0.63843961599310717</v>
      </c>
      <c r="D583" s="14">
        <v>0.98</v>
      </c>
      <c r="E583" s="15">
        <v>1.7350000000000001</v>
      </c>
      <c r="F583" s="7">
        <v>0.74465999999999999</v>
      </c>
      <c r="I583" s="16" t="s">
        <v>156</v>
      </c>
    </row>
    <row r="584" spans="1:9" ht="14.4" x14ac:dyDescent="0.3">
      <c r="A584" s="16" t="s">
        <v>67</v>
      </c>
      <c r="B584">
        <f t="shared" si="11"/>
        <v>2019</v>
      </c>
      <c r="C584" s="19">
        <v>1.3149523784246071</v>
      </c>
      <c r="E584" s="15">
        <v>1.5349999999999999</v>
      </c>
      <c r="F584" s="7">
        <v>0.76420999999999994</v>
      </c>
      <c r="I584" s="16" t="s">
        <v>148</v>
      </c>
    </row>
    <row r="585" spans="1:9" ht="14.4" x14ac:dyDescent="0.3">
      <c r="A585" s="16" t="s">
        <v>67</v>
      </c>
      <c r="B585">
        <f t="shared" si="11"/>
        <v>2020</v>
      </c>
      <c r="C585" s="19">
        <v>-8.5403953772543275</v>
      </c>
      <c r="D585" s="14">
        <v>0.98</v>
      </c>
      <c r="F585" s="7">
        <v>0.82428999999999997</v>
      </c>
      <c r="I585" s="16" t="s">
        <v>149</v>
      </c>
    </row>
    <row r="586" spans="1:9" ht="14.4" x14ac:dyDescent="0.3">
      <c r="A586" s="16" t="s">
        <v>67</v>
      </c>
      <c r="B586">
        <f t="shared" si="11"/>
        <v>2021</v>
      </c>
      <c r="C586" s="19">
        <v>9.5410515599769354</v>
      </c>
      <c r="D586" s="14">
        <v>0.98</v>
      </c>
      <c r="F586" s="7">
        <v>0.61841000000000002</v>
      </c>
      <c r="I586" s="16" t="s">
        <v>712</v>
      </c>
    </row>
    <row r="587" spans="1:9" ht="14.4" x14ac:dyDescent="0.3">
      <c r="A587" s="16"/>
      <c r="C587" s="19"/>
      <c r="I587" s="16"/>
    </row>
    <row r="588" spans="1:9" ht="14.4" x14ac:dyDescent="0.3">
      <c r="A588" s="16"/>
      <c r="C588" s="19"/>
      <c r="I588" s="16"/>
    </row>
    <row r="589" spans="1:9" ht="14.4" x14ac:dyDescent="0.3">
      <c r="A589" s="16"/>
      <c r="C589" s="19"/>
      <c r="I589" s="16"/>
    </row>
    <row r="590" spans="1:9" ht="14.4" x14ac:dyDescent="0.3">
      <c r="A590" s="16"/>
      <c r="C590" s="19"/>
      <c r="I590" s="16"/>
    </row>
    <row r="591" spans="1:9" ht="14.4" x14ac:dyDescent="0.3">
      <c r="A591" s="16"/>
      <c r="C591" s="19"/>
      <c r="I591" s="16"/>
    </row>
    <row r="592" spans="1:9" ht="14.4" x14ac:dyDescent="0.3">
      <c r="A592" s="16"/>
      <c r="C592" s="19"/>
      <c r="I592" s="16"/>
    </row>
    <row r="593" spans="1:9" ht="14.4" x14ac:dyDescent="0.3">
      <c r="A593" s="16"/>
      <c r="C593" s="19"/>
      <c r="I593" s="16"/>
    </row>
    <row r="594" spans="1:9" ht="14.4" x14ac:dyDescent="0.3">
      <c r="A594" s="16"/>
      <c r="C594" s="19"/>
      <c r="I594" s="16"/>
    </row>
    <row r="595" spans="1:9" ht="14.4" x14ac:dyDescent="0.3">
      <c r="A595" s="16"/>
      <c r="C595" s="19"/>
      <c r="I595" s="16"/>
    </row>
    <row r="596" spans="1:9" ht="14.4" x14ac:dyDescent="0.3">
      <c r="A596" s="16"/>
      <c r="C596" s="19"/>
      <c r="I596" s="16"/>
    </row>
    <row r="597" spans="1:9" ht="14.4" x14ac:dyDescent="0.3">
      <c r="A597" s="16"/>
      <c r="C597" s="19"/>
      <c r="I597" s="16"/>
    </row>
    <row r="598" spans="1:9" ht="14.4" x14ac:dyDescent="0.3">
      <c r="A598" s="16"/>
      <c r="C598" s="19"/>
      <c r="I598" s="16"/>
    </row>
    <row r="599" spans="1:9" ht="14.4" x14ac:dyDescent="0.3">
      <c r="A599" s="16"/>
      <c r="C599" s="19"/>
      <c r="I599" s="16"/>
    </row>
    <row r="600" spans="1:9" ht="14.4" x14ac:dyDescent="0.3">
      <c r="A600" s="16"/>
      <c r="C600" s="19"/>
      <c r="I600" s="16"/>
    </row>
    <row r="601" spans="1:9" ht="14.4" x14ac:dyDescent="0.3">
      <c r="A601" s="16"/>
      <c r="C601" s="19"/>
      <c r="I601" s="16"/>
    </row>
    <row r="602" spans="1:9" ht="14.4" x14ac:dyDescent="0.3">
      <c r="A602" s="16" t="s">
        <v>68</v>
      </c>
      <c r="B602">
        <f t="shared" ref="B602:B616" si="12">IF(A602=A601,B601+1,2007)</f>
        <v>2007</v>
      </c>
      <c r="E602" s="15">
        <v>7.8</v>
      </c>
      <c r="F602" s="8" t="s">
        <v>25</v>
      </c>
      <c r="I602" s="16" t="s">
        <v>188</v>
      </c>
    </row>
    <row r="603" spans="1:9" ht="14.4" x14ac:dyDescent="0.3">
      <c r="A603" s="16" t="s">
        <v>68</v>
      </c>
      <c r="B603">
        <f t="shared" si="12"/>
        <v>2008</v>
      </c>
      <c r="C603" s="19">
        <v>13.836054902289604</v>
      </c>
      <c r="D603" s="14"/>
      <c r="E603" s="15">
        <v>7.7</v>
      </c>
      <c r="F603" s="8" t="s">
        <v>25</v>
      </c>
      <c r="I603" s="16" t="s">
        <v>189</v>
      </c>
    </row>
    <row r="604" spans="1:9" ht="14.4" x14ac:dyDescent="0.3">
      <c r="A604" s="16" t="s">
        <v>68</v>
      </c>
      <c r="B604">
        <f t="shared" si="12"/>
        <v>2009</v>
      </c>
      <c r="C604" s="19">
        <v>5.8638255743039167</v>
      </c>
      <c r="D604" s="14"/>
      <c r="E604" s="15">
        <v>7.9</v>
      </c>
      <c r="F604" s="8" t="s">
        <v>25</v>
      </c>
      <c r="I604" s="16" t="s">
        <v>183</v>
      </c>
    </row>
    <row r="605" spans="1:9" ht="14.4" x14ac:dyDescent="0.3">
      <c r="A605" s="16" t="s">
        <v>68</v>
      </c>
      <c r="B605">
        <f t="shared" si="12"/>
        <v>2010</v>
      </c>
      <c r="C605" s="19">
        <v>-2.5163669750991602</v>
      </c>
      <c r="D605" s="14"/>
      <c r="E605" s="15">
        <v>7.5</v>
      </c>
      <c r="F605" s="8">
        <v>5.9290000000000002E-2</v>
      </c>
      <c r="I605" s="16" t="s">
        <v>186</v>
      </c>
    </row>
    <row r="606" spans="1:9" ht="14.4" x14ac:dyDescent="0.3">
      <c r="A606" s="16" t="s">
        <v>68</v>
      </c>
      <c r="B606">
        <f t="shared" si="12"/>
        <v>2011</v>
      </c>
      <c r="C606" s="19">
        <v>0.74734944248410784</v>
      </c>
      <c r="D606" s="14"/>
      <c r="E606" s="15">
        <v>8.4</v>
      </c>
      <c r="F606" s="8">
        <v>8.5190000000000002E-2</v>
      </c>
      <c r="I606" s="16" t="s">
        <v>191</v>
      </c>
    </row>
    <row r="607" spans="1:9" ht="14.4" x14ac:dyDescent="0.3">
      <c r="A607" s="16" t="s">
        <v>68</v>
      </c>
      <c r="B607">
        <f t="shared" si="12"/>
        <v>2012</v>
      </c>
      <c r="C607" s="19">
        <v>2.6818083629536886</v>
      </c>
      <c r="D607" s="14"/>
      <c r="E607" s="15">
        <v>8.6</v>
      </c>
      <c r="F607" s="8">
        <v>0.13882</v>
      </c>
      <c r="I607" s="16" t="s">
        <v>720</v>
      </c>
    </row>
    <row r="608" spans="1:9" ht="14.4" x14ac:dyDescent="0.3">
      <c r="A608" s="16" t="s">
        <v>68</v>
      </c>
      <c r="B608">
        <f t="shared" si="12"/>
        <v>2013</v>
      </c>
      <c r="C608" s="19">
        <v>-0.11735698267268901</v>
      </c>
      <c r="D608" s="14">
        <v>0.98</v>
      </c>
      <c r="E608" s="15">
        <v>9.1</v>
      </c>
      <c r="F608" s="8">
        <v>0.14543</v>
      </c>
      <c r="I608" s="16" t="s">
        <v>193</v>
      </c>
    </row>
    <row r="609" spans="1:9" ht="14.4" x14ac:dyDescent="0.3">
      <c r="A609" s="16" t="s">
        <v>68</v>
      </c>
      <c r="B609">
        <f t="shared" si="12"/>
        <v>2014</v>
      </c>
      <c r="C609" s="19">
        <v>-0.50028699146436395</v>
      </c>
      <c r="D609" s="14">
        <v>0.98</v>
      </c>
      <c r="E609" s="15">
        <v>8.6</v>
      </c>
      <c r="F609" s="8">
        <v>0.14513999999999999</v>
      </c>
      <c r="I609" s="16" t="s">
        <v>723</v>
      </c>
    </row>
    <row r="610" spans="1:9" ht="14.4" x14ac:dyDescent="0.3">
      <c r="A610" s="16" t="s">
        <v>68</v>
      </c>
      <c r="B610">
        <f t="shared" si="12"/>
        <v>2015</v>
      </c>
      <c r="C610" s="19">
        <v>-0.43481439643267095</v>
      </c>
      <c r="D610" s="14">
        <v>0.98</v>
      </c>
      <c r="E610" s="15">
        <v>8.6</v>
      </c>
      <c r="F610" s="8">
        <v>0.16446</v>
      </c>
      <c r="I610" s="16" t="s">
        <v>192</v>
      </c>
    </row>
    <row r="611" spans="1:9" ht="14.4" x14ac:dyDescent="0.3">
      <c r="A611" s="16" t="s">
        <v>68</v>
      </c>
      <c r="B611">
        <f t="shared" si="12"/>
        <v>2016</v>
      </c>
      <c r="C611" s="19">
        <v>-0.17722639337041812</v>
      </c>
      <c r="D611" s="14">
        <v>0.98</v>
      </c>
      <c r="E611" s="15">
        <v>8.8000000000000007</v>
      </c>
      <c r="F611" s="8">
        <v>0.17766000000000001</v>
      </c>
      <c r="I611" s="16" t="s">
        <v>187</v>
      </c>
    </row>
    <row r="612" spans="1:9" ht="14.4" x14ac:dyDescent="0.3">
      <c r="A612" s="16" t="s">
        <v>68</v>
      </c>
      <c r="B612">
        <f t="shared" si="12"/>
        <v>2017</v>
      </c>
      <c r="C612" s="19">
        <v>3.1176287405622531</v>
      </c>
      <c r="D612" s="14">
        <v>0.98</v>
      </c>
      <c r="E612" s="15">
        <v>8.9</v>
      </c>
      <c r="F612" s="8">
        <v>0.18792</v>
      </c>
      <c r="I612" s="16" t="s">
        <v>725</v>
      </c>
    </row>
    <row r="613" spans="1:9" ht="14.4" x14ac:dyDescent="0.3">
      <c r="A613" s="16" t="s">
        <v>68</v>
      </c>
      <c r="B613">
        <f t="shared" si="12"/>
        <v>2018</v>
      </c>
      <c r="C613" s="19">
        <v>3.3373104397547309</v>
      </c>
      <c r="D613" s="14">
        <v>0.97</v>
      </c>
      <c r="E613" s="15">
        <v>9.3350000000000009</v>
      </c>
      <c r="F613" s="8">
        <v>0.19297</v>
      </c>
      <c r="I613" s="16" t="s">
        <v>727</v>
      </c>
    </row>
    <row r="614" spans="1:9" ht="14.4" x14ac:dyDescent="0.3">
      <c r="A614" s="16" t="s">
        <v>68</v>
      </c>
      <c r="B614">
        <f t="shared" si="12"/>
        <v>2019</v>
      </c>
      <c r="C614" s="19">
        <v>2.5725828731526263</v>
      </c>
      <c r="D614" s="14">
        <v>0.97</v>
      </c>
      <c r="E614" s="15">
        <v>9.0850000000000009</v>
      </c>
      <c r="F614" s="8">
        <v>0.20354</v>
      </c>
      <c r="I614" s="16" t="s">
        <v>729</v>
      </c>
    </row>
    <row r="615" spans="1:9" ht="14.4" x14ac:dyDescent="0.3">
      <c r="A615" s="16" t="s">
        <v>68</v>
      </c>
      <c r="B615">
        <f t="shared" si="12"/>
        <v>2020</v>
      </c>
      <c r="C615" s="19">
        <v>5.8676538350649139</v>
      </c>
      <c r="F615" s="8">
        <v>0.24997</v>
      </c>
      <c r="I615" s="16" t="s">
        <v>101</v>
      </c>
    </row>
    <row r="616" spans="1:9" ht="14.4" x14ac:dyDescent="0.3">
      <c r="A616" s="16" t="s">
        <v>68</v>
      </c>
      <c r="B616">
        <f t="shared" si="12"/>
        <v>2021</v>
      </c>
      <c r="C616" s="19">
        <v>-21.567809215440334</v>
      </c>
      <c r="D616" s="14">
        <v>0.97</v>
      </c>
      <c r="F616" s="8">
        <v>0.23497999999999999</v>
      </c>
      <c r="I616" s="16" t="s">
        <v>194</v>
      </c>
    </row>
    <row r="617" spans="1:9" ht="14.4" x14ac:dyDescent="0.3">
      <c r="A617" s="16"/>
      <c r="C617" s="19"/>
      <c r="D617" s="14"/>
      <c r="I617" s="16" t="s">
        <v>198</v>
      </c>
    </row>
    <row r="618" spans="1:9" ht="14.4" x14ac:dyDescent="0.3">
      <c r="A618" s="16"/>
      <c r="C618" s="19"/>
      <c r="I618" s="16" t="s">
        <v>199</v>
      </c>
    </row>
    <row r="619" spans="1:9" ht="14.4" x14ac:dyDescent="0.3">
      <c r="A619" s="16"/>
      <c r="C619" s="19"/>
      <c r="I619" s="16" t="s">
        <v>200</v>
      </c>
    </row>
    <row r="620" spans="1:9" ht="14.4" x14ac:dyDescent="0.3">
      <c r="A620" s="16"/>
      <c r="C620" s="19"/>
      <c r="I620" s="16" t="s">
        <v>732</v>
      </c>
    </row>
    <row r="621" spans="1:9" ht="14.4" x14ac:dyDescent="0.3">
      <c r="A621" s="16"/>
      <c r="C621" s="19"/>
      <c r="I621" s="16" t="s">
        <v>211</v>
      </c>
    </row>
    <row r="622" spans="1:9" ht="14.4" x14ac:dyDescent="0.3">
      <c r="A622" s="16"/>
      <c r="C622" s="19"/>
      <c r="I622" s="16" t="s">
        <v>226</v>
      </c>
    </row>
    <row r="623" spans="1:9" ht="14.4" x14ac:dyDescent="0.3">
      <c r="A623" s="16"/>
      <c r="C623" s="19"/>
      <c r="I623" s="16" t="s">
        <v>212</v>
      </c>
    </row>
    <row r="624" spans="1:9" ht="14.4" x14ac:dyDescent="0.3">
      <c r="A624" s="16"/>
      <c r="C624" s="19"/>
      <c r="I624" s="16" t="s">
        <v>216</v>
      </c>
    </row>
    <row r="625" spans="1:9" ht="14.4" x14ac:dyDescent="0.3">
      <c r="A625" s="16"/>
      <c r="C625" s="19"/>
      <c r="I625" s="16" t="s">
        <v>220</v>
      </c>
    </row>
    <row r="626" spans="1:9" ht="14.4" x14ac:dyDescent="0.3">
      <c r="A626" s="16"/>
      <c r="C626" s="19"/>
      <c r="I626" s="16" t="s">
        <v>215</v>
      </c>
    </row>
    <row r="627" spans="1:9" ht="14.4" x14ac:dyDescent="0.3">
      <c r="A627" s="16"/>
      <c r="C627" s="19"/>
      <c r="I627" s="16" t="s">
        <v>90</v>
      </c>
    </row>
    <row r="628" spans="1:9" ht="14.4" x14ac:dyDescent="0.3">
      <c r="A628" s="16"/>
      <c r="C628" s="19"/>
      <c r="I628" s="16" t="s">
        <v>209</v>
      </c>
    </row>
    <row r="629" spans="1:9" ht="14.4" x14ac:dyDescent="0.3">
      <c r="A629" s="16"/>
      <c r="C629" s="19"/>
      <c r="I629" s="16" t="s">
        <v>221</v>
      </c>
    </row>
    <row r="630" spans="1:9" ht="14.4" x14ac:dyDescent="0.3">
      <c r="A630" s="16"/>
      <c r="C630" s="19"/>
      <c r="I630" s="16" t="s">
        <v>213</v>
      </c>
    </row>
    <row r="631" spans="1:9" ht="14.4" x14ac:dyDescent="0.3">
      <c r="A631" s="16"/>
      <c r="C631" s="19"/>
      <c r="I631" s="16" t="s">
        <v>738</v>
      </c>
    </row>
    <row r="632" spans="1:9" ht="14.4" x14ac:dyDescent="0.3">
      <c r="A632" s="16" t="s">
        <v>71</v>
      </c>
      <c r="B632">
        <f t="shared" ref="B632:B646" si="13">IF(A632=A631,B631+1,2007)</f>
        <v>2007</v>
      </c>
      <c r="C632" s="19">
        <v>9.6555899537959391</v>
      </c>
      <c r="D632" s="15">
        <v>1.8</v>
      </c>
      <c r="I632" s="16" t="s">
        <v>223</v>
      </c>
    </row>
    <row r="633" spans="1:9" ht="14.4" x14ac:dyDescent="0.3">
      <c r="A633" s="16" t="s">
        <v>71</v>
      </c>
      <c r="B633">
        <f t="shared" si="13"/>
        <v>2008</v>
      </c>
      <c r="C633" s="19">
        <v>7.1740326579003977</v>
      </c>
      <c r="D633" s="15">
        <v>2.1</v>
      </c>
      <c r="I633" s="16" t="s">
        <v>741</v>
      </c>
    </row>
    <row r="634" spans="1:9" ht="14.4" x14ac:dyDescent="0.3">
      <c r="A634" s="16" t="s">
        <v>71</v>
      </c>
      <c r="B634">
        <f t="shared" si="13"/>
        <v>2009</v>
      </c>
      <c r="C634" s="19">
        <v>4.0547638769590151</v>
      </c>
      <c r="D634" s="15">
        <v>2</v>
      </c>
      <c r="I634" s="16" t="s">
        <v>743</v>
      </c>
    </row>
    <row r="635" spans="1:9" ht="14.4" x14ac:dyDescent="0.3">
      <c r="A635" s="16" t="s">
        <v>71</v>
      </c>
      <c r="B635">
        <f t="shared" si="13"/>
        <v>2010</v>
      </c>
      <c r="C635" s="19">
        <v>1.3921781732763634</v>
      </c>
      <c r="D635" s="15">
        <v>2.8</v>
      </c>
      <c r="I635" s="16" t="s">
        <v>210</v>
      </c>
    </row>
    <row r="636" spans="1:9" ht="14.4" x14ac:dyDescent="0.3">
      <c r="A636" s="16" t="s">
        <v>71</v>
      </c>
      <c r="B636">
        <f t="shared" si="13"/>
        <v>2011</v>
      </c>
      <c r="C636" s="19">
        <v>2.3247668510973512</v>
      </c>
      <c r="D636" s="15">
        <v>2.5</v>
      </c>
      <c r="I636" s="16" t="s">
        <v>227</v>
      </c>
    </row>
    <row r="637" spans="1:9" ht="14.4" x14ac:dyDescent="0.3">
      <c r="A637" s="16" t="s">
        <v>71</v>
      </c>
      <c r="B637">
        <f t="shared" si="13"/>
        <v>2012</v>
      </c>
      <c r="C637" s="19">
        <v>2.7268462508787081</v>
      </c>
      <c r="D637" s="15">
        <v>1.5</v>
      </c>
      <c r="I637" s="16" t="s">
        <v>521</v>
      </c>
    </row>
    <row r="638" spans="1:9" ht="14.4" x14ac:dyDescent="0.3">
      <c r="A638" s="16" t="s">
        <v>71</v>
      </c>
      <c r="B638">
        <f t="shared" si="13"/>
        <v>2013</v>
      </c>
      <c r="C638" s="19">
        <v>2.9185283995890643</v>
      </c>
      <c r="D638" s="15">
        <v>1.6</v>
      </c>
      <c r="I638" s="16" t="s">
        <v>219</v>
      </c>
    </row>
    <row r="639" spans="1:9" ht="14.4" x14ac:dyDescent="0.3">
      <c r="A639" s="16" t="s">
        <v>71</v>
      </c>
      <c r="B639">
        <f t="shared" si="13"/>
        <v>2014</v>
      </c>
      <c r="C639" s="19">
        <v>2.6360752492979174</v>
      </c>
      <c r="D639" s="15">
        <v>1.6</v>
      </c>
      <c r="I639" s="16" t="s">
        <v>229</v>
      </c>
    </row>
    <row r="640" spans="1:9" ht="14.4" x14ac:dyDescent="0.3">
      <c r="A640" s="16" t="s">
        <v>71</v>
      </c>
      <c r="B640">
        <f t="shared" si="13"/>
        <v>2015</v>
      </c>
      <c r="C640" s="19">
        <v>0.95442082433841335</v>
      </c>
      <c r="D640" s="15">
        <v>1.7</v>
      </c>
      <c r="I640" s="16" t="s">
        <v>94</v>
      </c>
    </row>
    <row r="641" spans="1:9" ht="14.4" x14ac:dyDescent="0.3">
      <c r="A641" s="16" t="s">
        <v>71</v>
      </c>
      <c r="B641">
        <f t="shared" si="13"/>
        <v>2016</v>
      </c>
      <c r="C641" s="19">
        <v>4.3658707590566763</v>
      </c>
      <c r="D641" s="15">
        <v>3.1</v>
      </c>
      <c r="I641" s="16" t="s">
        <v>217</v>
      </c>
    </row>
    <row r="642" spans="1:9" ht="14.4" x14ac:dyDescent="0.3">
      <c r="A642" s="16" t="s">
        <v>71</v>
      </c>
      <c r="B642">
        <f t="shared" si="13"/>
        <v>2017</v>
      </c>
      <c r="C642" s="19">
        <v>0.49407339225864177</v>
      </c>
      <c r="D642" s="15">
        <v>2</v>
      </c>
      <c r="I642" s="16" t="s">
        <v>214</v>
      </c>
    </row>
    <row r="643" spans="1:9" ht="14.4" x14ac:dyDescent="0.3">
      <c r="A643" s="16" t="s">
        <v>71</v>
      </c>
      <c r="B643">
        <f t="shared" si="13"/>
        <v>2018</v>
      </c>
      <c r="C643" s="19">
        <v>1.8601470216456022</v>
      </c>
      <c r="D643" s="15">
        <v>1.375</v>
      </c>
      <c r="I643" s="16" t="s">
        <v>231</v>
      </c>
    </row>
    <row r="644" spans="1:9" ht="14.4" x14ac:dyDescent="0.3">
      <c r="A644" s="16" t="s">
        <v>71</v>
      </c>
      <c r="B644">
        <f t="shared" si="13"/>
        <v>2019</v>
      </c>
      <c r="C644" s="19">
        <v>2.3216091636421652</v>
      </c>
      <c r="D644" s="15">
        <v>2.11</v>
      </c>
      <c r="I644" s="16" t="s">
        <v>242</v>
      </c>
    </row>
    <row r="645" spans="1:9" ht="14.4" x14ac:dyDescent="0.3">
      <c r="A645" s="16" t="s">
        <v>71</v>
      </c>
      <c r="B645">
        <f t="shared" si="13"/>
        <v>2020</v>
      </c>
      <c r="C645" s="19">
        <v>-6.1218557172480814E-2</v>
      </c>
      <c r="I645" s="16" t="s">
        <v>65</v>
      </c>
    </row>
    <row r="646" spans="1:9" ht="14.4" x14ac:dyDescent="0.3">
      <c r="A646" s="16" t="s">
        <v>71</v>
      </c>
      <c r="B646">
        <f t="shared" si="13"/>
        <v>2021</v>
      </c>
      <c r="C646" s="19">
        <v>-10.823010481375746</v>
      </c>
      <c r="I646" s="16" t="s">
        <v>749</v>
      </c>
    </row>
    <row r="647" spans="1:9" ht="14.4" x14ac:dyDescent="0.3">
      <c r="A647" s="16"/>
      <c r="C647" s="19"/>
      <c r="I647" s="16" t="s">
        <v>751</v>
      </c>
    </row>
    <row r="648" spans="1:9" ht="14.4" x14ac:dyDescent="0.3">
      <c r="A648" s="16"/>
      <c r="C648" s="19"/>
      <c r="I648" s="16" t="s">
        <v>235</v>
      </c>
    </row>
    <row r="649" spans="1:9" ht="14.4" x14ac:dyDescent="0.3">
      <c r="A649" s="16"/>
      <c r="C649" s="19"/>
      <c r="I649" s="16" t="s">
        <v>233</v>
      </c>
    </row>
    <row r="650" spans="1:9" ht="14.4" x14ac:dyDescent="0.3">
      <c r="A650" s="16"/>
      <c r="C650" s="19"/>
      <c r="I650" s="16" t="s">
        <v>232</v>
      </c>
    </row>
    <row r="651" spans="1:9" ht="14.4" x14ac:dyDescent="0.3">
      <c r="A651" s="16"/>
      <c r="C651" s="19"/>
      <c r="I651" s="16" t="s">
        <v>241</v>
      </c>
    </row>
    <row r="652" spans="1:9" ht="14.4" x14ac:dyDescent="0.3">
      <c r="A652" s="16"/>
      <c r="C652" s="19"/>
      <c r="I652" s="16" t="s">
        <v>754</v>
      </c>
    </row>
    <row r="653" spans="1:9" ht="14.4" x14ac:dyDescent="0.3">
      <c r="A653" s="16"/>
      <c r="C653" s="19"/>
      <c r="I653" s="16" t="s">
        <v>234</v>
      </c>
    </row>
    <row r="654" spans="1:9" ht="14.4" x14ac:dyDescent="0.3">
      <c r="A654" s="16"/>
      <c r="C654" s="19"/>
      <c r="I654" s="16" t="s">
        <v>756</v>
      </c>
    </row>
    <row r="655" spans="1:9" ht="14.4" x14ac:dyDescent="0.3">
      <c r="A655" s="16"/>
      <c r="C655" s="19"/>
      <c r="I655" s="16" t="s">
        <v>237</v>
      </c>
    </row>
    <row r="656" spans="1:9" ht="14.4" x14ac:dyDescent="0.3">
      <c r="A656" s="16"/>
      <c r="C656" s="19"/>
      <c r="I656" s="16" t="s">
        <v>759</v>
      </c>
    </row>
    <row r="657" spans="1:9" ht="14.4" x14ac:dyDescent="0.3">
      <c r="A657" s="16"/>
      <c r="C657" s="19"/>
      <c r="I657" s="16" t="s">
        <v>761</v>
      </c>
    </row>
    <row r="658" spans="1:9" ht="14.4" x14ac:dyDescent="0.3">
      <c r="A658" s="16"/>
      <c r="C658" s="19"/>
      <c r="I658" s="16" t="s">
        <v>238</v>
      </c>
    </row>
    <row r="659" spans="1:9" ht="14.4" x14ac:dyDescent="0.3">
      <c r="A659" s="16"/>
      <c r="C659" s="19"/>
      <c r="I659" s="16" t="s">
        <v>239</v>
      </c>
    </row>
    <row r="660" spans="1:9" ht="14.4" x14ac:dyDescent="0.3">
      <c r="A660" s="16"/>
      <c r="C660" s="19"/>
      <c r="I660" s="16" t="s">
        <v>534</v>
      </c>
    </row>
    <row r="661" spans="1:9" ht="14.4" x14ac:dyDescent="0.3">
      <c r="A661" s="16"/>
      <c r="C661" s="19"/>
      <c r="I661" s="16" t="s">
        <v>243</v>
      </c>
    </row>
    <row r="662" spans="1:9" ht="14.4" x14ac:dyDescent="0.3">
      <c r="A662" s="16"/>
      <c r="C662" s="19"/>
      <c r="I662" s="16" t="s">
        <v>325</v>
      </c>
    </row>
    <row r="663" spans="1:9" ht="14.4" x14ac:dyDescent="0.3">
      <c r="A663" s="16"/>
      <c r="C663" s="19"/>
      <c r="I663" s="16" t="s">
        <v>244</v>
      </c>
    </row>
    <row r="664" spans="1:9" ht="14.4" x14ac:dyDescent="0.3">
      <c r="A664" s="16"/>
      <c r="C664" s="19"/>
      <c r="I664" s="16" t="s">
        <v>245</v>
      </c>
    </row>
    <row r="665" spans="1:9" ht="14.4" x14ac:dyDescent="0.3">
      <c r="A665" s="16"/>
      <c r="C665" s="19"/>
      <c r="I665" s="16" t="s">
        <v>764</v>
      </c>
    </row>
    <row r="666" spans="1:9" ht="14.4" x14ac:dyDescent="0.3">
      <c r="A666" s="16"/>
      <c r="C666" s="19"/>
      <c r="I666" s="16" t="s">
        <v>251</v>
      </c>
    </row>
    <row r="667" spans="1:9" ht="14.4" x14ac:dyDescent="0.3">
      <c r="A667" s="16"/>
      <c r="C667" s="19"/>
      <c r="I667" s="16" t="s">
        <v>328</v>
      </c>
    </row>
    <row r="668" spans="1:9" ht="14.4" x14ac:dyDescent="0.3">
      <c r="A668" s="16"/>
      <c r="C668" s="19"/>
      <c r="I668" s="16" t="s">
        <v>252</v>
      </c>
    </row>
    <row r="669" spans="1:9" ht="14.4" x14ac:dyDescent="0.3">
      <c r="A669" s="16"/>
      <c r="C669" s="19"/>
      <c r="I669" s="16" t="s">
        <v>766</v>
      </c>
    </row>
    <row r="670" spans="1:9" ht="14.4" x14ac:dyDescent="0.3">
      <c r="A670" s="16"/>
      <c r="C670" s="19"/>
      <c r="I670" s="16" t="s">
        <v>542</v>
      </c>
    </row>
    <row r="671" spans="1:9" ht="14.4" x14ac:dyDescent="0.3">
      <c r="A671" s="16"/>
      <c r="C671" s="19"/>
      <c r="I671" s="16" t="s">
        <v>54</v>
      </c>
    </row>
    <row r="672" spans="1:9" ht="14.4" x14ac:dyDescent="0.3">
      <c r="A672" s="16"/>
      <c r="C672" s="19"/>
      <c r="I672" s="16" t="s">
        <v>769</v>
      </c>
    </row>
    <row r="673" spans="1:9" ht="14.4" x14ac:dyDescent="0.3">
      <c r="A673" s="16"/>
      <c r="C673" s="19"/>
      <c r="I673" s="16" t="s">
        <v>255</v>
      </c>
    </row>
    <row r="674" spans="1:9" ht="14.4" x14ac:dyDescent="0.3">
      <c r="A674" s="16"/>
      <c r="C674" s="19"/>
      <c r="I674" s="16" t="s">
        <v>253</v>
      </c>
    </row>
    <row r="675" spans="1:9" ht="14.4" x14ac:dyDescent="0.3">
      <c r="A675" s="16"/>
      <c r="C675" s="19"/>
      <c r="I675" s="16" t="s">
        <v>771</v>
      </c>
    </row>
    <row r="676" spans="1:9" ht="14.4" x14ac:dyDescent="0.3">
      <c r="A676" s="16"/>
      <c r="C676" s="19"/>
      <c r="I676" s="16" t="s">
        <v>208</v>
      </c>
    </row>
    <row r="677" spans="1:9" ht="14.4" x14ac:dyDescent="0.3">
      <c r="A677" s="16" t="s">
        <v>72</v>
      </c>
      <c r="B677">
        <f t="shared" ref="B677:B721" si="14">IF(A677=A676,B676+1,2007)</f>
        <v>2007</v>
      </c>
      <c r="C677" s="19">
        <v>3.6347263180752378</v>
      </c>
      <c r="E677" s="15">
        <v>5.4</v>
      </c>
      <c r="I677" s="16" t="s">
        <v>313</v>
      </c>
    </row>
    <row r="678" spans="1:9" ht="14.4" x14ac:dyDescent="0.3">
      <c r="A678" s="16" t="s">
        <v>72</v>
      </c>
      <c r="B678">
        <f t="shared" si="14"/>
        <v>2008</v>
      </c>
      <c r="C678" s="19">
        <v>2.884110625729619</v>
      </c>
      <c r="D678" s="14">
        <v>0.97</v>
      </c>
      <c r="E678" s="15">
        <v>4.3</v>
      </c>
      <c r="I678" s="16" t="s">
        <v>546</v>
      </c>
    </row>
    <row r="679" spans="1:9" ht="14.4" x14ac:dyDescent="0.3">
      <c r="A679" s="16" t="s">
        <v>72</v>
      </c>
      <c r="B679">
        <f t="shared" si="14"/>
        <v>2009</v>
      </c>
      <c r="C679" s="19">
        <v>1.0765607828102191</v>
      </c>
      <c r="D679" s="14">
        <v>0.97</v>
      </c>
      <c r="E679" s="15">
        <v>3.8</v>
      </c>
      <c r="I679" s="16" t="s">
        <v>222</v>
      </c>
    </row>
    <row r="680" spans="1:9" ht="14.4" x14ac:dyDescent="0.3">
      <c r="A680" s="16" t="s">
        <v>72</v>
      </c>
      <c r="B680">
        <f t="shared" si="14"/>
        <v>2010</v>
      </c>
      <c r="C680" s="19">
        <v>-4.6106511654845264</v>
      </c>
      <c r="D680" s="14">
        <v>0.97</v>
      </c>
      <c r="E680" s="15">
        <v>3.6</v>
      </c>
      <c r="I680" s="16" t="s">
        <v>259</v>
      </c>
    </row>
    <row r="681" spans="1:9" ht="14.4" x14ac:dyDescent="0.3">
      <c r="A681" s="16" t="s">
        <v>72</v>
      </c>
      <c r="B681">
        <f t="shared" si="14"/>
        <v>2011</v>
      </c>
      <c r="C681" s="19">
        <v>-0.3567694202190097</v>
      </c>
      <c r="D681" s="14">
        <v>0.97</v>
      </c>
      <c r="E681" s="15">
        <v>3.9</v>
      </c>
      <c r="I681" s="16" t="s">
        <v>259</v>
      </c>
    </row>
    <row r="682" spans="1:9" ht="14.4" x14ac:dyDescent="0.3">
      <c r="A682" s="16" t="s">
        <v>72</v>
      </c>
      <c r="B682">
        <f t="shared" si="14"/>
        <v>2012</v>
      </c>
      <c r="C682" s="19">
        <v>-2.1129357525218211</v>
      </c>
      <c r="D682" s="14">
        <v>0.97</v>
      </c>
      <c r="E682" s="15">
        <v>3.2</v>
      </c>
    </row>
    <row r="683" spans="1:9" ht="14.4" x14ac:dyDescent="0.3">
      <c r="A683" s="16" t="s">
        <v>72</v>
      </c>
      <c r="B683">
        <f t="shared" si="14"/>
        <v>2013</v>
      </c>
      <c r="C683" s="19">
        <v>-4.9073876906518876</v>
      </c>
      <c r="D683" s="14">
        <v>0.97</v>
      </c>
      <c r="E683" s="15">
        <v>4</v>
      </c>
    </row>
    <row r="684" spans="1:9" ht="14.4" x14ac:dyDescent="0.3">
      <c r="A684" s="16" t="s">
        <v>72</v>
      </c>
      <c r="B684">
        <f t="shared" si="14"/>
        <v>2014</v>
      </c>
      <c r="C684" s="19">
        <v>-6.370077361402565</v>
      </c>
      <c r="D684" s="14">
        <v>0.97</v>
      </c>
      <c r="E684" s="15">
        <v>3.6</v>
      </c>
    </row>
    <row r="685" spans="1:9" ht="14.4" x14ac:dyDescent="0.3">
      <c r="A685" s="16" t="s">
        <v>72</v>
      </c>
      <c r="B685">
        <f t="shared" si="14"/>
        <v>2015</v>
      </c>
      <c r="C685" s="19">
        <v>-0.68898453793956094</v>
      </c>
      <c r="D685" s="14">
        <v>0.97</v>
      </c>
      <c r="E685" s="15">
        <v>6.1</v>
      </c>
    </row>
    <row r="686" spans="1:9" ht="14.4" x14ac:dyDescent="0.3">
      <c r="A686" s="16" t="s">
        <v>72</v>
      </c>
      <c r="B686">
        <f t="shared" si="14"/>
        <v>2016</v>
      </c>
      <c r="C686" s="19">
        <v>4.0094267717586547</v>
      </c>
      <c r="D686" s="14">
        <v>0.97</v>
      </c>
      <c r="E686" s="15">
        <v>6.3</v>
      </c>
    </row>
    <row r="687" spans="1:9" ht="14.4" x14ac:dyDescent="0.3">
      <c r="A687" s="16" t="s">
        <v>72</v>
      </c>
      <c r="B687">
        <f t="shared" si="14"/>
        <v>2017</v>
      </c>
      <c r="C687" s="19">
        <v>6.085872068497622</v>
      </c>
      <c r="D687" s="14">
        <v>0.97</v>
      </c>
      <c r="E687" s="15">
        <v>7.4</v>
      </c>
    </row>
    <row r="688" spans="1:9" ht="14.4" x14ac:dyDescent="0.3">
      <c r="A688" s="16" t="s">
        <v>72</v>
      </c>
      <c r="B688">
        <f t="shared" si="14"/>
        <v>2018</v>
      </c>
      <c r="C688" s="19">
        <v>4.7545195043208395</v>
      </c>
      <c r="D688" s="14">
        <v>0.97</v>
      </c>
      <c r="E688" s="15">
        <v>4.62</v>
      </c>
    </row>
    <row r="689" spans="1:5" ht="14.4" x14ac:dyDescent="0.3">
      <c r="A689" s="16" t="s">
        <v>72</v>
      </c>
      <c r="B689">
        <f t="shared" si="14"/>
        <v>2019</v>
      </c>
      <c r="C689" s="19">
        <v>4.3667597953858603</v>
      </c>
      <c r="D689" s="14">
        <v>0.97</v>
      </c>
      <c r="E689" s="15">
        <v>4.4549999999999992</v>
      </c>
    </row>
    <row r="690" spans="1:5" ht="14.4" x14ac:dyDescent="0.3">
      <c r="A690" s="16" t="s">
        <v>72</v>
      </c>
      <c r="B690">
        <f t="shared" si="14"/>
        <v>2020</v>
      </c>
      <c r="C690" s="19">
        <v>4.1151768613026434</v>
      </c>
    </row>
    <row r="691" spans="1:5" ht="14.4" x14ac:dyDescent="0.3">
      <c r="A691" s="16" t="s">
        <v>72</v>
      </c>
      <c r="B691">
        <f t="shared" si="14"/>
        <v>2021</v>
      </c>
      <c r="C691" s="19">
        <v>-4.5319049551653734</v>
      </c>
      <c r="D691" s="14">
        <v>0.97</v>
      </c>
    </row>
    <row r="692" spans="1:5" ht="14.4" x14ac:dyDescent="0.3">
      <c r="A692" s="16" t="s">
        <v>783</v>
      </c>
      <c r="B692">
        <f t="shared" si="14"/>
        <v>2007</v>
      </c>
      <c r="C692" s="19">
        <v>8.8919839252750847</v>
      </c>
      <c r="D692" s="14">
        <v>0.96</v>
      </c>
      <c r="E692" s="15">
        <v>0.7</v>
      </c>
    </row>
    <row r="693" spans="1:5" ht="14.4" x14ac:dyDescent="0.3">
      <c r="A693" s="16" t="s">
        <v>783</v>
      </c>
      <c r="B693">
        <f t="shared" si="14"/>
        <v>2008</v>
      </c>
      <c r="E693" s="15">
        <v>0.6</v>
      </c>
    </row>
    <row r="694" spans="1:5" ht="14.4" x14ac:dyDescent="0.3">
      <c r="A694" s="16" t="s">
        <v>783</v>
      </c>
      <c r="B694">
        <f t="shared" si="14"/>
        <v>2009</v>
      </c>
      <c r="E694" s="15">
        <v>0.6</v>
      </c>
    </row>
    <row r="695" spans="1:5" ht="14.4" x14ac:dyDescent="0.3">
      <c r="A695" s="16" t="s">
        <v>783</v>
      </c>
      <c r="B695">
        <f t="shared" si="14"/>
        <v>2010</v>
      </c>
      <c r="E695" s="15">
        <v>1</v>
      </c>
    </row>
    <row r="696" spans="1:5" ht="14.4" x14ac:dyDescent="0.3">
      <c r="A696" s="16" t="s">
        <v>783</v>
      </c>
      <c r="B696">
        <f t="shared" si="14"/>
        <v>2011</v>
      </c>
      <c r="C696" s="19">
        <v>3.3917308268146087</v>
      </c>
      <c r="D696" s="14">
        <v>0.98</v>
      </c>
      <c r="E696" s="15">
        <v>0.5</v>
      </c>
    </row>
    <row r="697" spans="1:5" ht="14.4" x14ac:dyDescent="0.3">
      <c r="A697" s="16" t="s">
        <v>783</v>
      </c>
      <c r="B697">
        <f t="shared" si="14"/>
        <v>2012</v>
      </c>
      <c r="C697" s="19">
        <v>1.1433071188860424</v>
      </c>
      <c r="D697" s="14">
        <v>0.98</v>
      </c>
      <c r="E697" s="15">
        <v>0.7</v>
      </c>
    </row>
    <row r="698" spans="1:5" ht="14.4" x14ac:dyDescent="0.3">
      <c r="A698" s="16" t="s">
        <v>783</v>
      </c>
      <c r="B698">
        <f t="shared" si="14"/>
        <v>2013</v>
      </c>
      <c r="C698" s="19">
        <v>-4.0163400421177187</v>
      </c>
      <c r="D698" s="14">
        <v>0.98</v>
      </c>
      <c r="E698" s="15">
        <v>0.7</v>
      </c>
    </row>
    <row r="699" spans="1:5" ht="14.4" x14ac:dyDescent="0.3">
      <c r="A699" s="16" t="s">
        <v>783</v>
      </c>
      <c r="B699">
        <f t="shared" si="14"/>
        <v>2014</v>
      </c>
      <c r="C699" s="19">
        <v>1.5925771284998689</v>
      </c>
      <c r="D699" s="14">
        <v>0.98</v>
      </c>
      <c r="E699" s="15">
        <v>1.1000000000000001</v>
      </c>
    </row>
    <row r="700" spans="1:5" ht="14.4" x14ac:dyDescent="0.3">
      <c r="A700" s="16" t="s">
        <v>783</v>
      </c>
      <c r="B700">
        <f t="shared" si="14"/>
        <v>2015</v>
      </c>
      <c r="C700" s="19">
        <v>2.5764483181144584</v>
      </c>
      <c r="D700" s="14">
        <v>0.98</v>
      </c>
      <c r="E700" s="15">
        <v>2</v>
      </c>
    </row>
    <row r="701" spans="1:5" ht="14.4" x14ac:dyDescent="0.3">
      <c r="A701" s="16" t="s">
        <v>783</v>
      </c>
      <c r="B701">
        <f t="shared" si="14"/>
        <v>2016</v>
      </c>
      <c r="C701" s="19">
        <v>0.22245057694307491</v>
      </c>
      <c r="D701" s="14">
        <v>0.98</v>
      </c>
      <c r="E701" s="15">
        <v>3.2</v>
      </c>
    </row>
    <row r="702" spans="1:5" ht="14.4" x14ac:dyDescent="0.3">
      <c r="A702" s="16" t="s">
        <v>783</v>
      </c>
      <c r="B702">
        <f t="shared" si="14"/>
        <v>2017</v>
      </c>
      <c r="C702" s="19">
        <v>-0.56229894252744828</v>
      </c>
      <c r="D702" s="14">
        <v>0.98</v>
      </c>
      <c r="E702" s="15">
        <v>1.9</v>
      </c>
    </row>
    <row r="703" spans="1:5" ht="14.4" x14ac:dyDescent="0.3">
      <c r="A703" s="16" t="s">
        <v>783</v>
      </c>
      <c r="B703">
        <f t="shared" si="14"/>
        <v>2018</v>
      </c>
      <c r="C703" s="19">
        <v>-0.12237066733756308</v>
      </c>
      <c r="D703" s="14">
        <v>0.98</v>
      </c>
      <c r="E703" s="15">
        <v>2.7399999999999998</v>
      </c>
    </row>
    <row r="704" spans="1:5" ht="14.4" x14ac:dyDescent="0.3">
      <c r="A704" s="16" t="s">
        <v>783</v>
      </c>
      <c r="B704">
        <f t="shared" si="14"/>
        <v>2019</v>
      </c>
      <c r="C704" s="19">
        <v>-0.1115401895044954</v>
      </c>
      <c r="D704" s="14">
        <v>0.98</v>
      </c>
      <c r="E704" s="15">
        <v>2.7399999999999998</v>
      </c>
    </row>
    <row r="705" spans="1:5" ht="14.4" x14ac:dyDescent="0.3">
      <c r="A705" s="16" t="s">
        <v>783</v>
      </c>
      <c r="B705">
        <f t="shared" si="14"/>
        <v>2020</v>
      </c>
      <c r="C705" s="19">
        <v>0.89246913963229701</v>
      </c>
      <c r="D705" s="14">
        <v>0.98</v>
      </c>
    </row>
    <row r="706" spans="1:5" ht="14.4" x14ac:dyDescent="0.3">
      <c r="A706" s="16" t="s">
        <v>783</v>
      </c>
      <c r="B706">
        <f t="shared" si="14"/>
        <v>2021</v>
      </c>
      <c r="C706" s="19">
        <v>1.5507240862715292</v>
      </c>
      <c r="D706" s="14">
        <v>0.98</v>
      </c>
    </row>
    <row r="707" spans="1:5" ht="14.4" x14ac:dyDescent="0.3">
      <c r="A707" s="16" t="s">
        <v>782</v>
      </c>
      <c r="B707">
        <f t="shared" si="14"/>
        <v>2007</v>
      </c>
      <c r="C707" s="19">
        <v>1.927713059872957</v>
      </c>
      <c r="D707" s="14">
        <v>0.97</v>
      </c>
      <c r="E707" s="15">
        <v>1.3</v>
      </c>
    </row>
    <row r="708" spans="1:5" ht="14.4" x14ac:dyDescent="0.3">
      <c r="A708" s="16" t="s">
        <v>782</v>
      </c>
      <c r="B708">
        <f t="shared" si="14"/>
        <v>2008</v>
      </c>
      <c r="C708" s="19">
        <v>1.0004069531778441</v>
      </c>
      <c r="E708" s="15">
        <v>1.7</v>
      </c>
    </row>
    <row r="709" spans="1:5" ht="14.4" x14ac:dyDescent="0.3">
      <c r="A709" s="16" t="s">
        <v>782</v>
      </c>
      <c r="B709">
        <f t="shared" si="14"/>
        <v>2009</v>
      </c>
      <c r="C709" s="19">
        <v>-7.0198259520297626</v>
      </c>
      <c r="D709" s="14">
        <v>0.97</v>
      </c>
      <c r="E709" s="15">
        <v>1.4</v>
      </c>
    </row>
    <row r="710" spans="1:5" ht="14.4" x14ac:dyDescent="0.3">
      <c r="A710" s="16" t="s">
        <v>782</v>
      </c>
      <c r="B710">
        <f t="shared" si="14"/>
        <v>2010</v>
      </c>
      <c r="C710" s="19">
        <v>3.7847196965403924</v>
      </c>
      <c r="D710" s="14">
        <v>0.97</v>
      </c>
      <c r="E710" s="15">
        <v>2.8</v>
      </c>
    </row>
    <row r="711" spans="1:5" ht="14.4" x14ac:dyDescent="0.3">
      <c r="A711" s="16" t="s">
        <v>782</v>
      </c>
      <c r="B711">
        <f t="shared" si="14"/>
        <v>2011</v>
      </c>
      <c r="C711" s="19">
        <v>6.707755266456175</v>
      </c>
      <c r="D711" s="14">
        <v>0.98</v>
      </c>
      <c r="E711" s="15">
        <v>2.1</v>
      </c>
    </row>
    <row r="712" spans="1:5" ht="14.4" x14ac:dyDescent="0.3">
      <c r="A712" s="16" t="s">
        <v>782</v>
      </c>
      <c r="B712">
        <f t="shared" si="14"/>
        <v>2012</v>
      </c>
      <c r="C712" s="19">
        <v>3.298011333300451</v>
      </c>
      <c r="D712" s="14">
        <v>0.98</v>
      </c>
      <c r="E712" s="15">
        <v>1.2</v>
      </c>
    </row>
    <row r="713" spans="1:5" ht="14.4" x14ac:dyDescent="0.3">
      <c r="A713" s="16" t="s">
        <v>782</v>
      </c>
      <c r="B713">
        <f t="shared" si="14"/>
        <v>2013</v>
      </c>
      <c r="C713" s="19">
        <v>-2.203057167270714</v>
      </c>
      <c r="D713" s="14">
        <v>0.98</v>
      </c>
      <c r="E713" s="15">
        <v>1.1000000000000001</v>
      </c>
    </row>
    <row r="714" spans="1:5" ht="14.4" x14ac:dyDescent="0.3">
      <c r="A714" s="16" t="s">
        <v>782</v>
      </c>
      <c r="B714">
        <f t="shared" si="14"/>
        <v>2014</v>
      </c>
      <c r="C714" s="19">
        <v>4.0126388714666064</v>
      </c>
      <c r="D714" s="14">
        <v>0.97</v>
      </c>
      <c r="E714" s="15">
        <v>1.2</v>
      </c>
    </row>
    <row r="715" spans="1:5" ht="14.4" x14ac:dyDescent="0.3">
      <c r="A715" s="16" t="s">
        <v>782</v>
      </c>
      <c r="B715">
        <f t="shared" si="14"/>
        <v>2015</v>
      </c>
      <c r="C715" s="19">
        <v>3.1165261161046658</v>
      </c>
      <c r="D715" s="14">
        <v>0.97</v>
      </c>
      <c r="E715" s="15">
        <v>2.4</v>
      </c>
    </row>
    <row r="716" spans="1:5" ht="14.4" x14ac:dyDescent="0.3">
      <c r="A716" s="16" t="s">
        <v>782</v>
      </c>
      <c r="B716">
        <f t="shared" si="14"/>
        <v>2016</v>
      </c>
      <c r="C716" s="19">
        <v>3.6278124737371513</v>
      </c>
      <c r="D716" s="14">
        <v>0.97</v>
      </c>
      <c r="E716" s="15">
        <v>1.9</v>
      </c>
    </row>
    <row r="717" spans="1:5" ht="14.4" x14ac:dyDescent="0.3">
      <c r="A717" s="16" t="s">
        <v>782</v>
      </c>
      <c r="B717">
        <f t="shared" si="14"/>
        <v>2017</v>
      </c>
      <c r="C717" s="19">
        <v>1.3195127890256941</v>
      </c>
      <c r="D717" s="14">
        <v>0.97</v>
      </c>
      <c r="E717" s="15">
        <v>3</v>
      </c>
    </row>
    <row r="718" spans="1:5" ht="14.4" x14ac:dyDescent="0.3">
      <c r="A718" s="16" t="s">
        <v>782</v>
      </c>
      <c r="B718">
        <f t="shared" si="14"/>
        <v>2018</v>
      </c>
      <c r="C718" s="19">
        <v>2.4145640070143486</v>
      </c>
      <c r="D718" s="14">
        <v>0.97</v>
      </c>
      <c r="E718" s="15">
        <v>2.89</v>
      </c>
    </row>
    <row r="719" spans="1:5" ht="14.4" x14ac:dyDescent="0.3">
      <c r="A719" s="16" t="s">
        <v>782</v>
      </c>
      <c r="B719">
        <f t="shared" si="14"/>
        <v>2019</v>
      </c>
      <c r="C719" s="19">
        <v>2.5731786107049146</v>
      </c>
      <c r="D719" s="14">
        <v>0.98</v>
      </c>
      <c r="E719" s="15">
        <v>3.375</v>
      </c>
    </row>
    <row r="720" spans="1:5" ht="14.4" x14ac:dyDescent="0.3">
      <c r="A720" s="16" t="s">
        <v>782</v>
      </c>
      <c r="B720">
        <f t="shared" si="14"/>
        <v>2020</v>
      </c>
      <c r="C720" s="19">
        <v>3.1515133904779873</v>
      </c>
      <c r="D720" s="14">
        <v>0.98</v>
      </c>
    </row>
    <row r="721" spans="1:4" ht="14.4" x14ac:dyDescent="0.3">
      <c r="A721" s="16" t="s">
        <v>782</v>
      </c>
      <c r="B721">
        <f t="shared" si="14"/>
        <v>2021</v>
      </c>
      <c r="C721" s="19">
        <v>3.1432659858538869</v>
      </c>
      <c r="D721" s="14">
        <v>0.97</v>
      </c>
    </row>
    <row r="722" spans="1:4" ht="14.4" x14ac:dyDescent="0.3">
      <c r="A722" s="16"/>
      <c r="C722" s="19"/>
      <c r="D722" s="14"/>
    </row>
    <row r="723" spans="1:4" ht="14.4" x14ac:dyDescent="0.3">
      <c r="A723" s="16"/>
      <c r="C723" s="19"/>
    </row>
    <row r="724" spans="1:4" ht="14.4" x14ac:dyDescent="0.3">
      <c r="A724" s="16"/>
      <c r="C724" s="19"/>
      <c r="D724" s="14"/>
    </row>
    <row r="725" spans="1:4" ht="14.4" x14ac:dyDescent="0.3">
      <c r="A725" s="16"/>
      <c r="C725" s="19"/>
      <c r="D725" s="14"/>
    </row>
    <row r="726" spans="1:4" ht="14.4" x14ac:dyDescent="0.3">
      <c r="A726" s="16"/>
    </row>
    <row r="727" spans="1:4" ht="14.4" x14ac:dyDescent="0.3">
      <c r="A727" s="16"/>
    </row>
    <row r="728" spans="1:4" ht="14.4" x14ac:dyDescent="0.3">
      <c r="A728" s="16"/>
    </row>
    <row r="729" spans="1:4" ht="14.4" x14ac:dyDescent="0.3">
      <c r="A729" s="16"/>
    </row>
    <row r="730" spans="1:4" ht="14.4" x14ac:dyDescent="0.3">
      <c r="A730" s="16"/>
    </row>
    <row r="731" spans="1:4" ht="14.4" x14ac:dyDescent="0.3">
      <c r="A731" s="16"/>
    </row>
    <row r="732" spans="1:4" ht="14.4" x14ac:dyDescent="0.3">
      <c r="A732" s="16"/>
    </row>
    <row r="733" spans="1:4" ht="14.4" x14ac:dyDescent="0.3">
      <c r="A733" s="16"/>
    </row>
    <row r="734" spans="1:4" ht="14.4" x14ac:dyDescent="0.3">
      <c r="A734" s="16"/>
    </row>
    <row r="735" spans="1:4" ht="14.4" x14ac:dyDescent="0.3">
      <c r="A735" s="16"/>
    </row>
    <row r="736" spans="1:4" ht="14.4" x14ac:dyDescent="0.3">
      <c r="A736" s="16"/>
    </row>
    <row r="737" spans="1:2" ht="14.4" x14ac:dyDescent="0.3">
      <c r="A737" s="16" t="s">
        <v>620</v>
      </c>
      <c r="B737">
        <f t="shared" ref="B737:B800" si="15">IF(A737=A736,B736+1,2007)</f>
        <v>2007</v>
      </c>
    </row>
    <row r="738" spans="1:2" ht="14.4" x14ac:dyDescent="0.3">
      <c r="A738" s="16" t="s">
        <v>620</v>
      </c>
      <c r="B738">
        <f t="shared" si="15"/>
        <v>2008</v>
      </c>
    </row>
    <row r="739" spans="1:2" ht="14.4" x14ac:dyDescent="0.3">
      <c r="A739" s="16" t="s">
        <v>620</v>
      </c>
      <c r="B739">
        <f t="shared" si="15"/>
        <v>2009</v>
      </c>
    </row>
    <row r="740" spans="1:2" ht="14.4" x14ac:dyDescent="0.3">
      <c r="A740" s="16" t="s">
        <v>620</v>
      </c>
      <c r="B740">
        <f t="shared" si="15"/>
        <v>2010</v>
      </c>
    </row>
    <row r="741" spans="1:2" ht="14.4" x14ac:dyDescent="0.3">
      <c r="A741" s="16" t="s">
        <v>620</v>
      </c>
      <c r="B741">
        <f t="shared" si="15"/>
        <v>2011</v>
      </c>
    </row>
    <row r="742" spans="1:2" ht="14.4" x14ac:dyDescent="0.3">
      <c r="A742" s="16" t="s">
        <v>620</v>
      </c>
      <c r="B742">
        <f t="shared" si="15"/>
        <v>2012</v>
      </c>
    </row>
    <row r="743" spans="1:2" ht="14.4" x14ac:dyDescent="0.3">
      <c r="A743" s="16" t="s">
        <v>620</v>
      </c>
      <c r="B743">
        <f t="shared" si="15"/>
        <v>2013</v>
      </c>
    </row>
    <row r="744" spans="1:2" ht="14.4" x14ac:dyDescent="0.3">
      <c r="A744" s="16" t="s">
        <v>620</v>
      </c>
      <c r="B744">
        <f t="shared" si="15"/>
        <v>2014</v>
      </c>
    </row>
    <row r="745" spans="1:2" ht="14.4" x14ac:dyDescent="0.3">
      <c r="A745" s="16" t="s">
        <v>620</v>
      </c>
      <c r="B745">
        <f t="shared" si="15"/>
        <v>2015</v>
      </c>
    </row>
    <row r="746" spans="1:2" ht="14.4" x14ac:dyDescent="0.3">
      <c r="A746" s="16" t="s">
        <v>620</v>
      </c>
      <c r="B746">
        <f t="shared" si="15"/>
        <v>2016</v>
      </c>
    </row>
    <row r="747" spans="1:2" ht="14.4" x14ac:dyDescent="0.3">
      <c r="A747" s="16" t="s">
        <v>620</v>
      </c>
      <c r="B747">
        <f t="shared" si="15"/>
        <v>2017</v>
      </c>
    </row>
    <row r="748" spans="1:2" ht="14.4" x14ac:dyDescent="0.3">
      <c r="A748" s="16" t="s">
        <v>620</v>
      </c>
      <c r="B748">
        <f t="shared" si="15"/>
        <v>2018</v>
      </c>
    </row>
    <row r="749" spans="1:2" ht="14.4" x14ac:dyDescent="0.3">
      <c r="A749" s="16" t="s">
        <v>620</v>
      </c>
      <c r="B749">
        <f t="shared" si="15"/>
        <v>2019</v>
      </c>
    </row>
    <row r="750" spans="1:2" ht="14.4" x14ac:dyDescent="0.3">
      <c r="A750" s="16" t="s">
        <v>620</v>
      </c>
      <c r="B750">
        <f t="shared" si="15"/>
        <v>2020</v>
      </c>
    </row>
    <row r="751" spans="1:2" ht="14.4" x14ac:dyDescent="0.3">
      <c r="A751" s="16" t="s">
        <v>620</v>
      </c>
      <c r="B751">
        <f t="shared" si="15"/>
        <v>2021</v>
      </c>
    </row>
    <row r="752" spans="1:2" ht="14.4" x14ac:dyDescent="0.3">
      <c r="A752" s="16" t="s">
        <v>75</v>
      </c>
      <c r="B752">
        <f t="shared" si="15"/>
        <v>2007</v>
      </c>
    </row>
    <row r="753" spans="1:2" ht="14.4" x14ac:dyDescent="0.3">
      <c r="A753" s="16" t="s">
        <v>75</v>
      </c>
      <c r="B753">
        <f t="shared" si="15"/>
        <v>2008</v>
      </c>
    </row>
    <row r="754" spans="1:2" ht="14.4" x14ac:dyDescent="0.3">
      <c r="A754" s="16" t="s">
        <v>75</v>
      </c>
      <c r="B754">
        <f t="shared" si="15"/>
        <v>2009</v>
      </c>
    </row>
    <row r="755" spans="1:2" ht="14.4" x14ac:dyDescent="0.3">
      <c r="A755" s="16" t="s">
        <v>75</v>
      </c>
      <c r="B755">
        <f t="shared" si="15"/>
        <v>2010</v>
      </c>
    </row>
    <row r="756" spans="1:2" ht="14.4" x14ac:dyDescent="0.3">
      <c r="A756" s="16" t="s">
        <v>75</v>
      </c>
      <c r="B756">
        <f t="shared" si="15"/>
        <v>2011</v>
      </c>
    </row>
    <row r="757" spans="1:2" ht="14.4" x14ac:dyDescent="0.3">
      <c r="A757" s="16" t="s">
        <v>75</v>
      </c>
      <c r="B757">
        <f t="shared" si="15"/>
        <v>2012</v>
      </c>
    </row>
    <row r="758" spans="1:2" ht="14.4" x14ac:dyDescent="0.3">
      <c r="A758" s="16" t="s">
        <v>75</v>
      </c>
      <c r="B758">
        <f t="shared" si="15"/>
        <v>2013</v>
      </c>
    </row>
    <row r="759" spans="1:2" ht="14.4" x14ac:dyDescent="0.3">
      <c r="A759" s="16" t="s">
        <v>75</v>
      </c>
      <c r="B759">
        <f t="shared" si="15"/>
        <v>2014</v>
      </c>
    </row>
    <row r="760" spans="1:2" ht="14.4" x14ac:dyDescent="0.3">
      <c r="A760" s="16" t="s">
        <v>75</v>
      </c>
      <c r="B760">
        <f t="shared" si="15"/>
        <v>2015</v>
      </c>
    </row>
    <row r="761" spans="1:2" ht="14.4" x14ac:dyDescent="0.3">
      <c r="A761" s="16" t="s">
        <v>75</v>
      </c>
      <c r="B761">
        <f t="shared" si="15"/>
        <v>2016</v>
      </c>
    </row>
    <row r="762" spans="1:2" ht="14.4" x14ac:dyDescent="0.3">
      <c r="A762" s="16" t="s">
        <v>75</v>
      </c>
      <c r="B762">
        <f t="shared" si="15"/>
        <v>2017</v>
      </c>
    </row>
    <row r="763" spans="1:2" ht="14.4" x14ac:dyDescent="0.3">
      <c r="A763" s="16" t="s">
        <v>75</v>
      </c>
      <c r="B763">
        <f t="shared" si="15"/>
        <v>2018</v>
      </c>
    </row>
    <row r="764" spans="1:2" ht="14.4" x14ac:dyDescent="0.3">
      <c r="A764" s="16" t="s">
        <v>75</v>
      </c>
      <c r="B764">
        <f t="shared" si="15"/>
        <v>2019</v>
      </c>
    </row>
    <row r="765" spans="1:2" ht="14.4" x14ac:dyDescent="0.3">
      <c r="A765" s="16" t="s">
        <v>75</v>
      </c>
      <c r="B765">
        <f t="shared" si="15"/>
        <v>2020</v>
      </c>
    </row>
    <row r="766" spans="1:2" ht="14.4" x14ac:dyDescent="0.3">
      <c r="A766" s="16" t="s">
        <v>75</v>
      </c>
      <c r="B766">
        <f t="shared" si="15"/>
        <v>2021</v>
      </c>
    </row>
    <row r="767" spans="1:2" ht="14.4" x14ac:dyDescent="0.3">
      <c r="A767" s="16" t="s">
        <v>75</v>
      </c>
      <c r="B767">
        <f t="shared" si="15"/>
        <v>2022</v>
      </c>
    </row>
    <row r="768" spans="1:2" ht="14.4" x14ac:dyDescent="0.3">
      <c r="A768" s="16" t="s">
        <v>75</v>
      </c>
      <c r="B768">
        <f t="shared" si="15"/>
        <v>2023</v>
      </c>
    </row>
    <row r="769" spans="1:2" ht="14.4" x14ac:dyDescent="0.3">
      <c r="A769" s="16" t="s">
        <v>75</v>
      </c>
      <c r="B769">
        <f t="shared" si="15"/>
        <v>2024</v>
      </c>
    </row>
    <row r="770" spans="1:2" ht="14.4" x14ac:dyDescent="0.3">
      <c r="A770" s="16" t="s">
        <v>75</v>
      </c>
      <c r="B770">
        <f t="shared" si="15"/>
        <v>2025</v>
      </c>
    </row>
    <row r="771" spans="1:2" ht="14.4" x14ac:dyDescent="0.3">
      <c r="A771" s="16" t="s">
        <v>75</v>
      </c>
      <c r="B771">
        <f t="shared" si="15"/>
        <v>2026</v>
      </c>
    </row>
    <row r="772" spans="1:2" ht="14.4" x14ac:dyDescent="0.3">
      <c r="A772" s="16" t="s">
        <v>75</v>
      </c>
      <c r="B772">
        <f t="shared" si="15"/>
        <v>2027</v>
      </c>
    </row>
    <row r="773" spans="1:2" ht="14.4" x14ac:dyDescent="0.3">
      <c r="A773" s="16" t="s">
        <v>75</v>
      </c>
      <c r="B773">
        <f t="shared" si="15"/>
        <v>2028</v>
      </c>
    </row>
    <row r="774" spans="1:2" ht="14.4" x14ac:dyDescent="0.3">
      <c r="A774" s="16" t="s">
        <v>75</v>
      </c>
      <c r="B774">
        <f t="shared" si="15"/>
        <v>2029</v>
      </c>
    </row>
    <row r="775" spans="1:2" ht="14.4" x14ac:dyDescent="0.3">
      <c r="A775" s="16" t="s">
        <v>75</v>
      </c>
      <c r="B775">
        <f t="shared" si="15"/>
        <v>2030</v>
      </c>
    </row>
    <row r="776" spans="1:2" ht="14.4" x14ac:dyDescent="0.3">
      <c r="A776" s="16" t="s">
        <v>75</v>
      </c>
      <c r="B776">
        <f t="shared" si="15"/>
        <v>2031</v>
      </c>
    </row>
    <row r="777" spans="1:2" ht="14.4" x14ac:dyDescent="0.3">
      <c r="A777" s="16" t="s">
        <v>75</v>
      </c>
      <c r="B777">
        <f t="shared" si="15"/>
        <v>2032</v>
      </c>
    </row>
    <row r="778" spans="1:2" ht="14.4" x14ac:dyDescent="0.3">
      <c r="A778" s="16" t="s">
        <v>75</v>
      </c>
      <c r="B778">
        <f t="shared" si="15"/>
        <v>2033</v>
      </c>
    </row>
    <row r="779" spans="1:2" ht="14.4" x14ac:dyDescent="0.3">
      <c r="A779" s="16" t="s">
        <v>75</v>
      </c>
      <c r="B779">
        <f t="shared" si="15"/>
        <v>2034</v>
      </c>
    </row>
    <row r="780" spans="1:2" ht="14.4" x14ac:dyDescent="0.3">
      <c r="A780" s="16" t="s">
        <v>75</v>
      </c>
      <c r="B780">
        <f t="shared" si="15"/>
        <v>2035</v>
      </c>
    </row>
    <row r="781" spans="1:2" ht="14.4" x14ac:dyDescent="0.3">
      <c r="A781" s="16" t="s">
        <v>75</v>
      </c>
      <c r="B781">
        <f t="shared" si="15"/>
        <v>2036</v>
      </c>
    </row>
    <row r="782" spans="1:2" ht="14.4" x14ac:dyDescent="0.3">
      <c r="A782" s="16" t="s">
        <v>781</v>
      </c>
      <c r="B782">
        <f t="shared" si="15"/>
        <v>2007</v>
      </c>
    </row>
    <row r="783" spans="1:2" ht="14.4" x14ac:dyDescent="0.3">
      <c r="A783" s="16" t="s">
        <v>781</v>
      </c>
      <c r="B783">
        <f t="shared" si="15"/>
        <v>2008</v>
      </c>
    </row>
    <row r="784" spans="1:2" ht="14.4" x14ac:dyDescent="0.3">
      <c r="A784" s="16" t="s">
        <v>781</v>
      </c>
      <c r="B784">
        <f t="shared" si="15"/>
        <v>2009</v>
      </c>
    </row>
    <row r="785" spans="1:2" ht="14.4" x14ac:dyDescent="0.3">
      <c r="A785" s="16" t="s">
        <v>781</v>
      </c>
      <c r="B785">
        <f t="shared" si="15"/>
        <v>2010</v>
      </c>
    </row>
    <row r="786" spans="1:2" ht="14.4" x14ac:dyDescent="0.3">
      <c r="A786" s="16" t="s">
        <v>781</v>
      </c>
      <c r="B786">
        <f t="shared" si="15"/>
        <v>2011</v>
      </c>
    </row>
    <row r="787" spans="1:2" ht="14.4" x14ac:dyDescent="0.3">
      <c r="A787" s="16" t="s">
        <v>781</v>
      </c>
      <c r="B787">
        <f t="shared" si="15"/>
        <v>2012</v>
      </c>
    </row>
    <row r="788" spans="1:2" ht="14.4" x14ac:dyDescent="0.3">
      <c r="A788" s="16" t="s">
        <v>781</v>
      </c>
      <c r="B788">
        <f t="shared" si="15"/>
        <v>2013</v>
      </c>
    </row>
    <row r="789" spans="1:2" ht="14.4" x14ac:dyDescent="0.3">
      <c r="A789" s="16" t="s">
        <v>781</v>
      </c>
      <c r="B789">
        <f t="shared" si="15"/>
        <v>2014</v>
      </c>
    </row>
    <row r="790" spans="1:2" ht="14.4" x14ac:dyDescent="0.3">
      <c r="A790" s="16" t="s">
        <v>781</v>
      </c>
      <c r="B790">
        <f t="shared" si="15"/>
        <v>2015</v>
      </c>
    </row>
    <row r="791" spans="1:2" ht="14.4" x14ac:dyDescent="0.3">
      <c r="A791" s="16" t="s">
        <v>781</v>
      </c>
      <c r="B791">
        <f t="shared" si="15"/>
        <v>2016</v>
      </c>
    </row>
    <row r="792" spans="1:2" ht="14.4" x14ac:dyDescent="0.3">
      <c r="A792" s="16" t="s">
        <v>781</v>
      </c>
      <c r="B792">
        <f t="shared" si="15"/>
        <v>2017</v>
      </c>
    </row>
    <row r="793" spans="1:2" ht="14.4" x14ac:dyDescent="0.3">
      <c r="A793" s="16" t="s">
        <v>781</v>
      </c>
      <c r="B793">
        <f t="shared" si="15"/>
        <v>2018</v>
      </c>
    </row>
    <row r="794" spans="1:2" ht="14.4" x14ac:dyDescent="0.3">
      <c r="A794" s="16" t="s">
        <v>781</v>
      </c>
      <c r="B794">
        <f t="shared" si="15"/>
        <v>2019</v>
      </c>
    </row>
    <row r="795" spans="1:2" ht="14.4" x14ac:dyDescent="0.3">
      <c r="A795" s="16" t="s">
        <v>781</v>
      </c>
      <c r="B795">
        <f t="shared" si="15"/>
        <v>2020</v>
      </c>
    </row>
    <row r="796" spans="1:2" ht="14.4" x14ac:dyDescent="0.3">
      <c r="A796" s="16" t="s">
        <v>781</v>
      </c>
      <c r="B796">
        <f t="shared" si="15"/>
        <v>2021</v>
      </c>
    </row>
    <row r="797" spans="1:2" ht="14.4" x14ac:dyDescent="0.3">
      <c r="A797" s="16" t="s">
        <v>309</v>
      </c>
      <c r="B797">
        <f t="shared" si="15"/>
        <v>2007</v>
      </c>
    </row>
    <row r="798" spans="1:2" ht="14.4" x14ac:dyDescent="0.3">
      <c r="A798" s="16" t="s">
        <v>309</v>
      </c>
      <c r="B798">
        <f t="shared" si="15"/>
        <v>2008</v>
      </c>
    </row>
    <row r="799" spans="1:2" ht="14.4" x14ac:dyDescent="0.3">
      <c r="A799" s="16" t="s">
        <v>309</v>
      </c>
      <c r="B799">
        <f t="shared" si="15"/>
        <v>2009</v>
      </c>
    </row>
    <row r="800" spans="1:2" ht="14.4" x14ac:dyDescent="0.3">
      <c r="A800" s="16" t="s">
        <v>309</v>
      </c>
      <c r="B800">
        <f t="shared" si="15"/>
        <v>2010</v>
      </c>
    </row>
    <row r="801" spans="1:2" ht="14.4" x14ac:dyDescent="0.3">
      <c r="A801" s="16" t="s">
        <v>309</v>
      </c>
      <c r="B801">
        <f t="shared" ref="B801:B864" si="16">IF(A801=A800,B800+1,2007)</f>
        <v>2011</v>
      </c>
    </row>
    <row r="802" spans="1:2" ht="14.4" x14ac:dyDescent="0.3">
      <c r="A802" s="16" t="s">
        <v>309</v>
      </c>
      <c r="B802">
        <f t="shared" si="16"/>
        <v>2012</v>
      </c>
    </row>
    <row r="803" spans="1:2" ht="14.4" x14ac:dyDescent="0.3">
      <c r="A803" s="16" t="s">
        <v>309</v>
      </c>
      <c r="B803">
        <f t="shared" si="16"/>
        <v>2013</v>
      </c>
    </row>
    <row r="804" spans="1:2" ht="14.4" x14ac:dyDescent="0.3">
      <c r="A804" s="16" t="s">
        <v>309</v>
      </c>
      <c r="B804">
        <f t="shared" si="16"/>
        <v>2014</v>
      </c>
    </row>
    <row r="805" spans="1:2" ht="14.4" x14ac:dyDescent="0.3">
      <c r="A805" s="16" t="s">
        <v>309</v>
      </c>
      <c r="B805">
        <f t="shared" si="16"/>
        <v>2015</v>
      </c>
    </row>
    <row r="806" spans="1:2" ht="14.4" x14ac:dyDescent="0.3">
      <c r="A806" s="16" t="s">
        <v>309</v>
      </c>
      <c r="B806">
        <f t="shared" si="16"/>
        <v>2016</v>
      </c>
    </row>
    <row r="807" spans="1:2" ht="14.4" x14ac:dyDescent="0.3">
      <c r="A807" s="16" t="s">
        <v>309</v>
      </c>
      <c r="B807">
        <f t="shared" si="16"/>
        <v>2017</v>
      </c>
    </row>
    <row r="808" spans="1:2" ht="14.4" x14ac:dyDescent="0.3">
      <c r="A808" s="16" t="s">
        <v>309</v>
      </c>
      <c r="B808">
        <f t="shared" si="16"/>
        <v>2018</v>
      </c>
    </row>
    <row r="809" spans="1:2" ht="14.4" x14ac:dyDescent="0.3">
      <c r="A809" s="16" t="s">
        <v>309</v>
      </c>
      <c r="B809">
        <f t="shared" si="16"/>
        <v>2019</v>
      </c>
    </row>
    <row r="810" spans="1:2" ht="14.4" x14ac:dyDescent="0.3">
      <c r="A810" s="16" t="s">
        <v>309</v>
      </c>
      <c r="B810">
        <f t="shared" si="16"/>
        <v>2020</v>
      </c>
    </row>
    <row r="811" spans="1:2" ht="14.4" x14ac:dyDescent="0.3">
      <c r="A811" s="16" t="s">
        <v>309</v>
      </c>
      <c r="B811">
        <f t="shared" si="16"/>
        <v>2021</v>
      </c>
    </row>
    <row r="812" spans="1:2" ht="14.4" x14ac:dyDescent="0.3">
      <c r="A812" s="16" t="s">
        <v>77</v>
      </c>
      <c r="B812">
        <f t="shared" si="16"/>
        <v>2007</v>
      </c>
    </row>
    <row r="813" spans="1:2" ht="14.4" x14ac:dyDescent="0.3">
      <c r="A813" s="16" t="s">
        <v>77</v>
      </c>
      <c r="B813">
        <f t="shared" si="16"/>
        <v>2008</v>
      </c>
    </row>
    <row r="814" spans="1:2" ht="14.4" x14ac:dyDescent="0.3">
      <c r="A814" s="16" t="s">
        <v>77</v>
      </c>
      <c r="B814">
        <f t="shared" si="16"/>
        <v>2009</v>
      </c>
    </row>
    <row r="815" spans="1:2" ht="14.4" x14ac:dyDescent="0.3">
      <c r="A815" s="16" t="s">
        <v>77</v>
      </c>
      <c r="B815">
        <f t="shared" si="16"/>
        <v>2010</v>
      </c>
    </row>
    <row r="816" spans="1:2" ht="14.4" x14ac:dyDescent="0.3">
      <c r="A816" s="16" t="s">
        <v>77</v>
      </c>
      <c r="B816">
        <f t="shared" si="16"/>
        <v>2011</v>
      </c>
    </row>
    <row r="817" spans="1:2" ht="14.4" x14ac:dyDescent="0.3">
      <c r="A817" s="16" t="s">
        <v>77</v>
      </c>
      <c r="B817">
        <f t="shared" si="16"/>
        <v>2012</v>
      </c>
    </row>
    <row r="818" spans="1:2" ht="14.4" x14ac:dyDescent="0.3">
      <c r="A818" s="16" t="s">
        <v>77</v>
      </c>
      <c r="B818">
        <f t="shared" si="16"/>
        <v>2013</v>
      </c>
    </row>
    <row r="819" spans="1:2" ht="14.4" x14ac:dyDescent="0.3">
      <c r="A819" s="16" t="s">
        <v>77</v>
      </c>
      <c r="B819">
        <f t="shared" si="16"/>
        <v>2014</v>
      </c>
    </row>
    <row r="820" spans="1:2" ht="14.4" x14ac:dyDescent="0.3">
      <c r="A820" s="16" t="s">
        <v>77</v>
      </c>
      <c r="B820">
        <f t="shared" si="16"/>
        <v>2015</v>
      </c>
    </row>
    <row r="821" spans="1:2" ht="14.4" x14ac:dyDescent="0.3">
      <c r="A821" s="16" t="s">
        <v>77</v>
      </c>
      <c r="B821">
        <f t="shared" si="16"/>
        <v>2016</v>
      </c>
    </row>
    <row r="822" spans="1:2" ht="14.4" x14ac:dyDescent="0.3">
      <c r="A822" s="16" t="s">
        <v>77</v>
      </c>
      <c r="B822">
        <f t="shared" si="16"/>
        <v>2017</v>
      </c>
    </row>
    <row r="823" spans="1:2" ht="14.4" x14ac:dyDescent="0.3">
      <c r="A823" s="16" t="s">
        <v>77</v>
      </c>
      <c r="B823">
        <f t="shared" si="16"/>
        <v>2018</v>
      </c>
    </row>
    <row r="824" spans="1:2" ht="14.4" x14ac:dyDescent="0.3">
      <c r="A824" s="16" t="s">
        <v>77</v>
      </c>
      <c r="B824">
        <f t="shared" si="16"/>
        <v>2019</v>
      </c>
    </row>
    <row r="825" spans="1:2" ht="14.4" x14ac:dyDescent="0.3">
      <c r="A825" s="16" t="s">
        <v>77</v>
      </c>
      <c r="B825">
        <f t="shared" si="16"/>
        <v>2020</v>
      </c>
    </row>
    <row r="826" spans="1:2" ht="14.4" x14ac:dyDescent="0.3">
      <c r="A826" s="16" t="s">
        <v>77</v>
      </c>
      <c r="B826">
        <f t="shared" si="16"/>
        <v>2021</v>
      </c>
    </row>
    <row r="827" spans="1:2" ht="14.4" x14ac:dyDescent="0.3">
      <c r="A827" s="16" t="s">
        <v>78</v>
      </c>
      <c r="B827">
        <f t="shared" si="16"/>
        <v>2007</v>
      </c>
    </row>
    <row r="828" spans="1:2" ht="14.4" x14ac:dyDescent="0.3">
      <c r="A828" s="16" t="s">
        <v>78</v>
      </c>
      <c r="B828">
        <f t="shared" si="16"/>
        <v>2008</v>
      </c>
    </row>
    <row r="829" spans="1:2" ht="14.4" x14ac:dyDescent="0.3">
      <c r="A829" s="16" t="s">
        <v>78</v>
      </c>
      <c r="B829">
        <f t="shared" si="16"/>
        <v>2009</v>
      </c>
    </row>
    <row r="830" spans="1:2" ht="14.4" x14ac:dyDescent="0.3">
      <c r="A830" s="16" t="s">
        <v>78</v>
      </c>
      <c r="B830">
        <f t="shared" si="16"/>
        <v>2010</v>
      </c>
    </row>
    <row r="831" spans="1:2" ht="14.4" x14ac:dyDescent="0.3">
      <c r="A831" s="16" t="s">
        <v>78</v>
      </c>
      <c r="B831">
        <f t="shared" si="16"/>
        <v>2011</v>
      </c>
    </row>
    <row r="832" spans="1:2" ht="14.4" x14ac:dyDescent="0.3">
      <c r="A832" s="16" t="s">
        <v>78</v>
      </c>
      <c r="B832">
        <f t="shared" si="16"/>
        <v>2012</v>
      </c>
    </row>
    <row r="833" spans="1:2" ht="14.4" x14ac:dyDescent="0.3">
      <c r="A833" s="16" t="s">
        <v>78</v>
      </c>
      <c r="B833">
        <f t="shared" si="16"/>
        <v>2013</v>
      </c>
    </row>
    <row r="834" spans="1:2" ht="14.4" x14ac:dyDescent="0.3">
      <c r="A834" s="16" t="s">
        <v>78</v>
      </c>
      <c r="B834">
        <f t="shared" si="16"/>
        <v>2014</v>
      </c>
    </row>
    <row r="835" spans="1:2" ht="14.4" x14ac:dyDescent="0.3">
      <c r="A835" s="16" t="s">
        <v>78</v>
      </c>
      <c r="B835">
        <f t="shared" si="16"/>
        <v>2015</v>
      </c>
    </row>
    <row r="836" spans="1:2" ht="14.4" x14ac:dyDescent="0.3">
      <c r="A836" s="16" t="s">
        <v>78</v>
      </c>
      <c r="B836">
        <f t="shared" si="16"/>
        <v>2016</v>
      </c>
    </row>
    <row r="837" spans="1:2" ht="14.4" x14ac:dyDescent="0.3">
      <c r="A837" s="16" t="s">
        <v>78</v>
      </c>
      <c r="B837">
        <f t="shared" si="16"/>
        <v>2017</v>
      </c>
    </row>
    <row r="838" spans="1:2" ht="14.4" x14ac:dyDescent="0.3">
      <c r="A838" s="16" t="s">
        <v>78</v>
      </c>
      <c r="B838">
        <f t="shared" si="16"/>
        <v>2018</v>
      </c>
    </row>
    <row r="839" spans="1:2" ht="14.4" x14ac:dyDescent="0.3">
      <c r="A839" s="16" t="s">
        <v>78</v>
      </c>
      <c r="B839">
        <f t="shared" si="16"/>
        <v>2019</v>
      </c>
    </row>
    <row r="840" spans="1:2" ht="14.4" x14ac:dyDescent="0.3">
      <c r="A840" s="16" t="s">
        <v>78</v>
      </c>
      <c r="B840">
        <f t="shared" si="16"/>
        <v>2020</v>
      </c>
    </row>
    <row r="841" spans="1:2" ht="14.4" x14ac:dyDescent="0.3">
      <c r="A841" s="16" t="s">
        <v>78</v>
      </c>
      <c r="B841">
        <f t="shared" si="16"/>
        <v>2021</v>
      </c>
    </row>
    <row r="842" spans="1:2" ht="14.4" x14ac:dyDescent="0.3">
      <c r="A842" s="16" t="s">
        <v>78</v>
      </c>
      <c r="B842">
        <f t="shared" si="16"/>
        <v>2022</v>
      </c>
    </row>
    <row r="843" spans="1:2" ht="14.4" x14ac:dyDescent="0.3">
      <c r="A843" s="16" t="s">
        <v>78</v>
      </c>
      <c r="B843">
        <f t="shared" si="16"/>
        <v>2023</v>
      </c>
    </row>
    <row r="844" spans="1:2" ht="14.4" x14ac:dyDescent="0.3">
      <c r="A844" s="16" t="s">
        <v>78</v>
      </c>
      <c r="B844">
        <f t="shared" si="16"/>
        <v>2024</v>
      </c>
    </row>
    <row r="845" spans="1:2" ht="14.4" x14ac:dyDescent="0.3">
      <c r="A845" s="16" t="s">
        <v>78</v>
      </c>
      <c r="B845">
        <f t="shared" si="16"/>
        <v>2025</v>
      </c>
    </row>
    <row r="846" spans="1:2" ht="14.4" x14ac:dyDescent="0.3">
      <c r="A846" s="16" t="s">
        <v>78</v>
      </c>
      <c r="B846">
        <f t="shared" si="16"/>
        <v>2026</v>
      </c>
    </row>
    <row r="847" spans="1:2" ht="14.4" x14ac:dyDescent="0.3">
      <c r="A847" s="16" t="s">
        <v>78</v>
      </c>
      <c r="B847">
        <f t="shared" si="16"/>
        <v>2027</v>
      </c>
    </row>
    <row r="848" spans="1:2" ht="14.4" x14ac:dyDescent="0.3">
      <c r="A848" s="16" t="s">
        <v>78</v>
      </c>
      <c r="B848">
        <f t="shared" si="16"/>
        <v>2028</v>
      </c>
    </row>
    <row r="849" spans="1:2" ht="14.4" x14ac:dyDescent="0.3">
      <c r="A849" s="16" t="s">
        <v>78</v>
      </c>
      <c r="B849">
        <f t="shared" si="16"/>
        <v>2029</v>
      </c>
    </row>
    <row r="850" spans="1:2" ht="14.4" x14ac:dyDescent="0.3">
      <c r="A850" s="16" t="s">
        <v>78</v>
      </c>
      <c r="B850">
        <f t="shared" si="16"/>
        <v>2030</v>
      </c>
    </row>
    <row r="851" spans="1:2" ht="14.4" x14ac:dyDescent="0.3">
      <c r="A851" s="16" t="s">
        <v>78</v>
      </c>
      <c r="B851">
        <f t="shared" si="16"/>
        <v>2031</v>
      </c>
    </row>
    <row r="852" spans="1:2" ht="14.4" x14ac:dyDescent="0.3">
      <c r="A852" s="16" t="s">
        <v>78</v>
      </c>
      <c r="B852">
        <f t="shared" si="16"/>
        <v>2032</v>
      </c>
    </row>
    <row r="853" spans="1:2" ht="14.4" x14ac:dyDescent="0.3">
      <c r="A853" s="16" t="s">
        <v>78</v>
      </c>
      <c r="B853">
        <f t="shared" si="16"/>
        <v>2033</v>
      </c>
    </row>
    <row r="854" spans="1:2" ht="14.4" x14ac:dyDescent="0.3">
      <c r="A854" s="16" t="s">
        <v>78</v>
      </c>
      <c r="B854">
        <f t="shared" si="16"/>
        <v>2034</v>
      </c>
    </row>
    <row r="855" spans="1:2" ht="14.4" x14ac:dyDescent="0.3">
      <c r="A855" s="16" t="s">
        <v>78</v>
      </c>
      <c r="B855">
        <f t="shared" si="16"/>
        <v>2035</v>
      </c>
    </row>
    <row r="856" spans="1:2" ht="14.4" x14ac:dyDescent="0.3">
      <c r="A856" s="16" t="s">
        <v>78</v>
      </c>
      <c r="B856">
        <f t="shared" si="16"/>
        <v>2036</v>
      </c>
    </row>
    <row r="857" spans="1:2" ht="14.4" x14ac:dyDescent="0.3">
      <c r="A857" s="16" t="s">
        <v>624</v>
      </c>
      <c r="B857">
        <f t="shared" si="16"/>
        <v>2007</v>
      </c>
    </row>
    <row r="858" spans="1:2" ht="14.4" x14ac:dyDescent="0.3">
      <c r="A858" s="16" t="s">
        <v>624</v>
      </c>
      <c r="B858">
        <f t="shared" si="16"/>
        <v>2008</v>
      </c>
    </row>
    <row r="859" spans="1:2" ht="14.4" x14ac:dyDescent="0.3">
      <c r="A859" s="16" t="s">
        <v>624</v>
      </c>
      <c r="B859">
        <f t="shared" si="16"/>
        <v>2009</v>
      </c>
    </row>
    <row r="860" spans="1:2" ht="14.4" x14ac:dyDescent="0.3">
      <c r="A860" s="16" t="s">
        <v>624</v>
      </c>
      <c r="B860">
        <f t="shared" si="16"/>
        <v>2010</v>
      </c>
    </row>
    <row r="861" spans="1:2" ht="14.4" x14ac:dyDescent="0.3">
      <c r="A861" s="16" t="s">
        <v>624</v>
      </c>
      <c r="B861">
        <f t="shared" si="16"/>
        <v>2011</v>
      </c>
    </row>
    <row r="862" spans="1:2" ht="14.4" x14ac:dyDescent="0.3">
      <c r="A862" s="16" t="s">
        <v>624</v>
      </c>
      <c r="B862">
        <f t="shared" si="16"/>
        <v>2012</v>
      </c>
    </row>
    <row r="863" spans="1:2" ht="14.4" x14ac:dyDescent="0.3">
      <c r="A863" s="16" t="s">
        <v>624</v>
      </c>
      <c r="B863">
        <f t="shared" si="16"/>
        <v>2013</v>
      </c>
    </row>
    <row r="864" spans="1:2" ht="14.4" x14ac:dyDescent="0.3">
      <c r="A864" s="16" t="s">
        <v>624</v>
      </c>
      <c r="B864">
        <f t="shared" si="16"/>
        <v>2014</v>
      </c>
    </row>
    <row r="865" spans="1:2" ht="14.4" x14ac:dyDescent="0.3">
      <c r="A865" s="16" t="s">
        <v>624</v>
      </c>
      <c r="B865">
        <f t="shared" ref="B865:B928" si="17">IF(A865=A864,B864+1,2007)</f>
        <v>2015</v>
      </c>
    </row>
    <row r="866" spans="1:2" ht="14.4" x14ac:dyDescent="0.3">
      <c r="A866" s="16" t="s">
        <v>624</v>
      </c>
      <c r="B866">
        <f t="shared" si="17"/>
        <v>2016</v>
      </c>
    </row>
    <row r="867" spans="1:2" ht="14.4" x14ac:dyDescent="0.3">
      <c r="A867" s="16" t="s">
        <v>624</v>
      </c>
      <c r="B867">
        <f t="shared" si="17"/>
        <v>2017</v>
      </c>
    </row>
    <row r="868" spans="1:2" ht="14.4" x14ac:dyDescent="0.3">
      <c r="A868" s="16" t="s">
        <v>624</v>
      </c>
      <c r="B868">
        <f t="shared" si="17"/>
        <v>2018</v>
      </c>
    </row>
    <row r="869" spans="1:2" ht="14.4" x14ac:dyDescent="0.3">
      <c r="A869" s="16" t="s">
        <v>624</v>
      </c>
      <c r="B869">
        <f t="shared" si="17"/>
        <v>2019</v>
      </c>
    </row>
    <row r="870" spans="1:2" ht="14.4" x14ac:dyDescent="0.3">
      <c r="A870" s="16" t="s">
        <v>624</v>
      </c>
      <c r="B870">
        <f t="shared" si="17"/>
        <v>2020</v>
      </c>
    </row>
    <row r="871" spans="1:2" ht="14.4" x14ac:dyDescent="0.3">
      <c r="A871" s="16" t="s">
        <v>624</v>
      </c>
      <c r="B871">
        <f t="shared" si="17"/>
        <v>2021</v>
      </c>
    </row>
    <row r="872" spans="1:2" ht="14.4" x14ac:dyDescent="0.3">
      <c r="A872" s="16" t="s">
        <v>80</v>
      </c>
      <c r="B872">
        <f t="shared" si="17"/>
        <v>2007</v>
      </c>
    </row>
    <row r="873" spans="1:2" ht="14.4" x14ac:dyDescent="0.3">
      <c r="A873" s="16" t="s">
        <v>80</v>
      </c>
      <c r="B873">
        <f t="shared" si="17"/>
        <v>2008</v>
      </c>
    </row>
    <row r="874" spans="1:2" ht="14.4" x14ac:dyDescent="0.3">
      <c r="A874" s="16" t="s">
        <v>80</v>
      </c>
      <c r="B874">
        <f t="shared" si="17"/>
        <v>2009</v>
      </c>
    </row>
    <row r="875" spans="1:2" ht="14.4" x14ac:dyDescent="0.3">
      <c r="A875" s="16" t="s">
        <v>80</v>
      </c>
      <c r="B875">
        <f t="shared" si="17"/>
        <v>2010</v>
      </c>
    </row>
    <row r="876" spans="1:2" ht="14.4" x14ac:dyDescent="0.3">
      <c r="A876" s="16" t="s">
        <v>80</v>
      </c>
      <c r="B876">
        <f t="shared" si="17"/>
        <v>2011</v>
      </c>
    </row>
    <row r="877" spans="1:2" ht="14.4" x14ac:dyDescent="0.3">
      <c r="A877" s="16" t="s">
        <v>80</v>
      </c>
      <c r="B877">
        <f t="shared" si="17"/>
        <v>2012</v>
      </c>
    </row>
    <row r="878" spans="1:2" ht="14.4" x14ac:dyDescent="0.3">
      <c r="A878" s="16" t="s">
        <v>80</v>
      </c>
      <c r="B878">
        <f t="shared" si="17"/>
        <v>2013</v>
      </c>
    </row>
    <row r="879" spans="1:2" ht="14.4" x14ac:dyDescent="0.3">
      <c r="A879" s="16" t="s">
        <v>80</v>
      </c>
      <c r="B879">
        <f t="shared" si="17"/>
        <v>2014</v>
      </c>
    </row>
    <row r="880" spans="1:2" ht="14.4" x14ac:dyDescent="0.3">
      <c r="A880" s="16" t="s">
        <v>80</v>
      </c>
      <c r="B880">
        <f t="shared" si="17"/>
        <v>2015</v>
      </c>
    </row>
    <row r="881" spans="1:2" ht="14.4" x14ac:dyDescent="0.3">
      <c r="A881" s="16" t="s">
        <v>80</v>
      </c>
      <c r="B881">
        <f t="shared" si="17"/>
        <v>2016</v>
      </c>
    </row>
    <row r="882" spans="1:2" ht="14.4" x14ac:dyDescent="0.3">
      <c r="A882" s="16" t="s">
        <v>80</v>
      </c>
      <c r="B882">
        <f t="shared" si="17"/>
        <v>2017</v>
      </c>
    </row>
    <row r="883" spans="1:2" ht="14.4" x14ac:dyDescent="0.3">
      <c r="A883" s="16" t="s">
        <v>80</v>
      </c>
      <c r="B883">
        <f t="shared" si="17"/>
        <v>2018</v>
      </c>
    </row>
    <row r="884" spans="1:2" ht="14.4" x14ac:dyDescent="0.3">
      <c r="A884" s="16" t="s">
        <v>80</v>
      </c>
      <c r="B884">
        <f t="shared" si="17"/>
        <v>2019</v>
      </c>
    </row>
    <row r="885" spans="1:2" ht="14.4" x14ac:dyDescent="0.3">
      <c r="A885" s="16" t="s">
        <v>80</v>
      </c>
      <c r="B885">
        <f t="shared" si="17"/>
        <v>2020</v>
      </c>
    </row>
    <row r="886" spans="1:2" ht="14.4" x14ac:dyDescent="0.3">
      <c r="A886" s="16" t="s">
        <v>80</v>
      </c>
      <c r="B886">
        <f t="shared" si="17"/>
        <v>2021</v>
      </c>
    </row>
    <row r="887" spans="1:2" ht="14.4" x14ac:dyDescent="0.3">
      <c r="A887" s="16" t="s">
        <v>80</v>
      </c>
      <c r="B887">
        <f t="shared" si="17"/>
        <v>2022</v>
      </c>
    </row>
    <row r="888" spans="1:2" ht="14.4" x14ac:dyDescent="0.3">
      <c r="A888" s="16" t="s">
        <v>80</v>
      </c>
      <c r="B888">
        <f t="shared" si="17"/>
        <v>2023</v>
      </c>
    </row>
    <row r="889" spans="1:2" ht="14.4" x14ac:dyDescent="0.3">
      <c r="A889" s="16" t="s">
        <v>80</v>
      </c>
      <c r="B889">
        <f t="shared" si="17"/>
        <v>2024</v>
      </c>
    </row>
    <row r="890" spans="1:2" ht="14.4" x14ac:dyDescent="0.3">
      <c r="A890" s="16" t="s">
        <v>80</v>
      </c>
      <c r="B890">
        <f t="shared" si="17"/>
        <v>2025</v>
      </c>
    </row>
    <row r="891" spans="1:2" ht="14.4" x14ac:dyDescent="0.3">
      <c r="A891" s="16" t="s">
        <v>80</v>
      </c>
      <c r="B891">
        <f t="shared" si="17"/>
        <v>2026</v>
      </c>
    </row>
    <row r="892" spans="1:2" ht="14.4" x14ac:dyDescent="0.3">
      <c r="A892" s="16" t="s">
        <v>80</v>
      </c>
      <c r="B892">
        <f t="shared" si="17"/>
        <v>2027</v>
      </c>
    </row>
    <row r="893" spans="1:2" ht="14.4" x14ac:dyDescent="0.3">
      <c r="A893" s="16" t="s">
        <v>80</v>
      </c>
      <c r="B893">
        <f t="shared" si="17"/>
        <v>2028</v>
      </c>
    </row>
    <row r="894" spans="1:2" ht="14.4" x14ac:dyDescent="0.3">
      <c r="A894" s="16" t="s">
        <v>80</v>
      </c>
      <c r="B894">
        <f t="shared" si="17"/>
        <v>2029</v>
      </c>
    </row>
    <row r="895" spans="1:2" ht="14.4" x14ac:dyDescent="0.3">
      <c r="A895" s="16" t="s">
        <v>80</v>
      </c>
      <c r="B895">
        <f t="shared" si="17"/>
        <v>2030</v>
      </c>
    </row>
    <row r="896" spans="1:2" ht="14.4" x14ac:dyDescent="0.3">
      <c r="A896" s="16" t="s">
        <v>80</v>
      </c>
      <c r="B896">
        <f t="shared" si="17"/>
        <v>2031</v>
      </c>
    </row>
    <row r="897" spans="1:2" ht="14.4" x14ac:dyDescent="0.3">
      <c r="A897" s="16" t="s">
        <v>80</v>
      </c>
      <c r="B897">
        <f t="shared" si="17"/>
        <v>2032</v>
      </c>
    </row>
    <row r="898" spans="1:2" ht="14.4" x14ac:dyDescent="0.3">
      <c r="A898" s="16" t="s">
        <v>80</v>
      </c>
      <c r="B898">
        <f t="shared" si="17"/>
        <v>2033</v>
      </c>
    </row>
    <row r="899" spans="1:2" ht="14.4" x14ac:dyDescent="0.3">
      <c r="A899" s="16" t="s">
        <v>80</v>
      </c>
      <c r="B899">
        <f t="shared" si="17"/>
        <v>2034</v>
      </c>
    </row>
    <row r="900" spans="1:2" ht="14.4" x14ac:dyDescent="0.3">
      <c r="A900" s="16" t="s">
        <v>80</v>
      </c>
      <c r="B900">
        <f t="shared" si="17"/>
        <v>2035</v>
      </c>
    </row>
    <row r="901" spans="1:2" ht="14.4" x14ac:dyDescent="0.3">
      <c r="A901" s="16" t="s">
        <v>80</v>
      </c>
      <c r="B901">
        <f t="shared" si="17"/>
        <v>2036</v>
      </c>
    </row>
    <row r="902" spans="1:2" ht="14.4" x14ac:dyDescent="0.3">
      <c r="A902" s="16" t="s">
        <v>81</v>
      </c>
      <c r="B902">
        <f t="shared" si="17"/>
        <v>2007</v>
      </c>
    </row>
    <row r="903" spans="1:2" ht="14.4" x14ac:dyDescent="0.3">
      <c r="A903" s="16" t="s">
        <v>81</v>
      </c>
      <c r="B903">
        <f t="shared" si="17"/>
        <v>2008</v>
      </c>
    </row>
    <row r="904" spans="1:2" ht="14.4" x14ac:dyDescent="0.3">
      <c r="A904" s="16" t="s">
        <v>81</v>
      </c>
      <c r="B904">
        <f t="shared" si="17"/>
        <v>2009</v>
      </c>
    </row>
    <row r="905" spans="1:2" ht="14.4" x14ac:dyDescent="0.3">
      <c r="A905" s="16" t="s">
        <v>81</v>
      </c>
      <c r="B905">
        <f t="shared" si="17"/>
        <v>2010</v>
      </c>
    </row>
    <row r="906" spans="1:2" ht="14.4" x14ac:dyDescent="0.3">
      <c r="A906" s="16" t="s">
        <v>81</v>
      </c>
      <c r="B906">
        <f t="shared" si="17"/>
        <v>2011</v>
      </c>
    </row>
    <row r="907" spans="1:2" ht="14.4" x14ac:dyDescent="0.3">
      <c r="A907" s="16" t="s">
        <v>81</v>
      </c>
      <c r="B907">
        <f t="shared" si="17"/>
        <v>2012</v>
      </c>
    </row>
    <row r="908" spans="1:2" ht="14.4" x14ac:dyDescent="0.3">
      <c r="A908" s="16" t="s">
        <v>81</v>
      </c>
      <c r="B908">
        <f t="shared" si="17"/>
        <v>2013</v>
      </c>
    </row>
    <row r="909" spans="1:2" ht="14.4" x14ac:dyDescent="0.3">
      <c r="A909" s="16" t="s">
        <v>81</v>
      </c>
      <c r="B909">
        <f t="shared" si="17"/>
        <v>2014</v>
      </c>
    </row>
    <row r="910" spans="1:2" ht="14.4" x14ac:dyDescent="0.3">
      <c r="A910" s="16" t="s">
        <v>81</v>
      </c>
      <c r="B910">
        <f t="shared" si="17"/>
        <v>2015</v>
      </c>
    </row>
    <row r="911" spans="1:2" ht="14.4" x14ac:dyDescent="0.3">
      <c r="A911" s="16" t="s">
        <v>81</v>
      </c>
      <c r="B911">
        <f t="shared" si="17"/>
        <v>2016</v>
      </c>
    </row>
    <row r="912" spans="1:2" ht="14.4" x14ac:dyDescent="0.3">
      <c r="A912" s="16" t="s">
        <v>81</v>
      </c>
      <c r="B912">
        <f t="shared" si="17"/>
        <v>2017</v>
      </c>
    </row>
    <row r="913" spans="1:2" ht="14.4" x14ac:dyDescent="0.3">
      <c r="A913" s="16" t="s">
        <v>81</v>
      </c>
      <c r="B913">
        <f t="shared" si="17"/>
        <v>2018</v>
      </c>
    </row>
    <row r="914" spans="1:2" ht="14.4" x14ac:dyDescent="0.3">
      <c r="A914" s="16" t="s">
        <v>81</v>
      </c>
      <c r="B914">
        <f t="shared" si="17"/>
        <v>2019</v>
      </c>
    </row>
    <row r="915" spans="1:2" ht="14.4" x14ac:dyDescent="0.3">
      <c r="A915" s="16" t="s">
        <v>81</v>
      </c>
      <c r="B915">
        <f t="shared" si="17"/>
        <v>2020</v>
      </c>
    </row>
    <row r="916" spans="1:2" ht="14.4" x14ac:dyDescent="0.3">
      <c r="A916" s="16" t="s">
        <v>81</v>
      </c>
      <c r="B916">
        <f t="shared" si="17"/>
        <v>2021</v>
      </c>
    </row>
    <row r="917" spans="1:2" ht="14.4" x14ac:dyDescent="0.3">
      <c r="A917" s="16" t="s">
        <v>84</v>
      </c>
      <c r="B917">
        <f t="shared" si="17"/>
        <v>2007</v>
      </c>
    </row>
    <row r="918" spans="1:2" ht="14.4" x14ac:dyDescent="0.3">
      <c r="A918" s="16" t="s">
        <v>84</v>
      </c>
      <c r="B918">
        <f t="shared" si="17"/>
        <v>2008</v>
      </c>
    </row>
    <row r="919" spans="1:2" ht="14.4" x14ac:dyDescent="0.3">
      <c r="A919" s="16" t="s">
        <v>84</v>
      </c>
      <c r="B919">
        <f t="shared" si="17"/>
        <v>2009</v>
      </c>
    </row>
    <row r="920" spans="1:2" ht="14.4" x14ac:dyDescent="0.3">
      <c r="A920" s="16" t="s">
        <v>84</v>
      </c>
      <c r="B920">
        <f t="shared" si="17"/>
        <v>2010</v>
      </c>
    </row>
    <row r="921" spans="1:2" ht="14.4" x14ac:dyDescent="0.3">
      <c r="A921" s="16" t="s">
        <v>84</v>
      </c>
      <c r="B921">
        <f t="shared" si="17"/>
        <v>2011</v>
      </c>
    </row>
    <row r="922" spans="1:2" ht="14.4" x14ac:dyDescent="0.3">
      <c r="A922" s="16" t="s">
        <v>84</v>
      </c>
      <c r="B922">
        <f t="shared" si="17"/>
        <v>2012</v>
      </c>
    </row>
    <row r="923" spans="1:2" ht="14.4" x14ac:dyDescent="0.3">
      <c r="A923" s="16" t="s">
        <v>84</v>
      </c>
      <c r="B923">
        <f t="shared" si="17"/>
        <v>2013</v>
      </c>
    </row>
    <row r="924" spans="1:2" ht="14.4" x14ac:dyDescent="0.3">
      <c r="A924" s="16" t="s">
        <v>84</v>
      </c>
      <c r="B924">
        <f t="shared" si="17"/>
        <v>2014</v>
      </c>
    </row>
    <row r="925" spans="1:2" ht="14.4" x14ac:dyDescent="0.3">
      <c r="A925" s="16" t="s">
        <v>84</v>
      </c>
      <c r="B925">
        <f t="shared" si="17"/>
        <v>2015</v>
      </c>
    </row>
    <row r="926" spans="1:2" ht="14.4" x14ac:dyDescent="0.3">
      <c r="A926" s="16" t="s">
        <v>84</v>
      </c>
      <c r="B926">
        <f t="shared" si="17"/>
        <v>2016</v>
      </c>
    </row>
    <row r="927" spans="1:2" ht="14.4" x14ac:dyDescent="0.3">
      <c r="A927" s="16" t="s">
        <v>84</v>
      </c>
      <c r="B927">
        <f t="shared" si="17"/>
        <v>2017</v>
      </c>
    </row>
    <row r="928" spans="1:2" ht="14.4" x14ac:dyDescent="0.3">
      <c r="A928" s="16" t="s">
        <v>84</v>
      </c>
      <c r="B928">
        <f t="shared" si="17"/>
        <v>2018</v>
      </c>
    </row>
    <row r="929" spans="1:2" ht="14.4" x14ac:dyDescent="0.3">
      <c r="A929" s="16" t="s">
        <v>84</v>
      </c>
      <c r="B929">
        <f t="shared" ref="B929:B992" si="18">IF(A929=A928,B928+1,2007)</f>
        <v>2019</v>
      </c>
    </row>
    <row r="930" spans="1:2" ht="14.4" x14ac:dyDescent="0.3">
      <c r="A930" s="16" t="s">
        <v>84</v>
      </c>
      <c r="B930">
        <f t="shared" si="18"/>
        <v>2020</v>
      </c>
    </row>
    <row r="931" spans="1:2" ht="14.4" x14ac:dyDescent="0.3">
      <c r="A931" s="16" t="s">
        <v>84</v>
      </c>
      <c r="B931">
        <f t="shared" si="18"/>
        <v>2021</v>
      </c>
    </row>
    <row r="932" spans="1:2" ht="14.4" x14ac:dyDescent="0.3">
      <c r="A932" s="16" t="s">
        <v>85</v>
      </c>
      <c r="B932">
        <f t="shared" si="18"/>
        <v>2007</v>
      </c>
    </row>
    <row r="933" spans="1:2" ht="14.4" x14ac:dyDescent="0.3">
      <c r="A933" s="16" t="s">
        <v>85</v>
      </c>
      <c r="B933">
        <f t="shared" si="18"/>
        <v>2008</v>
      </c>
    </row>
    <row r="934" spans="1:2" ht="14.4" x14ac:dyDescent="0.3">
      <c r="A934" s="16" t="s">
        <v>85</v>
      </c>
      <c r="B934">
        <f t="shared" si="18"/>
        <v>2009</v>
      </c>
    </row>
    <row r="935" spans="1:2" ht="14.4" x14ac:dyDescent="0.3">
      <c r="A935" s="16" t="s">
        <v>85</v>
      </c>
      <c r="B935">
        <f t="shared" si="18"/>
        <v>2010</v>
      </c>
    </row>
    <row r="936" spans="1:2" ht="14.4" x14ac:dyDescent="0.3">
      <c r="A936" s="16" t="s">
        <v>85</v>
      </c>
      <c r="B936">
        <f t="shared" si="18"/>
        <v>2011</v>
      </c>
    </row>
    <row r="937" spans="1:2" ht="14.4" x14ac:dyDescent="0.3">
      <c r="A937" s="16" t="s">
        <v>85</v>
      </c>
      <c r="B937">
        <f t="shared" si="18"/>
        <v>2012</v>
      </c>
    </row>
    <row r="938" spans="1:2" ht="14.4" x14ac:dyDescent="0.3">
      <c r="A938" s="16" t="s">
        <v>85</v>
      </c>
      <c r="B938">
        <f t="shared" si="18"/>
        <v>2013</v>
      </c>
    </row>
    <row r="939" spans="1:2" ht="14.4" x14ac:dyDescent="0.3">
      <c r="A939" s="16" t="s">
        <v>85</v>
      </c>
      <c r="B939">
        <f t="shared" si="18"/>
        <v>2014</v>
      </c>
    </row>
    <row r="940" spans="1:2" ht="14.4" x14ac:dyDescent="0.3">
      <c r="A940" s="16" t="s">
        <v>85</v>
      </c>
      <c r="B940">
        <f t="shared" si="18"/>
        <v>2015</v>
      </c>
    </row>
    <row r="941" spans="1:2" ht="14.4" x14ac:dyDescent="0.3">
      <c r="A941" s="16" t="s">
        <v>85</v>
      </c>
      <c r="B941">
        <f t="shared" si="18"/>
        <v>2016</v>
      </c>
    </row>
    <row r="942" spans="1:2" ht="14.4" x14ac:dyDescent="0.3">
      <c r="A942" s="16" t="s">
        <v>85</v>
      </c>
      <c r="B942">
        <f t="shared" si="18"/>
        <v>2017</v>
      </c>
    </row>
    <row r="943" spans="1:2" ht="14.4" x14ac:dyDescent="0.3">
      <c r="A943" s="16" t="s">
        <v>85</v>
      </c>
      <c r="B943">
        <f t="shared" si="18"/>
        <v>2018</v>
      </c>
    </row>
    <row r="944" spans="1:2" ht="14.4" x14ac:dyDescent="0.3">
      <c r="A944" s="16" t="s">
        <v>85</v>
      </c>
      <c r="B944">
        <f t="shared" si="18"/>
        <v>2019</v>
      </c>
    </row>
    <row r="945" spans="1:2" ht="14.4" x14ac:dyDescent="0.3">
      <c r="A945" s="16" t="s">
        <v>85</v>
      </c>
      <c r="B945">
        <f t="shared" si="18"/>
        <v>2020</v>
      </c>
    </row>
    <row r="946" spans="1:2" ht="14.4" x14ac:dyDescent="0.3">
      <c r="A946" s="16" t="s">
        <v>85</v>
      </c>
      <c r="B946">
        <f t="shared" si="18"/>
        <v>2021</v>
      </c>
    </row>
    <row r="947" spans="1:2" ht="14.4" x14ac:dyDescent="0.3">
      <c r="A947" s="16" t="s">
        <v>87</v>
      </c>
      <c r="B947">
        <f t="shared" si="18"/>
        <v>2007</v>
      </c>
    </row>
    <row r="948" spans="1:2" ht="14.4" x14ac:dyDescent="0.3">
      <c r="A948" s="16" t="s">
        <v>87</v>
      </c>
      <c r="B948">
        <f t="shared" si="18"/>
        <v>2008</v>
      </c>
    </row>
    <row r="949" spans="1:2" ht="14.4" x14ac:dyDescent="0.3">
      <c r="A949" s="16" t="s">
        <v>87</v>
      </c>
      <c r="B949">
        <f t="shared" si="18"/>
        <v>2009</v>
      </c>
    </row>
    <row r="950" spans="1:2" ht="14.4" x14ac:dyDescent="0.3">
      <c r="A950" s="16" t="s">
        <v>87</v>
      </c>
      <c r="B950">
        <f t="shared" si="18"/>
        <v>2010</v>
      </c>
    </row>
    <row r="951" spans="1:2" ht="14.4" x14ac:dyDescent="0.3">
      <c r="A951" s="16" t="s">
        <v>87</v>
      </c>
      <c r="B951">
        <f t="shared" si="18"/>
        <v>2011</v>
      </c>
    </row>
    <row r="952" spans="1:2" ht="14.4" x14ac:dyDescent="0.3">
      <c r="A952" s="16" t="s">
        <v>87</v>
      </c>
      <c r="B952">
        <f t="shared" si="18"/>
        <v>2012</v>
      </c>
    </row>
    <row r="953" spans="1:2" ht="14.4" x14ac:dyDescent="0.3">
      <c r="A953" s="16" t="s">
        <v>87</v>
      </c>
      <c r="B953">
        <f t="shared" si="18"/>
        <v>2013</v>
      </c>
    </row>
    <row r="954" spans="1:2" ht="14.4" x14ac:dyDescent="0.3">
      <c r="A954" s="16" t="s">
        <v>87</v>
      </c>
      <c r="B954">
        <f t="shared" si="18"/>
        <v>2014</v>
      </c>
    </row>
    <row r="955" spans="1:2" ht="14.4" x14ac:dyDescent="0.3">
      <c r="A955" s="16" t="s">
        <v>87</v>
      </c>
      <c r="B955">
        <f t="shared" si="18"/>
        <v>2015</v>
      </c>
    </row>
    <row r="956" spans="1:2" ht="14.4" x14ac:dyDescent="0.3">
      <c r="A956" s="16" t="s">
        <v>87</v>
      </c>
      <c r="B956">
        <f t="shared" si="18"/>
        <v>2016</v>
      </c>
    </row>
    <row r="957" spans="1:2" ht="14.4" x14ac:dyDescent="0.3">
      <c r="A957" s="16" t="s">
        <v>87</v>
      </c>
      <c r="B957">
        <f t="shared" si="18"/>
        <v>2017</v>
      </c>
    </row>
    <row r="958" spans="1:2" ht="14.4" x14ac:dyDescent="0.3">
      <c r="A958" s="16" t="s">
        <v>87</v>
      </c>
      <c r="B958">
        <f t="shared" si="18"/>
        <v>2018</v>
      </c>
    </row>
    <row r="959" spans="1:2" ht="14.4" x14ac:dyDescent="0.3">
      <c r="A959" s="16" t="s">
        <v>87</v>
      </c>
      <c r="B959">
        <f t="shared" si="18"/>
        <v>2019</v>
      </c>
    </row>
    <row r="960" spans="1:2" ht="14.4" x14ac:dyDescent="0.3">
      <c r="A960" s="16" t="s">
        <v>87</v>
      </c>
      <c r="B960">
        <f t="shared" si="18"/>
        <v>2020</v>
      </c>
    </row>
    <row r="961" spans="1:2" ht="14.4" x14ac:dyDescent="0.3">
      <c r="A961" s="16" t="s">
        <v>87</v>
      </c>
      <c r="B961">
        <f t="shared" si="18"/>
        <v>2021</v>
      </c>
    </row>
    <row r="962" spans="1:2" ht="14.4" x14ac:dyDescent="0.3">
      <c r="A962" s="16" t="s">
        <v>88</v>
      </c>
      <c r="B962">
        <f t="shared" si="18"/>
        <v>2007</v>
      </c>
    </row>
    <row r="963" spans="1:2" ht="14.4" x14ac:dyDescent="0.3">
      <c r="A963" s="16" t="s">
        <v>88</v>
      </c>
      <c r="B963">
        <f t="shared" si="18"/>
        <v>2008</v>
      </c>
    </row>
    <row r="964" spans="1:2" ht="14.4" x14ac:dyDescent="0.3">
      <c r="A964" s="16" t="s">
        <v>88</v>
      </c>
      <c r="B964">
        <f t="shared" si="18"/>
        <v>2009</v>
      </c>
    </row>
    <row r="965" spans="1:2" ht="14.4" x14ac:dyDescent="0.3">
      <c r="A965" s="16" t="s">
        <v>88</v>
      </c>
      <c r="B965">
        <f t="shared" si="18"/>
        <v>2010</v>
      </c>
    </row>
    <row r="966" spans="1:2" ht="14.4" x14ac:dyDescent="0.3">
      <c r="A966" s="16" t="s">
        <v>88</v>
      </c>
      <c r="B966">
        <f t="shared" si="18"/>
        <v>2011</v>
      </c>
    </row>
    <row r="967" spans="1:2" ht="14.4" x14ac:dyDescent="0.3">
      <c r="A967" s="16" t="s">
        <v>88</v>
      </c>
      <c r="B967">
        <f t="shared" si="18"/>
        <v>2012</v>
      </c>
    </row>
    <row r="968" spans="1:2" ht="14.4" x14ac:dyDescent="0.3">
      <c r="A968" s="16" t="s">
        <v>88</v>
      </c>
      <c r="B968">
        <f t="shared" si="18"/>
        <v>2013</v>
      </c>
    </row>
    <row r="969" spans="1:2" ht="14.4" x14ac:dyDescent="0.3">
      <c r="A969" s="16" t="s">
        <v>88</v>
      </c>
      <c r="B969">
        <f t="shared" si="18"/>
        <v>2014</v>
      </c>
    </row>
    <row r="970" spans="1:2" ht="14.4" x14ac:dyDescent="0.3">
      <c r="A970" s="16" t="s">
        <v>88</v>
      </c>
      <c r="B970">
        <f t="shared" si="18"/>
        <v>2015</v>
      </c>
    </row>
    <row r="971" spans="1:2" ht="14.4" x14ac:dyDescent="0.3">
      <c r="A971" s="16" t="s">
        <v>88</v>
      </c>
      <c r="B971">
        <f t="shared" si="18"/>
        <v>2016</v>
      </c>
    </row>
    <row r="972" spans="1:2" ht="14.4" x14ac:dyDescent="0.3">
      <c r="A972" s="16" t="s">
        <v>88</v>
      </c>
      <c r="B972">
        <f t="shared" si="18"/>
        <v>2017</v>
      </c>
    </row>
    <row r="973" spans="1:2" ht="14.4" x14ac:dyDescent="0.3">
      <c r="A973" s="16" t="s">
        <v>88</v>
      </c>
      <c r="B973">
        <f t="shared" si="18"/>
        <v>2018</v>
      </c>
    </row>
    <row r="974" spans="1:2" ht="14.4" x14ac:dyDescent="0.3">
      <c r="A974" s="16" t="s">
        <v>88</v>
      </c>
      <c r="B974">
        <f t="shared" si="18"/>
        <v>2019</v>
      </c>
    </row>
    <row r="975" spans="1:2" ht="14.4" x14ac:dyDescent="0.3">
      <c r="A975" s="16" t="s">
        <v>88</v>
      </c>
      <c r="B975">
        <f t="shared" si="18"/>
        <v>2020</v>
      </c>
    </row>
    <row r="976" spans="1:2" ht="14.4" x14ac:dyDescent="0.3">
      <c r="A976" s="16" t="s">
        <v>88</v>
      </c>
      <c r="B976">
        <f t="shared" si="18"/>
        <v>2021</v>
      </c>
    </row>
    <row r="977" spans="1:2" ht="14.4" x14ac:dyDescent="0.3">
      <c r="A977" s="16" t="s">
        <v>428</v>
      </c>
      <c r="B977">
        <f t="shared" si="18"/>
        <v>2007</v>
      </c>
    </row>
    <row r="978" spans="1:2" ht="14.4" x14ac:dyDescent="0.3">
      <c r="A978" s="16" t="s">
        <v>428</v>
      </c>
      <c r="B978">
        <f t="shared" si="18"/>
        <v>2008</v>
      </c>
    </row>
    <row r="979" spans="1:2" ht="14.4" x14ac:dyDescent="0.3">
      <c r="A979" s="16" t="s">
        <v>428</v>
      </c>
      <c r="B979">
        <f t="shared" si="18"/>
        <v>2009</v>
      </c>
    </row>
    <row r="980" spans="1:2" ht="14.4" x14ac:dyDescent="0.3">
      <c r="A980" s="16" t="s">
        <v>428</v>
      </c>
      <c r="B980">
        <f t="shared" si="18"/>
        <v>2010</v>
      </c>
    </row>
    <row r="981" spans="1:2" ht="14.4" x14ac:dyDescent="0.3">
      <c r="A981" s="16" t="s">
        <v>428</v>
      </c>
      <c r="B981">
        <f t="shared" si="18"/>
        <v>2011</v>
      </c>
    </row>
    <row r="982" spans="1:2" ht="14.4" x14ac:dyDescent="0.3">
      <c r="A982" s="16" t="s">
        <v>428</v>
      </c>
      <c r="B982">
        <f t="shared" si="18"/>
        <v>2012</v>
      </c>
    </row>
    <row r="983" spans="1:2" ht="14.4" x14ac:dyDescent="0.3">
      <c r="A983" s="16" t="s">
        <v>428</v>
      </c>
      <c r="B983">
        <f t="shared" si="18"/>
        <v>2013</v>
      </c>
    </row>
    <row r="984" spans="1:2" ht="14.4" x14ac:dyDescent="0.3">
      <c r="A984" s="16" t="s">
        <v>428</v>
      </c>
      <c r="B984">
        <f t="shared" si="18"/>
        <v>2014</v>
      </c>
    </row>
    <row r="985" spans="1:2" ht="14.4" x14ac:dyDescent="0.3">
      <c r="A985" s="16" t="s">
        <v>428</v>
      </c>
      <c r="B985">
        <f t="shared" si="18"/>
        <v>2015</v>
      </c>
    </row>
    <row r="986" spans="1:2" ht="14.4" x14ac:dyDescent="0.3">
      <c r="A986" s="16" t="s">
        <v>428</v>
      </c>
      <c r="B986">
        <f t="shared" si="18"/>
        <v>2016</v>
      </c>
    </row>
    <row r="987" spans="1:2" ht="14.4" x14ac:dyDescent="0.3">
      <c r="A987" s="16" t="s">
        <v>428</v>
      </c>
      <c r="B987">
        <f t="shared" si="18"/>
        <v>2017</v>
      </c>
    </row>
    <row r="988" spans="1:2" ht="14.4" x14ac:dyDescent="0.3">
      <c r="A988" s="16" t="s">
        <v>428</v>
      </c>
      <c r="B988">
        <f t="shared" si="18"/>
        <v>2018</v>
      </c>
    </row>
    <row r="989" spans="1:2" ht="14.4" x14ac:dyDescent="0.3">
      <c r="A989" s="16" t="s">
        <v>428</v>
      </c>
      <c r="B989">
        <f t="shared" si="18"/>
        <v>2019</v>
      </c>
    </row>
    <row r="990" spans="1:2" ht="14.4" x14ac:dyDescent="0.3">
      <c r="A990" s="16" t="s">
        <v>428</v>
      </c>
      <c r="B990">
        <f t="shared" si="18"/>
        <v>2020</v>
      </c>
    </row>
    <row r="991" spans="1:2" ht="14.4" x14ac:dyDescent="0.3">
      <c r="A991" s="16" t="s">
        <v>428</v>
      </c>
      <c r="B991">
        <f t="shared" si="18"/>
        <v>2021</v>
      </c>
    </row>
    <row r="992" spans="1:2" ht="14.4" x14ac:dyDescent="0.3">
      <c r="A992" s="16" t="s">
        <v>90</v>
      </c>
      <c r="B992">
        <f t="shared" si="18"/>
        <v>2007</v>
      </c>
    </row>
    <row r="993" spans="1:2" ht="14.4" x14ac:dyDescent="0.3">
      <c r="A993" s="16" t="s">
        <v>90</v>
      </c>
      <c r="B993">
        <f t="shared" ref="B993:B1056" si="19">IF(A993=A992,B992+1,2007)</f>
        <v>2008</v>
      </c>
    </row>
    <row r="994" spans="1:2" ht="14.4" x14ac:dyDescent="0.3">
      <c r="A994" s="16" t="s">
        <v>90</v>
      </c>
      <c r="B994">
        <f t="shared" si="19"/>
        <v>2009</v>
      </c>
    </row>
    <row r="995" spans="1:2" ht="14.4" x14ac:dyDescent="0.3">
      <c r="A995" s="16" t="s">
        <v>90</v>
      </c>
      <c r="B995">
        <f t="shared" si="19"/>
        <v>2010</v>
      </c>
    </row>
    <row r="996" spans="1:2" ht="14.4" x14ac:dyDescent="0.3">
      <c r="A996" s="16" t="s">
        <v>90</v>
      </c>
      <c r="B996">
        <f t="shared" si="19"/>
        <v>2011</v>
      </c>
    </row>
    <row r="997" spans="1:2" ht="14.4" x14ac:dyDescent="0.3">
      <c r="A997" s="16" t="s">
        <v>90</v>
      </c>
      <c r="B997">
        <f t="shared" si="19"/>
        <v>2012</v>
      </c>
    </row>
    <row r="998" spans="1:2" ht="14.4" x14ac:dyDescent="0.3">
      <c r="A998" s="16" t="s">
        <v>90</v>
      </c>
      <c r="B998">
        <f t="shared" si="19"/>
        <v>2013</v>
      </c>
    </row>
    <row r="999" spans="1:2" ht="14.4" x14ac:dyDescent="0.3">
      <c r="A999" s="16" t="s">
        <v>90</v>
      </c>
      <c r="B999">
        <f t="shared" si="19"/>
        <v>2014</v>
      </c>
    </row>
    <row r="1000" spans="1:2" ht="14.4" x14ac:dyDescent="0.3">
      <c r="A1000" s="16" t="s">
        <v>90</v>
      </c>
      <c r="B1000">
        <f t="shared" si="19"/>
        <v>2015</v>
      </c>
    </row>
    <row r="1001" spans="1:2" ht="14.4" x14ac:dyDescent="0.3">
      <c r="A1001" s="16" t="s">
        <v>90</v>
      </c>
      <c r="B1001">
        <f t="shared" si="19"/>
        <v>2016</v>
      </c>
    </row>
    <row r="1002" spans="1:2" ht="14.4" x14ac:dyDescent="0.3">
      <c r="A1002" s="16" t="s">
        <v>90</v>
      </c>
      <c r="B1002">
        <f t="shared" si="19"/>
        <v>2017</v>
      </c>
    </row>
    <row r="1003" spans="1:2" ht="14.4" x14ac:dyDescent="0.3">
      <c r="A1003" s="16" t="s">
        <v>90</v>
      </c>
      <c r="B1003">
        <f t="shared" si="19"/>
        <v>2018</v>
      </c>
    </row>
    <row r="1004" spans="1:2" ht="14.4" x14ac:dyDescent="0.3">
      <c r="A1004" s="16" t="s">
        <v>90</v>
      </c>
      <c r="B1004">
        <f t="shared" si="19"/>
        <v>2019</v>
      </c>
    </row>
    <row r="1005" spans="1:2" ht="14.4" x14ac:dyDescent="0.3">
      <c r="A1005" s="16" t="s">
        <v>90</v>
      </c>
      <c r="B1005">
        <f t="shared" si="19"/>
        <v>2020</v>
      </c>
    </row>
    <row r="1006" spans="1:2" ht="14.4" x14ac:dyDescent="0.3">
      <c r="A1006" s="16" t="s">
        <v>90</v>
      </c>
      <c r="B1006">
        <f t="shared" si="19"/>
        <v>2021</v>
      </c>
    </row>
    <row r="1007" spans="1:2" ht="14.4" x14ac:dyDescent="0.3">
      <c r="A1007" s="16" t="s">
        <v>91</v>
      </c>
      <c r="B1007">
        <f t="shared" si="19"/>
        <v>2007</v>
      </c>
    </row>
    <row r="1008" spans="1:2" ht="14.4" x14ac:dyDescent="0.3">
      <c r="A1008" s="16" t="s">
        <v>91</v>
      </c>
      <c r="B1008">
        <f t="shared" si="19"/>
        <v>2008</v>
      </c>
    </row>
    <row r="1009" spans="1:2" ht="14.4" x14ac:dyDescent="0.3">
      <c r="A1009" s="16" t="s">
        <v>91</v>
      </c>
      <c r="B1009">
        <f t="shared" si="19"/>
        <v>2009</v>
      </c>
    </row>
    <row r="1010" spans="1:2" ht="14.4" x14ac:dyDescent="0.3">
      <c r="A1010" s="16" t="s">
        <v>91</v>
      </c>
      <c r="B1010">
        <f t="shared" si="19"/>
        <v>2010</v>
      </c>
    </row>
    <row r="1011" spans="1:2" ht="14.4" x14ac:dyDescent="0.3">
      <c r="A1011" s="16" t="s">
        <v>91</v>
      </c>
      <c r="B1011">
        <f t="shared" si="19"/>
        <v>2011</v>
      </c>
    </row>
    <row r="1012" spans="1:2" ht="14.4" x14ac:dyDescent="0.3">
      <c r="A1012" s="16" t="s">
        <v>91</v>
      </c>
      <c r="B1012">
        <f t="shared" si="19"/>
        <v>2012</v>
      </c>
    </row>
    <row r="1013" spans="1:2" ht="14.4" x14ac:dyDescent="0.3">
      <c r="A1013" s="16" t="s">
        <v>91</v>
      </c>
      <c r="B1013">
        <f t="shared" si="19"/>
        <v>2013</v>
      </c>
    </row>
    <row r="1014" spans="1:2" ht="14.4" x14ac:dyDescent="0.3">
      <c r="A1014" s="16" t="s">
        <v>91</v>
      </c>
      <c r="B1014">
        <f t="shared" si="19"/>
        <v>2014</v>
      </c>
    </row>
    <row r="1015" spans="1:2" ht="14.4" x14ac:dyDescent="0.3">
      <c r="A1015" s="16" t="s">
        <v>91</v>
      </c>
      <c r="B1015">
        <f t="shared" si="19"/>
        <v>2015</v>
      </c>
    </row>
    <row r="1016" spans="1:2" ht="14.4" x14ac:dyDescent="0.3">
      <c r="A1016" s="16" t="s">
        <v>91</v>
      </c>
      <c r="B1016">
        <f t="shared" si="19"/>
        <v>2016</v>
      </c>
    </row>
    <row r="1017" spans="1:2" ht="14.4" x14ac:dyDescent="0.3">
      <c r="A1017" s="16" t="s">
        <v>91</v>
      </c>
      <c r="B1017">
        <f t="shared" si="19"/>
        <v>2017</v>
      </c>
    </row>
    <row r="1018" spans="1:2" ht="14.4" x14ac:dyDescent="0.3">
      <c r="A1018" s="16" t="s">
        <v>91</v>
      </c>
      <c r="B1018">
        <f t="shared" si="19"/>
        <v>2018</v>
      </c>
    </row>
    <row r="1019" spans="1:2" ht="14.4" x14ac:dyDescent="0.3">
      <c r="A1019" s="16" t="s">
        <v>91</v>
      </c>
      <c r="B1019">
        <f t="shared" si="19"/>
        <v>2019</v>
      </c>
    </row>
    <row r="1020" spans="1:2" ht="14.4" x14ac:dyDescent="0.3">
      <c r="A1020" s="16" t="s">
        <v>91</v>
      </c>
      <c r="B1020">
        <f t="shared" si="19"/>
        <v>2020</v>
      </c>
    </row>
    <row r="1021" spans="1:2" ht="14.4" x14ac:dyDescent="0.3">
      <c r="A1021" s="16" t="s">
        <v>91</v>
      </c>
      <c r="B1021">
        <f t="shared" si="19"/>
        <v>2021</v>
      </c>
    </row>
    <row r="1022" spans="1:2" ht="14.4" x14ac:dyDescent="0.3">
      <c r="A1022" s="16" t="s">
        <v>92</v>
      </c>
      <c r="B1022">
        <f t="shared" si="19"/>
        <v>2007</v>
      </c>
    </row>
    <row r="1023" spans="1:2" ht="14.4" x14ac:dyDescent="0.3">
      <c r="A1023" s="16" t="s">
        <v>92</v>
      </c>
      <c r="B1023">
        <f t="shared" si="19"/>
        <v>2008</v>
      </c>
    </row>
    <row r="1024" spans="1:2" ht="14.4" x14ac:dyDescent="0.3">
      <c r="A1024" s="16" t="s">
        <v>92</v>
      </c>
      <c r="B1024">
        <f t="shared" si="19"/>
        <v>2009</v>
      </c>
    </row>
    <row r="1025" spans="1:2" ht="14.4" x14ac:dyDescent="0.3">
      <c r="A1025" s="16" t="s">
        <v>92</v>
      </c>
      <c r="B1025">
        <f t="shared" si="19"/>
        <v>2010</v>
      </c>
    </row>
    <row r="1026" spans="1:2" ht="14.4" x14ac:dyDescent="0.3">
      <c r="A1026" s="16" t="s">
        <v>92</v>
      </c>
      <c r="B1026">
        <f t="shared" si="19"/>
        <v>2011</v>
      </c>
    </row>
    <row r="1027" spans="1:2" ht="14.4" x14ac:dyDescent="0.3">
      <c r="A1027" s="16" t="s">
        <v>92</v>
      </c>
      <c r="B1027">
        <f t="shared" si="19"/>
        <v>2012</v>
      </c>
    </row>
    <row r="1028" spans="1:2" ht="14.4" x14ac:dyDescent="0.3">
      <c r="A1028" s="16" t="s">
        <v>92</v>
      </c>
      <c r="B1028">
        <f t="shared" si="19"/>
        <v>2013</v>
      </c>
    </row>
    <row r="1029" spans="1:2" ht="14.4" x14ac:dyDescent="0.3">
      <c r="A1029" s="16" t="s">
        <v>92</v>
      </c>
      <c r="B1029">
        <f t="shared" si="19"/>
        <v>2014</v>
      </c>
    </row>
    <row r="1030" spans="1:2" ht="14.4" x14ac:dyDescent="0.3">
      <c r="A1030" s="16" t="s">
        <v>92</v>
      </c>
      <c r="B1030">
        <f t="shared" si="19"/>
        <v>2015</v>
      </c>
    </row>
    <row r="1031" spans="1:2" ht="14.4" x14ac:dyDescent="0.3">
      <c r="A1031" s="16" t="s">
        <v>92</v>
      </c>
      <c r="B1031">
        <f t="shared" si="19"/>
        <v>2016</v>
      </c>
    </row>
    <row r="1032" spans="1:2" ht="14.4" x14ac:dyDescent="0.3">
      <c r="A1032" s="16" t="s">
        <v>92</v>
      </c>
      <c r="B1032">
        <f t="shared" si="19"/>
        <v>2017</v>
      </c>
    </row>
    <row r="1033" spans="1:2" ht="14.4" x14ac:dyDescent="0.3">
      <c r="A1033" s="16" t="s">
        <v>92</v>
      </c>
      <c r="B1033">
        <f t="shared" si="19"/>
        <v>2018</v>
      </c>
    </row>
    <row r="1034" spans="1:2" ht="14.4" x14ac:dyDescent="0.3">
      <c r="A1034" s="16" t="s">
        <v>92</v>
      </c>
      <c r="B1034">
        <f t="shared" si="19"/>
        <v>2019</v>
      </c>
    </row>
    <row r="1035" spans="1:2" ht="14.4" x14ac:dyDescent="0.3">
      <c r="A1035" s="16" t="s">
        <v>92</v>
      </c>
      <c r="B1035">
        <f t="shared" si="19"/>
        <v>2020</v>
      </c>
    </row>
    <row r="1036" spans="1:2" ht="14.4" x14ac:dyDescent="0.3">
      <c r="A1036" s="16" t="s">
        <v>92</v>
      </c>
      <c r="B1036">
        <f t="shared" si="19"/>
        <v>2021</v>
      </c>
    </row>
    <row r="1037" spans="1:2" ht="14.4" x14ac:dyDescent="0.3">
      <c r="A1037" s="16" t="s">
        <v>93</v>
      </c>
      <c r="B1037">
        <f t="shared" si="19"/>
        <v>2007</v>
      </c>
    </row>
    <row r="1038" spans="1:2" ht="14.4" x14ac:dyDescent="0.3">
      <c r="A1038" s="16" t="s">
        <v>93</v>
      </c>
      <c r="B1038">
        <f t="shared" si="19"/>
        <v>2008</v>
      </c>
    </row>
    <row r="1039" spans="1:2" ht="14.4" x14ac:dyDescent="0.3">
      <c r="A1039" s="16" t="s">
        <v>93</v>
      </c>
      <c r="B1039">
        <f t="shared" si="19"/>
        <v>2009</v>
      </c>
    </row>
    <row r="1040" spans="1:2" ht="14.4" x14ac:dyDescent="0.3">
      <c r="A1040" s="16" t="s">
        <v>93</v>
      </c>
      <c r="B1040">
        <f t="shared" si="19"/>
        <v>2010</v>
      </c>
    </row>
    <row r="1041" spans="1:2" ht="14.4" x14ac:dyDescent="0.3">
      <c r="A1041" s="16" t="s">
        <v>93</v>
      </c>
      <c r="B1041">
        <f t="shared" si="19"/>
        <v>2011</v>
      </c>
    </row>
    <row r="1042" spans="1:2" ht="14.4" x14ac:dyDescent="0.3">
      <c r="A1042" s="16" t="s">
        <v>93</v>
      </c>
      <c r="B1042">
        <f t="shared" si="19"/>
        <v>2012</v>
      </c>
    </row>
    <row r="1043" spans="1:2" ht="14.4" x14ac:dyDescent="0.3">
      <c r="A1043" s="16" t="s">
        <v>93</v>
      </c>
      <c r="B1043">
        <f t="shared" si="19"/>
        <v>2013</v>
      </c>
    </row>
    <row r="1044" spans="1:2" ht="14.4" x14ac:dyDescent="0.3">
      <c r="A1044" s="16" t="s">
        <v>93</v>
      </c>
      <c r="B1044">
        <f t="shared" si="19"/>
        <v>2014</v>
      </c>
    </row>
    <row r="1045" spans="1:2" ht="14.4" x14ac:dyDescent="0.3">
      <c r="A1045" s="16" t="s">
        <v>93</v>
      </c>
      <c r="B1045">
        <f t="shared" si="19"/>
        <v>2015</v>
      </c>
    </row>
    <row r="1046" spans="1:2" ht="14.4" x14ac:dyDescent="0.3">
      <c r="A1046" s="16" t="s">
        <v>93</v>
      </c>
      <c r="B1046">
        <f t="shared" si="19"/>
        <v>2016</v>
      </c>
    </row>
    <row r="1047" spans="1:2" ht="14.4" x14ac:dyDescent="0.3">
      <c r="A1047" s="16" t="s">
        <v>93</v>
      </c>
      <c r="B1047">
        <f t="shared" si="19"/>
        <v>2017</v>
      </c>
    </row>
    <row r="1048" spans="1:2" ht="14.4" x14ac:dyDescent="0.3">
      <c r="A1048" s="16" t="s">
        <v>93</v>
      </c>
      <c r="B1048">
        <f t="shared" si="19"/>
        <v>2018</v>
      </c>
    </row>
    <row r="1049" spans="1:2" ht="14.4" x14ac:dyDescent="0.3">
      <c r="A1049" s="16" t="s">
        <v>93</v>
      </c>
      <c r="B1049">
        <f t="shared" si="19"/>
        <v>2019</v>
      </c>
    </row>
    <row r="1050" spans="1:2" ht="14.4" x14ac:dyDescent="0.3">
      <c r="A1050" s="16" t="s">
        <v>93</v>
      </c>
      <c r="B1050">
        <f t="shared" si="19"/>
        <v>2020</v>
      </c>
    </row>
    <row r="1051" spans="1:2" ht="14.4" x14ac:dyDescent="0.3">
      <c r="A1051" s="16" t="s">
        <v>93</v>
      </c>
      <c r="B1051">
        <f t="shared" si="19"/>
        <v>2021</v>
      </c>
    </row>
    <row r="1052" spans="1:2" ht="14.4" x14ac:dyDescent="0.3">
      <c r="A1052" s="16" t="s">
        <v>94</v>
      </c>
      <c r="B1052">
        <f t="shared" si="19"/>
        <v>2007</v>
      </c>
    </row>
    <row r="1053" spans="1:2" ht="14.4" x14ac:dyDescent="0.3">
      <c r="A1053" s="16" t="s">
        <v>94</v>
      </c>
      <c r="B1053">
        <f t="shared" si="19"/>
        <v>2008</v>
      </c>
    </row>
    <row r="1054" spans="1:2" ht="14.4" x14ac:dyDescent="0.3">
      <c r="A1054" s="16" t="s">
        <v>94</v>
      </c>
      <c r="B1054">
        <f t="shared" si="19"/>
        <v>2009</v>
      </c>
    </row>
    <row r="1055" spans="1:2" ht="14.4" x14ac:dyDescent="0.3">
      <c r="A1055" s="16" t="s">
        <v>94</v>
      </c>
      <c r="B1055">
        <f t="shared" si="19"/>
        <v>2010</v>
      </c>
    </row>
    <row r="1056" spans="1:2" ht="14.4" x14ac:dyDescent="0.3">
      <c r="A1056" s="16" t="s">
        <v>94</v>
      </c>
      <c r="B1056">
        <f t="shared" si="19"/>
        <v>2011</v>
      </c>
    </row>
    <row r="1057" spans="1:2" ht="14.4" x14ac:dyDescent="0.3">
      <c r="A1057" s="16" t="s">
        <v>94</v>
      </c>
      <c r="B1057">
        <f t="shared" ref="B1057:B1120" si="20">IF(A1057=A1056,B1056+1,2007)</f>
        <v>2012</v>
      </c>
    </row>
    <row r="1058" spans="1:2" ht="14.4" x14ac:dyDescent="0.3">
      <c r="A1058" s="16" t="s">
        <v>94</v>
      </c>
      <c r="B1058">
        <f t="shared" si="20"/>
        <v>2013</v>
      </c>
    </row>
    <row r="1059" spans="1:2" ht="14.4" x14ac:dyDescent="0.3">
      <c r="A1059" s="16" t="s">
        <v>94</v>
      </c>
      <c r="B1059">
        <f t="shared" si="20"/>
        <v>2014</v>
      </c>
    </row>
    <row r="1060" spans="1:2" ht="14.4" x14ac:dyDescent="0.3">
      <c r="A1060" s="16" t="s">
        <v>94</v>
      </c>
      <c r="B1060">
        <f t="shared" si="20"/>
        <v>2015</v>
      </c>
    </row>
    <row r="1061" spans="1:2" ht="14.4" x14ac:dyDescent="0.3">
      <c r="A1061" s="16" t="s">
        <v>94</v>
      </c>
      <c r="B1061">
        <f t="shared" si="20"/>
        <v>2016</v>
      </c>
    </row>
    <row r="1062" spans="1:2" ht="14.4" x14ac:dyDescent="0.3">
      <c r="A1062" s="16" t="s">
        <v>94</v>
      </c>
      <c r="B1062">
        <f t="shared" si="20"/>
        <v>2017</v>
      </c>
    </row>
    <row r="1063" spans="1:2" ht="14.4" x14ac:dyDescent="0.3">
      <c r="A1063" s="16" t="s">
        <v>94</v>
      </c>
      <c r="B1063">
        <f t="shared" si="20"/>
        <v>2018</v>
      </c>
    </row>
    <row r="1064" spans="1:2" ht="14.4" x14ac:dyDescent="0.3">
      <c r="A1064" s="16" t="s">
        <v>94</v>
      </c>
      <c r="B1064">
        <f t="shared" si="20"/>
        <v>2019</v>
      </c>
    </row>
    <row r="1065" spans="1:2" ht="14.4" x14ac:dyDescent="0.3">
      <c r="A1065" s="16" t="s">
        <v>94</v>
      </c>
      <c r="B1065">
        <f t="shared" si="20"/>
        <v>2020</v>
      </c>
    </row>
    <row r="1066" spans="1:2" ht="14.4" x14ac:dyDescent="0.3">
      <c r="A1066" s="16" t="s">
        <v>94</v>
      </c>
      <c r="B1066">
        <f t="shared" si="20"/>
        <v>2021</v>
      </c>
    </row>
    <row r="1067" spans="1:2" ht="14.4" x14ac:dyDescent="0.3">
      <c r="A1067" s="16" t="s">
        <v>95</v>
      </c>
      <c r="B1067">
        <f t="shared" si="20"/>
        <v>2007</v>
      </c>
    </row>
    <row r="1068" spans="1:2" ht="14.4" x14ac:dyDescent="0.3">
      <c r="A1068" s="16" t="s">
        <v>95</v>
      </c>
      <c r="B1068">
        <f t="shared" si="20"/>
        <v>2008</v>
      </c>
    </row>
    <row r="1069" spans="1:2" ht="14.4" x14ac:dyDescent="0.3">
      <c r="A1069" s="16" t="s">
        <v>95</v>
      </c>
      <c r="B1069">
        <f t="shared" si="20"/>
        <v>2009</v>
      </c>
    </row>
    <row r="1070" spans="1:2" ht="14.4" x14ac:dyDescent="0.3">
      <c r="A1070" s="16" t="s">
        <v>95</v>
      </c>
      <c r="B1070">
        <f t="shared" si="20"/>
        <v>2010</v>
      </c>
    </row>
    <row r="1071" spans="1:2" ht="14.4" x14ac:dyDescent="0.3">
      <c r="A1071" s="16" t="s">
        <v>95</v>
      </c>
      <c r="B1071">
        <f t="shared" si="20"/>
        <v>2011</v>
      </c>
    </row>
    <row r="1072" spans="1:2" ht="14.4" x14ac:dyDescent="0.3">
      <c r="A1072" s="16" t="s">
        <v>95</v>
      </c>
      <c r="B1072">
        <f t="shared" si="20"/>
        <v>2012</v>
      </c>
    </row>
    <row r="1073" spans="1:2" ht="14.4" x14ac:dyDescent="0.3">
      <c r="A1073" s="16" t="s">
        <v>95</v>
      </c>
      <c r="B1073">
        <f t="shared" si="20"/>
        <v>2013</v>
      </c>
    </row>
    <row r="1074" spans="1:2" ht="14.4" x14ac:dyDescent="0.3">
      <c r="A1074" s="16" t="s">
        <v>95</v>
      </c>
      <c r="B1074">
        <f t="shared" si="20"/>
        <v>2014</v>
      </c>
    </row>
    <row r="1075" spans="1:2" ht="14.4" x14ac:dyDescent="0.3">
      <c r="A1075" s="16" t="s">
        <v>95</v>
      </c>
      <c r="B1075">
        <f t="shared" si="20"/>
        <v>2015</v>
      </c>
    </row>
    <row r="1076" spans="1:2" ht="14.4" x14ac:dyDescent="0.3">
      <c r="A1076" s="16" t="s">
        <v>95</v>
      </c>
      <c r="B1076">
        <f t="shared" si="20"/>
        <v>2016</v>
      </c>
    </row>
    <row r="1077" spans="1:2" ht="14.4" x14ac:dyDescent="0.3">
      <c r="A1077" s="16" t="s">
        <v>95</v>
      </c>
      <c r="B1077">
        <f t="shared" si="20"/>
        <v>2017</v>
      </c>
    </row>
    <row r="1078" spans="1:2" ht="14.4" x14ac:dyDescent="0.3">
      <c r="A1078" s="16" t="s">
        <v>95</v>
      </c>
      <c r="B1078">
        <f t="shared" si="20"/>
        <v>2018</v>
      </c>
    </row>
    <row r="1079" spans="1:2" ht="14.4" x14ac:dyDescent="0.3">
      <c r="A1079" s="16" t="s">
        <v>95</v>
      </c>
      <c r="B1079">
        <f t="shared" si="20"/>
        <v>2019</v>
      </c>
    </row>
    <row r="1080" spans="1:2" ht="14.4" x14ac:dyDescent="0.3">
      <c r="A1080" s="16" t="s">
        <v>95</v>
      </c>
      <c r="B1080">
        <f t="shared" si="20"/>
        <v>2020</v>
      </c>
    </row>
    <row r="1081" spans="1:2" ht="14.4" x14ac:dyDescent="0.3">
      <c r="A1081" s="16" t="s">
        <v>95</v>
      </c>
      <c r="B1081">
        <f t="shared" si="20"/>
        <v>2021</v>
      </c>
    </row>
    <row r="1082" spans="1:2" ht="14.4" x14ac:dyDescent="0.3">
      <c r="A1082" s="16" t="s">
        <v>98</v>
      </c>
      <c r="B1082">
        <f t="shared" si="20"/>
        <v>2007</v>
      </c>
    </row>
    <row r="1083" spans="1:2" ht="14.4" x14ac:dyDescent="0.3">
      <c r="A1083" s="16" t="s">
        <v>98</v>
      </c>
      <c r="B1083">
        <f t="shared" si="20"/>
        <v>2008</v>
      </c>
    </row>
    <row r="1084" spans="1:2" ht="14.4" x14ac:dyDescent="0.3">
      <c r="A1084" s="16" t="s">
        <v>98</v>
      </c>
      <c r="B1084">
        <f t="shared" si="20"/>
        <v>2009</v>
      </c>
    </row>
    <row r="1085" spans="1:2" ht="14.4" x14ac:dyDescent="0.3">
      <c r="A1085" s="16" t="s">
        <v>98</v>
      </c>
      <c r="B1085">
        <f t="shared" si="20"/>
        <v>2010</v>
      </c>
    </row>
    <row r="1086" spans="1:2" ht="14.4" x14ac:dyDescent="0.3">
      <c r="A1086" s="16" t="s">
        <v>98</v>
      </c>
      <c r="B1086">
        <f t="shared" si="20"/>
        <v>2011</v>
      </c>
    </row>
    <row r="1087" spans="1:2" ht="14.4" x14ac:dyDescent="0.3">
      <c r="A1087" s="16" t="s">
        <v>98</v>
      </c>
      <c r="B1087">
        <f t="shared" si="20"/>
        <v>2012</v>
      </c>
    </row>
    <row r="1088" spans="1:2" ht="14.4" x14ac:dyDescent="0.3">
      <c r="A1088" s="16" t="s">
        <v>98</v>
      </c>
      <c r="B1088">
        <f t="shared" si="20"/>
        <v>2013</v>
      </c>
    </row>
    <row r="1089" spans="1:2" ht="14.4" x14ac:dyDescent="0.3">
      <c r="A1089" s="16" t="s">
        <v>98</v>
      </c>
      <c r="B1089">
        <f t="shared" si="20"/>
        <v>2014</v>
      </c>
    </row>
    <row r="1090" spans="1:2" ht="14.4" x14ac:dyDescent="0.3">
      <c r="A1090" s="16" t="s">
        <v>98</v>
      </c>
      <c r="B1090">
        <f t="shared" si="20"/>
        <v>2015</v>
      </c>
    </row>
    <row r="1091" spans="1:2" ht="14.4" x14ac:dyDescent="0.3">
      <c r="A1091" s="16" t="s">
        <v>98</v>
      </c>
      <c r="B1091">
        <f t="shared" si="20"/>
        <v>2016</v>
      </c>
    </row>
    <row r="1092" spans="1:2" ht="14.4" x14ac:dyDescent="0.3">
      <c r="A1092" s="16" t="s">
        <v>98</v>
      </c>
      <c r="B1092">
        <f t="shared" si="20"/>
        <v>2017</v>
      </c>
    </row>
    <row r="1093" spans="1:2" ht="14.4" x14ac:dyDescent="0.3">
      <c r="A1093" s="16" t="s">
        <v>98</v>
      </c>
      <c r="B1093">
        <f t="shared" si="20"/>
        <v>2018</v>
      </c>
    </row>
    <row r="1094" spans="1:2" ht="14.4" x14ac:dyDescent="0.3">
      <c r="A1094" s="16" t="s">
        <v>98</v>
      </c>
      <c r="B1094">
        <f t="shared" si="20"/>
        <v>2019</v>
      </c>
    </row>
    <row r="1095" spans="1:2" ht="14.4" x14ac:dyDescent="0.3">
      <c r="A1095" s="16" t="s">
        <v>98</v>
      </c>
      <c r="B1095">
        <f t="shared" si="20"/>
        <v>2020</v>
      </c>
    </row>
    <row r="1096" spans="1:2" ht="14.4" x14ac:dyDescent="0.3">
      <c r="A1096" s="16" t="s">
        <v>98</v>
      </c>
      <c r="B1096">
        <f t="shared" si="20"/>
        <v>2021</v>
      </c>
    </row>
    <row r="1097" spans="1:2" ht="14.4" x14ac:dyDescent="0.3">
      <c r="A1097" s="16" t="s">
        <v>99</v>
      </c>
      <c r="B1097">
        <f t="shared" si="20"/>
        <v>2007</v>
      </c>
    </row>
    <row r="1098" spans="1:2" ht="14.4" x14ac:dyDescent="0.3">
      <c r="A1098" s="16" t="s">
        <v>99</v>
      </c>
      <c r="B1098">
        <f t="shared" si="20"/>
        <v>2008</v>
      </c>
    </row>
    <row r="1099" spans="1:2" ht="14.4" x14ac:dyDescent="0.3">
      <c r="A1099" s="16" t="s">
        <v>99</v>
      </c>
      <c r="B1099">
        <f t="shared" si="20"/>
        <v>2009</v>
      </c>
    </row>
    <row r="1100" spans="1:2" ht="14.4" x14ac:dyDescent="0.3">
      <c r="A1100" s="16" t="s">
        <v>99</v>
      </c>
      <c r="B1100">
        <f t="shared" si="20"/>
        <v>2010</v>
      </c>
    </row>
    <row r="1101" spans="1:2" ht="14.4" x14ac:dyDescent="0.3">
      <c r="A1101" s="16" t="s">
        <v>99</v>
      </c>
      <c r="B1101">
        <f t="shared" si="20"/>
        <v>2011</v>
      </c>
    </row>
    <row r="1102" spans="1:2" ht="14.4" x14ac:dyDescent="0.3">
      <c r="A1102" s="16" t="s">
        <v>99</v>
      </c>
      <c r="B1102">
        <f t="shared" si="20"/>
        <v>2012</v>
      </c>
    </row>
    <row r="1103" spans="1:2" ht="14.4" x14ac:dyDescent="0.3">
      <c r="A1103" s="16" t="s">
        <v>99</v>
      </c>
      <c r="B1103">
        <f t="shared" si="20"/>
        <v>2013</v>
      </c>
    </row>
    <row r="1104" spans="1:2" ht="14.4" x14ac:dyDescent="0.3">
      <c r="A1104" s="16" t="s">
        <v>99</v>
      </c>
      <c r="B1104">
        <f t="shared" si="20"/>
        <v>2014</v>
      </c>
    </row>
    <row r="1105" spans="1:2" ht="14.4" x14ac:dyDescent="0.3">
      <c r="A1105" s="16" t="s">
        <v>99</v>
      </c>
      <c r="B1105">
        <f t="shared" si="20"/>
        <v>2015</v>
      </c>
    </row>
    <row r="1106" spans="1:2" ht="14.4" x14ac:dyDescent="0.3">
      <c r="A1106" s="16" t="s">
        <v>99</v>
      </c>
      <c r="B1106">
        <f t="shared" si="20"/>
        <v>2016</v>
      </c>
    </row>
    <row r="1107" spans="1:2" ht="14.4" x14ac:dyDescent="0.3">
      <c r="A1107" s="16" t="s">
        <v>99</v>
      </c>
      <c r="B1107">
        <f t="shared" si="20"/>
        <v>2017</v>
      </c>
    </row>
    <row r="1108" spans="1:2" ht="14.4" x14ac:dyDescent="0.3">
      <c r="A1108" s="16" t="s">
        <v>99</v>
      </c>
      <c r="B1108">
        <f t="shared" si="20"/>
        <v>2018</v>
      </c>
    </row>
    <row r="1109" spans="1:2" ht="14.4" x14ac:dyDescent="0.3">
      <c r="A1109" s="16" t="s">
        <v>99</v>
      </c>
      <c r="B1109">
        <f t="shared" si="20"/>
        <v>2019</v>
      </c>
    </row>
    <row r="1110" spans="1:2" ht="14.4" x14ac:dyDescent="0.3">
      <c r="A1110" s="16" t="s">
        <v>99</v>
      </c>
      <c r="B1110">
        <f t="shared" si="20"/>
        <v>2020</v>
      </c>
    </row>
    <row r="1111" spans="1:2" ht="14.4" x14ac:dyDescent="0.3">
      <c r="A1111" s="16" t="s">
        <v>99</v>
      </c>
      <c r="B1111">
        <f t="shared" si="20"/>
        <v>2021</v>
      </c>
    </row>
    <row r="1112" spans="1:2" ht="14.4" x14ac:dyDescent="0.3">
      <c r="A1112" s="16" t="s">
        <v>102</v>
      </c>
      <c r="B1112">
        <f t="shared" si="20"/>
        <v>2007</v>
      </c>
    </row>
    <row r="1113" spans="1:2" ht="14.4" x14ac:dyDescent="0.3">
      <c r="A1113" s="16" t="s">
        <v>102</v>
      </c>
      <c r="B1113">
        <f t="shared" si="20"/>
        <v>2008</v>
      </c>
    </row>
    <row r="1114" spans="1:2" ht="14.4" x14ac:dyDescent="0.3">
      <c r="A1114" s="16" t="s">
        <v>102</v>
      </c>
      <c r="B1114">
        <f t="shared" si="20"/>
        <v>2009</v>
      </c>
    </row>
    <row r="1115" spans="1:2" ht="14.4" x14ac:dyDescent="0.3">
      <c r="A1115" s="16" t="s">
        <v>102</v>
      </c>
      <c r="B1115">
        <f t="shared" si="20"/>
        <v>2010</v>
      </c>
    </row>
    <row r="1116" spans="1:2" ht="14.4" x14ac:dyDescent="0.3">
      <c r="A1116" s="16" t="s">
        <v>102</v>
      </c>
      <c r="B1116">
        <f t="shared" si="20"/>
        <v>2011</v>
      </c>
    </row>
    <row r="1117" spans="1:2" ht="14.4" x14ac:dyDescent="0.3">
      <c r="A1117" s="16" t="s">
        <v>102</v>
      </c>
      <c r="B1117">
        <f t="shared" si="20"/>
        <v>2012</v>
      </c>
    </row>
    <row r="1118" spans="1:2" ht="14.4" x14ac:dyDescent="0.3">
      <c r="A1118" s="16" t="s">
        <v>102</v>
      </c>
      <c r="B1118">
        <f t="shared" si="20"/>
        <v>2013</v>
      </c>
    </row>
    <row r="1119" spans="1:2" ht="14.4" x14ac:dyDescent="0.3">
      <c r="A1119" s="16" t="s">
        <v>102</v>
      </c>
      <c r="B1119">
        <f t="shared" si="20"/>
        <v>2014</v>
      </c>
    </row>
    <row r="1120" spans="1:2" ht="14.4" x14ac:dyDescent="0.3">
      <c r="A1120" s="16" t="s">
        <v>102</v>
      </c>
      <c r="B1120">
        <f t="shared" si="20"/>
        <v>2015</v>
      </c>
    </row>
    <row r="1121" spans="1:2" ht="14.4" x14ac:dyDescent="0.3">
      <c r="A1121" s="16" t="s">
        <v>102</v>
      </c>
      <c r="B1121">
        <f t="shared" ref="B1121:B1184" si="21">IF(A1121=A1120,B1120+1,2007)</f>
        <v>2016</v>
      </c>
    </row>
    <row r="1122" spans="1:2" ht="14.4" x14ac:dyDescent="0.3">
      <c r="A1122" s="16" t="s">
        <v>102</v>
      </c>
      <c r="B1122">
        <f t="shared" si="21"/>
        <v>2017</v>
      </c>
    </row>
    <row r="1123" spans="1:2" ht="14.4" x14ac:dyDescent="0.3">
      <c r="A1123" s="16" t="s">
        <v>102</v>
      </c>
      <c r="B1123">
        <f t="shared" si="21"/>
        <v>2018</v>
      </c>
    </row>
    <row r="1124" spans="1:2" ht="14.4" x14ac:dyDescent="0.3">
      <c r="A1124" s="16" t="s">
        <v>102</v>
      </c>
      <c r="B1124">
        <f t="shared" si="21"/>
        <v>2019</v>
      </c>
    </row>
    <row r="1125" spans="1:2" ht="14.4" x14ac:dyDescent="0.3">
      <c r="A1125" s="16" t="s">
        <v>102</v>
      </c>
      <c r="B1125">
        <f t="shared" si="21"/>
        <v>2020</v>
      </c>
    </row>
    <row r="1126" spans="1:2" ht="14.4" x14ac:dyDescent="0.3">
      <c r="A1126" s="16" t="s">
        <v>102</v>
      </c>
      <c r="B1126">
        <f t="shared" si="21"/>
        <v>2021</v>
      </c>
    </row>
    <row r="1127" spans="1:2" ht="14.4" x14ac:dyDescent="0.3">
      <c r="A1127" s="16" t="s">
        <v>440</v>
      </c>
      <c r="B1127">
        <f t="shared" si="21"/>
        <v>2007</v>
      </c>
    </row>
    <row r="1128" spans="1:2" ht="14.4" x14ac:dyDescent="0.3">
      <c r="A1128" s="16" t="s">
        <v>440</v>
      </c>
      <c r="B1128">
        <f t="shared" si="21"/>
        <v>2008</v>
      </c>
    </row>
    <row r="1129" spans="1:2" ht="14.4" x14ac:dyDescent="0.3">
      <c r="A1129" s="16" t="s">
        <v>440</v>
      </c>
      <c r="B1129">
        <f t="shared" si="21"/>
        <v>2009</v>
      </c>
    </row>
    <row r="1130" spans="1:2" ht="14.4" x14ac:dyDescent="0.3">
      <c r="A1130" s="16" t="s">
        <v>440</v>
      </c>
      <c r="B1130">
        <f t="shared" si="21"/>
        <v>2010</v>
      </c>
    </row>
    <row r="1131" spans="1:2" ht="14.4" x14ac:dyDescent="0.3">
      <c r="A1131" s="16" t="s">
        <v>440</v>
      </c>
      <c r="B1131">
        <f t="shared" si="21"/>
        <v>2011</v>
      </c>
    </row>
    <row r="1132" spans="1:2" ht="14.4" x14ac:dyDescent="0.3">
      <c r="A1132" s="16" t="s">
        <v>440</v>
      </c>
      <c r="B1132">
        <f t="shared" si="21"/>
        <v>2012</v>
      </c>
    </row>
    <row r="1133" spans="1:2" ht="14.4" x14ac:dyDescent="0.3">
      <c r="A1133" s="16" t="s">
        <v>440</v>
      </c>
      <c r="B1133">
        <f t="shared" si="21"/>
        <v>2013</v>
      </c>
    </row>
    <row r="1134" spans="1:2" ht="14.4" x14ac:dyDescent="0.3">
      <c r="A1134" s="16" t="s">
        <v>440</v>
      </c>
      <c r="B1134">
        <f t="shared" si="21"/>
        <v>2014</v>
      </c>
    </row>
    <row r="1135" spans="1:2" ht="14.4" x14ac:dyDescent="0.3">
      <c r="A1135" s="16" t="s">
        <v>440</v>
      </c>
      <c r="B1135">
        <f t="shared" si="21"/>
        <v>2015</v>
      </c>
    </row>
    <row r="1136" spans="1:2" ht="14.4" x14ac:dyDescent="0.3">
      <c r="A1136" s="16" t="s">
        <v>440</v>
      </c>
      <c r="B1136">
        <f t="shared" si="21"/>
        <v>2016</v>
      </c>
    </row>
    <row r="1137" spans="1:2" ht="14.4" x14ac:dyDescent="0.3">
      <c r="A1137" s="16" t="s">
        <v>440</v>
      </c>
      <c r="B1137">
        <f t="shared" si="21"/>
        <v>2017</v>
      </c>
    </row>
    <row r="1138" spans="1:2" ht="14.4" x14ac:dyDescent="0.3">
      <c r="A1138" s="16" t="s">
        <v>440</v>
      </c>
      <c r="B1138">
        <f t="shared" si="21"/>
        <v>2018</v>
      </c>
    </row>
    <row r="1139" spans="1:2" ht="14.4" x14ac:dyDescent="0.3">
      <c r="A1139" s="16" t="s">
        <v>440</v>
      </c>
      <c r="B1139">
        <f t="shared" si="21"/>
        <v>2019</v>
      </c>
    </row>
    <row r="1140" spans="1:2" ht="14.4" x14ac:dyDescent="0.3">
      <c r="A1140" s="16" t="s">
        <v>440</v>
      </c>
      <c r="B1140">
        <f t="shared" si="21"/>
        <v>2020</v>
      </c>
    </row>
    <row r="1141" spans="1:2" ht="14.4" x14ac:dyDescent="0.3">
      <c r="A1141" s="16" t="s">
        <v>440</v>
      </c>
      <c r="B1141">
        <f t="shared" si="21"/>
        <v>2021</v>
      </c>
    </row>
    <row r="1142" spans="1:2" ht="14.4" x14ac:dyDescent="0.3">
      <c r="A1142" s="16" t="s">
        <v>104</v>
      </c>
      <c r="B1142">
        <f t="shared" si="21"/>
        <v>2007</v>
      </c>
    </row>
    <row r="1143" spans="1:2" ht="14.4" x14ac:dyDescent="0.3">
      <c r="A1143" s="16" t="s">
        <v>104</v>
      </c>
      <c r="B1143">
        <f t="shared" si="21"/>
        <v>2008</v>
      </c>
    </row>
    <row r="1144" spans="1:2" ht="14.4" x14ac:dyDescent="0.3">
      <c r="A1144" s="16" t="s">
        <v>104</v>
      </c>
      <c r="B1144">
        <f t="shared" si="21"/>
        <v>2009</v>
      </c>
    </row>
    <row r="1145" spans="1:2" ht="14.4" x14ac:dyDescent="0.3">
      <c r="A1145" s="16" t="s">
        <v>104</v>
      </c>
      <c r="B1145">
        <f t="shared" si="21"/>
        <v>2010</v>
      </c>
    </row>
    <row r="1146" spans="1:2" ht="14.4" x14ac:dyDescent="0.3">
      <c r="A1146" s="16" t="s">
        <v>104</v>
      </c>
      <c r="B1146">
        <f t="shared" si="21"/>
        <v>2011</v>
      </c>
    </row>
    <row r="1147" spans="1:2" ht="14.4" x14ac:dyDescent="0.3">
      <c r="A1147" s="16" t="s">
        <v>104</v>
      </c>
      <c r="B1147">
        <f t="shared" si="21"/>
        <v>2012</v>
      </c>
    </row>
    <row r="1148" spans="1:2" ht="14.4" x14ac:dyDescent="0.3">
      <c r="A1148" s="16" t="s">
        <v>104</v>
      </c>
      <c r="B1148">
        <f t="shared" si="21"/>
        <v>2013</v>
      </c>
    </row>
    <row r="1149" spans="1:2" ht="14.4" x14ac:dyDescent="0.3">
      <c r="A1149" s="16" t="s">
        <v>104</v>
      </c>
      <c r="B1149">
        <f t="shared" si="21"/>
        <v>2014</v>
      </c>
    </row>
    <row r="1150" spans="1:2" ht="14.4" x14ac:dyDescent="0.3">
      <c r="A1150" s="16" t="s">
        <v>104</v>
      </c>
      <c r="B1150">
        <f t="shared" si="21"/>
        <v>2015</v>
      </c>
    </row>
    <row r="1151" spans="1:2" ht="14.4" x14ac:dyDescent="0.3">
      <c r="A1151" s="16" t="s">
        <v>104</v>
      </c>
      <c r="B1151">
        <f t="shared" si="21"/>
        <v>2016</v>
      </c>
    </row>
    <row r="1152" spans="1:2" ht="14.4" x14ac:dyDescent="0.3">
      <c r="A1152" s="16" t="s">
        <v>104</v>
      </c>
      <c r="B1152">
        <f t="shared" si="21"/>
        <v>2017</v>
      </c>
    </row>
    <row r="1153" spans="1:2" ht="14.4" x14ac:dyDescent="0.3">
      <c r="A1153" s="16" t="s">
        <v>104</v>
      </c>
      <c r="B1153">
        <f t="shared" si="21"/>
        <v>2018</v>
      </c>
    </row>
    <row r="1154" spans="1:2" ht="14.4" x14ac:dyDescent="0.3">
      <c r="A1154" s="16" t="s">
        <v>104</v>
      </c>
      <c r="B1154">
        <f t="shared" si="21"/>
        <v>2019</v>
      </c>
    </row>
    <row r="1155" spans="1:2" ht="14.4" x14ac:dyDescent="0.3">
      <c r="A1155" s="16" t="s">
        <v>104</v>
      </c>
      <c r="B1155">
        <f t="shared" si="21"/>
        <v>2020</v>
      </c>
    </row>
    <row r="1156" spans="1:2" ht="14.4" x14ac:dyDescent="0.3">
      <c r="A1156" s="16" t="s">
        <v>104</v>
      </c>
      <c r="B1156">
        <f t="shared" si="21"/>
        <v>2021</v>
      </c>
    </row>
    <row r="1157" spans="1:2" ht="14.4" x14ac:dyDescent="0.3">
      <c r="A1157" s="16" t="s">
        <v>105</v>
      </c>
      <c r="B1157">
        <f t="shared" si="21"/>
        <v>2007</v>
      </c>
    </row>
    <row r="1158" spans="1:2" ht="14.4" x14ac:dyDescent="0.3">
      <c r="A1158" s="16" t="s">
        <v>105</v>
      </c>
      <c r="B1158">
        <f t="shared" si="21"/>
        <v>2008</v>
      </c>
    </row>
    <row r="1159" spans="1:2" ht="14.4" x14ac:dyDescent="0.3">
      <c r="A1159" s="16" t="s">
        <v>105</v>
      </c>
      <c r="B1159">
        <f t="shared" si="21"/>
        <v>2009</v>
      </c>
    </row>
    <row r="1160" spans="1:2" ht="14.4" x14ac:dyDescent="0.3">
      <c r="A1160" s="16" t="s">
        <v>105</v>
      </c>
      <c r="B1160">
        <f t="shared" si="21"/>
        <v>2010</v>
      </c>
    </row>
    <row r="1161" spans="1:2" ht="14.4" x14ac:dyDescent="0.3">
      <c r="A1161" s="16" t="s">
        <v>105</v>
      </c>
      <c r="B1161">
        <f t="shared" si="21"/>
        <v>2011</v>
      </c>
    </row>
    <row r="1162" spans="1:2" ht="14.4" x14ac:dyDescent="0.3">
      <c r="A1162" s="16" t="s">
        <v>105</v>
      </c>
      <c r="B1162">
        <f t="shared" si="21"/>
        <v>2012</v>
      </c>
    </row>
    <row r="1163" spans="1:2" ht="14.4" x14ac:dyDescent="0.3">
      <c r="A1163" s="16" t="s">
        <v>105</v>
      </c>
      <c r="B1163">
        <f t="shared" si="21"/>
        <v>2013</v>
      </c>
    </row>
    <row r="1164" spans="1:2" ht="14.4" x14ac:dyDescent="0.3">
      <c r="A1164" s="16" t="s">
        <v>105</v>
      </c>
      <c r="B1164">
        <f t="shared" si="21"/>
        <v>2014</v>
      </c>
    </row>
    <row r="1165" spans="1:2" ht="14.4" x14ac:dyDescent="0.3">
      <c r="A1165" s="16" t="s">
        <v>105</v>
      </c>
      <c r="B1165">
        <f t="shared" si="21"/>
        <v>2015</v>
      </c>
    </row>
    <row r="1166" spans="1:2" ht="14.4" x14ac:dyDescent="0.3">
      <c r="A1166" s="16" t="s">
        <v>105</v>
      </c>
      <c r="B1166">
        <f t="shared" si="21"/>
        <v>2016</v>
      </c>
    </row>
    <row r="1167" spans="1:2" ht="14.4" x14ac:dyDescent="0.3">
      <c r="A1167" s="16" t="s">
        <v>105</v>
      </c>
      <c r="B1167">
        <f t="shared" si="21"/>
        <v>2017</v>
      </c>
    </row>
    <row r="1168" spans="1:2" ht="14.4" x14ac:dyDescent="0.3">
      <c r="A1168" s="16" t="s">
        <v>105</v>
      </c>
      <c r="B1168">
        <f t="shared" si="21"/>
        <v>2018</v>
      </c>
    </row>
    <row r="1169" spans="1:2" ht="14.4" x14ac:dyDescent="0.3">
      <c r="A1169" s="16" t="s">
        <v>105</v>
      </c>
      <c r="B1169">
        <f t="shared" si="21"/>
        <v>2019</v>
      </c>
    </row>
    <row r="1170" spans="1:2" ht="14.4" x14ac:dyDescent="0.3">
      <c r="A1170" s="16" t="s">
        <v>105</v>
      </c>
      <c r="B1170">
        <f t="shared" si="21"/>
        <v>2020</v>
      </c>
    </row>
    <row r="1171" spans="1:2" ht="14.4" x14ac:dyDescent="0.3">
      <c r="A1171" s="16" t="s">
        <v>105</v>
      </c>
      <c r="B1171">
        <f t="shared" si="21"/>
        <v>2021</v>
      </c>
    </row>
    <row r="1172" spans="1:2" ht="14.4" x14ac:dyDescent="0.3">
      <c r="A1172" s="16" t="s">
        <v>106</v>
      </c>
      <c r="B1172">
        <f t="shared" si="21"/>
        <v>2007</v>
      </c>
    </row>
    <row r="1173" spans="1:2" ht="14.4" x14ac:dyDescent="0.3">
      <c r="A1173" s="16" t="s">
        <v>106</v>
      </c>
      <c r="B1173">
        <f t="shared" si="21"/>
        <v>2008</v>
      </c>
    </row>
    <row r="1174" spans="1:2" ht="14.4" x14ac:dyDescent="0.3">
      <c r="A1174" s="16" t="s">
        <v>106</v>
      </c>
      <c r="B1174">
        <f t="shared" si="21"/>
        <v>2009</v>
      </c>
    </row>
    <row r="1175" spans="1:2" ht="14.4" x14ac:dyDescent="0.3">
      <c r="A1175" s="16" t="s">
        <v>106</v>
      </c>
      <c r="B1175">
        <f t="shared" si="21"/>
        <v>2010</v>
      </c>
    </row>
    <row r="1176" spans="1:2" ht="14.4" x14ac:dyDescent="0.3">
      <c r="A1176" s="16" t="s">
        <v>106</v>
      </c>
      <c r="B1176">
        <f t="shared" si="21"/>
        <v>2011</v>
      </c>
    </row>
    <row r="1177" spans="1:2" ht="14.4" x14ac:dyDescent="0.3">
      <c r="A1177" s="16" t="s">
        <v>106</v>
      </c>
      <c r="B1177">
        <f t="shared" si="21"/>
        <v>2012</v>
      </c>
    </row>
    <row r="1178" spans="1:2" ht="14.4" x14ac:dyDescent="0.3">
      <c r="A1178" s="16" t="s">
        <v>106</v>
      </c>
      <c r="B1178">
        <f t="shared" si="21"/>
        <v>2013</v>
      </c>
    </row>
    <row r="1179" spans="1:2" ht="14.4" x14ac:dyDescent="0.3">
      <c r="A1179" s="16" t="s">
        <v>106</v>
      </c>
      <c r="B1179">
        <f t="shared" si="21"/>
        <v>2014</v>
      </c>
    </row>
    <row r="1180" spans="1:2" ht="14.4" x14ac:dyDescent="0.3">
      <c r="A1180" s="16" t="s">
        <v>106</v>
      </c>
      <c r="B1180">
        <f t="shared" si="21"/>
        <v>2015</v>
      </c>
    </row>
    <row r="1181" spans="1:2" ht="14.4" x14ac:dyDescent="0.3">
      <c r="A1181" s="16" t="s">
        <v>106</v>
      </c>
      <c r="B1181">
        <f t="shared" si="21"/>
        <v>2016</v>
      </c>
    </row>
    <row r="1182" spans="1:2" ht="14.4" x14ac:dyDescent="0.3">
      <c r="A1182" s="16" t="s">
        <v>106</v>
      </c>
      <c r="B1182">
        <f t="shared" si="21"/>
        <v>2017</v>
      </c>
    </row>
    <row r="1183" spans="1:2" ht="14.4" x14ac:dyDescent="0.3">
      <c r="A1183" s="16" t="s">
        <v>106</v>
      </c>
      <c r="B1183">
        <f t="shared" si="21"/>
        <v>2018</v>
      </c>
    </row>
    <row r="1184" spans="1:2" ht="14.4" x14ac:dyDescent="0.3">
      <c r="A1184" s="16" t="s">
        <v>106</v>
      </c>
      <c r="B1184">
        <f t="shared" si="21"/>
        <v>2019</v>
      </c>
    </row>
    <row r="1185" spans="1:2" ht="14.4" x14ac:dyDescent="0.3">
      <c r="A1185" s="16" t="s">
        <v>106</v>
      </c>
      <c r="B1185">
        <f t="shared" ref="B1185:B1248" si="22">IF(A1185=A1184,B1184+1,2007)</f>
        <v>2020</v>
      </c>
    </row>
    <row r="1186" spans="1:2" ht="14.4" x14ac:dyDescent="0.3">
      <c r="A1186" s="16" t="s">
        <v>106</v>
      </c>
      <c r="B1186">
        <f t="shared" si="22"/>
        <v>2021</v>
      </c>
    </row>
    <row r="1187" spans="1:2" ht="14.4" x14ac:dyDescent="0.3">
      <c r="A1187" s="16" t="s">
        <v>151</v>
      </c>
      <c r="B1187">
        <f t="shared" si="22"/>
        <v>2007</v>
      </c>
    </row>
    <row r="1188" spans="1:2" ht="14.4" x14ac:dyDescent="0.3">
      <c r="A1188" s="16" t="s">
        <v>151</v>
      </c>
      <c r="B1188">
        <f t="shared" si="22"/>
        <v>2008</v>
      </c>
    </row>
    <row r="1189" spans="1:2" ht="14.4" x14ac:dyDescent="0.3">
      <c r="A1189" s="16" t="s">
        <v>151</v>
      </c>
      <c r="B1189">
        <f t="shared" si="22"/>
        <v>2009</v>
      </c>
    </row>
    <row r="1190" spans="1:2" ht="14.4" x14ac:dyDescent="0.3">
      <c r="A1190" s="16" t="s">
        <v>151</v>
      </c>
      <c r="B1190">
        <f t="shared" si="22"/>
        <v>2010</v>
      </c>
    </row>
    <row r="1191" spans="1:2" ht="14.4" x14ac:dyDescent="0.3">
      <c r="A1191" s="16" t="s">
        <v>151</v>
      </c>
      <c r="B1191">
        <f t="shared" si="22"/>
        <v>2011</v>
      </c>
    </row>
    <row r="1192" spans="1:2" ht="14.4" x14ac:dyDescent="0.3">
      <c r="A1192" s="16" t="s">
        <v>151</v>
      </c>
      <c r="B1192">
        <f t="shared" si="22"/>
        <v>2012</v>
      </c>
    </row>
    <row r="1193" spans="1:2" ht="14.4" x14ac:dyDescent="0.3">
      <c r="A1193" s="16" t="s">
        <v>151</v>
      </c>
      <c r="B1193">
        <f t="shared" si="22"/>
        <v>2013</v>
      </c>
    </row>
    <row r="1194" spans="1:2" ht="14.4" x14ac:dyDescent="0.3">
      <c r="A1194" s="16" t="s">
        <v>151</v>
      </c>
      <c r="B1194">
        <f t="shared" si="22"/>
        <v>2014</v>
      </c>
    </row>
    <row r="1195" spans="1:2" ht="14.4" x14ac:dyDescent="0.3">
      <c r="A1195" s="16" t="s">
        <v>151</v>
      </c>
      <c r="B1195">
        <f t="shared" si="22"/>
        <v>2015</v>
      </c>
    </row>
    <row r="1196" spans="1:2" ht="14.4" x14ac:dyDescent="0.3">
      <c r="A1196" s="16" t="s">
        <v>151</v>
      </c>
      <c r="B1196">
        <f t="shared" si="22"/>
        <v>2016</v>
      </c>
    </row>
    <row r="1197" spans="1:2" ht="14.4" x14ac:dyDescent="0.3">
      <c r="A1197" s="16" t="s">
        <v>151</v>
      </c>
      <c r="B1197">
        <f t="shared" si="22"/>
        <v>2017</v>
      </c>
    </row>
    <row r="1198" spans="1:2" ht="14.4" x14ac:dyDescent="0.3">
      <c r="A1198" s="16" t="s">
        <v>151</v>
      </c>
      <c r="B1198">
        <f t="shared" si="22"/>
        <v>2018</v>
      </c>
    </row>
    <row r="1199" spans="1:2" ht="14.4" x14ac:dyDescent="0.3">
      <c r="A1199" s="16" t="s">
        <v>151</v>
      </c>
      <c r="B1199">
        <f t="shared" si="22"/>
        <v>2019</v>
      </c>
    </row>
    <row r="1200" spans="1:2" ht="14.4" x14ac:dyDescent="0.3">
      <c r="A1200" s="16" t="s">
        <v>151</v>
      </c>
      <c r="B1200">
        <f t="shared" si="22"/>
        <v>2020</v>
      </c>
    </row>
    <row r="1201" spans="1:2" ht="14.4" x14ac:dyDescent="0.3">
      <c r="A1201" s="16" t="s">
        <v>151</v>
      </c>
      <c r="B1201">
        <f t="shared" si="22"/>
        <v>2021</v>
      </c>
    </row>
    <row r="1202" spans="1:2" ht="14.4" x14ac:dyDescent="0.3">
      <c r="A1202" s="16" t="s">
        <v>180</v>
      </c>
      <c r="B1202">
        <f t="shared" si="22"/>
        <v>2007</v>
      </c>
    </row>
    <row r="1203" spans="1:2" ht="14.4" x14ac:dyDescent="0.3">
      <c r="A1203" s="16" t="s">
        <v>180</v>
      </c>
      <c r="B1203">
        <f t="shared" si="22"/>
        <v>2008</v>
      </c>
    </row>
    <row r="1204" spans="1:2" ht="14.4" x14ac:dyDescent="0.3">
      <c r="A1204" s="16" t="s">
        <v>180</v>
      </c>
      <c r="B1204">
        <f t="shared" si="22"/>
        <v>2009</v>
      </c>
    </row>
    <row r="1205" spans="1:2" ht="14.4" x14ac:dyDescent="0.3">
      <c r="A1205" s="16" t="s">
        <v>180</v>
      </c>
      <c r="B1205">
        <f t="shared" si="22"/>
        <v>2010</v>
      </c>
    </row>
    <row r="1206" spans="1:2" ht="14.4" x14ac:dyDescent="0.3">
      <c r="A1206" s="16" t="s">
        <v>180</v>
      </c>
      <c r="B1206">
        <f t="shared" si="22"/>
        <v>2011</v>
      </c>
    </row>
    <row r="1207" spans="1:2" ht="14.4" x14ac:dyDescent="0.3">
      <c r="A1207" s="16" t="s">
        <v>180</v>
      </c>
      <c r="B1207">
        <f t="shared" si="22"/>
        <v>2012</v>
      </c>
    </row>
    <row r="1208" spans="1:2" ht="14.4" x14ac:dyDescent="0.3">
      <c r="A1208" s="16" t="s">
        <v>180</v>
      </c>
      <c r="B1208">
        <f t="shared" si="22"/>
        <v>2013</v>
      </c>
    </row>
    <row r="1209" spans="1:2" ht="14.4" x14ac:dyDescent="0.3">
      <c r="A1209" s="16" t="s">
        <v>180</v>
      </c>
      <c r="B1209">
        <f t="shared" si="22"/>
        <v>2014</v>
      </c>
    </row>
    <row r="1210" spans="1:2" ht="14.4" x14ac:dyDescent="0.3">
      <c r="A1210" s="16" t="s">
        <v>180</v>
      </c>
      <c r="B1210">
        <f t="shared" si="22"/>
        <v>2015</v>
      </c>
    </row>
    <row r="1211" spans="1:2" ht="14.4" x14ac:dyDescent="0.3">
      <c r="A1211" s="16" t="s">
        <v>180</v>
      </c>
      <c r="B1211">
        <f t="shared" si="22"/>
        <v>2016</v>
      </c>
    </row>
    <row r="1212" spans="1:2" ht="14.4" x14ac:dyDescent="0.3">
      <c r="A1212" s="16" t="s">
        <v>180</v>
      </c>
      <c r="B1212">
        <f t="shared" si="22"/>
        <v>2017</v>
      </c>
    </row>
    <row r="1213" spans="1:2" ht="14.4" x14ac:dyDescent="0.3">
      <c r="A1213" s="16" t="s">
        <v>180</v>
      </c>
      <c r="B1213">
        <f t="shared" si="22"/>
        <v>2018</v>
      </c>
    </row>
    <row r="1214" spans="1:2" ht="14.4" x14ac:dyDescent="0.3">
      <c r="A1214" s="16" t="s">
        <v>180</v>
      </c>
      <c r="B1214">
        <f t="shared" si="22"/>
        <v>2019</v>
      </c>
    </row>
    <row r="1215" spans="1:2" ht="14.4" x14ac:dyDescent="0.3">
      <c r="A1215" s="16" t="s">
        <v>180</v>
      </c>
      <c r="B1215">
        <f t="shared" si="22"/>
        <v>2020</v>
      </c>
    </row>
    <row r="1216" spans="1:2" ht="14.4" x14ac:dyDescent="0.3">
      <c r="A1216" s="16" t="s">
        <v>180</v>
      </c>
      <c r="B1216">
        <f t="shared" si="22"/>
        <v>2021</v>
      </c>
    </row>
    <row r="1217" spans="1:2" ht="14.4" x14ac:dyDescent="0.3">
      <c r="A1217" s="16" t="s">
        <v>230</v>
      </c>
      <c r="B1217">
        <f t="shared" si="22"/>
        <v>2007</v>
      </c>
    </row>
    <row r="1218" spans="1:2" ht="14.4" x14ac:dyDescent="0.3">
      <c r="A1218" s="16" t="s">
        <v>230</v>
      </c>
      <c r="B1218">
        <f t="shared" si="22"/>
        <v>2008</v>
      </c>
    </row>
    <row r="1219" spans="1:2" ht="14.4" x14ac:dyDescent="0.3">
      <c r="A1219" s="16" t="s">
        <v>230</v>
      </c>
      <c r="B1219">
        <f t="shared" si="22"/>
        <v>2009</v>
      </c>
    </row>
    <row r="1220" spans="1:2" ht="14.4" x14ac:dyDescent="0.3">
      <c r="A1220" s="16" t="s">
        <v>230</v>
      </c>
      <c r="B1220">
        <f t="shared" si="22"/>
        <v>2010</v>
      </c>
    </row>
    <row r="1221" spans="1:2" ht="14.4" x14ac:dyDescent="0.3">
      <c r="A1221" s="16" t="s">
        <v>230</v>
      </c>
      <c r="B1221">
        <f t="shared" si="22"/>
        <v>2011</v>
      </c>
    </row>
    <row r="1222" spans="1:2" ht="14.4" x14ac:dyDescent="0.3">
      <c r="A1222" s="16" t="s">
        <v>230</v>
      </c>
      <c r="B1222">
        <f t="shared" si="22"/>
        <v>2012</v>
      </c>
    </row>
    <row r="1223" spans="1:2" ht="14.4" x14ac:dyDescent="0.3">
      <c r="A1223" s="16" t="s">
        <v>230</v>
      </c>
      <c r="B1223">
        <f t="shared" si="22"/>
        <v>2013</v>
      </c>
    </row>
    <row r="1224" spans="1:2" ht="14.4" x14ac:dyDescent="0.3">
      <c r="A1224" s="16" t="s">
        <v>230</v>
      </c>
      <c r="B1224">
        <f t="shared" si="22"/>
        <v>2014</v>
      </c>
    </row>
    <row r="1225" spans="1:2" ht="14.4" x14ac:dyDescent="0.3">
      <c r="A1225" s="16" t="s">
        <v>230</v>
      </c>
      <c r="B1225">
        <f t="shared" si="22"/>
        <v>2015</v>
      </c>
    </row>
    <row r="1226" spans="1:2" ht="14.4" x14ac:dyDescent="0.3">
      <c r="A1226" s="16" t="s">
        <v>230</v>
      </c>
      <c r="B1226">
        <f t="shared" si="22"/>
        <v>2016</v>
      </c>
    </row>
    <row r="1227" spans="1:2" ht="14.4" x14ac:dyDescent="0.3">
      <c r="A1227" s="16" t="s">
        <v>230</v>
      </c>
      <c r="B1227">
        <f t="shared" si="22"/>
        <v>2017</v>
      </c>
    </row>
    <row r="1228" spans="1:2" ht="14.4" x14ac:dyDescent="0.3">
      <c r="A1228" s="16" t="s">
        <v>230</v>
      </c>
      <c r="B1228">
        <f t="shared" si="22"/>
        <v>2018</v>
      </c>
    </row>
    <row r="1229" spans="1:2" ht="14.4" x14ac:dyDescent="0.3">
      <c r="A1229" s="16" t="s">
        <v>230</v>
      </c>
      <c r="B1229">
        <f t="shared" si="22"/>
        <v>2019</v>
      </c>
    </row>
    <row r="1230" spans="1:2" ht="14.4" x14ac:dyDescent="0.3">
      <c r="A1230" s="16" t="s">
        <v>230</v>
      </c>
      <c r="B1230">
        <f t="shared" si="22"/>
        <v>2020</v>
      </c>
    </row>
    <row r="1231" spans="1:2" ht="14.4" x14ac:dyDescent="0.3">
      <c r="A1231" s="16" t="s">
        <v>230</v>
      </c>
      <c r="B1231">
        <f t="shared" si="22"/>
        <v>2021</v>
      </c>
    </row>
    <row r="1232" spans="1:2" ht="14.4" x14ac:dyDescent="0.3">
      <c r="A1232" s="16" t="s">
        <v>246</v>
      </c>
      <c r="B1232">
        <f t="shared" si="22"/>
        <v>2007</v>
      </c>
    </row>
    <row r="1233" spans="1:2" ht="14.4" x14ac:dyDescent="0.3">
      <c r="A1233" s="16" t="s">
        <v>246</v>
      </c>
      <c r="B1233">
        <f t="shared" si="22"/>
        <v>2008</v>
      </c>
    </row>
    <row r="1234" spans="1:2" ht="14.4" x14ac:dyDescent="0.3">
      <c r="A1234" s="16" t="s">
        <v>246</v>
      </c>
      <c r="B1234">
        <f t="shared" si="22"/>
        <v>2009</v>
      </c>
    </row>
    <row r="1235" spans="1:2" ht="14.4" x14ac:dyDescent="0.3">
      <c r="A1235" s="16" t="s">
        <v>246</v>
      </c>
      <c r="B1235">
        <f t="shared" si="22"/>
        <v>2010</v>
      </c>
    </row>
    <row r="1236" spans="1:2" ht="14.4" x14ac:dyDescent="0.3">
      <c r="A1236" s="16" t="s">
        <v>246</v>
      </c>
      <c r="B1236">
        <f t="shared" si="22"/>
        <v>2011</v>
      </c>
    </row>
    <row r="1237" spans="1:2" ht="14.4" x14ac:dyDescent="0.3">
      <c r="A1237" s="16" t="s">
        <v>246</v>
      </c>
      <c r="B1237">
        <f t="shared" si="22"/>
        <v>2012</v>
      </c>
    </row>
    <row r="1238" spans="1:2" ht="14.4" x14ac:dyDescent="0.3">
      <c r="A1238" s="16" t="s">
        <v>246</v>
      </c>
      <c r="B1238">
        <f t="shared" si="22"/>
        <v>2013</v>
      </c>
    </row>
    <row r="1239" spans="1:2" ht="14.4" x14ac:dyDescent="0.3">
      <c r="A1239" s="16" t="s">
        <v>246</v>
      </c>
      <c r="B1239">
        <f t="shared" si="22"/>
        <v>2014</v>
      </c>
    </row>
    <row r="1240" spans="1:2" ht="14.4" x14ac:dyDescent="0.3">
      <c r="A1240" s="16" t="s">
        <v>246</v>
      </c>
      <c r="B1240">
        <f t="shared" si="22"/>
        <v>2015</v>
      </c>
    </row>
    <row r="1241" spans="1:2" ht="14.4" x14ac:dyDescent="0.3">
      <c r="A1241" s="16" t="s">
        <v>246</v>
      </c>
      <c r="B1241">
        <f t="shared" si="22"/>
        <v>2016</v>
      </c>
    </row>
    <row r="1242" spans="1:2" ht="14.4" x14ac:dyDescent="0.3">
      <c r="A1242" s="16" t="s">
        <v>246</v>
      </c>
      <c r="B1242">
        <f t="shared" si="22"/>
        <v>2017</v>
      </c>
    </row>
    <row r="1243" spans="1:2" ht="14.4" x14ac:dyDescent="0.3">
      <c r="A1243" s="16" t="s">
        <v>246</v>
      </c>
      <c r="B1243">
        <f t="shared" si="22"/>
        <v>2018</v>
      </c>
    </row>
    <row r="1244" spans="1:2" ht="14.4" x14ac:dyDescent="0.3">
      <c r="A1244" s="16" t="s">
        <v>246</v>
      </c>
      <c r="B1244">
        <f t="shared" si="22"/>
        <v>2019</v>
      </c>
    </row>
    <row r="1245" spans="1:2" ht="14.4" x14ac:dyDescent="0.3">
      <c r="A1245" s="16" t="s">
        <v>246</v>
      </c>
      <c r="B1245">
        <f t="shared" si="22"/>
        <v>2020</v>
      </c>
    </row>
    <row r="1246" spans="1:2" ht="14.4" x14ac:dyDescent="0.3">
      <c r="A1246" s="16" t="s">
        <v>246</v>
      </c>
      <c r="B1246">
        <f t="shared" si="22"/>
        <v>2021</v>
      </c>
    </row>
    <row r="1247" spans="1:2" ht="14.4" x14ac:dyDescent="0.3">
      <c r="A1247" s="16" t="s">
        <v>255</v>
      </c>
      <c r="B1247">
        <f t="shared" si="22"/>
        <v>2007</v>
      </c>
    </row>
    <row r="1248" spans="1:2" ht="14.4" x14ac:dyDescent="0.3">
      <c r="A1248" s="16" t="s">
        <v>255</v>
      </c>
      <c r="B1248">
        <f t="shared" si="22"/>
        <v>2008</v>
      </c>
    </row>
    <row r="1249" spans="1:2" ht="14.4" x14ac:dyDescent="0.3">
      <c r="A1249" s="16" t="s">
        <v>255</v>
      </c>
      <c r="B1249">
        <f t="shared" ref="B1249:B1306" si="23">IF(A1249=A1248,B1248+1,2007)</f>
        <v>2009</v>
      </c>
    </row>
    <row r="1250" spans="1:2" ht="14.4" x14ac:dyDescent="0.3">
      <c r="A1250" s="16" t="s">
        <v>255</v>
      </c>
      <c r="B1250">
        <f t="shared" si="23"/>
        <v>2010</v>
      </c>
    </row>
    <row r="1251" spans="1:2" ht="14.4" x14ac:dyDescent="0.3">
      <c r="A1251" s="16" t="s">
        <v>255</v>
      </c>
      <c r="B1251">
        <f t="shared" si="23"/>
        <v>2011</v>
      </c>
    </row>
    <row r="1252" spans="1:2" ht="14.4" x14ac:dyDescent="0.3">
      <c r="A1252" s="16" t="s">
        <v>255</v>
      </c>
      <c r="B1252">
        <f t="shared" si="23"/>
        <v>2012</v>
      </c>
    </row>
    <row r="1253" spans="1:2" ht="14.4" x14ac:dyDescent="0.3">
      <c r="A1253" s="16" t="s">
        <v>255</v>
      </c>
      <c r="B1253">
        <f t="shared" si="23"/>
        <v>2013</v>
      </c>
    </row>
    <row r="1254" spans="1:2" ht="14.4" x14ac:dyDescent="0.3">
      <c r="A1254" s="16" t="s">
        <v>255</v>
      </c>
      <c r="B1254">
        <f t="shared" si="23"/>
        <v>2014</v>
      </c>
    </row>
    <row r="1255" spans="1:2" ht="14.4" x14ac:dyDescent="0.3">
      <c r="A1255" s="16" t="s">
        <v>255</v>
      </c>
      <c r="B1255">
        <f t="shared" si="23"/>
        <v>2015</v>
      </c>
    </row>
    <row r="1256" spans="1:2" ht="14.4" x14ac:dyDescent="0.3">
      <c r="A1256" s="16" t="s">
        <v>255</v>
      </c>
      <c r="B1256">
        <f t="shared" si="23"/>
        <v>2016</v>
      </c>
    </row>
    <row r="1257" spans="1:2" ht="14.4" x14ac:dyDescent="0.3">
      <c r="A1257" s="16" t="s">
        <v>255</v>
      </c>
      <c r="B1257">
        <f t="shared" si="23"/>
        <v>2017</v>
      </c>
    </row>
    <row r="1258" spans="1:2" ht="14.4" x14ac:dyDescent="0.3">
      <c r="A1258" s="16" t="s">
        <v>255</v>
      </c>
      <c r="B1258">
        <f t="shared" si="23"/>
        <v>2018</v>
      </c>
    </row>
    <row r="1259" spans="1:2" ht="14.4" x14ac:dyDescent="0.3">
      <c r="A1259" s="16" t="s">
        <v>255</v>
      </c>
      <c r="B1259">
        <f t="shared" si="23"/>
        <v>2019</v>
      </c>
    </row>
    <row r="1260" spans="1:2" ht="14.4" x14ac:dyDescent="0.3">
      <c r="A1260" s="16" t="s">
        <v>255</v>
      </c>
      <c r="B1260">
        <f t="shared" si="23"/>
        <v>2020</v>
      </c>
    </row>
    <row r="1261" spans="1:2" ht="14.4" x14ac:dyDescent="0.3">
      <c r="A1261" s="16" t="s">
        <v>255</v>
      </c>
      <c r="B1261">
        <f t="shared" si="23"/>
        <v>2021</v>
      </c>
    </row>
    <row r="1262" spans="1:2" ht="14.4" x14ac:dyDescent="0.3">
      <c r="A1262" s="16" t="s">
        <v>546</v>
      </c>
      <c r="B1262">
        <f t="shared" si="23"/>
        <v>2007</v>
      </c>
    </row>
    <row r="1263" spans="1:2" ht="14.4" x14ac:dyDescent="0.3">
      <c r="A1263" s="16" t="s">
        <v>546</v>
      </c>
      <c r="B1263">
        <f t="shared" si="23"/>
        <v>2008</v>
      </c>
    </row>
    <row r="1264" spans="1:2" ht="14.4" x14ac:dyDescent="0.3">
      <c r="A1264" s="16" t="s">
        <v>546</v>
      </c>
      <c r="B1264">
        <f t="shared" si="23"/>
        <v>2009</v>
      </c>
    </row>
    <row r="1265" spans="1:2" ht="14.4" x14ac:dyDescent="0.3">
      <c r="A1265" s="16" t="s">
        <v>546</v>
      </c>
      <c r="B1265">
        <f t="shared" si="23"/>
        <v>2010</v>
      </c>
    </row>
    <row r="1266" spans="1:2" ht="14.4" x14ac:dyDescent="0.3">
      <c r="A1266" s="16" t="s">
        <v>546</v>
      </c>
      <c r="B1266">
        <f t="shared" si="23"/>
        <v>2011</v>
      </c>
    </row>
    <row r="1267" spans="1:2" ht="14.4" x14ac:dyDescent="0.3">
      <c r="A1267" s="16" t="s">
        <v>546</v>
      </c>
      <c r="B1267">
        <f t="shared" si="23"/>
        <v>2012</v>
      </c>
    </row>
    <row r="1268" spans="1:2" ht="14.4" x14ac:dyDescent="0.3">
      <c r="A1268" s="16" t="s">
        <v>546</v>
      </c>
      <c r="B1268">
        <f t="shared" si="23"/>
        <v>2013</v>
      </c>
    </row>
    <row r="1269" spans="1:2" ht="14.4" x14ac:dyDescent="0.3">
      <c r="A1269" s="16" t="s">
        <v>546</v>
      </c>
      <c r="B1269">
        <f t="shared" si="23"/>
        <v>2014</v>
      </c>
    </row>
    <row r="1270" spans="1:2" ht="14.4" x14ac:dyDescent="0.3">
      <c r="A1270" s="16" t="s">
        <v>546</v>
      </c>
      <c r="B1270">
        <f t="shared" si="23"/>
        <v>2015</v>
      </c>
    </row>
    <row r="1271" spans="1:2" ht="14.4" x14ac:dyDescent="0.3">
      <c r="A1271" s="16" t="s">
        <v>546</v>
      </c>
      <c r="B1271">
        <f t="shared" si="23"/>
        <v>2016</v>
      </c>
    </row>
    <row r="1272" spans="1:2" ht="14.4" x14ac:dyDescent="0.3">
      <c r="A1272" s="16" t="s">
        <v>546</v>
      </c>
      <c r="B1272">
        <f t="shared" si="23"/>
        <v>2017</v>
      </c>
    </row>
    <row r="1273" spans="1:2" ht="14.4" x14ac:dyDescent="0.3">
      <c r="A1273" s="16" t="s">
        <v>546</v>
      </c>
      <c r="B1273">
        <f t="shared" si="23"/>
        <v>2018</v>
      </c>
    </row>
    <row r="1274" spans="1:2" ht="14.4" x14ac:dyDescent="0.3">
      <c r="A1274" s="16" t="s">
        <v>546</v>
      </c>
      <c r="B1274">
        <f t="shared" si="23"/>
        <v>2019</v>
      </c>
    </row>
    <row r="1275" spans="1:2" ht="14.4" x14ac:dyDescent="0.3">
      <c r="A1275" s="16" t="s">
        <v>546</v>
      </c>
      <c r="B1275">
        <f t="shared" si="23"/>
        <v>2020</v>
      </c>
    </row>
    <row r="1276" spans="1:2" ht="14.4" x14ac:dyDescent="0.3">
      <c r="A1276" s="16" t="s">
        <v>546</v>
      </c>
      <c r="B1276">
        <f t="shared" si="23"/>
        <v>2021</v>
      </c>
    </row>
    <row r="1277" spans="1:2" ht="14.4" x14ac:dyDescent="0.3">
      <c r="A1277" s="16" t="s">
        <v>259</v>
      </c>
      <c r="B1277">
        <f t="shared" si="23"/>
        <v>2007</v>
      </c>
    </row>
    <row r="1278" spans="1:2" ht="14.4" x14ac:dyDescent="0.3">
      <c r="A1278" s="16" t="s">
        <v>259</v>
      </c>
      <c r="B1278">
        <f t="shared" si="23"/>
        <v>2008</v>
      </c>
    </row>
    <row r="1279" spans="1:2" ht="14.4" x14ac:dyDescent="0.3">
      <c r="A1279" s="16" t="s">
        <v>259</v>
      </c>
      <c r="B1279">
        <f t="shared" si="23"/>
        <v>2009</v>
      </c>
    </row>
    <row r="1280" spans="1:2" ht="14.4" x14ac:dyDescent="0.3">
      <c r="A1280" s="16" t="s">
        <v>259</v>
      </c>
      <c r="B1280">
        <f t="shared" si="23"/>
        <v>2010</v>
      </c>
    </row>
    <row r="1281" spans="1:2" ht="14.4" x14ac:dyDescent="0.3">
      <c r="A1281" s="16" t="s">
        <v>259</v>
      </c>
      <c r="B1281">
        <f t="shared" si="23"/>
        <v>2011</v>
      </c>
    </row>
    <row r="1282" spans="1:2" ht="14.4" x14ac:dyDescent="0.3">
      <c r="A1282" s="16" t="s">
        <v>259</v>
      </c>
      <c r="B1282">
        <f t="shared" si="23"/>
        <v>2012</v>
      </c>
    </row>
    <row r="1283" spans="1:2" ht="14.4" x14ac:dyDescent="0.3">
      <c r="A1283" s="16" t="s">
        <v>259</v>
      </c>
      <c r="B1283">
        <f t="shared" si="23"/>
        <v>2013</v>
      </c>
    </row>
    <row r="1284" spans="1:2" ht="14.4" x14ac:dyDescent="0.3">
      <c r="A1284" s="16" t="s">
        <v>259</v>
      </c>
      <c r="B1284">
        <f t="shared" si="23"/>
        <v>2014</v>
      </c>
    </row>
    <row r="1285" spans="1:2" ht="14.4" x14ac:dyDescent="0.3">
      <c r="A1285" s="16" t="s">
        <v>259</v>
      </c>
      <c r="B1285">
        <f t="shared" si="23"/>
        <v>2015</v>
      </c>
    </row>
    <row r="1286" spans="1:2" ht="14.4" x14ac:dyDescent="0.3">
      <c r="A1286" s="16" t="s">
        <v>259</v>
      </c>
      <c r="B1286">
        <f t="shared" si="23"/>
        <v>2016</v>
      </c>
    </row>
    <row r="1287" spans="1:2" ht="14.4" x14ac:dyDescent="0.3">
      <c r="A1287" s="16" t="s">
        <v>259</v>
      </c>
      <c r="B1287">
        <f t="shared" si="23"/>
        <v>2017</v>
      </c>
    </row>
    <row r="1288" spans="1:2" ht="14.4" x14ac:dyDescent="0.3">
      <c r="A1288" s="16" t="s">
        <v>259</v>
      </c>
      <c r="B1288">
        <f t="shared" si="23"/>
        <v>2018</v>
      </c>
    </row>
    <row r="1289" spans="1:2" ht="14.4" x14ac:dyDescent="0.3">
      <c r="A1289" s="16" t="s">
        <v>259</v>
      </c>
      <c r="B1289">
        <f t="shared" si="23"/>
        <v>2019</v>
      </c>
    </row>
    <row r="1290" spans="1:2" ht="14.4" x14ac:dyDescent="0.3">
      <c r="A1290" s="16" t="s">
        <v>259</v>
      </c>
      <c r="B1290">
        <f t="shared" si="23"/>
        <v>2020</v>
      </c>
    </row>
    <row r="1291" spans="1:2" ht="14.4" x14ac:dyDescent="0.3">
      <c r="A1291" s="16" t="s">
        <v>260</v>
      </c>
      <c r="B1291">
        <f t="shared" si="23"/>
        <v>2007</v>
      </c>
    </row>
    <row r="1292" spans="1:2" ht="14.4" x14ac:dyDescent="0.3">
      <c r="A1292" s="16" t="s">
        <v>260</v>
      </c>
      <c r="B1292">
        <f t="shared" si="23"/>
        <v>2008</v>
      </c>
    </row>
    <row r="1293" spans="1:2" ht="14.4" x14ac:dyDescent="0.3">
      <c r="A1293" s="16" t="s">
        <v>260</v>
      </c>
      <c r="B1293">
        <f t="shared" si="23"/>
        <v>2009</v>
      </c>
    </row>
    <row r="1294" spans="1:2" ht="14.4" x14ac:dyDescent="0.3">
      <c r="A1294" s="16" t="s">
        <v>260</v>
      </c>
      <c r="B1294">
        <f t="shared" si="23"/>
        <v>2010</v>
      </c>
    </row>
    <row r="1295" spans="1:2" ht="14.4" x14ac:dyDescent="0.3">
      <c r="A1295" s="16" t="s">
        <v>260</v>
      </c>
      <c r="B1295">
        <f t="shared" si="23"/>
        <v>2011</v>
      </c>
    </row>
    <row r="1296" spans="1:2" ht="14.4" x14ac:dyDescent="0.3">
      <c r="A1296" s="16" t="s">
        <v>260</v>
      </c>
      <c r="B1296">
        <f t="shared" si="23"/>
        <v>2012</v>
      </c>
    </row>
    <row r="1297" spans="1:2" ht="14.4" x14ac:dyDescent="0.3">
      <c r="A1297" s="16" t="s">
        <v>260</v>
      </c>
      <c r="B1297">
        <f t="shared" si="23"/>
        <v>2013</v>
      </c>
    </row>
    <row r="1298" spans="1:2" ht="14.4" x14ac:dyDescent="0.3">
      <c r="A1298" s="16" t="s">
        <v>260</v>
      </c>
      <c r="B1298">
        <f t="shared" si="23"/>
        <v>2014</v>
      </c>
    </row>
    <row r="1299" spans="1:2" ht="14.4" x14ac:dyDescent="0.3">
      <c r="A1299" s="16" t="s">
        <v>260</v>
      </c>
      <c r="B1299">
        <f t="shared" si="23"/>
        <v>2015</v>
      </c>
    </row>
    <row r="1300" spans="1:2" ht="14.4" x14ac:dyDescent="0.3">
      <c r="A1300" s="16" t="s">
        <v>260</v>
      </c>
      <c r="B1300">
        <f t="shared" si="23"/>
        <v>2016</v>
      </c>
    </row>
    <row r="1301" spans="1:2" ht="14.4" x14ac:dyDescent="0.3">
      <c r="A1301" s="16" t="s">
        <v>260</v>
      </c>
      <c r="B1301">
        <f t="shared" si="23"/>
        <v>2017</v>
      </c>
    </row>
    <row r="1302" spans="1:2" ht="14.4" x14ac:dyDescent="0.3">
      <c r="A1302" s="16" t="s">
        <v>260</v>
      </c>
      <c r="B1302">
        <f t="shared" si="23"/>
        <v>2018</v>
      </c>
    </row>
    <row r="1303" spans="1:2" ht="14.4" x14ac:dyDescent="0.3">
      <c r="A1303" s="16" t="s">
        <v>260</v>
      </c>
      <c r="B1303">
        <f t="shared" si="23"/>
        <v>2019</v>
      </c>
    </row>
    <row r="1304" spans="1:2" ht="14.4" x14ac:dyDescent="0.3">
      <c r="A1304" s="16" t="s">
        <v>260</v>
      </c>
      <c r="B1304">
        <f t="shared" si="23"/>
        <v>2020</v>
      </c>
    </row>
    <row r="1305" spans="1:2" ht="14.4" x14ac:dyDescent="0.3">
      <c r="A1305" s="16" t="s">
        <v>260</v>
      </c>
      <c r="B1305">
        <f t="shared" si="23"/>
        <v>2021</v>
      </c>
    </row>
    <row r="1306" spans="1:2" ht="14.4" x14ac:dyDescent="0.3">
      <c r="A1306" s="16" t="s">
        <v>260</v>
      </c>
      <c r="B1306">
        <f t="shared" si="23"/>
        <v>2022</v>
      </c>
    </row>
    <row r="1307" spans="1:2" ht="14.4" x14ac:dyDescent="0.3">
      <c r="A1307" s="16"/>
    </row>
    <row r="1308" spans="1:2" ht="14.4" x14ac:dyDescent="0.3">
      <c r="A1308" s="16"/>
    </row>
    <row r="1309" spans="1:2" ht="14.4" x14ac:dyDescent="0.3">
      <c r="A1309" s="16"/>
    </row>
    <row r="1310" spans="1:2" ht="14.4" x14ac:dyDescent="0.3">
      <c r="A1310" s="16"/>
    </row>
    <row r="1311" spans="1:2" ht="14.4" x14ac:dyDescent="0.3">
      <c r="A1311" s="16"/>
      <c r="B1311">
        <f t="shared" ref="B1311:B1342" si="24">IF(A1311=A1310,B1310+1,2007)</f>
        <v>1</v>
      </c>
    </row>
    <row r="1312" spans="1:2" x14ac:dyDescent="0.25">
      <c r="B1312">
        <f t="shared" si="24"/>
        <v>2</v>
      </c>
    </row>
    <row r="1313" spans="2:2" x14ac:dyDescent="0.25">
      <c r="B1313">
        <f t="shared" si="24"/>
        <v>3</v>
      </c>
    </row>
    <row r="1314" spans="2:2" x14ac:dyDescent="0.25">
      <c r="B1314">
        <f t="shared" si="24"/>
        <v>4</v>
      </c>
    </row>
    <row r="1315" spans="2:2" x14ac:dyDescent="0.25">
      <c r="B1315">
        <f t="shared" si="24"/>
        <v>5</v>
      </c>
    </row>
    <row r="1316" spans="2:2" x14ac:dyDescent="0.25">
      <c r="B1316">
        <f t="shared" si="24"/>
        <v>6</v>
      </c>
    </row>
    <row r="1317" spans="2:2" x14ac:dyDescent="0.25">
      <c r="B1317">
        <f t="shared" si="24"/>
        <v>7</v>
      </c>
    </row>
    <row r="1318" spans="2:2" x14ac:dyDescent="0.25">
      <c r="B1318">
        <f t="shared" si="24"/>
        <v>8</v>
      </c>
    </row>
    <row r="1319" spans="2:2" x14ac:dyDescent="0.25">
      <c r="B1319">
        <f t="shared" si="24"/>
        <v>9</v>
      </c>
    </row>
    <row r="1320" spans="2:2" x14ac:dyDescent="0.25">
      <c r="B1320">
        <f t="shared" si="24"/>
        <v>10</v>
      </c>
    </row>
    <row r="1321" spans="2:2" x14ac:dyDescent="0.25">
      <c r="B1321">
        <f t="shared" si="24"/>
        <v>11</v>
      </c>
    </row>
    <row r="1322" spans="2:2" x14ac:dyDescent="0.25">
      <c r="B1322">
        <f t="shared" si="24"/>
        <v>12</v>
      </c>
    </row>
    <row r="1323" spans="2:2" x14ac:dyDescent="0.25">
      <c r="B1323">
        <f t="shared" si="24"/>
        <v>13</v>
      </c>
    </row>
    <row r="1324" spans="2:2" x14ac:dyDescent="0.25">
      <c r="B1324">
        <f t="shared" si="24"/>
        <v>14</v>
      </c>
    </row>
    <row r="1325" spans="2:2" x14ac:dyDescent="0.25">
      <c r="B1325">
        <f t="shared" si="24"/>
        <v>15</v>
      </c>
    </row>
    <row r="1326" spans="2:2" x14ac:dyDescent="0.25">
      <c r="B1326">
        <f t="shared" si="24"/>
        <v>16</v>
      </c>
    </row>
    <row r="1327" spans="2:2" x14ac:dyDescent="0.25">
      <c r="B1327">
        <f t="shared" si="24"/>
        <v>17</v>
      </c>
    </row>
    <row r="1328" spans="2:2" x14ac:dyDescent="0.25">
      <c r="B1328">
        <f t="shared" si="24"/>
        <v>18</v>
      </c>
    </row>
    <row r="1329" spans="2:2" x14ac:dyDescent="0.25">
      <c r="B1329">
        <f t="shared" si="24"/>
        <v>19</v>
      </c>
    </row>
    <row r="1330" spans="2:2" x14ac:dyDescent="0.25">
      <c r="B1330">
        <f t="shared" si="24"/>
        <v>20</v>
      </c>
    </row>
    <row r="1331" spans="2:2" x14ac:dyDescent="0.25">
      <c r="B1331">
        <f t="shared" si="24"/>
        <v>21</v>
      </c>
    </row>
    <row r="1332" spans="2:2" x14ac:dyDescent="0.25">
      <c r="B1332">
        <f t="shared" si="24"/>
        <v>22</v>
      </c>
    </row>
    <row r="1333" spans="2:2" x14ac:dyDescent="0.25">
      <c r="B1333">
        <f t="shared" si="24"/>
        <v>23</v>
      </c>
    </row>
    <row r="1334" spans="2:2" x14ac:dyDescent="0.25">
      <c r="B1334">
        <f t="shared" si="24"/>
        <v>24</v>
      </c>
    </row>
    <row r="1335" spans="2:2" x14ac:dyDescent="0.25">
      <c r="B1335">
        <f t="shared" si="24"/>
        <v>25</v>
      </c>
    </row>
    <row r="1336" spans="2:2" x14ac:dyDescent="0.25">
      <c r="B1336">
        <f t="shared" si="24"/>
        <v>26</v>
      </c>
    </row>
    <row r="1337" spans="2:2" x14ac:dyDescent="0.25">
      <c r="B1337">
        <f t="shared" si="24"/>
        <v>27</v>
      </c>
    </row>
    <row r="1338" spans="2:2" x14ac:dyDescent="0.25">
      <c r="B1338">
        <f t="shared" si="24"/>
        <v>28</v>
      </c>
    </row>
    <row r="1339" spans="2:2" x14ac:dyDescent="0.25">
      <c r="B1339">
        <f t="shared" si="24"/>
        <v>29</v>
      </c>
    </row>
    <row r="1340" spans="2:2" x14ac:dyDescent="0.25">
      <c r="B1340">
        <f t="shared" si="24"/>
        <v>30</v>
      </c>
    </row>
    <row r="1341" spans="2:2" x14ac:dyDescent="0.25">
      <c r="B1341">
        <f t="shared" si="24"/>
        <v>31</v>
      </c>
    </row>
    <row r="1342" spans="2:2" x14ac:dyDescent="0.25">
      <c r="B1342">
        <f t="shared" si="24"/>
        <v>32</v>
      </c>
    </row>
    <row r="1343" spans="2:2" x14ac:dyDescent="0.25">
      <c r="B1343">
        <f t="shared" ref="B1343:B1374" si="25">IF(A1343=A1342,B1342+1,2007)</f>
        <v>33</v>
      </c>
    </row>
    <row r="1344" spans="2:2" x14ac:dyDescent="0.25">
      <c r="B1344">
        <f t="shared" si="25"/>
        <v>34</v>
      </c>
    </row>
    <row r="1345" spans="2:2" x14ac:dyDescent="0.25">
      <c r="B1345">
        <f t="shared" si="25"/>
        <v>35</v>
      </c>
    </row>
    <row r="1346" spans="2:2" x14ac:dyDescent="0.25">
      <c r="B1346">
        <f t="shared" si="25"/>
        <v>36</v>
      </c>
    </row>
    <row r="1347" spans="2:2" x14ac:dyDescent="0.25">
      <c r="B1347">
        <f t="shared" si="25"/>
        <v>37</v>
      </c>
    </row>
    <row r="1348" spans="2:2" x14ac:dyDescent="0.25">
      <c r="B1348">
        <f t="shared" si="25"/>
        <v>38</v>
      </c>
    </row>
    <row r="1349" spans="2:2" x14ac:dyDescent="0.25">
      <c r="B1349">
        <f t="shared" si="25"/>
        <v>39</v>
      </c>
    </row>
    <row r="1350" spans="2:2" x14ac:dyDescent="0.25">
      <c r="B1350">
        <f t="shared" si="25"/>
        <v>40</v>
      </c>
    </row>
    <row r="1351" spans="2:2" x14ac:dyDescent="0.25">
      <c r="B1351">
        <f t="shared" si="25"/>
        <v>41</v>
      </c>
    </row>
    <row r="1352" spans="2:2" x14ac:dyDescent="0.25">
      <c r="B1352">
        <f t="shared" si="25"/>
        <v>42</v>
      </c>
    </row>
    <row r="1353" spans="2:2" x14ac:dyDescent="0.25">
      <c r="B1353">
        <f t="shared" si="25"/>
        <v>43</v>
      </c>
    </row>
    <row r="1354" spans="2:2" x14ac:dyDescent="0.25">
      <c r="B1354">
        <f t="shared" si="25"/>
        <v>44</v>
      </c>
    </row>
    <row r="1355" spans="2:2" x14ac:dyDescent="0.25">
      <c r="B1355">
        <f t="shared" si="25"/>
        <v>45</v>
      </c>
    </row>
    <row r="1356" spans="2:2" x14ac:dyDescent="0.25">
      <c r="B1356">
        <f t="shared" si="25"/>
        <v>46</v>
      </c>
    </row>
    <row r="1357" spans="2:2" x14ac:dyDescent="0.25">
      <c r="B1357">
        <f t="shared" si="25"/>
        <v>47</v>
      </c>
    </row>
    <row r="1358" spans="2:2" x14ac:dyDescent="0.25">
      <c r="B1358">
        <f t="shared" si="25"/>
        <v>48</v>
      </c>
    </row>
    <row r="1359" spans="2:2" x14ac:dyDescent="0.25">
      <c r="B1359">
        <f t="shared" si="25"/>
        <v>49</v>
      </c>
    </row>
    <row r="1360" spans="2:2" x14ac:dyDescent="0.25">
      <c r="B1360">
        <f t="shared" si="25"/>
        <v>50</v>
      </c>
    </row>
    <row r="1361" spans="2:2" x14ac:dyDescent="0.25">
      <c r="B1361">
        <f t="shared" si="25"/>
        <v>51</v>
      </c>
    </row>
    <row r="1362" spans="2:2" x14ac:dyDescent="0.25">
      <c r="B1362">
        <f t="shared" si="25"/>
        <v>52</v>
      </c>
    </row>
    <row r="1363" spans="2:2" x14ac:dyDescent="0.25">
      <c r="B1363">
        <f t="shared" si="25"/>
        <v>53</v>
      </c>
    </row>
    <row r="1364" spans="2:2" x14ac:dyDescent="0.25">
      <c r="B1364">
        <f t="shared" si="25"/>
        <v>54</v>
      </c>
    </row>
    <row r="1365" spans="2:2" x14ac:dyDescent="0.25">
      <c r="B1365">
        <f t="shared" si="25"/>
        <v>55</v>
      </c>
    </row>
    <row r="1366" spans="2:2" x14ac:dyDescent="0.25">
      <c r="B1366">
        <f t="shared" si="25"/>
        <v>56</v>
      </c>
    </row>
    <row r="1367" spans="2:2" x14ac:dyDescent="0.25">
      <c r="B1367">
        <f t="shared" si="25"/>
        <v>57</v>
      </c>
    </row>
    <row r="1368" spans="2:2" x14ac:dyDescent="0.25">
      <c r="B1368">
        <f t="shared" si="25"/>
        <v>58</v>
      </c>
    </row>
    <row r="1369" spans="2:2" x14ac:dyDescent="0.25">
      <c r="B1369">
        <f t="shared" si="25"/>
        <v>59</v>
      </c>
    </row>
    <row r="1370" spans="2:2" x14ac:dyDescent="0.25">
      <c r="B1370">
        <f t="shared" si="25"/>
        <v>60</v>
      </c>
    </row>
    <row r="1371" spans="2:2" x14ac:dyDescent="0.25">
      <c r="B1371">
        <f t="shared" si="25"/>
        <v>61</v>
      </c>
    </row>
    <row r="1372" spans="2:2" x14ac:dyDescent="0.25">
      <c r="B1372">
        <f t="shared" si="25"/>
        <v>62</v>
      </c>
    </row>
    <row r="1373" spans="2:2" x14ac:dyDescent="0.25">
      <c r="B1373">
        <f t="shared" si="25"/>
        <v>63</v>
      </c>
    </row>
    <row r="1374" spans="2:2" x14ac:dyDescent="0.25">
      <c r="B1374">
        <f t="shared" si="25"/>
        <v>64</v>
      </c>
    </row>
    <row r="1375" spans="2:2" x14ac:dyDescent="0.25">
      <c r="B1375">
        <f t="shared" ref="B1375:B1406" si="26">IF(A1375=A1374,B1374+1,2007)</f>
        <v>65</v>
      </c>
    </row>
    <row r="1376" spans="2:2" x14ac:dyDescent="0.25">
      <c r="B1376">
        <f t="shared" si="26"/>
        <v>66</v>
      </c>
    </row>
    <row r="1377" spans="2:2" x14ac:dyDescent="0.25">
      <c r="B1377">
        <f t="shared" si="26"/>
        <v>67</v>
      </c>
    </row>
    <row r="1378" spans="2:2" x14ac:dyDescent="0.25">
      <c r="B1378">
        <f t="shared" si="26"/>
        <v>68</v>
      </c>
    </row>
    <row r="1379" spans="2:2" x14ac:dyDescent="0.25">
      <c r="B1379">
        <f t="shared" si="26"/>
        <v>69</v>
      </c>
    </row>
    <row r="1380" spans="2:2" x14ac:dyDescent="0.25">
      <c r="B1380">
        <f t="shared" si="26"/>
        <v>70</v>
      </c>
    </row>
    <row r="1381" spans="2:2" x14ac:dyDescent="0.25">
      <c r="B1381">
        <f t="shared" si="26"/>
        <v>71</v>
      </c>
    </row>
    <row r="1382" spans="2:2" x14ac:dyDescent="0.25">
      <c r="B1382">
        <f t="shared" si="26"/>
        <v>72</v>
      </c>
    </row>
    <row r="1383" spans="2:2" x14ac:dyDescent="0.25">
      <c r="B1383">
        <f t="shared" si="26"/>
        <v>73</v>
      </c>
    </row>
    <row r="1384" spans="2:2" x14ac:dyDescent="0.25">
      <c r="B1384">
        <f t="shared" si="26"/>
        <v>74</v>
      </c>
    </row>
    <row r="1385" spans="2:2" x14ac:dyDescent="0.25">
      <c r="B1385">
        <f t="shared" si="26"/>
        <v>75</v>
      </c>
    </row>
    <row r="1386" spans="2:2" x14ac:dyDescent="0.25">
      <c r="B1386">
        <f t="shared" si="26"/>
        <v>76</v>
      </c>
    </row>
    <row r="1387" spans="2:2" x14ac:dyDescent="0.25">
      <c r="B1387">
        <f t="shared" si="26"/>
        <v>77</v>
      </c>
    </row>
    <row r="1388" spans="2:2" x14ac:dyDescent="0.25">
      <c r="B1388">
        <f t="shared" si="26"/>
        <v>78</v>
      </c>
    </row>
    <row r="1389" spans="2:2" x14ac:dyDescent="0.25">
      <c r="B1389">
        <f t="shared" si="26"/>
        <v>79</v>
      </c>
    </row>
    <row r="1390" spans="2:2" x14ac:dyDescent="0.25">
      <c r="B1390">
        <f t="shared" si="26"/>
        <v>80</v>
      </c>
    </row>
    <row r="1391" spans="2:2" x14ac:dyDescent="0.25">
      <c r="B1391">
        <f t="shared" si="26"/>
        <v>81</v>
      </c>
    </row>
    <row r="1392" spans="2:2" x14ac:dyDescent="0.25">
      <c r="B1392">
        <f t="shared" si="26"/>
        <v>82</v>
      </c>
    </row>
    <row r="1393" spans="2:2" x14ac:dyDescent="0.25">
      <c r="B1393">
        <f t="shared" si="26"/>
        <v>83</v>
      </c>
    </row>
    <row r="1394" spans="2:2" x14ac:dyDescent="0.25">
      <c r="B1394">
        <f t="shared" si="26"/>
        <v>84</v>
      </c>
    </row>
    <row r="1395" spans="2:2" x14ac:dyDescent="0.25">
      <c r="B1395">
        <f t="shared" si="26"/>
        <v>85</v>
      </c>
    </row>
    <row r="1396" spans="2:2" x14ac:dyDescent="0.25">
      <c r="B1396">
        <f t="shared" si="26"/>
        <v>86</v>
      </c>
    </row>
    <row r="1397" spans="2:2" x14ac:dyDescent="0.25">
      <c r="B1397">
        <f t="shared" si="26"/>
        <v>87</v>
      </c>
    </row>
    <row r="1398" spans="2:2" x14ac:dyDescent="0.25">
      <c r="B1398">
        <f t="shared" si="26"/>
        <v>88</v>
      </c>
    </row>
    <row r="1399" spans="2:2" x14ac:dyDescent="0.25">
      <c r="B1399">
        <f t="shared" si="26"/>
        <v>89</v>
      </c>
    </row>
    <row r="1400" spans="2:2" x14ac:dyDescent="0.25">
      <c r="B1400">
        <f t="shared" si="26"/>
        <v>90</v>
      </c>
    </row>
    <row r="1401" spans="2:2" x14ac:dyDescent="0.25">
      <c r="B1401">
        <f t="shared" si="26"/>
        <v>91</v>
      </c>
    </row>
    <row r="1402" spans="2:2" x14ac:dyDescent="0.25">
      <c r="B1402">
        <f t="shared" si="26"/>
        <v>92</v>
      </c>
    </row>
    <row r="1403" spans="2:2" x14ac:dyDescent="0.25">
      <c r="B1403">
        <f t="shared" si="26"/>
        <v>93</v>
      </c>
    </row>
    <row r="1404" spans="2:2" x14ac:dyDescent="0.25">
      <c r="B1404">
        <f t="shared" si="26"/>
        <v>94</v>
      </c>
    </row>
    <row r="1405" spans="2:2" x14ac:dyDescent="0.25">
      <c r="B1405">
        <f t="shared" si="26"/>
        <v>95</v>
      </c>
    </row>
    <row r="1406" spans="2:2" x14ac:dyDescent="0.25">
      <c r="B1406">
        <f t="shared" si="26"/>
        <v>96</v>
      </c>
    </row>
    <row r="1407" spans="2:2" x14ac:dyDescent="0.25">
      <c r="B1407">
        <f t="shared" ref="B1407:B1438" si="27">IF(A1407=A1406,B1406+1,2007)</f>
        <v>97</v>
      </c>
    </row>
    <row r="1408" spans="2:2" x14ac:dyDescent="0.25">
      <c r="B1408">
        <f t="shared" si="27"/>
        <v>98</v>
      </c>
    </row>
    <row r="1409" spans="2:2" x14ac:dyDescent="0.25">
      <c r="B1409">
        <f t="shared" si="27"/>
        <v>99</v>
      </c>
    </row>
    <row r="1410" spans="2:2" x14ac:dyDescent="0.25">
      <c r="B1410">
        <f t="shared" si="27"/>
        <v>100</v>
      </c>
    </row>
    <row r="1411" spans="2:2" x14ac:dyDescent="0.25">
      <c r="B1411">
        <f t="shared" si="27"/>
        <v>101</v>
      </c>
    </row>
    <row r="1412" spans="2:2" x14ac:dyDescent="0.25">
      <c r="B1412">
        <f t="shared" si="27"/>
        <v>102</v>
      </c>
    </row>
    <row r="1413" spans="2:2" x14ac:dyDescent="0.25">
      <c r="B1413">
        <f t="shared" si="27"/>
        <v>103</v>
      </c>
    </row>
    <row r="1414" spans="2:2" x14ac:dyDescent="0.25">
      <c r="B1414">
        <f t="shared" si="27"/>
        <v>104</v>
      </c>
    </row>
    <row r="1415" spans="2:2" x14ac:dyDescent="0.25">
      <c r="B1415">
        <f t="shared" si="27"/>
        <v>105</v>
      </c>
    </row>
    <row r="1416" spans="2:2" x14ac:dyDescent="0.25">
      <c r="B1416">
        <f t="shared" si="27"/>
        <v>106</v>
      </c>
    </row>
    <row r="1417" spans="2:2" x14ac:dyDescent="0.25">
      <c r="B1417">
        <f t="shared" si="27"/>
        <v>107</v>
      </c>
    </row>
    <row r="1418" spans="2:2" x14ac:dyDescent="0.25">
      <c r="B1418">
        <f t="shared" si="27"/>
        <v>108</v>
      </c>
    </row>
    <row r="1419" spans="2:2" x14ac:dyDescent="0.25">
      <c r="B1419">
        <f t="shared" si="27"/>
        <v>109</v>
      </c>
    </row>
    <row r="1420" spans="2:2" x14ac:dyDescent="0.25">
      <c r="B1420">
        <f t="shared" si="27"/>
        <v>110</v>
      </c>
    </row>
    <row r="1421" spans="2:2" x14ac:dyDescent="0.25">
      <c r="B1421">
        <f t="shared" si="27"/>
        <v>111</v>
      </c>
    </row>
    <row r="1422" spans="2:2" x14ac:dyDescent="0.25">
      <c r="B1422">
        <f t="shared" si="27"/>
        <v>112</v>
      </c>
    </row>
    <row r="1423" spans="2:2" x14ac:dyDescent="0.25">
      <c r="B1423">
        <f t="shared" si="27"/>
        <v>113</v>
      </c>
    </row>
    <row r="1424" spans="2:2" x14ac:dyDescent="0.25">
      <c r="B1424">
        <f t="shared" si="27"/>
        <v>114</v>
      </c>
    </row>
    <row r="1425" spans="2:2" x14ac:dyDescent="0.25">
      <c r="B1425">
        <f t="shared" si="27"/>
        <v>115</v>
      </c>
    </row>
    <row r="1426" spans="2:2" x14ac:dyDescent="0.25">
      <c r="B1426">
        <f t="shared" si="27"/>
        <v>116</v>
      </c>
    </row>
    <row r="1427" spans="2:2" x14ac:dyDescent="0.25">
      <c r="B1427">
        <f t="shared" si="27"/>
        <v>117</v>
      </c>
    </row>
    <row r="1428" spans="2:2" x14ac:dyDescent="0.25">
      <c r="B1428">
        <f t="shared" si="27"/>
        <v>118</v>
      </c>
    </row>
    <row r="1429" spans="2:2" x14ac:dyDescent="0.25">
      <c r="B1429">
        <f t="shared" si="27"/>
        <v>119</v>
      </c>
    </row>
    <row r="1430" spans="2:2" x14ac:dyDescent="0.25">
      <c r="B1430">
        <f t="shared" si="27"/>
        <v>120</v>
      </c>
    </row>
    <row r="1431" spans="2:2" x14ac:dyDescent="0.25">
      <c r="B1431">
        <f t="shared" si="27"/>
        <v>121</v>
      </c>
    </row>
    <row r="1432" spans="2:2" x14ac:dyDescent="0.25">
      <c r="B1432">
        <f t="shared" si="27"/>
        <v>122</v>
      </c>
    </row>
    <row r="1433" spans="2:2" x14ac:dyDescent="0.25">
      <c r="B1433">
        <f t="shared" si="27"/>
        <v>123</v>
      </c>
    </row>
    <row r="1434" spans="2:2" x14ac:dyDescent="0.25">
      <c r="B1434">
        <f t="shared" si="27"/>
        <v>124</v>
      </c>
    </row>
    <row r="1435" spans="2:2" x14ac:dyDescent="0.25">
      <c r="B1435">
        <f t="shared" si="27"/>
        <v>125</v>
      </c>
    </row>
    <row r="1436" spans="2:2" x14ac:dyDescent="0.25">
      <c r="B1436">
        <f t="shared" si="27"/>
        <v>126</v>
      </c>
    </row>
    <row r="1437" spans="2:2" x14ac:dyDescent="0.25">
      <c r="B1437">
        <f t="shared" si="27"/>
        <v>127</v>
      </c>
    </row>
    <row r="1438" spans="2:2" x14ac:dyDescent="0.25">
      <c r="B1438">
        <f t="shared" si="27"/>
        <v>128</v>
      </c>
    </row>
    <row r="1439" spans="2:2" x14ac:dyDescent="0.25">
      <c r="B1439">
        <f t="shared" ref="B1439:B1440" si="28">IF(A1439=A1438,B1438+1,2007)</f>
        <v>129</v>
      </c>
    </row>
    <row r="1440" spans="2:2" x14ac:dyDescent="0.25">
      <c r="B1440">
        <f t="shared" si="28"/>
        <v>130</v>
      </c>
    </row>
    <row r="1441" spans="1:1" ht="14.4" x14ac:dyDescent="0.3">
      <c r="A1441" s="16"/>
    </row>
    <row r="1442" spans="1:1" ht="14.4" x14ac:dyDescent="0.3">
      <c r="A1442" s="16"/>
    </row>
    <row r="1443" spans="1:1" ht="14.4" x14ac:dyDescent="0.3">
      <c r="A1443" s="16"/>
    </row>
    <row r="1444" spans="1:1" ht="14.4" x14ac:dyDescent="0.3">
      <c r="A1444" s="16"/>
    </row>
    <row r="1445" spans="1:1" ht="14.4" x14ac:dyDescent="0.3">
      <c r="A1445" s="16"/>
    </row>
    <row r="1446" spans="1:1" ht="14.4" x14ac:dyDescent="0.3">
      <c r="A1446" s="16"/>
    </row>
    <row r="1447" spans="1:1" ht="14.4" x14ac:dyDescent="0.3">
      <c r="A1447" s="16"/>
    </row>
  </sheetData>
  <autoFilter ref="A1:F1" xr:uid="{960C99F4-3218-4194-9805-94C2AF18E368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B413-00C4-4CDA-B264-F7D0BA4E89A4}">
  <dimension ref="G2:T79"/>
  <sheetViews>
    <sheetView topLeftCell="F1" zoomScale="99" zoomScaleNormal="70" workbookViewId="0">
      <selection activeCell="S5" sqref="S5"/>
    </sheetView>
  </sheetViews>
  <sheetFormatPr defaultRowHeight="13.2" x14ac:dyDescent="0.25"/>
  <cols>
    <col min="1" max="7" width="8.88671875" style="20"/>
    <col min="8" max="8" width="19" style="20" customWidth="1"/>
    <col min="9" max="14" width="0" style="20" hidden="1" customWidth="1"/>
    <col min="15" max="18" width="8.88671875" style="20"/>
    <col min="19" max="19" width="8.88671875" style="20" customWidth="1"/>
    <col min="20" max="16384" width="8.88671875" style="20"/>
  </cols>
  <sheetData>
    <row r="2" spans="7:20" ht="13.8" thickBot="1" x14ac:dyDescent="0.3"/>
    <row r="3" spans="7:20" ht="24.6" thickTop="1" x14ac:dyDescent="0.25">
      <c r="G3" s="28" t="s">
        <v>344</v>
      </c>
      <c r="H3" s="28" t="s">
        <v>22</v>
      </c>
      <c r="I3" s="22" t="s">
        <v>786</v>
      </c>
      <c r="J3" s="23" t="s">
        <v>787</v>
      </c>
      <c r="K3" s="22" t="s">
        <v>788</v>
      </c>
      <c r="L3" s="22" t="s">
        <v>789</v>
      </c>
      <c r="M3" s="22" t="s">
        <v>790</v>
      </c>
      <c r="N3" s="21" t="s">
        <v>791</v>
      </c>
      <c r="O3" s="23" t="s">
        <v>792</v>
      </c>
      <c r="P3" s="28" t="s">
        <v>793</v>
      </c>
      <c r="Q3" s="28" t="s">
        <v>794</v>
      </c>
      <c r="R3" s="28" t="s">
        <v>795</v>
      </c>
      <c r="S3" s="20" t="s">
        <v>799</v>
      </c>
      <c r="T3" s="20" t="s">
        <v>800</v>
      </c>
    </row>
    <row r="4" spans="7:20" ht="13.8" thickBot="1" x14ac:dyDescent="0.3">
      <c r="G4" s="24">
        <v>19</v>
      </c>
      <c r="H4" s="25" t="s">
        <v>27</v>
      </c>
      <c r="I4" s="26">
        <v>0.87</v>
      </c>
      <c r="J4" s="27">
        <v>0.95</v>
      </c>
      <c r="K4" s="26">
        <v>0.95</v>
      </c>
      <c r="L4" s="26">
        <v>0.98</v>
      </c>
      <c r="M4" s="25">
        <v>1</v>
      </c>
      <c r="N4" s="27">
        <v>0.88</v>
      </c>
      <c r="O4" s="26">
        <v>0.79</v>
      </c>
      <c r="P4" s="27">
        <v>0.98</v>
      </c>
      <c r="Q4" s="26">
        <v>0.63</v>
      </c>
      <c r="R4" s="25">
        <v>0.8</v>
      </c>
      <c r="S4" s="20" t="s">
        <v>801</v>
      </c>
    </row>
    <row r="5" spans="7:20" ht="13.8" thickTop="1" x14ac:dyDescent="0.25">
      <c r="G5" s="21">
        <v>60</v>
      </c>
      <c r="H5" s="45" t="s">
        <v>28</v>
      </c>
      <c r="I5" s="50">
        <v>0.59</v>
      </c>
      <c r="J5" s="51">
        <v>0.95</v>
      </c>
      <c r="K5" s="50">
        <v>0.95</v>
      </c>
      <c r="L5" s="48">
        <v>1</v>
      </c>
      <c r="M5" s="50">
        <v>1</v>
      </c>
      <c r="N5" s="50">
        <v>0.88</v>
      </c>
      <c r="O5" s="48">
        <v>0.37</v>
      </c>
      <c r="P5" s="50">
        <v>0.79</v>
      </c>
      <c r="Q5" s="50">
        <v>0.66</v>
      </c>
      <c r="R5" s="50">
        <v>0.1</v>
      </c>
    </row>
    <row r="6" spans="7:20" ht="13.8" thickBot="1" x14ac:dyDescent="0.3">
      <c r="G6" s="24">
        <v>61</v>
      </c>
      <c r="H6" s="27" t="s">
        <v>31</v>
      </c>
      <c r="I6" s="27">
        <v>0.57999999999999996</v>
      </c>
      <c r="J6" s="26">
        <v>0.44</v>
      </c>
      <c r="K6" s="27">
        <v>0.48</v>
      </c>
      <c r="L6" s="25">
        <v>0.73</v>
      </c>
      <c r="M6" s="27">
        <v>0.51</v>
      </c>
      <c r="N6" s="27">
        <v>0.2</v>
      </c>
      <c r="O6" s="25">
        <v>0.77</v>
      </c>
      <c r="P6" s="27">
        <v>0.69</v>
      </c>
      <c r="Q6" s="27">
        <v>0.94</v>
      </c>
      <c r="R6" s="27">
        <v>0.7</v>
      </c>
    </row>
    <row r="7" spans="7:20" ht="14.4" thickTop="1" thickBot="1" x14ac:dyDescent="0.3">
      <c r="G7" s="24">
        <v>27</v>
      </c>
      <c r="H7" s="25" t="s">
        <v>35</v>
      </c>
      <c r="I7" s="26">
        <v>0.82</v>
      </c>
      <c r="J7" s="27">
        <v>0.95</v>
      </c>
      <c r="K7" s="26">
        <v>1</v>
      </c>
      <c r="L7" s="26">
        <v>0.99</v>
      </c>
      <c r="M7" s="26">
        <v>1</v>
      </c>
      <c r="N7" s="27">
        <v>0.83</v>
      </c>
      <c r="O7" s="25">
        <v>0.71</v>
      </c>
      <c r="P7" s="27">
        <v>1</v>
      </c>
      <c r="Q7" s="26">
        <v>0.6</v>
      </c>
      <c r="R7" s="26">
        <v>0.6</v>
      </c>
    </row>
    <row r="8" spans="7:20" ht="14.4" thickTop="1" thickBot="1" x14ac:dyDescent="0.3">
      <c r="G8" s="24">
        <v>51</v>
      </c>
      <c r="H8" s="25" t="s">
        <v>39</v>
      </c>
      <c r="I8" s="26">
        <v>0.67</v>
      </c>
      <c r="J8" s="27">
        <v>0.98</v>
      </c>
      <c r="K8" s="26">
        <v>0.98</v>
      </c>
      <c r="L8" s="26">
        <v>1</v>
      </c>
      <c r="M8" s="26">
        <v>0.98</v>
      </c>
      <c r="N8" s="27">
        <v>0.95</v>
      </c>
      <c r="O8" s="25">
        <v>0.46</v>
      </c>
      <c r="P8" s="27">
        <v>1</v>
      </c>
      <c r="Q8" s="26">
        <v>0.4</v>
      </c>
      <c r="R8" s="26">
        <v>0.25</v>
      </c>
    </row>
    <row r="9" spans="7:20" ht="14.4" thickTop="1" thickBot="1" x14ac:dyDescent="0.3">
      <c r="G9" s="24">
        <v>46</v>
      </c>
      <c r="H9" s="35" t="s">
        <v>42</v>
      </c>
      <c r="I9" s="31">
        <v>0.72</v>
      </c>
      <c r="J9" s="32">
        <v>0.81</v>
      </c>
      <c r="K9" s="31">
        <v>0.99</v>
      </c>
      <c r="L9" s="31">
        <v>0.87</v>
      </c>
      <c r="M9" s="31">
        <v>0.74</v>
      </c>
      <c r="N9" s="32">
        <v>0.69</v>
      </c>
      <c r="O9" s="29">
        <v>0.63</v>
      </c>
      <c r="P9" s="32">
        <v>0.72</v>
      </c>
      <c r="Q9" s="31">
        <v>0.72</v>
      </c>
      <c r="R9" s="31">
        <v>0.48</v>
      </c>
    </row>
    <row r="10" spans="7:20" ht="14.4" thickTop="1" thickBot="1" x14ac:dyDescent="0.3">
      <c r="G10" s="24">
        <v>26</v>
      </c>
      <c r="H10" s="29" t="s">
        <v>44</v>
      </c>
      <c r="I10" s="31">
        <v>0.84</v>
      </c>
      <c r="J10" s="32">
        <v>0.99</v>
      </c>
      <c r="K10" s="31">
        <v>1</v>
      </c>
      <c r="L10" s="31">
        <v>1</v>
      </c>
      <c r="M10" s="31">
        <v>1</v>
      </c>
      <c r="N10" s="32">
        <v>0.96</v>
      </c>
      <c r="O10" s="29">
        <v>0.71</v>
      </c>
      <c r="P10" s="32">
        <v>1</v>
      </c>
      <c r="Q10" s="31">
        <v>0.95</v>
      </c>
      <c r="R10" s="31">
        <v>0.38</v>
      </c>
    </row>
    <row r="11" spans="7:20" ht="13.8" thickTop="1" x14ac:dyDescent="0.25">
      <c r="G11" s="21">
        <v>54</v>
      </c>
      <c r="H11" s="45" t="s">
        <v>47</v>
      </c>
      <c r="I11" s="50">
        <v>0.65</v>
      </c>
      <c r="J11" s="51">
        <v>0.64</v>
      </c>
      <c r="K11" s="50">
        <v>0.6</v>
      </c>
      <c r="L11" s="48">
        <v>0.93</v>
      </c>
      <c r="M11" s="50">
        <v>0.53</v>
      </c>
      <c r="N11" s="50">
        <v>0.56000000000000005</v>
      </c>
      <c r="O11" s="48">
        <v>0.67</v>
      </c>
      <c r="P11" s="50">
        <v>0.39</v>
      </c>
      <c r="Q11" s="50">
        <v>0.89</v>
      </c>
      <c r="R11" s="50">
        <v>0.86</v>
      </c>
    </row>
    <row r="12" spans="7:20" ht="13.8" thickBot="1" x14ac:dyDescent="0.3">
      <c r="G12" s="24">
        <v>17</v>
      </c>
      <c r="H12" s="25" t="s">
        <v>305</v>
      </c>
      <c r="I12" s="26">
        <v>0.87</v>
      </c>
      <c r="J12" s="27">
        <v>0.89</v>
      </c>
      <c r="K12" s="26">
        <v>0.94</v>
      </c>
      <c r="L12" s="26">
        <v>0.83</v>
      </c>
      <c r="M12" s="25">
        <v>0.92</v>
      </c>
      <c r="N12" s="27">
        <v>0.88</v>
      </c>
      <c r="O12" s="26">
        <v>0.85</v>
      </c>
      <c r="P12" s="27">
        <v>0.93</v>
      </c>
      <c r="Q12" s="26">
        <v>0.72</v>
      </c>
      <c r="R12" s="25">
        <v>0.9</v>
      </c>
    </row>
    <row r="13" spans="7:20" ht="14.4" thickTop="1" thickBot="1" x14ac:dyDescent="0.3">
      <c r="G13" s="24">
        <v>8</v>
      </c>
      <c r="H13" s="35" t="s">
        <v>51</v>
      </c>
      <c r="I13" s="49">
        <v>0.9</v>
      </c>
      <c r="J13" s="49">
        <v>0.95</v>
      </c>
      <c r="K13" s="49">
        <v>0.96</v>
      </c>
      <c r="L13" s="49">
        <v>1</v>
      </c>
      <c r="M13" s="49">
        <v>1</v>
      </c>
      <c r="N13" s="49">
        <v>0.86</v>
      </c>
      <c r="O13" s="49">
        <v>0.86</v>
      </c>
      <c r="P13" s="49">
        <v>0.98</v>
      </c>
      <c r="Q13" s="49">
        <v>0.92</v>
      </c>
      <c r="R13" s="49">
        <v>0.7</v>
      </c>
    </row>
    <row r="14" spans="7:20" ht="14.4" thickTop="1" thickBot="1" x14ac:dyDescent="0.3">
      <c r="G14" s="24">
        <v>30</v>
      </c>
      <c r="H14" s="29" t="s">
        <v>52</v>
      </c>
      <c r="I14" s="31">
        <v>0.81</v>
      </c>
      <c r="J14" s="32">
        <v>0.76</v>
      </c>
      <c r="K14" s="31">
        <v>0.92</v>
      </c>
      <c r="L14" s="31">
        <v>0.72</v>
      </c>
      <c r="M14" s="31">
        <v>0.9</v>
      </c>
      <c r="N14" s="32">
        <v>0.56000000000000005</v>
      </c>
      <c r="O14" s="29">
        <v>0.87</v>
      </c>
      <c r="P14" s="32">
        <v>0.85</v>
      </c>
      <c r="Q14" s="31">
        <v>1</v>
      </c>
      <c r="R14" s="31">
        <v>0.78</v>
      </c>
    </row>
    <row r="15" spans="7:20" ht="14.4" thickTop="1" thickBot="1" x14ac:dyDescent="0.3">
      <c r="G15" s="24">
        <v>4</v>
      </c>
      <c r="H15" s="30" t="s">
        <v>53</v>
      </c>
      <c r="I15" s="31">
        <v>0.92</v>
      </c>
      <c r="J15" s="32">
        <v>0.96</v>
      </c>
      <c r="K15" s="31">
        <v>1</v>
      </c>
      <c r="L15" s="31">
        <v>0.98</v>
      </c>
      <c r="M15" s="29">
        <v>0.99</v>
      </c>
      <c r="N15" s="32">
        <v>0.86</v>
      </c>
      <c r="O15" s="31">
        <v>0.88</v>
      </c>
      <c r="P15" s="32">
        <v>0.94</v>
      </c>
      <c r="Q15" s="33" t="s">
        <v>796</v>
      </c>
      <c r="R15" s="34" t="s">
        <v>798</v>
      </c>
    </row>
    <row r="16" spans="7:20" ht="14.4" thickTop="1" thickBot="1" x14ac:dyDescent="0.3">
      <c r="G16" s="24">
        <v>69</v>
      </c>
      <c r="H16" s="27" t="s">
        <v>57</v>
      </c>
      <c r="I16" s="27">
        <v>0.5</v>
      </c>
      <c r="J16" s="26">
        <v>0.39</v>
      </c>
      <c r="K16" s="27">
        <v>0.38</v>
      </c>
      <c r="L16" s="25">
        <v>0.77</v>
      </c>
      <c r="M16" s="27">
        <v>0.21</v>
      </c>
      <c r="N16" s="27">
        <v>0.39</v>
      </c>
      <c r="O16" s="25">
        <v>0.65</v>
      </c>
      <c r="P16" s="27">
        <v>0.39</v>
      </c>
      <c r="Q16" s="27">
        <v>0.97</v>
      </c>
      <c r="R16" s="27">
        <v>0.71</v>
      </c>
    </row>
    <row r="17" spans="7:18" ht="14.4" thickTop="1" thickBot="1" x14ac:dyDescent="0.3">
      <c r="G17" s="24">
        <v>39</v>
      </c>
      <c r="H17" s="25" t="s">
        <v>59</v>
      </c>
      <c r="I17" s="26">
        <v>0.75</v>
      </c>
      <c r="J17" s="27">
        <v>0.71</v>
      </c>
      <c r="K17" s="26">
        <v>0.74</v>
      </c>
      <c r="L17" s="26">
        <v>0.94</v>
      </c>
      <c r="M17" s="26">
        <v>0.76</v>
      </c>
      <c r="N17" s="27">
        <v>0.49</v>
      </c>
      <c r="O17" s="25">
        <v>0.8</v>
      </c>
      <c r="P17" s="27">
        <v>0.82</v>
      </c>
      <c r="Q17" s="26">
        <v>1</v>
      </c>
      <c r="R17" s="26">
        <v>0.62</v>
      </c>
    </row>
    <row r="18" spans="7:18" ht="14.4" thickTop="1" thickBot="1" x14ac:dyDescent="0.3">
      <c r="G18" s="24">
        <v>42</v>
      </c>
      <c r="H18" s="29" t="s">
        <v>60</v>
      </c>
      <c r="I18" s="31">
        <v>0.73</v>
      </c>
      <c r="J18" s="32">
        <v>0.67</v>
      </c>
      <c r="K18" s="31">
        <v>0.63</v>
      </c>
      <c r="L18" s="31">
        <v>0.94</v>
      </c>
      <c r="M18" s="31">
        <v>0.59</v>
      </c>
      <c r="N18" s="32">
        <v>0.56000000000000005</v>
      </c>
      <c r="O18" s="29">
        <v>0.8</v>
      </c>
      <c r="P18" s="32">
        <v>0.76</v>
      </c>
      <c r="Q18" s="31">
        <v>0.97</v>
      </c>
      <c r="R18" s="31">
        <v>0.71</v>
      </c>
    </row>
    <row r="19" spans="7:18" ht="14.4" thickTop="1" thickBot="1" x14ac:dyDescent="0.3">
      <c r="G19" s="24">
        <v>74</v>
      </c>
      <c r="H19" s="32" t="s">
        <v>65</v>
      </c>
      <c r="I19" s="32">
        <v>0.36</v>
      </c>
      <c r="J19" s="31">
        <v>0.28999999999999998</v>
      </c>
      <c r="K19" s="32">
        <v>0.41</v>
      </c>
      <c r="L19" s="29">
        <v>0.56000000000000005</v>
      </c>
      <c r="M19" s="32">
        <v>0.11</v>
      </c>
      <c r="N19" s="32">
        <v>0.26</v>
      </c>
      <c r="O19" s="29">
        <v>0.44</v>
      </c>
      <c r="P19" s="32">
        <v>0.18</v>
      </c>
      <c r="Q19" s="32">
        <v>0.85</v>
      </c>
      <c r="R19" s="32">
        <v>0.57999999999999996</v>
      </c>
    </row>
    <row r="20" spans="7:18" ht="14.4" thickTop="1" thickBot="1" x14ac:dyDescent="0.3">
      <c r="G20" s="24">
        <v>72</v>
      </c>
      <c r="H20" s="32" t="s">
        <v>68</v>
      </c>
      <c r="I20" s="32">
        <v>0.39</v>
      </c>
      <c r="J20" s="31">
        <v>0.97</v>
      </c>
      <c r="K20" s="32">
        <v>0.98</v>
      </c>
      <c r="L20" s="29">
        <v>1</v>
      </c>
      <c r="M20" s="32">
        <v>0.96</v>
      </c>
      <c r="N20" s="32">
        <v>0.94</v>
      </c>
      <c r="O20" s="29">
        <v>0.15</v>
      </c>
      <c r="P20" s="32">
        <v>0.97</v>
      </c>
      <c r="Q20" s="32">
        <v>0.38</v>
      </c>
      <c r="R20" s="32">
        <v>0.01</v>
      </c>
    </row>
    <row r="21" spans="7:18" ht="14.4" thickTop="1" thickBot="1" x14ac:dyDescent="0.3">
      <c r="G21" s="24">
        <v>5</v>
      </c>
      <c r="H21" s="25" t="s">
        <v>71</v>
      </c>
      <c r="I21" s="26">
        <v>0.91</v>
      </c>
      <c r="J21" s="27">
        <v>0.92</v>
      </c>
      <c r="K21" s="26">
        <v>0.98</v>
      </c>
      <c r="L21" s="26">
        <v>0.92</v>
      </c>
      <c r="M21" s="25">
        <v>0.96</v>
      </c>
      <c r="N21" s="27">
        <v>0.83</v>
      </c>
      <c r="O21" s="26">
        <v>0.91</v>
      </c>
      <c r="P21" s="27">
        <v>0.95</v>
      </c>
      <c r="Q21" s="26">
        <v>0.92</v>
      </c>
      <c r="R21" s="25">
        <v>0.85</v>
      </c>
    </row>
    <row r="22" spans="7:18" ht="14.4" thickTop="1" thickBot="1" x14ac:dyDescent="0.3">
      <c r="G22" s="24">
        <v>7</v>
      </c>
      <c r="H22" s="25" t="s">
        <v>75</v>
      </c>
      <c r="I22" s="26">
        <v>0.91</v>
      </c>
      <c r="J22" s="27">
        <v>0.96</v>
      </c>
      <c r="K22" s="26">
        <v>1</v>
      </c>
      <c r="L22" s="26">
        <v>0.99</v>
      </c>
      <c r="M22" s="25">
        <v>1</v>
      </c>
      <c r="N22" s="27">
        <v>0.88</v>
      </c>
      <c r="O22" s="26">
        <v>0.85</v>
      </c>
      <c r="P22" s="27">
        <v>0.98</v>
      </c>
      <c r="Q22" s="26">
        <v>0.89</v>
      </c>
      <c r="R22" s="25">
        <v>0.71</v>
      </c>
    </row>
    <row r="23" spans="7:18" ht="14.4" thickTop="1" thickBot="1" x14ac:dyDescent="0.3">
      <c r="G23" s="36">
        <v>33</v>
      </c>
      <c r="H23" s="46" t="s">
        <v>76</v>
      </c>
      <c r="I23" s="40">
        <v>0.78</v>
      </c>
      <c r="J23" s="39">
        <v>0.75</v>
      </c>
      <c r="K23" s="40">
        <v>0.67</v>
      </c>
      <c r="L23" s="40">
        <v>0.97</v>
      </c>
      <c r="M23" s="40">
        <v>0.73</v>
      </c>
      <c r="N23" s="39">
        <v>0.67</v>
      </c>
      <c r="O23" s="41">
        <v>0.81</v>
      </c>
      <c r="P23" s="39">
        <v>0.89</v>
      </c>
      <c r="Q23" s="40">
        <v>0.69</v>
      </c>
      <c r="R23" s="40">
        <v>0.86</v>
      </c>
    </row>
    <row r="24" spans="7:18" ht="25.2" thickTop="1" thickBot="1" x14ac:dyDescent="0.3">
      <c r="G24" s="43">
        <v>71</v>
      </c>
      <c r="H24" s="47" t="s">
        <v>83</v>
      </c>
      <c r="I24" s="27">
        <v>0.43</v>
      </c>
      <c r="J24" s="26">
        <v>0.23</v>
      </c>
      <c r="K24" s="27">
        <v>0.2</v>
      </c>
      <c r="L24" s="25">
        <v>0.45</v>
      </c>
      <c r="M24" s="27">
        <v>0.35</v>
      </c>
      <c r="N24" s="27">
        <v>0.09</v>
      </c>
      <c r="O24" s="25">
        <v>0.82</v>
      </c>
      <c r="P24" s="27">
        <v>0.78</v>
      </c>
      <c r="Q24" s="27">
        <v>0.94</v>
      </c>
      <c r="R24" s="27">
        <v>0.75</v>
      </c>
    </row>
    <row r="25" spans="7:18" ht="14.4" thickTop="1" thickBot="1" x14ac:dyDescent="0.3">
      <c r="G25" s="42">
        <v>2</v>
      </c>
      <c r="H25" s="35" t="s">
        <v>87</v>
      </c>
      <c r="I25" s="49">
        <v>0.94</v>
      </c>
      <c r="J25" s="49">
        <v>0.96</v>
      </c>
      <c r="K25" s="49">
        <v>0.97</v>
      </c>
      <c r="L25" s="49">
        <v>0.94</v>
      </c>
      <c r="M25" s="49">
        <v>1</v>
      </c>
      <c r="N25" s="49">
        <v>0.93</v>
      </c>
      <c r="O25" s="49">
        <v>0.93</v>
      </c>
      <c r="P25" s="49">
        <v>0.95</v>
      </c>
      <c r="Q25" s="52" t="s">
        <v>796</v>
      </c>
      <c r="R25" s="52" t="s">
        <v>797</v>
      </c>
    </row>
    <row r="26" spans="7:18" ht="14.4" thickTop="1" thickBot="1" x14ac:dyDescent="0.3">
      <c r="G26" s="24">
        <v>15</v>
      </c>
      <c r="H26" s="25" t="s">
        <v>88</v>
      </c>
      <c r="I26" s="26">
        <v>0.87</v>
      </c>
      <c r="J26" s="27">
        <v>0.91</v>
      </c>
      <c r="K26" s="26">
        <v>0.96</v>
      </c>
      <c r="L26" s="26">
        <v>0.81</v>
      </c>
      <c r="M26" s="25">
        <v>0.99</v>
      </c>
      <c r="N26" s="27">
        <v>0.87</v>
      </c>
      <c r="O26" s="26">
        <v>0.84</v>
      </c>
      <c r="P26" s="27">
        <v>0.94</v>
      </c>
      <c r="Q26" s="26">
        <v>0.82</v>
      </c>
      <c r="R26" s="25">
        <v>0.78</v>
      </c>
    </row>
    <row r="27" spans="7:18" ht="13.8" thickBot="1" x14ac:dyDescent="0.3">
      <c r="G27" s="24">
        <v>50</v>
      </c>
      <c r="H27" s="30" t="s">
        <v>89</v>
      </c>
      <c r="I27" s="31">
        <v>0.67</v>
      </c>
      <c r="J27" s="32">
        <v>0.92</v>
      </c>
      <c r="K27" s="31">
        <v>1</v>
      </c>
      <c r="L27" s="31">
        <v>0.96</v>
      </c>
      <c r="M27" s="31">
        <v>0.99</v>
      </c>
      <c r="N27" s="32">
        <v>0.74</v>
      </c>
      <c r="O27" s="29">
        <v>0.5</v>
      </c>
      <c r="P27" s="32">
        <v>0.7</v>
      </c>
      <c r="Q27" s="31">
        <v>0.82</v>
      </c>
      <c r="R27" s="31">
        <v>0.22</v>
      </c>
    </row>
    <row r="28" spans="7:18" ht="14.4" thickTop="1" thickBot="1" x14ac:dyDescent="0.3">
      <c r="G28" s="24">
        <v>6</v>
      </c>
      <c r="H28" s="35" t="s">
        <v>90</v>
      </c>
      <c r="I28" s="31">
        <v>0.91</v>
      </c>
      <c r="J28" s="32">
        <v>0.95</v>
      </c>
      <c r="K28" s="31">
        <v>0.99</v>
      </c>
      <c r="L28" s="31">
        <v>0.92</v>
      </c>
      <c r="M28" s="29">
        <v>0.93</v>
      </c>
      <c r="N28" s="32">
        <v>0.94</v>
      </c>
      <c r="O28" s="31">
        <v>0.87</v>
      </c>
      <c r="P28" s="32">
        <v>0.89</v>
      </c>
      <c r="Q28" s="31">
        <v>1</v>
      </c>
      <c r="R28" s="29">
        <v>0.75</v>
      </c>
    </row>
    <row r="29" spans="7:18" ht="14.4" thickTop="1" thickBot="1" x14ac:dyDescent="0.3">
      <c r="G29" s="24">
        <v>37</v>
      </c>
      <c r="H29" s="25" t="s">
        <v>94</v>
      </c>
      <c r="I29" s="26">
        <v>0.77</v>
      </c>
      <c r="J29" s="27">
        <v>0.68</v>
      </c>
      <c r="K29" s="26">
        <v>0.68</v>
      </c>
      <c r="L29" s="26">
        <v>0.88</v>
      </c>
      <c r="M29" s="26">
        <v>0.9</v>
      </c>
      <c r="N29" s="27">
        <v>0.4</v>
      </c>
      <c r="O29" s="25">
        <v>0.86</v>
      </c>
      <c r="P29" s="27">
        <v>0.88</v>
      </c>
      <c r="Q29" s="26">
        <v>1</v>
      </c>
      <c r="R29" s="26">
        <v>0.72</v>
      </c>
    </row>
    <row r="30" spans="7:18" ht="14.4" thickTop="1" thickBot="1" x14ac:dyDescent="0.3">
      <c r="G30" s="24">
        <v>68</v>
      </c>
      <c r="H30" s="32" t="s">
        <v>95</v>
      </c>
      <c r="I30" s="32">
        <v>0.51</v>
      </c>
      <c r="J30" s="31">
        <v>0.43</v>
      </c>
      <c r="K30" s="32">
        <v>0.41</v>
      </c>
      <c r="L30" s="29">
        <v>0.67</v>
      </c>
      <c r="M30" s="32">
        <v>0.26</v>
      </c>
      <c r="N30" s="32">
        <v>0.47</v>
      </c>
      <c r="O30" s="29">
        <v>0.6</v>
      </c>
      <c r="P30" s="32">
        <v>0.46</v>
      </c>
      <c r="Q30" s="32">
        <v>0.86</v>
      </c>
      <c r="R30" s="32">
        <v>0.56000000000000005</v>
      </c>
    </row>
    <row r="31" spans="7:18" ht="14.4" thickTop="1" thickBot="1" x14ac:dyDescent="0.3">
      <c r="G31" s="24">
        <v>41</v>
      </c>
      <c r="H31" s="25" t="s">
        <v>103</v>
      </c>
      <c r="I31" s="26">
        <v>0.74</v>
      </c>
      <c r="J31" s="27">
        <v>0.78</v>
      </c>
      <c r="K31" s="26">
        <v>0.83</v>
      </c>
      <c r="L31" s="26">
        <v>0.72</v>
      </c>
      <c r="M31" s="26">
        <v>0.9</v>
      </c>
      <c r="N31" s="27">
        <v>0.67</v>
      </c>
      <c r="O31" s="25">
        <v>0.71</v>
      </c>
      <c r="P31" s="27">
        <v>0.53</v>
      </c>
      <c r="Q31" s="26">
        <v>0.82</v>
      </c>
      <c r="R31" s="26">
        <v>0.84</v>
      </c>
    </row>
    <row r="32" spans="7:18" ht="14.4" thickTop="1" thickBot="1" x14ac:dyDescent="0.3">
      <c r="G32" s="24">
        <v>18</v>
      </c>
      <c r="H32" s="29" t="s">
        <v>104</v>
      </c>
      <c r="I32" s="31">
        <v>0.87</v>
      </c>
      <c r="J32" s="32">
        <v>0.91</v>
      </c>
      <c r="K32" s="31">
        <v>0.95</v>
      </c>
      <c r="L32" s="31">
        <v>0.93</v>
      </c>
      <c r="M32" s="29">
        <v>1</v>
      </c>
      <c r="N32" s="32">
        <v>0.79</v>
      </c>
      <c r="O32" s="31">
        <v>0.82</v>
      </c>
      <c r="P32" s="32">
        <v>1</v>
      </c>
      <c r="Q32" s="31">
        <v>0.97</v>
      </c>
      <c r="R32" s="29">
        <v>0.57999999999999996</v>
      </c>
    </row>
    <row r="33" spans="7:18" ht="14.4" thickTop="1" thickBot="1" x14ac:dyDescent="0.3">
      <c r="G33" s="24">
        <v>22</v>
      </c>
      <c r="H33" s="29" t="s">
        <v>106</v>
      </c>
      <c r="I33" s="31">
        <v>0.86</v>
      </c>
      <c r="J33" s="32">
        <v>0.86</v>
      </c>
      <c r="K33" s="31">
        <v>0.87</v>
      </c>
      <c r="L33" s="31">
        <v>0.98</v>
      </c>
      <c r="M33" s="31">
        <v>0.85</v>
      </c>
      <c r="N33" s="32">
        <v>0.75</v>
      </c>
      <c r="O33" s="29">
        <v>0.86</v>
      </c>
      <c r="P33" s="32">
        <v>0.78</v>
      </c>
      <c r="Q33" s="31">
        <v>0.97</v>
      </c>
      <c r="R33" s="31">
        <v>0.83</v>
      </c>
    </row>
    <row r="34" spans="7:18" ht="14.4" thickTop="1" thickBot="1" x14ac:dyDescent="0.3">
      <c r="G34" s="24">
        <v>23</v>
      </c>
      <c r="H34" s="37" t="s">
        <v>112</v>
      </c>
      <c r="I34" s="26">
        <v>0.85</v>
      </c>
      <c r="J34" s="27">
        <v>0.84</v>
      </c>
      <c r="K34" s="26">
        <v>0.95</v>
      </c>
      <c r="L34" s="26">
        <v>0.8</v>
      </c>
      <c r="M34" s="26">
        <v>0.75</v>
      </c>
      <c r="N34" s="27">
        <v>0.87</v>
      </c>
      <c r="O34" s="25">
        <v>0.86</v>
      </c>
      <c r="P34" s="27">
        <v>0.81</v>
      </c>
      <c r="Q34" s="26">
        <v>1</v>
      </c>
      <c r="R34" s="26">
        <v>0.8</v>
      </c>
    </row>
    <row r="35" spans="7:18" ht="14.4" thickTop="1" thickBot="1" x14ac:dyDescent="0.3">
      <c r="G35" s="24">
        <v>9</v>
      </c>
      <c r="H35" s="25" t="s">
        <v>116</v>
      </c>
      <c r="I35" s="26">
        <v>0.9</v>
      </c>
      <c r="J35" s="27">
        <v>0.94</v>
      </c>
      <c r="K35" s="26">
        <v>0.96</v>
      </c>
      <c r="L35" s="26">
        <v>0.96</v>
      </c>
      <c r="M35" s="25">
        <v>0.98</v>
      </c>
      <c r="N35" s="27">
        <v>0.84</v>
      </c>
      <c r="O35" s="26">
        <v>0.86</v>
      </c>
      <c r="P35" s="27">
        <v>0.87</v>
      </c>
      <c r="Q35" s="26">
        <v>1</v>
      </c>
      <c r="R35" s="25">
        <v>0.73</v>
      </c>
    </row>
    <row r="36" spans="7:18" ht="14.4" thickTop="1" thickBot="1" x14ac:dyDescent="0.3">
      <c r="G36" s="24">
        <v>32</v>
      </c>
      <c r="H36" s="29" t="s">
        <v>118</v>
      </c>
      <c r="I36" s="31">
        <v>0.8</v>
      </c>
      <c r="J36" s="32">
        <v>0.8</v>
      </c>
      <c r="K36" s="31">
        <v>0.96</v>
      </c>
      <c r="L36" s="31">
        <v>0.81</v>
      </c>
      <c r="M36" s="31">
        <v>0.75</v>
      </c>
      <c r="N36" s="32">
        <v>0.7</v>
      </c>
      <c r="O36" s="29">
        <v>0.8</v>
      </c>
      <c r="P36" s="32">
        <v>0.87</v>
      </c>
      <c r="Q36" s="31">
        <v>0.75</v>
      </c>
      <c r="R36" s="31">
        <v>0.78</v>
      </c>
    </row>
    <row r="37" spans="7:18" ht="14.4" thickTop="1" thickBot="1" x14ac:dyDescent="0.3">
      <c r="G37" s="24">
        <v>59</v>
      </c>
      <c r="H37" s="27" t="s">
        <v>121</v>
      </c>
      <c r="I37" s="27">
        <v>0.6</v>
      </c>
      <c r="J37" s="26">
        <v>0.81</v>
      </c>
      <c r="K37" s="27">
        <v>0.93</v>
      </c>
      <c r="L37" s="25">
        <v>0.8</v>
      </c>
      <c r="M37" s="27">
        <v>0.98</v>
      </c>
      <c r="N37" s="27">
        <v>0.59</v>
      </c>
      <c r="O37" s="25">
        <v>0.45</v>
      </c>
      <c r="P37" s="27">
        <v>0.71</v>
      </c>
      <c r="Q37" s="27">
        <v>0.34</v>
      </c>
      <c r="R37" s="27">
        <v>0.38</v>
      </c>
    </row>
    <row r="38" spans="7:18" ht="14.4" thickTop="1" thickBot="1" x14ac:dyDescent="0.3">
      <c r="G38" s="24">
        <v>52</v>
      </c>
      <c r="H38" s="35" t="s">
        <v>122</v>
      </c>
      <c r="I38" s="31">
        <v>0.67</v>
      </c>
      <c r="J38" s="32">
        <v>0.91</v>
      </c>
      <c r="K38" s="31">
        <v>0.94</v>
      </c>
      <c r="L38" s="31">
        <v>0.94</v>
      </c>
      <c r="M38" s="31">
        <v>0.99</v>
      </c>
      <c r="N38" s="32">
        <v>0.78</v>
      </c>
      <c r="O38" s="29">
        <v>0.5</v>
      </c>
      <c r="P38" s="32">
        <v>0.96</v>
      </c>
      <c r="Q38" s="31">
        <v>0.85</v>
      </c>
      <c r="R38" s="31">
        <v>0.15</v>
      </c>
    </row>
    <row r="39" spans="7:18" ht="14.4" thickTop="1" thickBot="1" x14ac:dyDescent="0.3">
      <c r="G39" s="24">
        <v>21</v>
      </c>
      <c r="H39" s="25" t="s">
        <v>129</v>
      </c>
      <c r="I39" s="26">
        <v>0.86</v>
      </c>
      <c r="J39" s="27">
        <v>0.9</v>
      </c>
      <c r="K39" s="26">
        <v>0.9</v>
      </c>
      <c r="L39" s="26">
        <v>0.94</v>
      </c>
      <c r="M39" s="26">
        <v>0.9</v>
      </c>
      <c r="N39" s="27">
        <v>0.87</v>
      </c>
      <c r="O39" s="25">
        <v>0.82</v>
      </c>
      <c r="P39" s="27">
        <v>0.87</v>
      </c>
      <c r="Q39" s="26">
        <v>0.8</v>
      </c>
      <c r="R39" s="26">
        <v>0.78</v>
      </c>
    </row>
    <row r="40" spans="7:18" ht="14.4" thickTop="1" thickBot="1" x14ac:dyDescent="0.3">
      <c r="G40" s="24">
        <v>35</v>
      </c>
      <c r="H40" s="25" t="s">
        <v>132</v>
      </c>
      <c r="I40" s="26">
        <v>0.78</v>
      </c>
      <c r="J40" s="27">
        <v>0.89</v>
      </c>
      <c r="K40" s="26">
        <v>1</v>
      </c>
      <c r="L40" s="26">
        <v>0.79</v>
      </c>
      <c r="M40" s="26">
        <v>1</v>
      </c>
      <c r="N40" s="27">
        <v>0.81</v>
      </c>
      <c r="O40" s="25">
        <v>0.67</v>
      </c>
      <c r="P40" s="27">
        <v>0.98</v>
      </c>
      <c r="Q40" s="26">
        <v>0.65</v>
      </c>
      <c r="R40" s="26">
        <v>0.48</v>
      </c>
    </row>
    <row r="41" spans="7:18" ht="14.4" thickTop="1" thickBot="1" x14ac:dyDescent="0.3">
      <c r="G41" s="24">
        <v>55</v>
      </c>
      <c r="H41" s="27" t="s">
        <v>134</v>
      </c>
      <c r="I41" s="27">
        <v>0.65</v>
      </c>
      <c r="J41" s="26">
        <v>0.53</v>
      </c>
      <c r="K41" s="27">
        <v>0.55000000000000004</v>
      </c>
      <c r="L41" s="25">
        <v>0.64</v>
      </c>
      <c r="M41" s="27">
        <v>0.59</v>
      </c>
      <c r="N41" s="27">
        <v>0.38</v>
      </c>
      <c r="O41" s="25">
        <v>0.79</v>
      </c>
      <c r="P41" s="27">
        <v>0.8</v>
      </c>
      <c r="Q41" s="27">
        <v>0.92</v>
      </c>
      <c r="R41" s="27">
        <v>0.66</v>
      </c>
    </row>
    <row r="42" spans="7:18" ht="14.4" thickTop="1" thickBot="1" x14ac:dyDescent="0.3">
      <c r="G42" s="24">
        <v>29</v>
      </c>
      <c r="H42" s="37" t="s">
        <v>137</v>
      </c>
      <c r="I42" s="26">
        <v>0.82</v>
      </c>
      <c r="J42" s="27">
        <v>0.92</v>
      </c>
      <c r="K42" s="26">
        <v>0.9</v>
      </c>
      <c r="L42" s="26">
        <v>0.96</v>
      </c>
      <c r="M42" s="26">
        <v>1</v>
      </c>
      <c r="N42" s="27">
        <v>0.84</v>
      </c>
      <c r="O42" s="25">
        <v>0.73</v>
      </c>
      <c r="P42" s="27">
        <v>1</v>
      </c>
      <c r="Q42" s="26">
        <v>1</v>
      </c>
      <c r="R42" s="26">
        <v>0.39</v>
      </c>
    </row>
    <row r="43" spans="7:18" ht="14.4" thickTop="1" thickBot="1" x14ac:dyDescent="0.3">
      <c r="G43" s="24">
        <v>43</v>
      </c>
      <c r="H43" s="27" t="s">
        <v>314</v>
      </c>
      <c r="I43" s="26">
        <v>0.73</v>
      </c>
      <c r="J43" s="27">
        <v>0.81</v>
      </c>
      <c r="K43" s="26">
        <v>0.83</v>
      </c>
      <c r="L43" s="26">
        <v>0.96</v>
      </c>
      <c r="M43" s="26">
        <v>0.87</v>
      </c>
      <c r="N43" s="27">
        <v>0.62</v>
      </c>
      <c r="O43" s="25">
        <v>0.65</v>
      </c>
      <c r="P43" s="27">
        <v>0.85</v>
      </c>
      <c r="Q43" s="26">
        <v>0.92</v>
      </c>
      <c r="R43" s="26">
        <v>0.35</v>
      </c>
    </row>
    <row r="44" spans="7:18" ht="14.4" thickTop="1" thickBot="1" x14ac:dyDescent="0.3">
      <c r="G44" s="24">
        <v>44</v>
      </c>
      <c r="H44" s="29" t="s">
        <v>141</v>
      </c>
      <c r="I44" s="31">
        <v>0.73</v>
      </c>
      <c r="J44" s="32">
        <v>0.6</v>
      </c>
      <c r="K44" s="31">
        <v>0.69</v>
      </c>
      <c r="L44" s="31">
        <v>0.53</v>
      </c>
      <c r="M44" s="31">
        <v>0.82</v>
      </c>
      <c r="N44" s="32">
        <v>0.44</v>
      </c>
      <c r="O44" s="29">
        <v>0.88</v>
      </c>
      <c r="P44" s="32">
        <v>0.79</v>
      </c>
      <c r="Q44" s="31">
        <v>1</v>
      </c>
      <c r="R44" s="31">
        <v>0.86</v>
      </c>
    </row>
    <row r="45" spans="7:18" ht="14.4" thickTop="1" thickBot="1" x14ac:dyDescent="0.3">
      <c r="G45" s="24">
        <v>67</v>
      </c>
      <c r="H45" s="27" t="s">
        <v>142</v>
      </c>
      <c r="I45" s="27">
        <v>0.52</v>
      </c>
      <c r="J45" s="26">
        <v>0.42</v>
      </c>
      <c r="K45" s="27">
        <v>0.71</v>
      </c>
      <c r="L45" s="25">
        <v>0.48</v>
      </c>
      <c r="M45" s="27">
        <v>0.6</v>
      </c>
      <c r="N45" s="27">
        <v>0.16</v>
      </c>
      <c r="O45" s="25">
        <v>0.63</v>
      </c>
      <c r="P45" s="27">
        <v>0.42</v>
      </c>
      <c r="Q45" s="27">
        <v>0.72</v>
      </c>
      <c r="R45" s="27">
        <v>0.84</v>
      </c>
    </row>
    <row r="46" spans="7:18" ht="14.4" thickTop="1" thickBot="1" x14ac:dyDescent="0.3">
      <c r="G46" s="24">
        <v>73</v>
      </c>
      <c r="H46" s="27" t="s">
        <v>147</v>
      </c>
      <c r="I46" s="27">
        <v>0.36</v>
      </c>
      <c r="J46" s="26">
        <v>0.18</v>
      </c>
      <c r="K46" s="27">
        <v>0.43</v>
      </c>
      <c r="L46" s="25">
        <v>0.33</v>
      </c>
      <c r="M46" s="27">
        <v>0.32</v>
      </c>
      <c r="N46" s="27">
        <v>0.02</v>
      </c>
      <c r="O46" s="25">
        <v>0.74</v>
      </c>
      <c r="P46" s="27">
        <v>0.74</v>
      </c>
      <c r="Q46" s="27">
        <v>0.78</v>
      </c>
      <c r="R46" s="27">
        <v>0.7</v>
      </c>
    </row>
    <row r="47" spans="7:18" ht="14.4" thickTop="1" thickBot="1" x14ac:dyDescent="0.3">
      <c r="G47" s="24">
        <v>66</v>
      </c>
      <c r="H47" s="32" t="s">
        <v>148</v>
      </c>
      <c r="I47" s="32">
        <v>0.52</v>
      </c>
      <c r="J47" s="31">
        <v>0.35</v>
      </c>
      <c r="K47" s="32">
        <v>0.66</v>
      </c>
      <c r="L47" s="29">
        <v>0.78</v>
      </c>
      <c r="M47" s="32">
        <v>0.61</v>
      </c>
      <c r="N47" s="32">
        <v>0.05</v>
      </c>
      <c r="O47" s="29">
        <v>0.78</v>
      </c>
      <c r="P47" s="32">
        <v>0.63</v>
      </c>
      <c r="Q47" s="32">
        <v>1</v>
      </c>
      <c r="R47" s="32">
        <v>0.76</v>
      </c>
    </row>
    <row r="48" spans="7:18" ht="14.4" thickTop="1" thickBot="1" x14ac:dyDescent="0.3">
      <c r="G48" s="24">
        <v>65</v>
      </c>
      <c r="H48" s="27" t="s">
        <v>151</v>
      </c>
      <c r="I48" s="27">
        <v>0.52</v>
      </c>
      <c r="J48" s="26">
        <v>0.56999999999999995</v>
      </c>
      <c r="K48" s="27">
        <v>0.81</v>
      </c>
      <c r="L48" s="25">
        <v>0.89</v>
      </c>
      <c r="M48" s="27">
        <v>0.33</v>
      </c>
      <c r="N48" s="27">
        <v>0.45</v>
      </c>
      <c r="O48" s="25">
        <v>0.48</v>
      </c>
      <c r="P48" s="27">
        <v>0.22</v>
      </c>
      <c r="Q48" s="27">
        <v>0.68</v>
      </c>
      <c r="R48" s="27">
        <v>0.73</v>
      </c>
    </row>
    <row r="49" spans="7:18" ht="14.4" thickTop="1" thickBot="1" x14ac:dyDescent="0.3">
      <c r="G49" s="24">
        <v>36</v>
      </c>
      <c r="H49" s="29" t="s">
        <v>158</v>
      </c>
      <c r="I49" s="31">
        <v>0.78</v>
      </c>
      <c r="J49" s="32">
        <v>0.73</v>
      </c>
      <c r="K49" s="31">
        <v>1</v>
      </c>
      <c r="L49" s="31">
        <v>0.95</v>
      </c>
      <c r="M49" s="31">
        <v>0.33</v>
      </c>
      <c r="N49" s="32">
        <v>0.89</v>
      </c>
      <c r="O49" s="29">
        <v>0.83</v>
      </c>
      <c r="P49" s="32">
        <v>0.95</v>
      </c>
      <c r="Q49" s="31">
        <v>0.92</v>
      </c>
      <c r="R49" s="31">
        <v>0.65</v>
      </c>
    </row>
    <row r="50" spans="7:18" ht="14.4" thickTop="1" thickBot="1" x14ac:dyDescent="0.3">
      <c r="G50" s="24">
        <v>16</v>
      </c>
      <c r="H50" s="29" t="s">
        <v>318</v>
      </c>
      <c r="I50" s="31">
        <v>0.87</v>
      </c>
      <c r="J50" s="32">
        <v>0.96</v>
      </c>
      <c r="K50" s="31">
        <v>0.91</v>
      </c>
      <c r="L50" s="31">
        <v>0.94</v>
      </c>
      <c r="M50" s="29">
        <v>0.99</v>
      </c>
      <c r="N50" s="32">
        <v>0.98</v>
      </c>
      <c r="O50" s="31">
        <v>0.8</v>
      </c>
      <c r="P50" s="32">
        <v>1</v>
      </c>
      <c r="Q50" s="31">
        <v>1</v>
      </c>
      <c r="R50" s="29">
        <v>0.51</v>
      </c>
    </row>
    <row r="51" spans="7:18" ht="14.4" thickTop="1" thickBot="1" x14ac:dyDescent="0.3">
      <c r="G51" s="24">
        <v>13</v>
      </c>
      <c r="H51" s="25" t="s">
        <v>161</v>
      </c>
      <c r="I51" s="26">
        <v>0.89</v>
      </c>
      <c r="J51" s="27">
        <v>0.9</v>
      </c>
      <c r="K51" s="26">
        <v>0.81</v>
      </c>
      <c r="L51" s="26">
        <v>0.98</v>
      </c>
      <c r="M51" s="25">
        <v>0.93</v>
      </c>
      <c r="N51" s="27">
        <v>0.9</v>
      </c>
      <c r="O51" s="26">
        <v>0.88</v>
      </c>
      <c r="P51" s="27">
        <v>0.99</v>
      </c>
      <c r="Q51" s="26">
        <v>1</v>
      </c>
      <c r="R51" s="25">
        <v>0.68</v>
      </c>
    </row>
    <row r="52" spans="7:18" ht="14.4" thickTop="1" thickBot="1" x14ac:dyDescent="0.3">
      <c r="G52" s="24">
        <v>14</v>
      </c>
      <c r="H52" s="35" t="s">
        <v>162</v>
      </c>
      <c r="I52" s="31">
        <v>0.88</v>
      </c>
      <c r="J52" s="32">
        <v>0.96</v>
      </c>
      <c r="K52" s="31">
        <v>1</v>
      </c>
      <c r="L52" s="31">
        <v>1</v>
      </c>
      <c r="M52" s="29">
        <v>1</v>
      </c>
      <c r="N52" s="32">
        <v>0.84</v>
      </c>
      <c r="O52" s="31">
        <v>0.81</v>
      </c>
      <c r="P52" s="32">
        <v>0.99</v>
      </c>
      <c r="Q52" s="31">
        <v>0.88</v>
      </c>
      <c r="R52" s="29">
        <v>0.61</v>
      </c>
    </row>
    <row r="53" spans="7:18" ht="14.4" thickTop="1" thickBot="1" x14ac:dyDescent="0.3">
      <c r="G53" s="24">
        <v>70</v>
      </c>
      <c r="H53" s="32" t="s">
        <v>165</v>
      </c>
      <c r="I53" s="32">
        <v>0.49</v>
      </c>
      <c r="J53" s="31">
        <v>0.31</v>
      </c>
      <c r="K53" s="32">
        <v>0.55000000000000004</v>
      </c>
      <c r="L53" s="29">
        <v>0.56000000000000005</v>
      </c>
      <c r="M53" s="32">
        <v>0.23</v>
      </c>
      <c r="N53" s="32">
        <v>0.14000000000000001</v>
      </c>
      <c r="O53" s="29">
        <v>0.75</v>
      </c>
      <c r="P53" s="32">
        <v>0.59</v>
      </c>
      <c r="Q53" s="32">
        <v>1</v>
      </c>
      <c r="R53" s="32">
        <v>0.72</v>
      </c>
    </row>
    <row r="54" spans="7:18" ht="14.4" thickTop="1" thickBot="1" x14ac:dyDescent="0.3">
      <c r="G54" s="24">
        <v>31</v>
      </c>
      <c r="H54" s="25" t="s">
        <v>167</v>
      </c>
      <c r="I54" s="26">
        <v>0.81</v>
      </c>
      <c r="J54" s="27">
        <v>0.71</v>
      </c>
      <c r="K54" s="26">
        <v>0.84</v>
      </c>
      <c r="L54" s="26">
        <v>0.77</v>
      </c>
      <c r="M54" s="26">
        <v>0.65</v>
      </c>
      <c r="N54" s="27">
        <v>0.59</v>
      </c>
      <c r="O54" s="25">
        <v>0.92</v>
      </c>
      <c r="P54" s="27">
        <v>0.91</v>
      </c>
      <c r="Q54" s="26">
        <v>1</v>
      </c>
      <c r="R54" s="26">
        <v>0.86</v>
      </c>
    </row>
    <row r="55" spans="7:18" ht="14.4" thickTop="1" thickBot="1" x14ac:dyDescent="0.3">
      <c r="G55" s="24">
        <v>47</v>
      </c>
      <c r="H55" s="25" t="s">
        <v>169</v>
      </c>
      <c r="I55" s="26">
        <v>0.72</v>
      </c>
      <c r="J55" s="27">
        <v>0.8</v>
      </c>
      <c r="K55" s="26">
        <v>0.9</v>
      </c>
      <c r="L55" s="26">
        <v>0.96</v>
      </c>
      <c r="M55" s="26">
        <v>0.82</v>
      </c>
      <c r="N55" s="27">
        <v>0.59</v>
      </c>
      <c r="O55" s="25">
        <v>0.64</v>
      </c>
      <c r="P55" s="27">
        <v>0.68</v>
      </c>
      <c r="Q55" s="26">
        <v>0.77</v>
      </c>
      <c r="R55" s="26">
        <v>0.49</v>
      </c>
    </row>
    <row r="56" spans="7:18" ht="14.4" thickTop="1" thickBot="1" x14ac:dyDescent="0.3">
      <c r="G56" s="36">
        <v>75</v>
      </c>
      <c r="H56" s="39" t="s">
        <v>174</v>
      </c>
      <c r="I56" s="39">
        <v>0.3</v>
      </c>
      <c r="J56" s="40">
        <v>0.18</v>
      </c>
      <c r="K56" s="39">
        <v>0.37</v>
      </c>
      <c r="L56" s="41">
        <v>0.75</v>
      </c>
      <c r="M56" s="39">
        <v>0.02</v>
      </c>
      <c r="N56" s="39">
        <v>0.2</v>
      </c>
      <c r="O56" s="41">
        <v>0.5</v>
      </c>
      <c r="P56" s="39">
        <v>0.3</v>
      </c>
      <c r="Q56" s="39">
        <v>0.75</v>
      </c>
      <c r="R56" s="39">
        <v>0.56999999999999995</v>
      </c>
    </row>
    <row r="57" spans="7:18" ht="14.4" thickTop="1" thickBot="1" x14ac:dyDescent="0.3">
      <c r="G57" s="24">
        <v>58</v>
      </c>
      <c r="H57" s="32" t="s">
        <v>175</v>
      </c>
      <c r="I57" s="32">
        <v>0.6</v>
      </c>
      <c r="J57" s="31">
        <v>0.57999999999999996</v>
      </c>
      <c r="K57" s="32">
        <v>0.76</v>
      </c>
      <c r="L57" s="29">
        <v>0.85</v>
      </c>
      <c r="M57" s="32">
        <v>0.64</v>
      </c>
      <c r="N57" s="32">
        <v>0.28000000000000003</v>
      </c>
      <c r="O57" s="29">
        <v>0.63</v>
      </c>
      <c r="P57" s="32">
        <v>0.56999999999999995</v>
      </c>
      <c r="Q57" s="32">
        <v>0.8</v>
      </c>
      <c r="R57" s="32">
        <v>0.54</v>
      </c>
    </row>
    <row r="58" spans="7:18" ht="14.4" thickTop="1" thickBot="1" x14ac:dyDescent="0.3">
      <c r="G58" s="24">
        <v>62</v>
      </c>
      <c r="H58" s="32" t="s">
        <v>182</v>
      </c>
      <c r="I58" s="32">
        <v>0.56000000000000005</v>
      </c>
      <c r="J58" s="31">
        <v>0.74</v>
      </c>
      <c r="K58" s="32">
        <v>0.9</v>
      </c>
      <c r="L58" s="29">
        <v>0.79</v>
      </c>
      <c r="M58" s="32">
        <v>0.66</v>
      </c>
      <c r="N58" s="32">
        <v>0.63</v>
      </c>
      <c r="O58" s="29">
        <v>0.42</v>
      </c>
      <c r="P58" s="32">
        <v>0.53</v>
      </c>
      <c r="Q58" s="32">
        <v>0.45</v>
      </c>
      <c r="R58" s="32">
        <v>0.31</v>
      </c>
    </row>
    <row r="59" spans="7:18" ht="14.4" thickTop="1" thickBot="1" x14ac:dyDescent="0.3">
      <c r="G59" s="24">
        <v>3</v>
      </c>
      <c r="H59" s="25" t="s">
        <v>187</v>
      </c>
      <c r="I59" s="26">
        <v>0.92</v>
      </c>
      <c r="J59" s="27">
        <v>0.95</v>
      </c>
      <c r="K59" s="26">
        <v>1</v>
      </c>
      <c r="L59" s="26">
        <v>0.91</v>
      </c>
      <c r="M59" s="25">
        <v>0.96</v>
      </c>
      <c r="N59" s="27">
        <v>0.92</v>
      </c>
      <c r="O59" s="26">
        <v>0.9</v>
      </c>
      <c r="P59" s="27">
        <v>0.94</v>
      </c>
      <c r="Q59" s="26">
        <v>0.92</v>
      </c>
      <c r="R59" s="25">
        <v>0.83</v>
      </c>
    </row>
    <row r="60" spans="7:18" ht="14.4" thickTop="1" thickBot="1" x14ac:dyDescent="0.3">
      <c r="G60" s="24">
        <v>25</v>
      </c>
      <c r="H60" s="27" t="s">
        <v>188</v>
      </c>
      <c r="I60" s="26">
        <v>0.84</v>
      </c>
      <c r="J60" s="27">
        <v>0.84</v>
      </c>
      <c r="K60" s="26">
        <v>0.95</v>
      </c>
      <c r="L60" s="26">
        <v>0.92</v>
      </c>
      <c r="M60" s="26">
        <v>0.66</v>
      </c>
      <c r="N60" s="27">
        <v>0.88</v>
      </c>
      <c r="O60" s="25">
        <v>0.84</v>
      </c>
      <c r="P60" s="27">
        <v>0.94</v>
      </c>
      <c r="Q60" s="26">
        <v>0.75</v>
      </c>
      <c r="R60" s="26">
        <v>0.83</v>
      </c>
    </row>
    <row r="61" spans="7:18" ht="14.4" thickTop="1" thickBot="1" x14ac:dyDescent="0.3">
      <c r="G61" s="24">
        <v>10</v>
      </c>
      <c r="H61" s="35" t="s">
        <v>189</v>
      </c>
      <c r="I61" s="31">
        <v>0.9</v>
      </c>
      <c r="J61" s="32">
        <v>0.9</v>
      </c>
      <c r="K61" s="31">
        <v>0.95</v>
      </c>
      <c r="L61" s="31">
        <v>0.96</v>
      </c>
      <c r="M61" s="29">
        <v>0.95</v>
      </c>
      <c r="N61" s="32">
        <v>0.77</v>
      </c>
      <c r="O61" s="31">
        <v>0.89</v>
      </c>
      <c r="P61" s="32">
        <v>0.96</v>
      </c>
      <c r="Q61" s="31">
        <v>0.98</v>
      </c>
      <c r="R61" s="29">
        <v>0.75</v>
      </c>
    </row>
    <row r="62" spans="7:18" ht="14.4" thickTop="1" thickBot="1" x14ac:dyDescent="0.3">
      <c r="G62" s="24">
        <v>57</v>
      </c>
      <c r="H62" s="27" t="s">
        <v>200</v>
      </c>
      <c r="I62" s="27">
        <v>0.61</v>
      </c>
      <c r="J62" s="26">
        <v>0.5</v>
      </c>
      <c r="K62" s="27">
        <v>0.57999999999999996</v>
      </c>
      <c r="L62" s="25">
        <v>0.51</v>
      </c>
      <c r="M62" s="27">
        <v>0.95</v>
      </c>
      <c r="N62" s="27">
        <v>0.23</v>
      </c>
      <c r="O62" s="25">
        <v>0.74</v>
      </c>
      <c r="P62" s="27">
        <v>0.73</v>
      </c>
      <c r="Q62" s="27">
        <v>0.91</v>
      </c>
      <c r="R62" s="27">
        <v>0.6</v>
      </c>
    </row>
    <row r="63" spans="7:18" ht="14.4" thickTop="1" thickBot="1" x14ac:dyDescent="0.3">
      <c r="G63" s="24">
        <v>40</v>
      </c>
      <c r="H63" s="29" t="s">
        <v>212</v>
      </c>
      <c r="I63" s="31">
        <v>0.75</v>
      </c>
      <c r="J63" s="32">
        <v>0.78</v>
      </c>
      <c r="K63" s="31">
        <v>0.84</v>
      </c>
      <c r="L63" s="31">
        <v>0.93</v>
      </c>
      <c r="M63" s="31">
        <v>0.75</v>
      </c>
      <c r="N63" s="32">
        <v>0.64</v>
      </c>
      <c r="O63" s="29">
        <v>0.72</v>
      </c>
      <c r="P63" s="32">
        <v>0.51</v>
      </c>
      <c r="Q63" s="31">
        <v>0.8</v>
      </c>
      <c r="R63" s="31">
        <v>0.9</v>
      </c>
    </row>
    <row r="64" spans="7:18" ht="14.4" thickTop="1" thickBot="1" x14ac:dyDescent="0.3">
      <c r="G64" s="24">
        <v>11</v>
      </c>
      <c r="H64" s="25" t="s">
        <v>213</v>
      </c>
      <c r="I64" s="26">
        <v>0.9</v>
      </c>
      <c r="J64" s="27">
        <v>0.96</v>
      </c>
      <c r="K64" s="26">
        <v>0.96</v>
      </c>
      <c r="L64" s="26">
        <v>0.99</v>
      </c>
      <c r="M64" s="25">
        <v>1</v>
      </c>
      <c r="N64" s="27">
        <v>0.9</v>
      </c>
      <c r="O64" s="26">
        <v>0.83</v>
      </c>
      <c r="P64" s="27">
        <v>0.99</v>
      </c>
      <c r="Q64" s="26">
        <v>0.88</v>
      </c>
      <c r="R64" s="25">
        <v>0.67</v>
      </c>
    </row>
    <row r="65" spans="7:18" ht="14.4" thickTop="1" thickBot="1" x14ac:dyDescent="0.3">
      <c r="G65" s="24">
        <v>64</v>
      </c>
      <c r="H65" s="32" t="s">
        <v>215</v>
      </c>
      <c r="I65" s="32">
        <v>0.53</v>
      </c>
      <c r="J65" s="31">
        <v>0.44</v>
      </c>
      <c r="K65" s="32">
        <v>0.57999999999999996</v>
      </c>
      <c r="L65" s="29">
        <v>0.64</v>
      </c>
      <c r="M65" s="32">
        <v>0.56000000000000005</v>
      </c>
      <c r="N65" s="32">
        <v>0.19</v>
      </c>
      <c r="O65" s="29">
        <v>0.62</v>
      </c>
      <c r="P65" s="32">
        <v>0.41</v>
      </c>
      <c r="Q65" s="32">
        <v>0.78</v>
      </c>
      <c r="R65" s="32">
        <v>0.75</v>
      </c>
    </row>
    <row r="66" spans="7:18" ht="14.4" thickTop="1" thickBot="1" x14ac:dyDescent="0.3">
      <c r="G66" s="24">
        <v>20</v>
      </c>
      <c r="H66" s="35" t="s">
        <v>222</v>
      </c>
      <c r="I66" s="31">
        <v>0.86</v>
      </c>
      <c r="J66" s="32">
        <v>0.82</v>
      </c>
      <c r="K66" s="31">
        <v>0.94</v>
      </c>
      <c r="L66" s="31">
        <v>0.94</v>
      </c>
      <c r="M66" s="31">
        <v>0.95</v>
      </c>
      <c r="N66" s="32">
        <v>0.54</v>
      </c>
      <c r="O66" s="29">
        <v>0.9</v>
      </c>
      <c r="P66" s="32">
        <v>0.94</v>
      </c>
      <c r="Q66" s="31">
        <v>0.98</v>
      </c>
      <c r="R66" s="31">
        <v>0.77</v>
      </c>
    </row>
    <row r="67" spans="7:18" ht="14.4" thickTop="1" thickBot="1" x14ac:dyDescent="0.3">
      <c r="G67" s="24">
        <v>28</v>
      </c>
      <c r="H67" s="29" t="s">
        <v>225</v>
      </c>
      <c r="I67" s="31">
        <v>0.82</v>
      </c>
      <c r="J67" s="32">
        <v>0.93</v>
      </c>
      <c r="K67" s="31">
        <v>0.88</v>
      </c>
      <c r="L67" s="31">
        <v>0.99</v>
      </c>
      <c r="M67" s="31">
        <v>0.98</v>
      </c>
      <c r="N67" s="32">
        <v>0.86</v>
      </c>
      <c r="O67" s="29">
        <v>0.73</v>
      </c>
      <c r="P67" s="32">
        <v>0.91</v>
      </c>
      <c r="Q67" s="31">
        <v>1</v>
      </c>
      <c r="R67" s="31">
        <v>0.42</v>
      </c>
    </row>
    <row r="68" spans="7:18" ht="14.4" thickTop="1" thickBot="1" x14ac:dyDescent="0.3">
      <c r="G68" s="24">
        <v>12</v>
      </c>
      <c r="H68" s="29" t="s">
        <v>227</v>
      </c>
      <c r="I68" s="31">
        <v>0.89</v>
      </c>
      <c r="J68" s="32">
        <v>0.87</v>
      </c>
      <c r="K68" s="31">
        <v>0.99</v>
      </c>
      <c r="L68" s="31">
        <v>0.92</v>
      </c>
      <c r="M68" s="29">
        <v>0.99</v>
      </c>
      <c r="N68" s="32">
        <v>0.64</v>
      </c>
      <c r="O68" s="31">
        <v>0.91</v>
      </c>
      <c r="P68" s="32">
        <v>0.94</v>
      </c>
      <c r="Q68" s="31">
        <v>0.89</v>
      </c>
      <c r="R68" s="29">
        <v>0.9</v>
      </c>
    </row>
    <row r="69" spans="7:18" ht="14.4" thickTop="1" thickBot="1" x14ac:dyDescent="0.3">
      <c r="G69" s="24">
        <v>48</v>
      </c>
      <c r="H69" s="29" t="s">
        <v>232</v>
      </c>
      <c r="I69" s="31">
        <v>0.69</v>
      </c>
      <c r="J69" s="32">
        <v>0.87</v>
      </c>
      <c r="K69" s="31">
        <v>0.79</v>
      </c>
      <c r="L69" s="31">
        <v>0.91</v>
      </c>
      <c r="M69" s="31">
        <v>0.94</v>
      </c>
      <c r="N69" s="32">
        <v>0.84</v>
      </c>
      <c r="O69" s="29">
        <v>0.54</v>
      </c>
      <c r="P69" s="32">
        <v>1</v>
      </c>
      <c r="Q69" s="31">
        <v>0.83</v>
      </c>
      <c r="R69" s="31">
        <v>0.19</v>
      </c>
    </row>
    <row r="70" spans="7:18" ht="14.4" thickTop="1" thickBot="1" x14ac:dyDescent="0.3">
      <c r="G70" s="24">
        <v>63</v>
      </c>
      <c r="H70" s="27" t="s">
        <v>325</v>
      </c>
      <c r="I70" s="27">
        <v>0.54</v>
      </c>
      <c r="J70" s="26">
        <v>0.43</v>
      </c>
      <c r="K70" s="27">
        <v>0.52</v>
      </c>
      <c r="L70" s="25">
        <v>0.71</v>
      </c>
      <c r="M70" s="27">
        <v>0.48</v>
      </c>
      <c r="N70" s="27">
        <v>0.19</v>
      </c>
      <c r="O70" s="25">
        <v>0.67</v>
      </c>
      <c r="P70" s="27">
        <v>0.8</v>
      </c>
      <c r="Q70" s="27">
        <v>0.85</v>
      </c>
      <c r="R70" s="27">
        <v>0.45</v>
      </c>
    </row>
    <row r="71" spans="7:18" ht="14.4" thickTop="1" thickBot="1" x14ac:dyDescent="0.3">
      <c r="G71" s="24">
        <v>24</v>
      </c>
      <c r="H71" s="29" t="s">
        <v>233</v>
      </c>
      <c r="I71" s="31">
        <v>0.85</v>
      </c>
      <c r="J71" s="32">
        <v>0.98</v>
      </c>
      <c r="K71" s="31">
        <v>1</v>
      </c>
      <c r="L71" s="31">
        <v>0.91</v>
      </c>
      <c r="M71" s="31">
        <v>1</v>
      </c>
      <c r="N71" s="32">
        <v>1</v>
      </c>
      <c r="O71" s="29">
        <v>0.74</v>
      </c>
      <c r="P71" s="32">
        <v>0.93</v>
      </c>
      <c r="Q71" s="31">
        <v>0.97</v>
      </c>
      <c r="R71" s="31">
        <v>0.45</v>
      </c>
    </row>
    <row r="72" spans="7:18" ht="14.4" thickTop="1" thickBot="1" x14ac:dyDescent="0.3">
      <c r="G72" s="24">
        <v>49</v>
      </c>
      <c r="H72" s="37" t="s">
        <v>234</v>
      </c>
      <c r="I72" s="26">
        <v>0.69</v>
      </c>
      <c r="J72" s="27">
        <v>0.59</v>
      </c>
      <c r="K72" s="26">
        <v>0.85</v>
      </c>
      <c r="L72" s="26">
        <v>0.65</v>
      </c>
      <c r="M72" s="26">
        <v>0.54</v>
      </c>
      <c r="N72" s="27">
        <v>0.39</v>
      </c>
      <c r="O72" s="25">
        <v>0.8</v>
      </c>
      <c r="P72" s="27">
        <v>0.66</v>
      </c>
      <c r="Q72" s="26">
        <v>0.89</v>
      </c>
      <c r="R72" s="26">
        <v>0.88</v>
      </c>
    </row>
    <row r="73" spans="7:18" ht="14.4" thickTop="1" thickBot="1" x14ac:dyDescent="0.3">
      <c r="G73" s="24">
        <v>45</v>
      </c>
      <c r="H73" s="38" t="s">
        <v>235</v>
      </c>
      <c r="I73" s="26">
        <v>0.72</v>
      </c>
      <c r="J73" s="27">
        <v>0.67</v>
      </c>
      <c r="K73" s="26">
        <v>0.65</v>
      </c>
      <c r="L73" s="26">
        <v>0.76</v>
      </c>
      <c r="M73" s="26">
        <v>0.73</v>
      </c>
      <c r="N73" s="27">
        <v>0.56999999999999995</v>
      </c>
      <c r="O73" s="25">
        <v>0.77</v>
      </c>
      <c r="P73" s="27">
        <v>0.62</v>
      </c>
      <c r="Q73" s="26">
        <v>0.98</v>
      </c>
      <c r="R73" s="26">
        <v>0.73</v>
      </c>
    </row>
    <row r="74" spans="7:18" ht="22.2" customHeight="1" thickTop="1" thickBot="1" x14ac:dyDescent="0.3">
      <c r="G74" s="44">
        <v>38</v>
      </c>
      <c r="H74" s="48" t="s">
        <v>239</v>
      </c>
      <c r="I74" s="31">
        <v>0.76</v>
      </c>
      <c r="J74" s="32">
        <v>0.95</v>
      </c>
      <c r="K74" s="31">
        <v>0.98</v>
      </c>
      <c r="L74" s="31">
        <v>0.99</v>
      </c>
      <c r="M74" s="31">
        <v>1</v>
      </c>
      <c r="N74" s="32">
        <v>0.83</v>
      </c>
      <c r="O74" s="29">
        <v>0.61</v>
      </c>
      <c r="P74" s="32">
        <v>0.81</v>
      </c>
      <c r="Q74" s="31">
        <v>0.83</v>
      </c>
      <c r="R74" s="31">
        <v>0.33</v>
      </c>
    </row>
    <row r="75" spans="7:18" ht="14.4" thickTop="1" thickBot="1" x14ac:dyDescent="0.3">
      <c r="G75" s="24">
        <v>34</v>
      </c>
      <c r="H75" s="29" t="s">
        <v>240</v>
      </c>
      <c r="I75" s="31">
        <v>0.78</v>
      </c>
      <c r="J75" s="32">
        <v>0.96</v>
      </c>
      <c r="K75" s="31">
        <v>0.98</v>
      </c>
      <c r="L75" s="31">
        <v>1</v>
      </c>
      <c r="M75" s="31">
        <v>0.98</v>
      </c>
      <c r="N75" s="32">
        <v>0.9</v>
      </c>
      <c r="O75" s="29">
        <v>0.63</v>
      </c>
      <c r="P75" s="32">
        <v>0.96</v>
      </c>
      <c r="Q75" s="31">
        <v>0.78</v>
      </c>
      <c r="R75" s="31">
        <v>0.33</v>
      </c>
    </row>
    <row r="76" spans="7:18" ht="14.4" thickTop="1" thickBot="1" x14ac:dyDescent="0.3">
      <c r="G76" s="24">
        <v>1</v>
      </c>
      <c r="H76" s="25" t="s">
        <v>251</v>
      </c>
      <c r="I76" s="26">
        <v>0.97</v>
      </c>
      <c r="J76" s="27">
        <v>0.98</v>
      </c>
      <c r="K76" s="26">
        <v>1</v>
      </c>
      <c r="L76" s="26">
        <v>1</v>
      </c>
      <c r="M76" s="25">
        <v>1</v>
      </c>
      <c r="N76" s="27">
        <v>0.92</v>
      </c>
      <c r="O76" s="26">
        <v>0.95</v>
      </c>
      <c r="P76" s="27">
        <v>0.99</v>
      </c>
      <c r="Q76" s="26">
        <v>1</v>
      </c>
      <c r="R76" s="25">
        <v>0.88</v>
      </c>
    </row>
    <row r="77" spans="7:18" ht="14.4" thickTop="1" thickBot="1" x14ac:dyDescent="0.3">
      <c r="G77" s="24">
        <v>53</v>
      </c>
      <c r="H77" s="27" t="s">
        <v>330</v>
      </c>
      <c r="I77" s="27">
        <v>0.66</v>
      </c>
      <c r="J77" s="26">
        <v>0.79</v>
      </c>
      <c r="K77" s="27">
        <v>0.99</v>
      </c>
      <c r="L77" s="25">
        <v>0.95</v>
      </c>
      <c r="M77" s="27">
        <v>0.45</v>
      </c>
      <c r="N77" s="27">
        <v>0.93</v>
      </c>
      <c r="O77" s="25">
        <v>0.55000000000000004</v>
      </c>
      <c r="P77" s="27">
        <v>0.95</v>
      </c>
      <c r="Q77" s="27">
        <v>0.54</v>
      </c>
      <c r="R77" s="27">
        <v>0.33</v>
      </c>
    </row>
    <row r="78" spans="7:18" ht="14.4" thickTop="1" thickBot="1" x14ac:dyDescent="0.3">
      <c r="G78" s="24">
        <v>56</v>
      </c>
      <c r="H78" s="32" t="s">
        <v>259</v>
      </c>
      <c r="I78" s="32">
        <v>0.61</v>
      </c>
      <c r="J78" s="31">
        <v>0.45</v>
      </c>
      <c r="K78" s="32">
        <v>0.62</v>
      </c>
      <c r="L78" s="29">
        <v>0.57999999999999996</v>
      </c>
      <c r="M78" s="32">
        <v>0.56000000000000005</v>
      </c>
      <c r="N78" s="32">
        <v>0.21</v>
      </c>
      <c r="O78" s="29">
        <v>0.83</v>
      </c>
      <c r="P78" s="32">
        <v>0.86</v>
      </c>
      <c r="Q78" s="32">
        <v>1</v>
      </c>
      <c r="R78" s="32">
        <v>0.66</v>
      </c>
    </row>
    <row r="79" spans="7:18" ht="13.8" thickTop="1" x14ac:dyDescent="0.25"/>
  </sheetData>
  <autoFilter ref="G3:R3" xr:uid="{41C0B413-00C4-4CDA-B264-F7D0BA4E89A4}">
    <sortState xmlns:xlrd2="http://schemas.microsoft.com/office/spreadsheetml/2017/richdata2" ref="G4:R78">
      <sortCondition ref="H3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938B-F513-40CB-B21A-B36F45992B7A}">
  <dimension ref="A1:M76"/>
  <sheetViews>
    <sheetView tabSelected="1" workbookViewId="0">
      <selection activeCell="D15" sqref="D15:H18"/>
    </sheetView>
  </sheetViews>
  <sheetFormatPr defaultRowHeight="13.2" x14ac:dyDescent="0.25"/>
  <cols>
    <col min="2" max="7" width="8.88671875" customWidth="1"/>
  </cols>
  <sheetData>
    <row r="1" spans="1:13" ht="24.6" thickTop="1" x14ac:dyDescent="0.25">
      <c r="A1" s="28" t="s">
        <v>22</v>
      </c>
      <c r="B1" s="22" t="s">
        <v>786</v>
      </c>
      <c r="C1" s="23" t="s">
        <v>787</v>
      </c>
      <c r="D1" s="22" t="s">
        <v>788</v>
      </c>
      <c r="E1" s="22" t="s">
        <v>789</v>
      </c>
      <c r="F1" s="22" t="s">
        <v>790</v>
      </c>
      <c r="G1" s="21" t="s">
        <v>791</v>
      </c>
      <c r="H1" s="23" t="s">
        <v>792</v>
      </c>
      <c r="I1" s="28" t="s">
        <v>793</v>
      </c>
      <c r="J1" s="28" t="s">
        <v>794</v>
      </c>
      <c r="K1" s="28" t="s">
        <v>795</v>
      </c>
      <c r="L1" s="53" t="s">
        <v>799</v>
      </c>
      <c r="M1" s="53" t="s">
        <v>803</v>
      </c>
    </row>
    <row r="2" spans="1:13" ht="13.8" thickBot="1" x14ac:dyDescent="0.3">
      <c r="A2" s="25" t="s">
        <v>27</v>
      </c>
      <c r="B2" s="26">
        <v>0.87</v>
      </c>
      <c r="C2" s="27">
        <v>0.95</v>
      </c>
      <c r="D2" s="26">
        <v>0.95</v>
      </c>
      <c r="E2" s="26">
        <v>0.98</v>
      </c>
      <c r="F2" s="25">
        <v>1</v>
      </c>
      <c r="G2" s="27">
        <v>0.88</v>
      </c>
      <c r="H2" s="26">
        <v>0.79</v>
      </c>
      <c r="I2" s="27">
        <v>0.98</v>
      </c>
      <c r="J2" s="26">
        <v>0.63</v>
      </c>
      <c r="K2" s="25">
        <v>0.8</v>
      </c>
      <c r="L2">
        <f>VLOOKUP(A2,[1]Sheet1!$A$3:$B$228,2,0)</f>
        <v>20018.303</v>
      </c>
      <c r="M2">
        <f>LOG(L2,10)</f>
        <v>4.3014272585092614</v>
      </c>
    </row>
    <row r="3" spans="1:13" ht="13.8" thickTop="1" x14ac:dyDescent="0.25">
      <c r="A3" s="45" t="s">
        <v>28</v>
      </c>
      <c r="B3" s="50">
        <v>0.59</v>
      </c>
      <c r="C3" s="51">
        <v>0.95</v>
      </c>
      <c r="D3" s="50">
        <v>0.95</v>
      </c>
      <c r="E3" s="48">
        <v>1</v>
      </c>
      <c r="F3" s="50">
        <v>1</v>
      </c>
      <c r="G3" s="50">
        <v>0.88</v>
      </c>
      <c r="H3" s="48">
        <v>0.37</v>
      </c>
      <c r="I3" s="50">
        <v>0.79</v>
      </c>
      <c r="J3" s="50">
        <v>0.66</v>
      </c>
      <c r="K3" s="50">
        <v>0.1</v>
      </c>
      <c r="L3">
        <f>VLOOKUP(A3,[1]Sheet1!$A$3:$B$228,2,0)</f>
        <v>16900.135999999999</v>
      </c>
      <c r="M3">
        <f t="shared" ref="M3:M66" si="0">LOG(L3,10)</f>
        <v>4.2278901995137845</v>
      </c>
    </row>
    <row r="4" spans="1:13" ht="13.8" thickBot="1" x14ac:dyDescent="0.3">
      <c r="A4" s="27" t="s">
        <v>31</v>
      </c>
      <c r="B4" s="27">
        <v>0.57999999999999996</v>
      </c>
      <c r="C4" s="26">
        <v>0.44</v>
      </c>
      <c r="D4" s="27">
        <v>0.48</v>
      </c>
      <c r="E4" s="25">
        <v>0.73</v>
      </c>
      <c r="F4" s="27">
        <v>0.51</v>
      </c>
      <c r="G4" s="27">
        <v>0.2</v>
      </c>
      <c r="H4" s="25">
        <v>0.77</v>
      </c>
      <c r="I4" s="27">
        <v>0.69</v>
      </c>
      <c r="J4" s="27">
        <v>0.94</v>
      </c>
      <c r="K4" s="27">
        <v>0.7</v>
      </c>
      <c r="L4">
        <f>VLOOKUP(A4,[1]Sheet1!$A$3:$B$228,2,0)</f>
        <v>9673.9490000000005</v>
      </c>
      <c r="M4">
        <f t="shared" si="0"/>
        <v>3.98560379350551</v>
      </c>
    </row>
    <row r="5" spans="1:13" ht="14.4" thickTop="1" thickBot="1" x14ac:dyDescent="0.3">
      <c r="A5" s="25" t="s">
        <v>35</v>
      </c>
      <c r="B5" s="26">
        <v>0.82</v>
      </c>
      <c r="C5" s="27">
        <v>0.95</v>
      </c>
      <c r="D5" s="26">
        <v>1</v>
      </c>
      <c r="E5" s="26">
        <v>0.99</v>
      </c>
      <c r="F5" s="26">
        <v>1</v>
      </c>
      <c r="G5" s="27">
        <v>0.83</v>
      </c>
      <c r="H5" s="25">
        <v>0.71</v>
      </c>
      <c r="I5" s="27">
        <v>1</v>
      </c>
      <c r="J5" s="26">
        <v>0.6</v>
      </c>
      <c r="K5" s="26">
        <v>0.6</v>
      </c>
      <c r="L5">
        <f>VLOOKUP(A5,[1]Sheet1!$A$3:$B$228,2,0)</f>
        <v>21532.118999999999</v>
      </c>
      <c r="M5">
        <f t="shared" si="0"/>
        <v>4.3330867713340888</v>
      </c>
    </row>
    <row r="6" spans="1:13" ht="25.2" thickTop="1" thickBot="1" x14ac:dyDescent="0.3">
      <c r="A6" s="25" t="s">
        <v>39</v>
      </c>
      <c r="B6" s="26">
        <v>0.67</v>
      </c>
      <c r="C6" s="27">
        <v>0.98</v>
      </c>
      <c r="D6" s="26">
        <v>0.98</v>
      </c>
      <c r="E6" s="26">
        <v>1</v>
      </c>
      <c r="F6" s="26">
        <v>0.98</v>
      </c>
      <c r="G6" s="27">
        <v>0.95</v>
      </c>
      <c r="H6" s="25">
        <v>0.46</v>
      </c>
      <c r="I6" s="27">
        <v>1</v>
      </c>
      <c r="J6" s="26">
        <v>0.4</v>
      </c>
      <c r="K6" s="26">
        <v>0.25</v>
      </c>
      <c r="L6">
        <f>VLOOKUP(A6,[1]Sheet1!$A$3:$B$228,2,0)</f>
        <v>23660.457999999999</v>
      </c>
      <c r="M6">
        <f t="shared" si="0"/>
        <v>4.3740231470944284</v>
      </c>
    </row>
    <row r="7" spans="1:13" ht="14.4" thickTop="1" thickBot="1" x14ac:dyDescent="0.3">
      <c r="A7" s="35" t="s">
        <v>42</v>
      </c>
      <c r="B7" s="31">
        <v>0.72</v>
      </c>
      <c r="C7" s="32">
        <v>0.81</v>
      </c>
      <c r="D7" s="31">
        <v>0.99</v>
      </c>
      <c r="E7" s="31">
        <v>0.87</v>
      </c>
      <c r="F7" s="31">
        <v>0.74</v>
      </c>
      <c r="G7" s="32">
        <v>0.69</v>
      </c>
      <c r="H7" s="29">
        <v>0.63</v>
      </c>
      <c r="I7" s="32">
        <v>0.72</v>
      </c>
      <c r="J7" s="31">
        <v>0.72</v>
      </c>
      <c r="K7" s="31">
        <v>0.48</v>
      </c>
      <c r="L7">
        <f>VLOOKUP(A7,[1]Sheet1!$A$3:$B$228,2,0)</f>
        <v>9211.6370000000006</v>
      </c>
      <c r="M7">
        <f t="shared" si="0"/>
        <v>3.9643368155272016</v>
      </c>
    </row>
    <row r="8" spans="1:13" ht="14.4" thickTop="1" thickBot="1" x14ac:dyDescent="0.3">
      <c r="A8" s="29" t="s">
        <v>44</v>
      </c>
      <c r="B8" s="31">
        <v>0.84</v>
      </c>
      <c r="C8" s="32">
        <v>0.99</v>
      </c>
      <c r="D8" s="31">
        <v>1</v>
      </c>
      <c r="E8" s="31">
        <v>1</v>
      </c>
      <c r="F8" s="31">
        <v>1</v>
      </c>
      <c r="G8" s="32">
        <v>0.96</v>
      </c>
      <c r="H8" s="29">
        <v>0.71</v>
      </c>
      <c r="I8" s="32">
        <v>1</v>
      </c>
      <c r="J8" s="31">
        <v>0.95</v>
      </c>
      <c r="K8" s="31">
        <v>0.38</v>
      </c>
      <c r="L8">
        <f>VLOOKUP(A8,[1]Sheet1!$A$3:$B$228,2,0)</f>
        <v>30115.083999999999</v>
      </c>
      <c r="M8">
        <f t="shared" si="0"/>
        <v>4.4787840788858322</v>
      </c>
    </row>
    <row r="9" spans="1:13" ht="13.8" thickTop="1" x14ac:dyDescent="0.25">
      <c r="A9" s="45" t="s">
        <v>47</v>
      </c>
      <c r="B9" s="50">
        <v>0.65</v>
      </c>
      <c r="C9" s="51">
        <v>0.64</v>
      </c>
      <c r="D9" s="50">
        <v>0.6</v>
      </c>
      <c r="E9" s="48">
        <v>0.93</v>
      </c>
      <c r="F9" s="50">
        <v>0.53</v>
      </c>
      <c r="G9" s="50">
        <v>0.56000000000000005</v>
      </c>
      <c r="H9" s="48">
        <v>0.67</v>
      </c>
      <c r="I9" s="50">
        <v>0.39</v>
      </c>
      <c r="J9" s="50">
        <v>0.89</v>
      </c>
      <c r="K9" s="50">
        <v>0.86</v>
      </c>
      <c r="L9">
        <f>VLOOKUP(A9,[1]Sheet1!$A$3:$B$228,2,0)</f>
        <v>4243.9639999999999</v>
      </c>
      <c r="M9">
        <f t="shared" si="0"/>
        <v>3.6277716912831055</v>
      </c>
    </row>
    <row r="10" spans="1:13" ht="13.8" thickBot="1" x14ac:dyDescent="0.3">
      <c r="A10" s="25" t="s">
        <v>305</v>
      </c>
      <c r="B10" s="26">
        <v>0.87</v>
      </c>
      <c r="C10" s="27">
        <v>0.89</v>
      </c>
      <c r="D10" s="26">
        <v>0.94</v>
      </c>
      <c r="E10" s="26">
        <v>0.83</v>
      </c>
      <c r="F10" s="25">
        <v>0.92</v>
      </c>
      <c r="G10" s="27">
        <v>0.88</v>
      </c>
      <c r="H10" s="26">
        <v>0.85</v>
      </c>
      <c r="I10" s="27">
        <v>0.93</v>
      </c>
      <c r="J10" s="26">
        <v>0.72</v>
      </c>
      <c r="K10" s="25">
        <v>0.9</v>
      </c>
      <c r="L10">
        <f>VLOOKUP(A10,[1]Sheet1!$A$3:$B$228,2,0)</f>
        <v>11028.11</v>
      </c>
      <c r="M10">
        <f t="shared" si="0"/>
        <v>4.0425010893302495</v>
      </c>
    </row>
    <row r="11" spans="1:13" ht="37.200000000000003" thickTop="1" thickBot="1" x14ac:dyDescent="0.3">
      <c r="A11" s="35" t="s">
        <v>51</v>
      </c>
      <c r="B11" s="49">
        <v>0.9</v>
      </c>
      <c r="C11" s="49">
        <v>0.95</v>
      </c>
      <c r="D11" s="49">
        <v>0.96</v>
      </c>
      <c r="E11" s="49">
        <v>1</v>
      </c>
      <c r="F11" s="49">
        <v>1</v>
      </c>
      <c r="G11" s="49">
        <v>0.86</v>
      </c>
      <c r="H11" s="49">
        <v>0.86</v>
      </c>
      <c r="I11" s="49">
        <v>0.98</v>
      </c>
      <c r="J11" s="49">
        <v>0.92</v>
      </c>
      <c r="K11" s="49">
        <v>0.7</v>
      </c>
      <c r="L11">
        <f>VLOOKUP(A11,[1]Sheet1!$A$3:$B$228,2,0)</f>
        <v>20431.303</v>
      </c>
      <c r="M11">
        <f t="shared" si="0"/>
        <v>4.3102960645112987</v>
      </c>
    </row>
    <row r="12" spans="1:13" ht="25.2" thickTop="1" thickBot="1" x14ac:dyDescent="0.3">
      <c r="A12" s="29" t="s">
        <v>52</v>
      </c>
      <c r="B12" s="31">
        <v>0.81</v>
      </c>
      <c r="C12" s="32">
        <v>0.76</v>
      </c>
      <c r="D12" s="31">
        <v>0.92</v>
      </c>
      <c r="E12" s="31">
        <v>0.72</v>
      </c>
      <c r="F12" s="31">
        <v>0.9</v>
      </c>
      <c r="G12" s="32">
        <v>0.56000000000000005</v>
      </c>
      <c r="H12" s="29">
        <v>0.87</v>
      </c>
      <c r="I12" s="32">
        <v>0.85</v>
      </c>
      <c r="J12" s="31">
        <v>1</v>
      </c>
      <c r="K12" s="31">
        <v>0.78</v>
      </c>
      <c r="L12">
        <f>VLOOKUP(A12,[1]Sheet1!$A$3:$B$228,2,0)</f>
        <v>19391.042000000001</v>
      </c>
      <c r="M12">
        <f t="shared" si="0"/>
        <v>4.2876011470204887</v>
      </c>
    </row>
    <row r="13" spans="1:13" ht="14.4" thickTop="1" thickBot="1" x14ac:dyDescent="0.3">
      <c r="A13" s="30" t="s">
        <v>53</v>
      </c>
      <c r="B13" s="31">
        <v>0.92</v>
      </c>
      <c r="C13" s="32">
        <v>0.96</v>
      </c>
      <c r="D13" s="31">
        <v>1</v>
      </c>
      <c r="E13" s="31">
        <v>0.98</v>
      </c>
      <c r="F13" s="29">
        <v>0.99</v>
      </c>
      <c r="G13" s="32">
        <v>0.86</v>
      </c>
      <c r="H13" s="31">
        <v>0.88</v>
      </c>
      <c r="I13" s="32">
        <v>0.94</v>
      </c>
      <c r="J13" s="33" t="s">
        <v>796</v>
      </c>
      <c r="K13" s="34" t="s">
        <v>798</v>
      </c>
      <c r="L13">
        <f>VLOOKUP(A13,[1]Sheet1!$A$3:$B$228,2,0)</f>
        <v>21052.021000000001</v>
      </c>
      <c r="M13">
        <f t="shared" si="0"/>
        <v>4.3232937945667658</v>
      </c>
    </row>
    <row r="14" spans="1:13" ht="25.2" thickTop="1" thickBot="1" x14ac:dyDescent="0.3">
      <c r="A14" s="27" t="s">
        <v>57</v>
      </c>
      <c r="B14" s="27">
        <v>0.5</v>
      </c>
      <c r="C14" s="26">
        <v>0.39</v>
      </c>
      <c r="D14" s="27">
        <v>0.38</v>
      </c>
      <c r="E14" s="25">
        <v>0.77</v>
      </c>
      <c r="F14" s="27">
        <v>0.21</v>
      </c>
      <c r="G14" s="27">
        <v>0.39</v>
      </c>
      <c r="H14" s="25">
        <v>0.65</v>
      </c>
      <c r="I14" s="27">
        <v>0.39</v>
      </c>
      <c r="J14" s="27">
        <v>0.97</v>
      </c>
      <c r="K14" s="27">
        <v>0.71</v>
      </c>
      <c r="L14">
        <f>VLOOKUP(A14,[1]Sheet1!$A$3:$B$228,2,0)</f>
        <v>2712.681</v>
      </c>
      <c r="M14">
        <f t="shared" si="0"/>
        <v>3.4333987255399712</v>
      </c>
    </row>
    <row r="15" spans="1:13" ht="25.2" thickTop="1" thickBot="1" x14ac:dyDescent="0.3">
      <c r="A15" s="25" t="s">
        <v>59</v>
      </c>
      <c r="B15" s="26">
        <v>0.75</v>
      </c>
      <c r="C15" s="27">
        <v>0.71</v>
      </c>
      <c r="D15" s="26">
        <v>0.74</v>
      </c>
      <c r="E15" s="26">
        <v>0.94</v>
      </c>
      <c r="F15" s="26">
        <v>0.76</v>
      </c>
      <c r="G15" s="27">
        <v>0.49</v>
      </c>
      <c r="H15" s="25">
        <v>0.8</v>
      </c>
      <c r="I15" s="27">
        <v>0.82</v>
      </c>
      <c r="J15" s="26">
        <v>1</v>
      </c>
      <c r="K15" s="26">
        <v>0.62</v>
      </c>
      <c r="L15">
        <f>VLOOKUP(A15,[1]Sheet1!$A$3:$B$228,2,0)</f>
        <v>7608.1570000000002</v>
      </c>
      <c r="M15">
        <f t="shared" si="0"/>
        <v>3.8812794660127086</v>
      </c>
    </row>
    <row r="16" spans="1:13" ht="25.2" thickTop="1" thickBot="1" x14ac:dyDescent="0.3">
      <c r="A16" s="29" t="s">
        <v>60</v>
      </c>
      <c r="B16" s="31">
        <v>0.73</v>
      </c>
      <c r="C16" s="32">
        <v>0.67</v>
      </c>
      <c r="D16" s="31">
        <v>0.63</v>
      </c>
      <c r="E16" s="31">
        <v>0.94</v>
      </c>
      <c r="F16" s="31">
        <v>0.59</v>
      </c>
      <c r="G16" s="32">
        <v>0.56000000000000005</v>
      </c>
      <c r="H16" s="29">
        <v>0.8</v>
      </c>
      <c r="I16" s="32">
        <v>0.76</v>
      </c>
      <c r="J16" s="31">
        <v>0.97</v>
      </c>
      <c r="K16" s="31">
        <v>0.71</v>
      </c>
      <c r="L16">
        <f>VLOOKUP(A16,[1]Sheet1!$A$3:$B$228,2,0)</f>
        <v>5361.0940000000001</v>
      </c>
      <c r="M16">
        <f t="shared" si="0"/>
        <v>3.729253422096301</v>
      </c>
    </row>
    <row r="17" spans="1:13" ht="14.4" thickTop="1" thickBot="1" x14ac:dyDescent="0.3">
      <c r="A17" s="32" t="s">
        <v>65</v>
      </c>
      <c r="B17" s="32">
        <v>0.36</v>
      </c>
      <c r="C17" s="31">
        <v>0.28999999999999998</v>
      </c>
      <c r="D17" s="32">
        <v>0.41</v>
      </c>
      <c r="E17" s="29">
        <v>0.56000000000000005</v>
      </c>
      <c r="F17" s="32">
        <v>0.11</v>
      </c>
      <c r="G17" s="32">
        <v>0.26</v>
      </c>
      <c r="H17" s="29">
        <v>0.44</v>
      </c>
      <c r="I17" s="32">
        <v>0.18</v>
      </c>
      <c r="J17" s="32">
        <v>0.85</v>
      </c>
      <c r="K17" s="32">
        <v>0.57999999999999996</v>
      </c>
      <c r="L17">
        <f>VLOOKUP(A17,[1]Sheet1!$A$3:$B$228,2,0)</f>
        <v>2757.7620000000002</v>
      </c>
      <c r="M17">
        <f t="shared" si="0"/>
        <v>3.4405567830339079</v>
      </c>
    </row>
    <row r="18" spans="1:13" ht="14.4" thickTop="1" thickBot="1" x14ac:dyDescent="0.3">
      <c r="A18" s="32" t="s">
        <v>68</v>
      </c>
      <c r="B18" s="32">
        <v>0.39</v>
      </c>
      <c r="C18" s="31">
        <v>0.97</v>
      </c>
      <c r="D18" s="32">
        <v>0.98</v>
      </c>
      <c r="E18" s="29">
        <v>1</v>
      </c>
      <c r="F18" s="32">
        <v>0.96</v>
      </c>
      <c r="G18" s="32">
        <v>0.94</v>
      </c>
      <c r="H18" s="29">
        <v>0.15</v>
      </c>
      <c r="I18" s="32">
        <v>0.97</v>
      </c>
      <c r="J18" s="32">
        <v>0.38</v>
      </c>
      <c r="K18" s="32">
        <v>0.01</v>
      </c>
      <c r="L18">
        <f>VLOOKUP(A18,[1]Sheet1!$A$3:$B$228,2,0)</f>
        <v>24502.813999999998</v>
      </c>
      <c r="M18">
        <f t="shared" si="0"/>
        <v>4.3892159633234593</v>
      </c>
    </row>
    <row r="19" spans="1:13" ht="25.2" thickTop="1" thickBot="1" x14ac:dyDescent="0.3">
      <c r="A19" s="25" t="s">
        <v>71</v>
      </c>
      <c r="B19" s="26">
        <v>0.91</v>
      </c>
      <c r="C19" s="27">
        <v>0.92</v>
      </c>
      <c r="D19" s="26">
        <v>0.98</v>
      </c>
      <c r="E19" s="26">
        <v>0.92</v>
      </c>
      <c r="F19" s="25">
        <v>0.96</v>
      </c>
      <c r="G19" s="27">
        <v>0.83</v>
      </c>
      <c r="H19" s="26">
        <v>0.91</v>
      </c>
      <c r="I19" s="27">
        <v>0.95</v>
      </c>
      <c r="J19" s="26">
        <v>0.92</v>
      </c>
      <c r="K19" s="25">
        <v>0.85</v>
      </c>
      <c r="L19">
        <f>VLOOKUP(A19,[1]Sheet1!$A$3:$B$228,2,0)</f>
        <v>20787.614000000001</v>
      </c>
      <c r="M19">
        <f t="shared" si="0"/>
        <v>4.3178046439201871</v>
      </c>
    </row>
    <row r="20" spans="1:13" ht="25.2" thickTop="1" thickBot="1" x14ac:dyDescent="0.3">
      <c r="A20" s="25" t="s">
        <v>75</v>
      </c>
      <c r="B20" s="26">
        <v>0.91</v>
      </c>
      <c r="C20" s="27">
        <v>0.96</v>
      </c>
      <c r="D20" s="26">
        <v>1</v>
      </c>
      <c r="E20" s="26">
        <v>0.99</v>
      </c>
      <c r="F20" s="25">
        <v>1</v>
      </c>
      <c r="G20" s="27">
        <v>0.88</v>
      </c>
      <c r="H20" s="26">
        <v>0.85</v>
      </c>
      <c r="I20" s="27">
        <v>0.98</v>
      </c>
      <c r="J20" s="26">
        <v>0.89</v>
      </c>
      <c r="K20" s="25">
        <v>0.71</v>
      </c>
      <c r="L20">
        <f>VLOOKUP(A20,[1]Sheet1!$A$3:$B$228,2,0)</f>
        <v>28226.753000000001</v>
      </c>
      <c r="M20">
        <f t="shared" si="0"/>
        <v>4.4506609229472529</v>
      </c>
    </row>
    <row r="21" spans="1:13" ht="25.2" thickTop="1" thickBot="1" x14ac:dyDescent="0.3">
      <c r="A21" s="46" t="s">
        <v>76</v>
      </c>
      <c r="B21" s="40">
        <v>0.78</v>
      </c>
      <c r="C21" s="39">
        <v>0.75</v>
      </c>
      <c r="D21" s="40">
        <v>0.67</v>
      </c>
      <c r="E21" s="40">
        <v>0.97</v>
      </c>
      <c r="F21" s="40">
        <v>0.73</v>
      </c>
      <c r="G21" s="39">
        <v>0.67</v>
      </c>
      <c r="H21" s="41">
        <v>0.81</v>
      </c>
      <c r="I21" s="39">
        <v>0.89</v>
      </c>
      <c r="J21" s="40">
        <v>0.69</v>
      </c>
      <c r="K21" s="40">
        <v>0.86</v>
      </c>
      <c r="L21">
        <f>VLOOKUP(A21,[1]Sheet1!$A$3:$B$228,2,0)</f>
        <v>7214.3519999999999</v>
      </c>
      <c r="M21">
        <f t="shared" si="0"/>
        <v>3.858197328435371</v>
      </c>
    </row>
    <row r="22" spans="1:13" ht="37.200000000000003" thickTop="1" thickBot="1" x14ac:dyDescent="0.3">
      <c r="A22" s="47" t="s">
        <v>802</v>
      </c>
      <c r="B22" s="27">
        <v>0.43</v>
      </c>
      <c r="C22" s="26">
        <v>0.23</v>
      </c>
      <c r="D22" s="27">
        <v>0.2</v>
      </c>
      <c r="E22" s="25">
        <v>0.45</v>
      </c>
      <c r="F22" s="27">
        <v>0.35</v>
      </c>
      <c r="G22" s="27">
        <v>0.09</v>
      </c>
      <c r="H22" s="25">
        <v>0.82</v>
      </c>
      <c r="I22" s="27">
        <v>0.78</v>
      </c>
      <c r="J22" s="27">
        <v>0.94</v>
      </c>
      <c r="K22" s="27">
        <v>0.75</v>
      </c>
      <c r="L22">
        <f>VLOOKUP(A22,[1]Sheet1!$A$3:$B$228,2,0)</f>
        <v>1774.336</v>
      </c>
      <c r="M22">
        <f t="shared" si="0"/>
        <v>3.2490358641589432</v>
      </c>
    </row>
    <row r="23" spans="1:13" ht="25.2" thickTop="1" thickBot="1" x14ac:dyDescent="0.3">
      <c r="A23" s="35" t="s">
        <v>87</v>
      </c>
      <c r="B23" s="49">
        <v>0.94</v>
      </c>
      <c r="C23" s="49">
        <v>0.96</v>
      </c>
      <c r="D23" s="49">
        <v>0.97</v>
      </c>
      <c r="E23" s="49">
        <v>0.94</v>
      </c>
      <c r="F23" s="49">
        <v>1</v>
      </c>
      <c r="G23" s="49">
        <v>0.93</v>
      </c>
      <c r="H23" s="49">
        <v>0.93</v>
      </c>
      <c r="I23" s="49">
        <v>0.95</v>
      </c>
      <c r="J23" s="52" t="s">
        <v>796</v>
      </c>
      <c r="K23" s="52" t="s">
        <v>797</v>
      </c>
      <c r="L23">
        <f>VLOOKUP(A23,[1]Sheet1!$A$3:$B$228,2,0)</f>
        <v>27112.85</v>
      </c>
      <c r="M23">
        <f t="shared" si="0"/>
        <v>4.4331751713694159</v>
      </c>
    </row>
    <row r="24" spans="1:13" ht="14.4" thickTop="1" thickBot="1" x14ac:dyDescent="0.3">
      <c r="A24" s="25" t="s">
        <v>88</v>
      </c>
      <c r="B24" s="26">
        <v>0.87</v>
      </c>
      <c r="C24" s="27">
        <v>0.91</v>
      </c>
      <c r="D24" s="26">
        <v>0.96</v>
      </c>
      <c r="E24" s="26">
        <v>0.81</v>
      </c>
      <c r="F24" s="25">
        <v>0.99</v>
      </c>
      <c r="G24" s="27">
        <v>0.87</v>
      </c>
      <c r="H24" s="26">
        <v>0.84</v>
      </c>
      <c r="I24" s="27">
        <v>0.94</v>
      </c>
      <c r="J24" s="26">
        <v>0.82</v>
      </c>
      <c r="K24" s="25">
        <v>0.78</v>
      </c>
      <c r="L24">
        <f>VLOOKUP(A24,[1]Sheet1!$A$3:$B$228,2,0)</f>
        <v>16192.852999999999</v>
      </c>
      <c r="M24">
        <f t="shared" si="0"/>
        <v>4.2093233733363107</v>
      </c>
    </row>
    <row r="25" spans="1:13" ht="14.4" thickTop="1" thickBot="1" x14ac:dyDescent="0.3">
      <c r="A25" s="30" t="s">
        <v>89</v>
      </c>
      <c r="B25" s="31">
        <v>0.67</v>
      </c>
      <c r="C25" s="32">
        <v>0.92</v>
      </c>
      <c r="D25" s="31">
        <v>1</v>
      </c>
      <c r="E25" s="31">
        <v>0.96</v>
      </c>
      <c r="F25" s="31">
        <v>0.99</v>
      </c>
      <c r="G25" s="32">
        <v>0.74</v>
      </c>
      <c r="H25" s="29">
        <v>0.5</v>
      </c>
      <c r="I25" s="32">
        <v>0.7</v>
      </c>
      <c r="J25" s="31">
        <v>0.82</v>
      </c>
      <c r="K25" s="31">
        <v>0.22</v>
      </c>
      <c r="L25">
        <f>VLOOKUP(A25,[1]Sheet1!$A$3:$B$228,2,0)</f>
        <v>20180.861000000001</v>
      </c>
      <c r="M25">
        <f t="shared" si="0"/>
        <v>4.3049396911165578</v>
      </c>
    </row>
    <row r="26" spans="1:13" ht="14.4" thickTop="1" thickBot="1" x14ac:dyDescent="0.3">
      <c r="A26" s="35" t="s">
        <v>90</v>
      </c>
      <c r="B26" s="31">
        <v>0.91</v>
      </c>
      <c r="C26" s="32">
        <v>0.95</v>
      </c>
      <c r="D26" s="31">
        <v>0.99</v>
      </c>
      <c r="E26" s="31">
        <v>0.92</v>
      </c>
      <c r="F26" s="29">
        <v>0.93</v>
      </c>
      <c r="G26" s="32">
        <v>0.94</v>
      </c>
      <c r="H26" s="31">
        <v>0.87</v>
      </c>
      <c r="I26" s="32">
        <v>0.89</v>
      </c>
      <c r="J26" s="31">
        <v>1</v>
      </c>
      <c r="K26" s="29">
        <v>0.75</v>
      </c>
      <c r="L26">
        <f>VLOOKUP(A26,[1]Sheet1!$A$3:$B$228,2,0)</f>
        <v>12546.846</v>
      </c>
      <c r="M26">
        <f t="shared" si="0"/>
        <v>4.0985345674946814</v>
      </c>
    </row>
    <row r="27" spans="1:13" ht="14.4" thickTop="1" thickBot="1" x14ac:dyDescent="0.3">
      <c r="A27" s="25" t="s">
        <v>94</v>
      </c>
      <c r="B27" s="26">
        <v>0.77</v>
      </c>
      <c r="C27" s="27">
        <v>0.68</v>
      </c>
      <c r="D27" s="26">
        <v>0.68</v>
      </c>
      <c r="E27" s="26">
        <v>0.88</v>
      </c>
      <c r="F27" s="26">
        <v>0.9</v>
      </c>
      <c r="G27" s="27">
        <v>0.4</v>
      </c>
      <c r="H27" s="25">
        <v>0.86</v>
      </c>
      <c r="I27" s="27">
        <v>0.88</v>
      </c>
      <c r="J27" s="26">
        <v>1</v>
      </c>
      <c r="K27" s="26">
        <v>0.72</v>
      </c>
      <c r="L27">
        <f>VLOOKUP(A27,[1]Sheet1!$A$3:$B$228,2,0)</f>
        <v>12232.254999999999</v>
      </c>
      <c r="M27">
        <f t="shared" si="0"/>
        <v>4.0875065260290633</v>
      </c>
    </row>
    <row r="28" spans="1:13" ht="14.4" thickTop="1" thickBot="1" x14ac:dyDescent="0.3">
      <c r="A28" s="32" t="s">
        <v>95</v>
      </c>
      <c r="B28" s="32">
        <v>0.51</v>
      </c>
      <c r="C28" s="31">
        <v>0.43</v>
      </c>
      <c r="D28" s="32">
        <v>0.41</v>
      </c>
      <c r="E28" s="29">
        <v>0.67</v>
      </c>
      <c r="F28" s="32">
        <v>0.26</v>
      </c>
      <c r="G28" s="32">
        <v>0.47</v>
      </c>
      <c r="H28" s="29">
        <v>0.6</v>
      </c>
      <c r="I28" s="32">
        <v>0.46</v>
      </c>
      <c r="J28" s="32">
        <v>0.86</v>
      </c>
      <c r="K28" s="32">
        <v>0.56000000000000005</v>
      </c>
      <c r="L28">
        <f>VLOOKUP(A28,[1]Sheet1!$A$3:$B$228,2,0)</f>
        <v>3783.9470000000001</v>
      </c>
      <c r="M28">
        <f t="shared" si="0"/>
        <v>3.5779450448098977</v>
      </c>
    </row>
    <row r="29" spans="1:13" ht="14.4" thickTop="1" thickBot="1" x14ac:dyDescent="0.3">
      <c r="A29" s="25" t="s">
        <v>103</v>
      </c>
      <c r="B29" s="26">
        <v>0.74</v>
      </c>
      <c r="C29" s="27">
        <v>0.78</v>
      </c>
      <c r="D29" s="26">
        <v>0.83</v>
      </c>
      <c r="E29" s="26">
        <v>0.72</v>
      </c>
      <c r="F29" s="26">
        <v>0.9</v>
      </c>
      <c r="G29" s="27">
        <v>0.67</v>
      </c>
      <c r="H29" s="25">
        <v>0.71</v>
      </c>
      <c r="I29" s="27">
        <v>0.53</v>
      </c>
      <c r="J29" s="26">
        <v>0.82</v>
      </c>
      <c r="K29" s="26">
        <v>0.84</v>
      </c>
      <c r="L29">
        <f>VLOOKUP(A29,[1]Sheet1!$A$3:$B$228,2,0)</f>
        <v>3318.3389999999999</v>
      </c>
      <c r="M29">
        <f t="shared" si="0"/>
        <v>3.5209207512811229</v>
      </c>
    </row>
    <row r="30" spans="1:13" ht="14.4" thickTop="1" thickBot="1" x14ac:dyDescent="0.3">
      <c r="A30" s="29" t="s">
        <v>104</v>
      </c>
      <c r="B30" s="31">
        <v>0.87</v>
      </c>
      <c r="C30" s="32">
        <v>0.91</v>
      </c>
      <c r="D30" s="31">
        <v>0.95</v>
      </c>
      <c r="E30" s="31">
        <v>0.93</v>
      </c>
      <c r="F30" s="29">
        <v>1</v>
      </c>
      <c r="G30" s="32">
        <v>0.79</v>
      </c>
      <c r="H30" s="31">
        <v>0.82</v>
      </c>
      <c r="I30" s="32">
        <v>1</v>
      </c>
      <c r="J30" s="31">
        <v>0.97</v>
      </c>
      <c r="K30" s="29">
        <v>0.57999999999999996</v>
      </c>
      <c r="L30">
        <f>VLOOKUP(A30,[1]Sheet1!$A$3:$B$228,2,0)</f>
        <v>24849.107</v>
      </c>
      <c r="M30">
        <f t="shared" si="0"/>
        <v>4.3953107861502003</v>
      </c>
    </row>
    <row r="31" spans="1:13" ht="14.4" thickTop="1" thickBot="1" x14ac:dyDescent="0.3">
      <c r="A31" s="29" t="s">
        <v>106</v>
      </c>
      <c r="B31" s="31">
        <v>0.86</v>
      </c>
      <c r="C31" s="32">
        <v>0.86</v>
      </c>
      <c r="D31" s="31">
        <v>0.87</v>
      </c>
      <c r="E31" s="31">
        <v>0.98</v>
      </c>
      <c r="F31" s="31">
        <v>0.85</v>
      </c>
      <c r="G31" s="32">
        <v>0.75</v>
      </c>
      <c r="H31" s="29">
        <v>0.86</v>
      </c>
      <c r="I31" s="32">
        <v>0.78</v>
      </c>
      <c r="J31" s="31">
        <v>0.97</v>
      </c>
      <c r="K31" s="31">
        <v>0.83</v>
      </c>
      <c r="L31">
        <f>VLOOKUP(A31,[1]Sheet1!$A$3:$B$228,2,0)</f>
        <v>7746.1450000000004</v>
      </c>
      <c r="M31">
        <f t="shared" si="0"/>
        <v>3.8890856222796115</v>
      </c>
    </row>
    <row r="32" spans="1:13" ht="14.4" thickTop="1" thickBot="1" x14ac:dyDescent="0.3">
      <c r="A32" s="37" t="s">
        <v>112</v>
      </c>
      <c r="B32" s="26">
        <v>0.85</v>
      </c>
      <c r="C32" s="27">
        <v>0.84</v>
      </c>
      <c r="D32" s="26">
        <v>0.95</v>
      </c>
      <c r="E32" s="26">
        <v>0.8</v>
      </c>
      <c r="F32" s="26">
        <v>0.75</v>
      </c>
      <c r="G32" s="27">
        <v>0.87</v>
      </c>
      <c r="H32" s="25">
        <v>0.86</v>
      </c>
      <c r="I32" s="27">
        <v>0.81</v>
      </c>
      <c r="J32" s="26">
        <v>1</v>
      </c>
      <c r="K32" s="26">
        <v>0.8</v>
      </c>
      <c r="L32">
        <f>VLOOKUP(A32,[1]Sheet1!$A$3:$B$228,2,0)</f>
        <v>14158.391</v>
      </c>
      <c r="M32">
        <f t="shared" si="0"/>
        <v>4.1510139016923411</v>
      </c>
    </row>
    <row r="33" spans="1:13" ht="14.4" thickTop="1" thickBot="1" x14ac:dyDescent="0.3">
      <c r="A33" s="25" t="s">
        <v>116</v>
      </c>
      <c r="B33" s="26">
        <v>0.9</v>
      </c>
      <c r="C33" s="27">
        <v>0.94</v>
      </c>
      <c r="D33" s="26">
        <v>0.96</v>
      </c>
      <c r="E33" s="26">
        <v>0.96</v>
      </c>
      <c r="F33" s="25">
        <v>0.98</v>
      </c>
      <c r="G33" s="27">
        <v>0.84</v>
      </c>
      <c r="H33" s="26">
        <v>0.86</v>
      </c>
      <c r="I33" s="27">
        <v>0.87</v>
      </c>
      <c r="J33" s="26">
        <v>1</v>
      </c>
      <c r="K33" s="25">
        <v>0.73</v>
      </c>
      <c r="L33">
        <f>VLOOKUP(A33,[1]Sheet1!$A$3:$B$228,2,0)</f>
        <v>53584.550999999999</v>
      </c>
      <c r="M33">
        <f t="shared" si="0"/>
        <v>4.7290395959883638</v>
      </c>
    </row>
    <row r="34" spans="1:13" ht="25.2" thickTop="1" thickBot="1" x14ac:dyDescent="0.3">
      <c r="A34" s="29" t="s">
        <v>118</v>
      </c>
      <c r="B34" s="31">
        <v>0.8</v>
      </c>
      <c r="C34" s="32">
        <v>0.8</v>
      </c>
      <c r="D34" s="31">
        <v>0.96</v>
      </c>
      <c r="E34" s="31">
        <v>0.81</v>
      </c>
      <c r="F34" s="31">
        <v>0.75</v>
      </c>
      <c r="G34" s="32">
        <v>0.7</v>
      </c>
      <c r="H34" s="29">
        <v>0.8</v>
      </c>
      <c r="I34" s="32">
        <v>0.87</v>
      </c>
      <c r="J34" s="31">
        <v>0.75</v>
      </c>
      <c r="K34" s="31">
        <v>0.78</v>
      </c>
      <c r="L34">
        <f>VLOOKUP(A34,[1]Sheet1!$A$3:$B$228,2,0)</f>
        <v>7295.076</v>
      </c>
      <c r="M34">
        <f t="shared" si="0"/>
        <v>3.8630298207268923</v>
      </c>
    </row>
    <row r="35" spans="1:13" ht="14.4" thickTop="1" thickBot="1" x14ac:dyDescent="0.3">
      <c r="A35" s="27" t="s">
        <v>121</v>
      </c>
      <c r="B35" s="27">
        <v>0.6</v>
      </c>
      <c r="C35" s="26">
        <v>0.81</v>
      </c>
      <c r="D35" s="27">
        <v>0.93</v>
      </c>
      <c r="E35" s="25">
        <v>0.8</v>
      </c>
      <c r="F35" s="27">
        <v>0.98</v>
      </c>
      <c r="G35" s="27">
        <v>0.59</v>
      </c>
      <c r="H35" s="25">
        <v>0.45</v>
      </c>
      <c r="I35" s="27">
        <v>0.71</v>
      </c>
      <c r="J35" s="27">
        <v>0.34</v>
      </c>
      <c r="K35" s="27">
        <v>0.38</v>
      </c>
      <c r="L35">
        <f>VLOOKUP(A35,[1]Sheet1!$A$3:$B$228,2,0)</f>
        <v>10233.445</v>
      </c>
      <c r="M35">
        <f t="shared" si="0"/>
        <v>4.010021859775688</v>
      </c>
    </row>
    <row r="36" spans="1:13" ht="14.4" thickTop="1" thickBot="1" x14ac:dyDescent="0.3">
      <c r="A36" s="35" t="s">
        <v>122</v>
      </c>
      <c r="B36" s="31">
        <v>0.67</v>
      </c>
      <c r="C36" s="32">
        <v>0.91</v>
      </c>
      <c r="D36" s="31">
        <v>0.94</v>
      </c>
      <c r="E36" s="31">
        <v>0.94</v>
      </c>
      <c r="F36" s="31">
        <v>0.99</v>
      </c>
      <c r="G36" s="32">
        <v>0.78</v>
      </c>
      <c r="H36" s="29">
        <v>0.5</v>
      </c>
      <c r="I36" s="32">
        <v>0.96</v>
      </c>
      <c r="J36" s="31">
        <v>0.85</v>
      </c>
      <c r="K36" s="31">
        <v>0.15</v>
      </c>
      <c r="L36">
        <f>VLOOKUP(A36,[1]Sheet1!$A$3:$B$228,2,0)</f>
        <v>15553.573</v>
      </c>
      <c r="M36">
        <f t="shared" si="0"/>
        <v>4.1918301718796629</v>
      </c>
    </row>
    <row r="37" spans="1:13" ht="14.4" thickTop="1" thickBot="1" x14ac:dyDescent="0.3">
      <c r="A37" s="25" t="s">
        <v>129</v>
      </c>
      <c r="B37" s="26">
        <v>0.86</v>
      </c>
      <c r="C37" s="27">
        <v>0.9</v>
      </c>
      <c r="D37" s="26">
        <v>0.9</v>
      </c>
      <c r="E37" s="26">
        <v>0.94</v>
      </c>
      <c r="F37" s="26">
        <v>0.9</v>
      </c>
      <c r="G37" s="27">
        <v>0.87</v>
      </c>
      <c r="H37" s="25">
        <v>0.82</v>
      </c>
      <c r="I37" s="27">
        <v>0.87</v>
      </c>
      <c r="J37" s="26">
        <v>0.8</v>
      </c>
      <c r="K37" s="26">
        <v>0.78</v>
      </c>
      <c r="L37">
        <f>VLOOKUP(A37,[1]Sheet1!$A$3:$B$228,2,0)</f>
        <v>11856.177</v>
      </c>
      <c r="M37">
        <f t="shared" si="0"/>
        <v>4.073944674234232</v>
      </c>
    </row>
    <row r="38" spans="1:13" ht="14.4" thickTop="1" thickBot="1" x14ac:dyDescent="0.3">
      <c r="A38" s="25" t="s">
        <v>132</v>
      </c>
      <c r="B38" s="26">
        <v>0.78</v>
      </c>
      <c r="C38" s="27">
        <v>0.89</v>
      </c>
      <c r="D38" s="26">
        <v>1</v>
      </c>
      <c r="E38" s="26">
        <v>0.79</v>
      </c>
      <c r="F38" s="26">
        <v>1</v>
      </c>
      <c r="G38" s="27">
        <v>0.81</v>
      </c>
      <c r="H38" s="25">
        <v>0.67</v>
      </c>
      <c r="I38" s="27">
        <v>0.98</v>
      </c>
      <c r="J38" s="26">
        <v>0.65</v>
      </c>
      <c r="K38" s="26">
        <v>0.48</v>
      </c>
      <c r="L38">
        <f>VLOOKUP(A38,[1]Sheet1!$A$3:$B$228,2,0)</f>
        <v>10455.864</v>
      </c>
      <c r="M38">
        <f t="shared" si="0"/>
        <v>4.0193599257169348</v>
      </c>
    </row>
    <row r="39" spans="1:13" ht="14.4" thickTop="1" thickBot="1" x14ac:dyDescent="0.3">
      <c r="A39" s="27" t="s">
        <v>134</v>
      </c>
      <c r="B39" s="27">
        <v>0.65</v>
      </c>
      <c r="C39" s="26">
        <v>0.53</v>
      </c>
      <c r="D39" s="27">
        <v>0.55000000000000004</v>
      </c>
      <c r="E39" s="25">
        <v>0.64</v>
      </c>
      <c r="F39" s="27">
        <v>0.59</v>
      </c>
      <c r="G39" s="27">
        <v>0.38</v>
      </c>
      <c r="H39" s="25">
        <v>0.79</v>
      </c>
      <c r="I39" s="27">
        <v>0.8</v>
      </c>
      <c r="J39" s="27">
        <v>0.92</v>
      </c>
      <c r="K39" s="27">
        <v>0.66</v>
      </c>
      <c r="L39">
        <f>VLOOKUP(A39,[1]Sheet1!$A$3:$B$228,2,0)</f>
        <v>6772.2839999999997</v>
      </c>
      <c r="M39">
        <f t="shared" si="0"/>
        <v>3.8307351622317376</v>
      </c>
    </row>
    <row r="40" spans="1:13" ht="25.2" thickTop="1" thickBot="1" x14ac:dyDescent="0.3">
      <c r="A40" s="37" t="s">
        <v>462</v>
      </c>
      <c r="B40" s="26">
        <v>0.82</v>
      </c>
      <c r="C40" s="27">
        <v>0.92</v>
      </c>
      <c r="D40" s="26">
        <v>0.9</v>
      </c>
      <c r="E40" s="26">
        <v>0.96</v>
      </c>
      <c r="F40" s="26">
        <v>1</v>
      </c>
      <c r="G40" s="27">
        <v>0.84</v>
      </c>
      <c r="H40" s="25">
        <v>0.73</v>
      </c>
      <c r="I40" s="27">
        <v>1</v>
      </c>
      <c r="J40" s="26">
        <v>1</v>
      </c>
      <c r="K40" s="26">
        <v>0.39</v>
      </c>
      <c r="L40">
        <f>VLOOKUP(A40,[1]Sheet1!$A$3:$B$228,2,0)</f>
        <v>7279.2629999999999</v>
      </c>
      <c r="M40">
        <f t="shared" si="0"/>
        <v>3.8620874107366827</v>
      </c>
    </row>
    <row r="41" spans="1:13" ht="14.4" thickTop="1" thickBot="1" x14ac:dyDescent="0.3">
      <c r="A41" s="27" t="s">
        <v>314</v>
      </c>
      <c r="B41" s="26">
        <v>0.73</v>
      </c>
      <c r="C41" s="27">
        <v>0.81</v>
      </c>
      <c r="D41" s="26">
        <v>0.83</v>
      </c>
      <c r="E41" s="26">
        <v>0.96</v>
      </c>
      <c r="F41" s="26">
        <v>0.87</v>
      </c>
      <c r="G41" s="27">
        <v>0.62</v>
      </c>
      <c r="H41" s="25">
        <v>0.65</v>
      </c>
      <c r="I41" s="27">
        <v>0.85</v>
      </c>
      <c r="J41" s="26">
        <v>0.92</v>
      </c>
      <c r="K41" s="26">
        <v>0.35</v>
      </c>
      <c r="L41">
        <f>VLOOKUP(A41,[1]Sheet1!$A$3:$B$228,2,0)</f>
        <v>9250.1720000000005</v>
      </c>
      <c r="M41">
        <f t="shared" si="0"/>
        <v>3.9661498081937783</v>
      </c>
    </row>
    <row r="42" spans="1:13" ht="14.4" thickTop="1" thickBot="1" x14ac:dyDescent="0.3">
      <c r="A42" s="29" t="s">
        <v>141</v>
      </c>
      <c r="B42" s="31">
        <v>0.73</v>
      </c>
      <c r="C42" s="32">
        <v>0.6</v>
      </c>
      <c r="D42" s="31">
        <v>0.69</v>
      </c>
      <c r="E42" s="31">
        <v>0.53</v>
      </c>
      <c r="F42" s="31">
        <v>0.82</v>
      </c>
      <c r="G42" s="32">
        <v>0.44</v>
      </c>
      <c r="H42" s="29">
        <v>0.88</v>
      </c>
      <c r="I42" s="32">
        <v>0.79</v>
      </c>
      <c r="J42" s="31">
        <v>1</v>
      </c>
      <c r="K42" s="31">
        <v>0.86</v>
      </c>
      <c r="L42">
        <f>VLOOKUP(A42,[1]Sheet1!$A$3:$B$228,2,0)</f>
        <v>3135.2530000000002</v>
      </c>
      <c r="M42">
        <f t="shared" si="0"/>
        <v>3.4962725920791899</v>
      </c>
    </row>
    <row r="43" spans="1:13" ht="14.4" thickTop="1" thickBot="1" x14ac:dyDescent="0.3">
      <c r="A43" s="27" t="s">
        <v>142</v>
      </c>
      <c r="B43" s="27">
        <v>0.52</v>
      </c>
      <c r="C43" s="26">
        <v>0.42</v>
      </c>
      <c r="D43" s="27">
        <v>0.71</v>
      </c>
      <c r="E43" s="25">
        <v>0.48</v>
      </c>
      <c r="F43" s="27">
        <v>0.6</v>
      </c>
      <c r="G43" s="27">
        <v>0.16</v>
      </c>
      <c r="H43" s="25">
        <v>0.63</v>
      </c>
      <c r="I43" s="27">
        <v>0.42</v>
      </c>
      <c r="J43" s="27">
        <v>0.72</v>
      </c>
      <c r="K43" s="27">
        <v>0.84</v>
      </c>
      <c r="L43">
        <f>VLOOKUP(A43,[1]Sheet1!$A$3:$B$228,2,0)</f>
        <v>1810.556</v>
      </c>
      <c r="M43">
        <f t="shared" si="0"/>
        <v>3.2578119619698596</v>
      </c>
    </row>
    <row r="44" spans="1:13" ht="14.4" thickTop="1" thickBot="1" x14ac:dyDescent="0.3">
      <c r="A44" s="27" t="s">
        <v>147</v>
      </c>
      <c r="B44" s="27">
        <v>0.36</v>
      </c>
      <c r="C44" s="26">
        <v>0.18</v>
      </c>
      <c r="D44" s="27">
        <v>0.43</v>
      </c>
      <c r="E44" s="25">
        <v>0.33</v>
      </c>
      <c r="F44" s="27">
        <v>0.32</v>
      </c>
      <c r="G44" s="27">
        <v>0.02</v>
      </c>
      <c r="H44" s="25">
        <v>0.74</v>
      </c>
      <c r="I44" s="27">
        <v>0.74</v>
      </c>
      <c r="J44" s="27">
        <v>0.78</v>
      </c>
      <c r="K44" s="27">
        <v>0.7</v>
      </c>
      <c r="L44">
        <f>VLOOKUP(A44,[1]Sheet1!$A$3:$B$228,2,0)</f>
        <v>1911.404</v>
      </c>
      <c r="M44">
        <f t="shared" si="0"/>
        <v>3.2813524905228522</v>
      </c>
    </row>
    <row r="45" spans="1:13" ht="14.4" thickTop="1" thickBot="1" x14ac:dyDescent="0.3">
      <c r="A45" s="32" t="s">
        <v>148</v>
      </c>
      <c r="B45" s="32">
        <v>0.52</v>
      </c>
      <c r="C45" s="31">
        <v>0.35</v>
      </c>
      <c r="D45" s="32">
        <v>0.66</v>
      </c>
      <c r="E45" s="29">
        <v>0.78</v>
      </c>
      <c r="F45" s="32">
        <v>0.61</v>
      </c>
      <c r="G45" s="32">
        <v>0.05</v>
      </c>
      <c r="H45" s="29">
        <v>0.78</v>
      </c>
      <c r="I45" s="32">
        <v>0.63</v>
      </c>
      <c r="J45" s="32">
        <v>1</v>
      </c>
      <c r="K45" s="32">
        <v>0.76</v>
      </c>
      <c r="L45">
        <f>VLOOKUP(A45,[1]Sheet1!$A$3:$B$228,2,0)</f>
        <v>1691.672</v>
      </c>
      <c r="M45">
        <f t="shared" si="0"/>
        <v>3.2283161610677071</v>
      </c>
    </row>
    <row r="46" spans="1:13" ht="14.4" thickTop="1" thickBot="1" x14ac:dyDescent="0.3">
      <c r="A46" s="27" t="s">
        <v>151</v>
      </c>
      <c r="B46" s="27">
        <v>0.52</v>
      </c>
      <c r="C46" s="26">
        <v>0.56999999999999995</v>
      </c>
      <c r="D46" s="27">
        <v>0.81</v>
      </c>
      <c r="E46" s="25">
        <v>0.89</v>
      </c>
      <c r="F46" s="27">
        <v>0.33</v>
      </c>
      <c r="G46" s="27">
        <v>0.45</v>
      </c>
      <c r="H46" s="25">
        <v>0.48</v>
      </c>
      <c r="I46" s="27">
        <v>0.22</v>
      </c>
      <c r="J46" s="27">
        <v>0.68</v>
      </c>
      <c r="K46" s="27">
        <v>0.73</v>
      </c>
      <c r="L46">
        <f>VLOOKUP(A46,[1]Sheet1!$A$3:$B$228,2,0)</f>
        <v>2762.817</v>
      </c>
      <c r="M46">
        <f t="shared" si="0"/>
        <v>3.4413521196171111</v>
      </c>
    </row>
    <row r="47" spans="1:13" ht="14.4" thickTop="1" thickBot="1" x14ac:dyDescent="0.3">
      <c r="A47" s="29" t="s">
        <v>158</v>
      </c>
      <c r="B47" s="31">
        <v>0.78</v>
      </c>
      <c r="C47" s="32">
        <v>0.73</v>
      </c>
      <c r="D47" s="31">
        <v>1</v>
      </c>
      <c r="E47" s="31">
        <v>0.95</v>
      </c>
      <c r="F47" s="31">
        <v>0.33</v>
      </c>
      <c r="G47" s="32">
        <v>0.89</v>
      </c>
      <c r="H47" s="29">
        <v>0.83</v>
      </c>
      <c r="I47" s="32">
        <v>0.95</v>
      </c>
      <c r="J47" s="31">
        <v>0.92</v>
      </c>
      <c r="K47" s="31">
        <v>0.65</v>
      </c>
      <c r="L47">
        <f>VLOOKUP(A47,[1]Sheet1!$A$3:$B$228,2,0)</f>
        <v>24248.718000000001</v>
      </c>
      <c r="M47">
        <f t="shared" si="0"/>
        <v>4.3846887829282499</v>
      </c>
    </row>
    <row r="48" spans="1:13" ht="14.4" thickTop="1" thickBot="1" x14ac:dyDescent="0.3">
      <c r="A48" s="29" t="s">
        <v>318</v>
      </c>
      <c r="B48" s="31">
        <v>0.87</v>
      </c>
      <c r="C48" s="32">
        <v>0.96</v>
      </c>
      <c r="D48" s="31">
        <v>0.91</v>
      </c>
      <c r="E48" s="31">
        <v>0.94</v>
      </c>
      <c r="F48" s="29">
        <v>0.99</v>
      </c>
      <c r="G48" s="32">
        <v>0.98</v>
      </c>
      <c r="H48" s="31">
        <v>0.8</v>
      </c>
      <c r="I48" s="32">
        <v>1</v>
      </c>
      <c r="J48" s="31">
        <v>1</v>
      </c>
      <c r="K48" s="29">
        <v>0.51</v>
      </c>
      <c r="L48">
        <f>VLOOKUP(A48,[1]Sheet1!$A$3:$B$228,2,0)</f>
        <v>17320.302</v>
      </c>
      <c r="M48">
        <f t="shared" si="0"/>
        <v>4.2385554601865296</v>
      </c>
    </row>
    <row r="49" spans="1:13" ht="14.4" thickTop="1" thickBot="1" x14ac:dyDescent="0.3">
      <c r="A49" s="25" t="s">
        <v>161</v>
      </c>
      <c r="B49" s="26">
        <v>0.89</v>
      </c>
      <c r="C49" s="27">
        <v>0.9</v>
      </c>
      <c r="D49" s="26">
        <v>0.81</v>
      </c>
      <c r="E49" s="26">
        <v>0.98</v>
      </c>
      <c r="F49" s="25">
        <v>0.93</v>
      </c>
      <c r="G49" s="27">
        <v>0.9</v>
      </c>
      <c r="H49" s="26">
        <v>0.88</v>
      </c>
      <c r="I49" s="27">
        <v>0.99</v>
      </c>
      <c r="J49" s="26">
        <v>1</v>
      </c>
      <c r="K49" s="25">
        <v>0.68</v>
      </c>
      <c r="L49">
        <f>VLOOKUP(A49,[1]Sheet1!$A$3:$B$228,2,0)</f>
        <v>17883.656999999999</v>
      </c>
      <c r="M49">
        <f t="shared" si="0"/>
        <v>4.2524563317151278</v>
      </c>
    </row>
    <row r="50" spans="1:13" ht="25.2" thickTop="1" thickBot="1" x14ac:dyDescent="0.3">
      <c r="A50" s="35" t="s">
        <v>162</v>
      </c>
      <c r="B50" s="31">
        <v>0.88</v>
      </c>
      <c r="C50" s="32">
        <v>0.96</v>
      </c>
      <c r="D50" s="31">
        <v>1</v>
      </c>
      <c r="E50" s="31">
        <v>1</v>
      </c>
      <c r="F50" s="29">
        <v>1</v>
      </c>
      <c r="G50" s="32">
        <v>0.84</v>
      </c>
      <c r="H50" s="31">
        <v>0.81</v>
      </c>
      <c r="I50" s="32">
        <v>0.99</v>
      </c>
      <c r="J50" s="31">
        <v>0.88</v>
      </c>
      <c r="K50" s="29">
        <v>0.61</v>
      </c>
      <c r="L50">
        <f>VLOOKUP(A50,[1]Sheet1!$A$3:$B$228,2,0)</f>
        <v>30007.337</v>
      </c>
      <c r="M50">
        <f t="shared" si="0"/>
        <v>4.4772274556873741</v>
      </c>
    </row>
    <row r="51" spans="1:13" ht="25.2" thickTop="1" thickBot="1" x14ac:dyDescent="0.3">
      <c r="A51" s="32" t="s">
        <v>165</v>
      </c>
      <c r="B51" s="32">
        <v>0.49</v>
      </c>
      <c r="C51" s="31">
        <v>0.31</v>
      </c>
      <c r="D51" s="32">
        <v>0.55000000000000004</v>
      </c>
      <c r="E51" s="29">
        <v>0.56000000000000005</v>
      </c>
      <c r="F51" s="32">
        <v>0.23</v>
      </c>
      <c r="G51" s="32">
        <v>0.14000000000000001</v>
      </c>
      <c r="H51" s="29">
        <v>0.75</v>
      </c>
      <c r="I51" s="32">
        <v>0.59</v>
      </c>
      <c r="J51" s="32">
        <v>1</v>
      </c>
      <c r="K51" s="32">
        <v>0.72</v>
      </c>
      <c r="L51">
        <f>VLOOKUP(A51,[1]Sheet1!$A$3:$B$228,2,0)</f>
        <v>1664.7070000000001</v>
      </c>
      <c r="M51">
        <f t="shared" si="0"/>
        <v>3.2213378057217188</v>
      </c>
    </row>
    <row r="52" spans="1:13" ht="14.4" thickTop="1" thickBot="1" x14ac:dyDescent="0.3">
      <c r="A52" s="25" t="s">
        <v>167</v>
      </c>
      <c r="B52" s="26">
        <v>0.81</v>
      </c>
      <c r="C52" s="27">
        <v>0.71</v>
      </c>
      <c r="D52" s="26">
        <v>0.84</v>
      </c>
      <c r="E52" s="26">
        <v>0.77</v>
      </c>
      <c r="F52" s="26">
        <v>0.65</v>
      </c>
      <c r="G52" s="27">
        <v>0.59</v>
      </c>
      <c r="H52" s="25">
        <v>0.92</v>
      </c>
      <c r="I52" s="27">
        <v>0.91</v>
      </c>
      <c r="J52" s="26">
        <v>1</v>
      </c>
      <c r="K52" s="26">
        <v>0.86</v>
      </c>
      <c r="L52">
        <f>VLOOKUP(A52,[1]Sheet1!$A$3:$B$228,2,0)</f>
        <v>11349.849</v>
      </c>
      <c r="M52">
        <f t="shared" si="0"/>
        <v>4.0549900836522248</v>
      </c>
    </row>
    <row r="53" spans="1:13" ht="14.4" thickTop="1" thickBot="1" x14ac:dyDescent="0.3">
      <c r="A53" s="25" t="s">
        <v>169</v>
      </c>
      <c r="B53" s="26">
        <v>0.72</v>
      </c>
      <c r="C53" s="27">
        <v>0.8</v>
      </c>
      <c r="D53" s="26">
        <v>0.9</v>
      </c>
      <c r="E53" s="26">
        <v>0.96</v>
      </c>
      <c r="F53" s="26">
        <v>0.82</v>
      </c>
      <c r="G53" s="27">
        <v>0.59</v>
      </c>
      <c r="H53" s="25">
        <v>0.64</v>
      </c>
      <c r="I53" s="27">
        <v>0.68</v>
      </c>
      <c r="J53" s="26">
        <v>0.77</v>
      </c>
      <c r="K53" s="26">
        <v>0.49</v>
      </c>
      <c r="L53">
        <f>VLOOKUP(A53,[1]Sheet1!$A$3:$B$228,2,0)</f>
        <v>5153.1260000000002</v>
      </c>
      <c r="M53">
        <f t="shared" si="0"/>
        <v>3.7120707616024902</v>
      </c>
    </row>
    <row r="54" spans="1:13" ht="14.4" thickTop="1" thickBot="1" x14ac:dyDescent="0.3">
      <c r="A54" s="39" t="s">
        <v>174</v>
      </c>
      <c r="B54" s="39">
        <v>0.3</v>
      </c>
      <c r="C54" s="40">
        <v>0.18</v>
      </c>
      <c r="D54" s="39">
        <v>0.37</v>
      </c>
      <c r="E54" s="41">
        <v>0.75</v>
      </c>
      <c r="F54" s="39">
        <v>0.02</v>
      </c>
      <c r="G54" s="39">
        <v>0.2</v>
      </c>
      <c r="H54" s="41">
        <v>0.5</v>
      </c>
      <c r="I54" s="39">
        <v>0.3</v>
      </c>
      <c r="J54" s="39">
        <v>0.75</v>
      </c>
      <c r="K54" s="39">
        <v>0.56999999999999995</v>
      </c>
      <c r="L54">
        <f>VLOOKUP(A54,[1]Sheet1!$A$3:$B$228,2,0)</f>
        <v>1824.328</v>
      </c>
      <c r="M54">
        <f t="shared" si="0"/>
        <v>3.2611029237861042</v>
      </c>
    </row>
    <row r="55" spans="1:13" ht="14.4" thickTop="1" thickBot="1" x14ac:dyDescent="0.3">
      <c r="A55" s="32" t="s">
        <v>175</v>
      </c>
      <c r="B55" s="32">
        <v>0.6</v>
      </c>
      <c r="C55" s="31">
        <v>0.57999999999999996</v>
      </c>
      <c r="D55" s="32">
        <v>0.76</v>
      </c>
      <c r="E55" s="29">
        <v>0.85</v>
      </c>
      <c r="F55" s="32">
        <v>0.64</v>
      </c>
      <c r="G55" s="32">
        <v>0.28000000000000003</v>
      </c>
      <c r="H55" s="29">
        <v>0.63</v>
      </c>
      <c r="I55" s="32">
        <v>0.56999999999999995</v>
      </c>
      <c r="J55" s="32">
        <v>0.8</v>
      </c>
      <c r="K55" s="32">
        <v>0.54</v>
      </c>
      <c r="L55">
        <f>VLOOKUP(A55,[1]Sheet1!$A$3:$B$228,2,0)</f>
        <v>6366.7060000000001</v>
      </c>
      <c r="M55">
        <f t="shared" si="0"/>
        <v>3.8039147955956332</v>
      </c>
    </row>
    <row r="56" spans="1:13" ht="14.4" thickTop="1" thickBot="1" x14ac:dyDescent="0.3">
      <c r="A56" s="32" t="s">
        <v>182</v>
      </c>
      <c r="B56" s="32">
        <v>0.56000000000000005</v>
      </c>
      <c r="C56" s="31">
        <v>0.74</v>
      </c>
      <c r="D56" s="32">
        <v>0.9</v>
      </c>
      <c r="E56" s="29">
        <v>0.79</v>
      </c>
      <c r="F56" s="32">
        <v>0.66</v>
      </c>
      <c r="G56" s="32">
        <v>0.63</v>
      </c>
      <c r="H56" s="29">
        <v>0.42</v>
      </c>
      <c r="I56" s="32">
        <v>0.53</v>
      </c>
      <c r="J56" s="32">
        <v>0.45</v>
      </c>
      <c r="K56" s="32">
        <v>0.31</v>
      </c>
      <c r="L56">
        <f>VLOOKUP(A56,[1]Sheet1!$A$3:$B$228,2,0)</f>
        <v>6530.8879999999999</v>
      </c>
      <c r="M56">
        <f t="shared" si="0"/>
        <v>3.8149722359887384</v>
      </c>
    </row>
    <row r="57" spans="1:13" ht="14.4" thickTop="1" thickBot="1" x14ac:dyDescent="0.3">
      <c r="A57" s="25" t="s">
        <v>187</v>
      </c>
      <c r="B57" s="26">
        <v>0.92</v>
      </c>
      <c r="C57" s="27">
        <v>0.95</v>
      </c>
      <c r="D57" s="26">
        <v>1</v>
      </c>
      <c r="E57" s="26">
        <v>0.91</v>
      </c>
      <c r="F57" s="25">
        <v>0.96</v>
      </c>
      <c r="G57" s="27">
        <v>0.92</v>
      </c>
      <c r="H57" s="26">
        <v>0.9</v>
      </c>
      <c r="I57" s="27">
        <v>0.94</v>
      </c>
      <c r="J57" s="26">
        <v>0.92</v>
      </c>
      <c r="K57" s="25">
        <v>0.83</v>
      </c>
      <c r="L57">
        <f>VLOOKUP(A57,[1]Sheet1!$A$3:$B$228,2,0)</f>
        <v>15869.084999999999</v>
      </c>
      <c r="M57">
        <f t="shared" si="0"/>
        <v>4.2005518863700324</v>
      </c>
    </row>
    <row r="58" spans="1:13" ht="14.4" thickTop="1" thickBot="1" x14ac:dyDescent="0.3">
      <c r="A58" s="27" t="s">
        <v>188</v>
      </c>
      <c r="B58" s="26">
        <v>0.84</v>
      </c>
      <c r="C58" s="27">
        <v>0.84</v>
      </c>
      <c r="D58" s="26">
        <v>0.95</v>
      </c>
      <c r="E58" s="26">
        <v>0.92</v>
      </c>
      <c r="F58" s="26">
        <v>0.66</v>
      </c>
      <c r="G58" s="27">
        <v>0.88</v>
      </c>
      <c r="H58" s="25">
        <v>0.84</v>
      </c>
      <c r="I58" s="27">
        <v>0.94</v>
      </c>
      <c r="J58" s="26">
        <v>0.75</v>
      </c>
      <c r="K58" s="26">
        <v>0.83</v>
      </c>
      <c r="L58">
        <f>VLOOKUP(A58,[1]Sheet1!$A$3:$B$228,2,0)</f>
        <v>17024.651000000002</v>
      </c>
      <c r="M58">
        <f t="shared" si="0"/>
        <v>4.2310782177755577</v>
      </c>
    </row>
    <row r="59" spans="1:13" ht="14.4" thickTop="1" thickBot="1" x14ac:dyDescent="0.3">
      <c r="A59" s="35" t="s">
        <v>189</v>
      </c>
      <c r="B59" s="31">
        <v>0.9</v>
      </c>
      <c r="C59" s="32">
        <v>0.9</v>
      </c>
      <c r="D59" s="31">
        <v>0.95</v>
      </c>
      <c r="E59" s="31">
        <v>0.96</v>
      </c>
      <c r="F59" s="29">
        <v>0.95</v>
      </c>
      <c r="G59" s="32">
        <v>0.77</v>
      </c>
      <c r="H59" s="31">
        <v>0.89</v>
      </c>
      <c r="I59" s="32">
        <v>0.96</v>
      </c>
      <c r="J59" s="31">
        <v>0.98</v>
      </c>
      <c r="K59" s="29">
        <v>0.75</v>
      </c>
      <c r="L59">
        <f>VLOOKUP(A59,[1]Sheet1!$A$3:$B$228,2,0)</f>
        <v>11281.377</v>
      </c>
      <c r="M59">
        <f t="shared" si="0"/>
        <v>4.0523621126794902</v>
      </c>
    </row>
    <row r="60" spans="1:13" ht="14.4" thickTop="1" thickBot="1" x14ac:dyDescent="0.3">
      <c r="A60" s="27" t="s">
        <v>200</v>
      </c>
      <c r="B60" s="27">
        <v>0.61</v>
      </c>
      <c r="C60" s="26">
        <v>0.5</v>
      </c>
      <c r="D60" s="27">
        <v>0.57999999999999996</v>
      </c>
      <c r="E60" s="25">
        <v>0.51</v>
      </c>
      <c r="F60" s="27">
        <v>0.95</v>
      </c>
      <c r="G60" s="27">
        <v>0.23</v>
      </c>
      <c r="H60" s="25">
        <v>0.74</v>
      </c>
      <c r="I60" s="27">
        <v>0.73</v>
      </c>
      <c r="J60" s="27">
        <v>0.91</v>
      </c>
      <c r="K60" s="27">
        <v>0.6</v>
      </c>
      <c r="L60">
        <f>VLOOKUP(A60,[1]Sheet1!$A$3:$B$228,2,0)</f>
        <v>3510.6509999999998</v>
      </c>
      <c r="M60">
        <f t="shared" si="0"/>
        <v>3.5453876576317436</v>
      </c>
    </row>
    <row r="61" spans="1:13" ht="14.4" thickTop="1" thickBot="1" x14ac:dyDescent="0.3">
      <c r="A61" s="29" t="s">
        <v>212</v>
      </c>
      <c r="B61" s="31">
        <v>0.75</v>
      </c>
      <c r="C61" s="32">
        <v>0.78</v>
      </c>
      <c r="D61" s="31">
        <v>0.84</v>
      </c>
      <c r="E61" s="31">
        <v>0.93</v>
      </c>
      <c r="F61" s="31">
        <v>0.75</v>
      </c>
      <c r="G61" s="32">
        <v>0.64</v>
      </c>
      <c r="H61" s="29">
        <v>0.72</v>
      </c>
      <c r="I61" s="32">
        <v>0.51</v>
      </c>
      <c r="J61" s="31">
        <v>0.8</v>
      </c>
      <c r="K61" s="31">
        <v>0.9</v>
      </c>
      <c r="L61">
        <f>VLOOKUP(A61,[1]Sheet1!$A$3:$B$228,2,0)</f>
        <v>4786.4949999999999</v>
      </c>
      <c r="M61">
        <f t="shared" si="0"/>
        <v>3.6800176095829329</v>
      </c>
    </row>
    <row r="62" spans="1:13" ht="14.4" thickTop="1" thickBot="1" x14ac:dyDescent="0.3">
      <c r="A62" s="25" t="s">
        <v>213</v>
      </c>
      <c r="B62" s="26">
        <v>0.9</v>
      </c>
      <c r="C62" s="27">
        <v>0.96</v>
      </c>
      <c r="D62" s="26">
        <v>0.96</v>
      </c>
      <c r="E62" s="26">
        <v>0.99</v>
      </c>
      <c r="F62" s="25">
        <v>1</v>
      </c>
      <c r="G62" s="27">
        <v>0.9</v>
      </c>
      <c r="H62" s="26">
        <v>0.83</v>
      </c>
      <c r="I62" s="27">
        <v>0.99</v>
      </c>
      <c r="J62" s="26">
        <v>0.88</v>
      </c>
      <c r="K62" s="25">
        <v>0.67</v>
      </c>
      <c r="L62">
        <f>VLOOKUP(A62,[1]Sheet1!$A$3:$B$228,2,0)</f>
        <v>27183.330999999998</v>
      </c>
      <c r="M62">
        <f t="shared" si="0"/>
        <v>4.4343026733781343</v>
      </c>
    </row>
    <row r="63" spans="1:13" ht="25.2" thickTop="1" thickBot="1" x14ac:dyDescent="0.3">
      <c r="A63" s="32" t="s">
        <v>215</v>
      </c>
      <c r="B63" s="32">
        <v>0.53</v>
      </c>
      <c r="C63" s="31">
        <v>0.44</v>
      </c>
      <c r="D63" s="32">
        <v>0.57999999999999996</v>
      </c>
      <c r="E63" s="29">
        <v>0.64</v>
      </c>
      <c r="F63" s="32">
        <v>0.56000000000000005</v>
      </c>
      <c r="G63" s="32">
        <v>0.19</v>
      </c>
      <c r="H63" s="29">
        <v>0.62</v>
      </c>
      <c r="I63" s="32">
        <v>0.41</v>
      </c>
      <c r="J63" s="32">
        <v>0.78</v>
      </c>
      <c r="K63" s="32">
        <v>0.75</v>
      </c>
      <c r="L63">
        <f>VLOOKUP(A63,[1]Sheet1!$A$3:$B$228,2,0)</f>
        <v>3359.6619999999998</v>
      </c>
      <c r="M63">
        <f t="shared" si="0"/>
        <v>3.5262955872354858</v>
      </c>
    </row>
    <row r="64" spans="1:13" ht="25.2" thickTop="1" thickBot="1" x14ac:dyDescent="0.3">
      <c r="A64" s="35" t="s">
        <v>222</v>
      </c>
      <c r="B64" s="31">
        <v>0.86</v>
      </c>
      <c r="C64" s="32">
        <v>0.82</v>
      </c>
      <c r="D64" s="31">
        <v>0.94</v>
      </c>
      <c r="E64" s="31">
        <v>0.94</v>
      </c>
      <c r="F64" s="31">
        <v>0.95</v>
      </c>
      <c r="G64" s="32">
        <v>0.54</v>
      </c>
      <c r="H64" s="29">
        <v>0.9</v>
      </c>
      <c r="I64" s="32">
        <v>0.94</v>
      </c>
      <c r="J64" s="31">
        <v>0.98</v>
      </c>
      <c r="K64" s="31">
        <v>0.77</v>
      </c>
      <c r="L64">
        <f>VLOOKUP(A64,[1]Sheet1!$A$3:$B$228,2,0)</f>
        <v>15423.596</v>
      </c>
      <c r="M64">
        <f t="shared" si="0"/>
        <v>4.188185640957836</v>
      </c>
    </row>
    <row r="65" spans="1:13" ht="25.2" thickTop="1" thickBot="1" x14ac:dyDescent="0.3">
      <c r="A65" s="29" t="s">
        <v>227</v>
      </c>
      <c r="B65" s="31">
        <v>0.89</v>
      </c>
      <c r="C65" s="32">
        <v>0.87</v>
      </c>
      <c r="D65" s="31">
        <v>0.99</v>
      </c>
      <c r="E65" s="31">
        <v>0.92</v>
      </c>
      <c r="F65" s="29">
        <v>0.99</v>
      </c>
      <c r="G65" s="32">
        <v>0.64</v>
      </c>
      <c r="H65" s="31">
        <v>0.91</v>
      </c>
      <c r="I65" s="32">
        <v>0.94</v>
      </c>
      <c r="J65" s="31">
        <v>0.89</v>
      </c>
      <c r="K65" s="29">
        <v>0.9</v>
      </c>
      <c r="L65">
        <f>VLOOKUP(A65,[1]Sheet1!$A$3:$B$228,2,0)</f>
        <v>20614.284</v>
      </c>
      <c r="M65">
        <f t="shared" si="0"/>
        <v>4.3141682549632705</v>
      </c>
    </row>
    <row r="66" spans="1:13" ht="25.2" thickTop="1" thickBot="1" x14ac:dyDescent="0.3">
      <c r="A66" s="29" t="s">
        <v>232</v>
      </c>
      <c r="B66" s="31">
        <v>0.69</v>
      </c>
      <c r="C66" s="32">
        <v>0.87</v>
      </c>
      <c r="D66" s="31">
        <v>0.79</v>
      </c>
      <c r="E66" s="31">
        <v>0.91</v>
      </c>
      <c r="F66" s="31">
        <v>0.94</v>
      </c>
      <c r="G66" s="32">
        <v>0.84</v>
      </c>
      <c r="H66" s="29">
        <v>0.54</v>
      </c>
      <c r="I66" s="32">
        <v>1</v>
      </c>
      <c r="J66" s="31">
        <v>0.83</v>
      </c>
      <c r="K66" s="31">
        <v>0.19</v>
      </c>
      <c r="L66">
        <f>VLOOKUP(A66,[1]Sheet1!$A$3:$B$228,2,0)</f>
        <v>5147.9449999999997</v>
      </c>
      <c r="M66">
        <f t="shared" si="0"/>
        <v>3.7116338983092518</v>
      </c>
    </row>
    <row r="67" spans="1:13" ht="14.4" thickTop="1" thickBot="1" x14ac:dyDescent="0.3">
      <c r="A67" s="27" t="s">
        <v>325</v>
      </c>
      <c r="B67" s="27">
        <v>0.54</v>
      </c>
      <c r="C67" s="26">
        <v>0.43</v>
      </c>
      <c r="D67" s="27">
        <v>0.52</v>
      </c>
      <c r="E67" s="25">
        <v>0.71</v>
      </c>
      <c r="F67" s="27">
        <v>0.48</v>
      </c>
      <c r="G67" s="27">
        <v>0.19</v>
      </c>
      <c r="H67" s="25">
        <v>0.67</v>
      </c>
      <c r="I67" s="27">
        <v>0.8</v>
      </c>
      <c r="J67" s="27">
        <v>0.85</v>
      </c>
      <c r="K67" s="27">
        <v>0.45</v>
      </c>
      <c r="L67">
        <f>VLOOKUP(A67,[1]Sheet1!$A$3:$B$228,2,0)</f>
        <v>3943.7359999999999</v>
      </c>
      <c r="M67">
        <f t="shared" ref="M67:M75" si="1">LOG(L67,10)</f>
        <v>3.5959078348744753</v>
      </c>
    </row>
    <row r="68" spans="1:13" ht="14.4" thickTop="1" thickBot="1" x14ac:dyDescent="0.3">
      <c r="A68" s="29" t="s">
        <v>233</v>
      </c>
      <c r="B68" s="31">
        <v>0.85</v>
      </c>
      <c r="C68" s="32">
        <v>0.98</v>
      </c>
      <c r="D68" s="31">
        <v>1</v>
      </c>
      <c r="E68" s="31">
        <v>0.91</v>
      </c>
      <c r="F68" s="31">
        <v>1</v>
      </c>
      <c r="G68" s="32">
        <v>1</v>
      </c>
      <c r="H68" s="29">
        <v>0.74</v>
      </c>
      <c r="I68" s="32">
        <v>0.93</v>
      </c>
      <c r="J68" s="31">
        <v>0.97</v>
      </c>
      <c r="K68" s="31">
        <v>0.45</v>
      </c>
      <c r="L68">
        <f>VLOOKUP(A68,[1]Sheet1!$A$3:$B$228,2,0)</f>
        <v>23981.206999999999</v>
      </c>
      <c r="M68">
        <f t="shared" si="1"/>
        <v>4.3798710378223715</v>
      </c>
    </row>
    <row r="69" spans="1:13" ht="25.2" thickTop="1" thickBot="1" x14ac:dyDescent="0.3">
      <c r="A69" s="37" t="s">
        <v>234</v>
      </c>
      <c r="B69" s="26">
        <v>0.69</v>
      </c>
      <c r="C69" s="27">
        <v>0.59</v>
      </c>
      <c r="D69" s="26">
        <v>0.85</v>
      </c>
      <c r="E69" s="26">
        <v>0.65</v>
      </c>
      <c r="F69" s="26">
        <v>0.54</v>
      </c>
      <c r="G69" s="27">
        <v>0.39</v>
      </c>
      <c r="H69" s="25">
        <v>0.8</v>
      </c>
      <c r="I69" s="27">
        <v>0.66</v>
      </c>
      <c r="J69" s="26">
        <v>0.89</v>
      </c>
      <c r="K69" s="26">
        <v>0.88</v>
      </c>
      <c r="L69">
        <f>VLOOKUP(A69,[1]Sheet1!$A$3:$B$228,2,0)</f>
        <v>5152.0320000000002</v>
      </c>
      <c r="M69">
        <f t="shared" si="1"/>
        <v>3.711978551824632</v>
      </c>
    </row>
    <row r="70" spans="1:13" ht="14.4" thickTop="1" thickBot="1" x14ac:dyDescent="0.3">
      <c r="A70" s="38" t="s">
        <v>235</v>
      </c>
      <c r="B70" s="26">
        <v>0.72</v>
      </c>
      <c r="C70" s="27">
        <v>0.67</v>
      </c>
      <c r="D70" s="26">
        <v>0.65</v>
      </c>
      <c r="E70" s="26">
        <v>0.76</v>
      </c>
      <c r="F70" s="26">
        <v>0.73</v>
      </c>
      <c r="G70" s="27">
        <v>0.56999999999999995</v>
      </c>
      <c r="H70" s="25">
        <v>0.77</v>
      </c>
      <c r="I70" s="27">
        <v>0.62</v>
      </c>
      <c r="J70" s="26">
        <v>0.98</v>
      </c>
      <c r="K70" s="26">
        <v>0.73</v>
      </c>
      <c r="L70">
        <f>VLOOKUP(A70,[1]Sheet1!$A$3:$B$228,2,0)</f>
        <v>3125.2190000000001</v>
      </c>
      <c r="M70">
        <f t="shared" si="1"/>
        <v>3.4948804559709807</v>
      </c>
    </row>
    <row r="71" spans="1:13" ht="14.4" thickTop="1" thickBot="1" x14ac:dyDescent="0.3">
      <c r="A71" s="48" t="s">
        <v>239</v>
      </c>
      <c r="B71" s="31">
        <v>0.76</v>
      </c>
      <c r="C71" s="32">
        <v>0.95</v>
      </c>
      <c r="D71" s="31">
        <v>0.98</v>
      </c>
      <c r="E71" s="31">
        <v>0.99</v>
      </c>
      <c r="F71" s="31">
        <v>1</v>
      </c>
      <c r="G71" s="32">
        <v>0.83</v>
      </c>
      <c r="H71" s="29">
        <v>0.61</v>
      </c>
      <c r="I71" s="32">
        <v>0.81</v>
      </c>
      <c r="J71" s="31">
        <v>0.83</v>
      </c>
      <c r="K71" s="31">
        <v>0.33</v>
      </c>
      <c r="L71">
        <f>VLOOKUP(A71,[1]Sheet1!$A$3:$B$228,2,0)</f>
        <v>13892.913</v>
      </c>
      <c r="M71">
        <f t="shared" si="1"/>
        <v>4.1427933160894117</v>
      </c>
    </row>
    <row r="72" spans="1:13" ht="14.4" thickTop="1" thickBot="1" x14ac:dyDescent="0.3">
      <c r="A72" s="29" t="s">
        <v>240</v>
      </c>
      <c r="B72" s="31">
        <v>0.78</v>
      </c>
      <c r="C72" s="32">
        <v>0.96</v>
      </c>
      <c r="D72" s="31">
        <v>0.98</v>
      </c>
      <c r="E72" s="31">
        <v>1</v>
      </c>
      <c r="F72" s="31">
        <v>0.98</v>
      </c>
      <c r="G72" s="32">
        <v>0.9</v>
      </c>
      <c r="H72" s="29">
        <v>0.63</v>
      </c>
      <c r="I72" s="32">
        <v>0.96</v>
      </c>
      <c r="J72" s="31">
        <v>0.78</v>
      </c>
      <c r="K72" s="31">
        <v>0.33</v>
      </c>
      <c r="L72">
        <f>VLOOKUP(A72,[1]Sheet1!$A$3:$B$228,2,0)</f>
        <v>38390.949000000001</v>
      </c>
      <c r="M72">
        <f t="shared" si="1"/>
        <v>4.5842288477352557</v>
      </c>
    </row>
    <row r="73" spans="1:13" ht="14.4" thickTop="1" thickBot="1" x14ac:dyDescent="0.3">
      <c r="A73" s="25" t="s">
        <v>251</v>
      </c>
      <c r="B73" s="26">
        <v>0.97</v>
      </c>
      <c r="C73" s="27">
        <v>0.98</v>
      </c>
      <c r="D73" s="26">
        <v>1</v>
      </c>
      <c r="E73" s="26">
        <v>1</v>
      </c>
      <c r="F73" s="25">
        <v>1</v>
      </c>
      <c r="G73" s="27">
        <v>0.92</v>
      </c>
      <c r="H73" s="26">
        <v>0.95</v>
      </c>
      <c r="I73" s="27">
        <v>0.99</v>
      </c>
      <c r="J73" s="26">
        <v>1</v>
      </c>
      <c r="K73" s="25">
        <v>0.88</v>
      </c>
      <c r="L73">
        <f>VLOOKUP(A73,[1]Sheet1!$A$3:$B$228,2,0)</f>
        <v>32703.996999999999</v>
      </c>
      <c r="M73">
        <f t="shared" si="1"/>
        <v>4.5146008342799409</v>
      </c>
    </row>
    <row r="74" spans="1:13" ht="14.4" thickTop="1" thickBot="1" x14ac:dyDescent="0.3">
      <c r="A74" s="27" t="s">
        <v>330</v>
      </c>
      <c r="B74" s="27">
        <v>0.66</v>
      </c>
      <c r="C74" s="26">
        <v>0.79</v>
      </c>
      <c r="D74" s="27">
        <v>0.99</v>
      </c>
      <c r="E74" s="25">
        <v>0.95</v>
      </c>
      <c r="F74" s="27">
        <v>0.45</v>
      </c>
      <c r="G74" s="27">
        <v>0.93</v>
      </c>
      <c r="H74" s="25">
        <v>0.55000000000000004</v>
      </c>
      <c r="I74" s="27">
        <v>0.95</v>
      </c>
      <c r="J74" s="27">
        <v>0.54</v>
      </c>
      <c r="K74" s="27">
        <v>0.33</v>
      </c>
      <c r="L74">
        <f>VLOOKUP(A74,[1]Sheet1!$A$3:$B$228,2,0)</f>
        <v>14981.697</v>
      </c>
      <c r="M74">
        <f t="shared" si="1"/>
        <v>4.1755610093576916</v>
      </c>
    </row>
    <row r="75" spans="1:13" ht="14.4" thickTop="1" thickBot="1" x14ac:dyDescent="0.3">
      <c r="A75" s="32" t="s">
        <v>259</v>
      </c>
      <c r="B75" s="32">
        <v>0.61</v>
      </c>
      <c r="C75" s="31">
        <v>0.45</v>
      </c>
      <c r="D75" s="32">
        <v>0.62</v>
      </c>
      <c r="E75" s="29">
        <v>0.57999999999999996</v>
      </c>
      <c r="F75" s="32">
        <v>0.56000000000000005</v>
      </c>
      <c r="G75" s="32">
        <v>0.21</v>
      </c>
      <c r="H75" s="29">
        <v>0.83</v>
      </c>
      <c r="I75" s="32">
        <v>0.86</v>
      </c>
      <c r="J75" s="32">
        <v>1</v>
      </c>
      <c r="K75" s="32">
        <v>0.66</v>
      </c>
      <c r="L75">
        <f>VLOOKUP(A75,[1]Sheet1!$A$3:$B$228,2,0)</f>
        <v>4110.1859999999997</v>
      </c>
      <c r="M75">
        <f t="shared" si="1"/>
        <v>3.6138614756341831</v>
      </c>
    </row>
    <row r="76" spans="1:13" ht="13.8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FD6A-A674-4BE5-8286-C13E0D07BABB}">
  <dimension ref="A1:E76"/>
  <sheetViews>
    <sheetView workbookViewId="0">
      <selection activeCell="B19" sqref="B19"/>
    </sheetView>
  </sheetViews>
  <sheetFormatPr defaultRowHeight="13.2" x14ac:dyDescent="0.25"/>
  <cols>
    <col min="1" max="1" width="13.109375" style="59" customWidth="1"/>
    <col min="2" max="5" width="8.88671875" style="59"/>
  </cols>
  <sheetData>
    <row r="1" spans="1:5" ht="13.8" thickTop="1" x14ac:dyDescent="0.25">
      <c r="A1" s="21" t="s">
        <v>22</v>
      </c>
      <c r="B1" s="21" t="s">
        <v>807</v>
      </c>
      <c r="C1" s="21" t="s">
        <v>806</v>
      </c>
      <c r="D1" s="21" t="s">
        <v>805</v>
      </c>
      <c r="E1" s="44" t="s">
        <v>804</v>
      </c>
    </row>
    <row r="2" spans="1:5" ht="13.8" thickBot="1" x14ac:dyDescent="0.3">
      <c r="A2" s="27" t="s">
        <v>27</v>
      </c>
      <c r="B2" s="54">
        <v>0.98</v>
      </c>
      <c r="C2" s="54">
        <v>0.63</v>
      </c>
      <c r="D2" s="54">
        <v>0.8</v>
      </c>
      <c r="E2" s="60">
        <v>4.3014272585092614</v>
      </c>
    </row>
    <row r="3" spans="1:5" ht="13.8" thickTop="1" x14ac:dyDescent="0.25">
      <c r="A3" s="45" t="s">
        <v>28</v>
      </c>
      <c r="B3" s="55">
        <v>0.79</v>
      </c>
      <c r="C3" s="55">
        <v>0.66</v>
      </c>
      <c r="D3" s="55">
        <v>0.1</v>
      </c>
      <c r="E3" s="60">
        <v>4.2278901995137845</v>
      </c>
    </row>
    <row r="4" spans="1:5" ht="13.8" thickBot="1" x14ac:dyDescent="0.3">
      <c r="A4" s="27" t="s">
        <v>31</v>
      </c>
      <c r="B4" s="54">
        <v>0.69</v>
      </c>
      <c r="C4" s="54">
        <v>0.94</v>
      </c>
      <c r="D4" s="54">
        <v>0.7</v>
      </c>
      <c r="E4" s="60">
        <v>3.98560379350551</v>
      </c>
    </row>
    <row r="5" spans="1:5" ht="14.4" thickTop="1" thickBot="1" x14ac:dyDescent="0.3">
      <c r="A5" s="27" t="s">
        <v>35</v>
      </c>
      <c r="B5" s="54">
        <v>1</v>
      </c>
      <c r="C5" s="54">
        <v>0.6</v>
      </c>
      <c r="D5" s="54">
        <v>0.6</v>
      </c>
      <c r="E5" s="60">
        <v>4.3330867713340888</v>
      </c>
    </row>
    <row r="6" spans="1:5" ht="14.4" thickTop="1" thickBot="1" x14ac:dyDescent="0.3">
      <c r="A6" s="27" t="s">
        <v>39</v>
      </c>
      <c r="B6" s="54">
        <v>1</v>
      </c>
      <c r="C6" s="54">
        <v>0.4</v>
      </c>
      <c r="D6" s="54">
        <v>0.25</v>
      </c>
      <c r="E6" s="60">
        <v>4.3740231470944284</v>
      </c>
    </row>
    <row r="7" spans="1:5" ht="14.4" thickTop="1" thickBot="1" x14ac:dyDescent="0.3">
      <c r="A7" s="32" t="s">
        <v>42</v>
      </c>
      <c r="B7" s="56">
        <v>0.72</v>
      </c>
      <c r="C7" s="56">
        <v>0.72</v>
      </c>
      <c r="D7" s="56">
        <v>0.48</v>
      </c>
      <c r="E7" s="60">
        <v>3.9643368155272016</v>
      </c>
    </row>
    <row r="8" spans="1:5" ht="14.4" thickTop="1" thickBot="1" x14ac:dyDescent="0.3">
      <c r="A8" s="32" t="s">
        <v>44</v>
      </c>
      <c r="B8" s="56">
        <v>1</v>
      </c>
      <c r="C8" s="56">
        <v>0.95</v>
      </c>
      <c r="D8" s="56">
        <v>0.38</v>
      </c>
      <c r="E8" s="60">
        <v>4.4787840788858322</v>
      </c>
    </row>
    <row r="9" spans="1:5" ht="13.8" thickTop="1" x14ac:dyDescent="0.25">
      <c r="A9" s="45" t="s">
        <v>47</v>
      </c>
      <c r="B9" s="55">
        <v>0.39</v>
      </c>
      <c r="C9" s="55">
        <v>0.89</v>
      </c>
      <c r="D9" s="55">
        <v>0.86</v>
      </c>
      <c r="E9" s="60">
        <v>3.6277716912831055</v>
      </c>
    </row>
    <row r="10" spans="1:5" ht="13.8" thickBot="1" x14ac:dyDescent="0.3">
      <c r="A10" s="27" t="s">
        <v>305</v>
      </c>
      <c r="B10" s="54">
        <v>0.93</v>
      </c>
      <c r="C10" s="54">
        <v>0.72</v>
      </c>
      <c r="D10" s="54">
        <v>0.9</v>
      </c>
      <c r="E10" s="60">
        <v>4.0425010893302495</v>
      </c>
    </row>
    <row r="11" spans="1:5" ht="25.2" thickTop="1" thickBot="1" x14ac:dyDescent="0.3">
      <c r="A11" s="32" t="s">
        <v>51</v>
      </c>
      <c r="B11" s="56">
        <v>0.98</v>
      </c>
      <c r="C11" s="56">
        <v>0.92</v>
      </c>
      <c r="D11" s="56">
        <v>0.7</v>
      </c>
      <c r="E11" s="60">
        <v>4.3102960645112987</v>
      </c>
    </row>
    <row r="12" spans="1:5" ht="14.4" thickTop="1" thickBot="1" x14ac:dyDescent="0.3">
      <c r="A12" s="32" t="s">
        <v>52</v>
      </c>
      <c r="B12" s="56">
        <v>0.85</v>
      </c>
      <c r="C12" s="56">
        <v>1</v>
      </c>
      <c r="D12" s="56">
        <v>0.78</v>
      </c>
      <c r="E12" s="60">
        <v>4.2876011470204887</v>
      </c>
    </row>
    <row r="13" spans="1:5" ht="14.4" thickTop="1" thickBot="1" x14ac:dyDescent="0.3">
      <c r="A13" s="32" t="s">
        <v>53</v>
      </c>
      <c r="B13" s="56">
        <v>0.94</v>
      </c>
      <c r="C13" s="58" t="s">
        <v>796</v>
      </c>
      <c r="D13" s="58" t="s">
        <v>798</v>
      </c>
      <c r="E13" s="60">
        <v>4.3232937945667658</v>
      </c>
    </row>
    <row r="14" spans="1:5" ht="14.4" thickTop="1" thickBot="1" x14ac:dyDescent="0.3">
      <c r="A14" s="27" t="s">
        <v>57</v>
      </c>
      <c r="B14" s="54">
        <v>0.39</v>
      </c>
      <c r="C14" s="54">
        <v>0.97</v>
      </c>
      <c r="D14" s="54">
        <v>0.71</v>
      </c>
      <c r="E14" s="60">
        <v>3.4333987255399712</v>
      </c>
    </row>
    <row r="15" spans="1:5" ht="14.4" thickTop="1" thickBot="1" x14ac:dyDescent="0.3">
      <c r="A15" s="27" t="s">
        <v>59</v>
      </c>
      <c r="B15" s="54">
        <v>0.82</v>
      </c>
      <c r="C15" s="54">
        <v>1</v>
      </c>
      <c r="D15" s="54">
        <v>0.62</v>
      </c>
      <c r="E15" s="60">
        <v>3.8812794660127086</v>
      </c>
    </row>
    <row r="16" spans="1:5" ht="14.4" thickTop="1" thickBot="1" x14ac:dyDescent="0.3">
      <c r="A16" s="32" t="s">
        <v>60</v>
      </c>
      <c r="B16" s="56">
        <v>0.76</v>
      </c>
      <c r="C16" s="56">
        <v>0.97</v>
      </c>
      <c r="D16" s="56">
        <v>0.71</v>
      </c>
      <c r="E16" s="60">
        <v>3.729253422096301</v>
      </c>
    </row>
    <row r="17" spans="1:5" ht="14.4" thickTop="1" thickBot="1" x14ac:dyDescent="0.3">
      <c r="A17" s="32" t="s">
        <v>65</v>
      </c>
      <c r="B17" s="56">
        <v>0.18</v>
      </c>
      <c r="C17" s="56">
        <v>0.85</v>
      </c>
      <c r="D17" s="56">
        <v>0.57999999999999996</v>
      </c>
      <c r="E17" s="60">
        <v>3.4405567830339079</v>
      </c>
    </row>
    <row r="18" spans="1:5" ht="14.4" thickTop="1" thickBot="1" x14ac:dyDescent="0.3">
      <c r="A18" s="32" t="s">
        <v>68</v>
      </c>
      <c r="B18" s="56">
        <v>0.97</v>
      </c>
      <c r="C18" s="56">
        <v>0.38</v>
      </c>
      <c r="D18" s="56">
        <v>0.01</v>
      </c>
      <c r="E18" s="60">
        <v>4.3892159633234593</v>
      </c>
    </row>
    <row r="19" spans="1:5" ht="14.4" thickTop="1" thickBot="1" x14ac:dyDescent="0.3">
      <c r="A19" s="27" t="s">
        <v>71</v>
      </c>
      <c r="B19" s="54">
        <v>0.95</v>
      </c>
      <c r="C19" s="54">
        <v>0.92</v>
      </c>
      <c r="D19" s="54">
        <v>0.85</v>
      </c>
      <c r="E19" s="60">
        <v>4.3178046439201871</v>
      </c>
    </row>
    <row r="20" spans="1:5" ht="14.4" thickTop="1" thickBot="1" x14ac:dyDescent="0.3">
      <c r="A20" s="27" t="s">
        <v>75</v>
      </c>
      <c r="B20" s="54">
        <v>0.98</v>
      </c>
      <c r="C20" s="54">
        <v>0.89</v>
      </c>
      <c r="D20" s="54">
        <v>0.71</v>
      </c>
      <c r="E20" s="60">
        <v>4.4506609229472529</v>
      </c>
    </row>
    <row r="21" spans="1:5" ht="14.4" thickTop="1" thickBot="1" x14ac:dyDescent="0.3">
      <c r="A21" s="39" t="s">
        <v>76</v>
      </c>
      <c r="B21" s="57">
        <v>0.89</v>
      </c>
      <c r="C21" s="57">
        <v>0.69</v>
      </c>
      <c r="D21" s="57">
        <v>0.86</v>
      </c>
      <c r="E21" s="60">
        <v>3.858197328435371</v>
      </c>
    </row>
    <row r="22" spans="1:5" ht="25.2" thickTop="1" thickBot="1" x14ac:dyDescent="0.3">
      <c r="A22" s="27" t="s">
        <v>802</v>
      </c>
      <c r="B22" s="54">
        <v>0.78</v>
      </c>
      <c r="C22" s="54">
        <v>0.94</v>
      </c>
      <c r="D22" s="54">
        <v>0.75</v>
      </c>
      <c r="E22" s="60">
        <v>3.2490358641589432</v>
      </c>
    </row>
    <row r="23" spans="1:5" ht="25.2" thickTop="1" thickBot="1" x14ac:dyDescent="0.3">
      <c r="A23" s="32" t="s">
        <v>87</v>
      </c>
      <c r="B23" s="56">
        <v>0.95</v>
      </c>
      <c r="C23" s="58" t="s">
        <v>796</v>
      </c>
      <c r="D23" s="58" t="s">
        <v>797</v>
      </c>
      <c r="E23" s="60">
        <v>4.4331751713694159</v>
      </c>
    </row>
    <row r="24" spans="1:5" ht="14.4" thickTop="1" thickBot="1" x14ac:dyDescent="0.3">
      <c r="A24" s="27" t="s">
        <v>88</v>
      </c>
      <c r="B24" s="54">
        <v>0.94</v>
      </c>
      <c r="C24" s="54">
        <v>0.82</v>
      </c>
      <c r="D24" s="54">
        <v>0.78</v>
      </c>
      <c r="E24" s="60">
        <v>4.2093233733363107</v>
      </c>
    </row>
    <row r="25" spans="1:5" ht="14.4" thickTop="1" thickBot="1" x14ac:dyDescent="0.3">
      <c r="A25" s="32" t="s">
        <v>89</v>
      </c>
      <c r="B25" s="56">
        <v>0.7</v>
      </c>
      <c r="C25" s="56">
        <v>0.82</v>
      </c>
      <c r="D25" s="56">
        <v>0.22</v>
      </c>
      <c r="E25" s="60">
        <v>4.3049396911165578</v>
      </c>
    </row>
    <row r="26" spans="1:5" ht="14.4" thickTop="1" thickBot="1" x14ac:dyDescent="0.3">
      <c r="A26" s="32" t="s">
        <v>90</v>
      </c>
      <c r="B26" s="56">
        <v>0.89</v>
      </c>
      <c r="C26" s="56">
        <v>1</v>
      </c>
      <c r="D26" s="56">
        <v>0.75</v>
      </c>
      <c r="E26" s="60">
        <v>4.0985345674946814</v>
      </c>
    </row>
    <row r="27" spans="1:5" ht="14.4" thickTop="1" thickBot="1" x14ac:dyDescent="0.3">
      <c r="A27" s="27" t="s">
        <v>94</v>
      </c>
      <c r="B27" s="54">
        <v>0.88</v>
      </c>
      <c r="C27" s="54">
        <v>1</v>
      </c>
      <c r="D27" s="54">
        <v>0.72</v>
      </c>
      <c r="E27" s="60">
        <v>4.0875065260290633</v>
      </c>
    </row>
    <row r="28" spans="1:5" ht="14.4" thickTop="1" thickBot="1" x14ac:dyDescent="0.3">
      <c r="A28" s="32" t="s">
        <v>95</v>
      </c>
      <c r="B28" s="56">
        <v>0.46</v>
      </c>
      <c r="C28" s="56">
        <v>0.86</v>
      </c>
      <c r="D28" s="56">
        <v>0.56000000000000005</v>
      </c>
      <c r="E28" s="60">
        <v>3.5779450448098977</v>
      </c>
    </row>
    <row r="29" spans="1:5" ht="14.4" thickTop="1" thickBot="1" x14ac:dyDescent="0.3">
      <c r="A29" s="27" t="s">
        <v>103</v>
      </c>
      <c r="B29" s="54">
        <v>0.53</v>
      </c>
      <c r="C29" s="54">
        <v>0.82</v>
      </c>
      <c r="D29" s="54">
        <v>0.84</v>
      </c>
      <c r="E29" s="60">
        <v>3.5209207512811229</v>
      </c>
    </row>
    <row r="30" spans="1:5" ht="14.4" thickTop="1" thickBot="1" x14ac:dyDescent="0.3">
      <c r="A30" s="32" t="s">
        <v>104</v>
      </c>
      <c r="B30" s="56">
        <v>1</v>
      </c>
      <c r="C30" s="56">
        <v>0.97</v>
      </c>
      <c r="D30" s="56">
        <v>0.57999999999999996</v>
      </c>
      <c r="E30" s="60">
        <v>4.3953107861502003</v>
      </c>
    </row>
    <row r="31" spans="1:5" ht="14.4" thickTop="1" thickBot="1" x14ac:dyDescent="0.3">
      <c r="A31" s="32" t="s">
        <v>106</v>
      </c>
      <c r="B31" s="56">
        <v>0.78</v>
      </c>
      <c r="C31" s="56">
        <v>0.97</v>
      </c>
      <c r="D31" s="56">
        <v>0.83</v>
      </c>
      <c r="E31" s="60">
        <v>3.8890856222796115</v>
      </c>
    </row>
    <row r="32" spans="1:5" ht="14.4" thickTop="1" thickBot="1" x14ac:dyDescent="0.3">
      <c r="A32" s="27" t="s">
        <v>112</v>
      </c>
      <c r="B32" s="54">
        <v>0.81</v>
      </c>
      <c r="C32" s="54">
        <v>1</v>
      </c>
      <c r="D32" s="54">
        <v>0.8</v>
      </c>
      <c r="E32" s="60">
        <v>4.1510139016923411</v>
      </c>
    </row>
    <row r="33" spans="1:5" ht="14.4" thickTop="1" thickBot="1" x14ac:dyDescent="0.3">
      <c r="A33" s="27" t="s">
        <v>116</v>
      </c>
      <c r="B33" s="54">
        <v>0.87</v>
      </c>
      <c r="C33" s="54">
        <v>1</v>
      </c>
      <c r="D33" s="54">
        <v>0.73</v>
      </c>
      <c r="E33" s="60">
        <v>4.7290395959883638</v>
      </c>
    </row>
    <row r="34" spans="1:5" ht="14.4" thickTop="1" thickBot="1" x14ac:dyDescent="0.3">
      <c r="A34" s="32" t="s">
        <v>118</v>
      </c>
      <c r="B34" s="56">
        <v>0.87</v>
      </c>
      <c r="C34" s="56">
        <v>0.75</v>
      </c>
      <c r="D34" s="56">
        <v>0.78</v>
      </c>
      <c r="E34" s="60">
        <v>3.8630298207268923</v>
      </c>
    </row>
    <row r="35" spans="1:5" ht="14.4" thickTop="1" thickBot="1" x14ac:dyDescent="0.3">
      <c r="A35" s="27" t="s">
        <v>121</v>
      </c>
      <c r="B35" s="54">
        <v>0.71</v>
      </c>
      <c r="C35" s="54">
        <v>0.34</v>
      </c>
      <c r="D35" s="54">
        <v>0.38</v>
      </c>
      <c r="E35" s="60">
        <v>4.010021859775688</v>
      </c>
    </row>
    <row r="36" spans="1:5" ht="14.4" thickTop="1" thickBot="1" x14ac:dyDescent="0.3">
      <c r="A36" s="32" t="s">
        <v>122</v>
      </c>
      <c r="B36" s="56">
        <v>0.96</v>
      </c>
      <c r="C36" s="56">
        <v>0.85</v>
      </c>
      <c r="D36" s="56">
        <v>0.15</v>
      </c>
      <c r="E36" s="60">
        <v>4.1918301718796629</v>
      </c>
    </row>
    <row r="37" spans="1:5" ht="14.4" thickTop="1" thickBot="1" x14ac:dyDescent="0.3">
      <c r="A37" s="27" t="s">
        <v>129</v>
      </c>
      <c r="B37" s="54">
        <v>0.87</v>
      </c>
      <c r="C37" s="54">
        <v>0.8</v>
      </c>
      <c r="D37" s="54">
        <v>0.78</v>
      </c>
      <c r="E37" s="60">
        <v>4.073944674234232</v>
      </c>
    </row>
    <row r="38" spans="1:5" ht="14.4" thickTop="1" thickBot="1" x14ac:dyDescent="0.3">
      <c r="A38" s="27" t="s">
        <v>132</v>
      </c>
      <c r="B38" s="54">
        <v>0.98</v>
      </c>
      <c r="C38" s="54">
        <v>0.65</v>
      </c>
      <c r="D38" s="54">
        <v>0.48</v>
      </c>
      <c r="E38" s="60">
        <v>4.0193599257169348</v>
      </c>
    </row>
    <row r="39" spans="1:5" ht="14.4" thickTop="1" thickBot="1" x14ac:dyDescent="0.3">
      <c r="A39" s="27" t="s">
        <v>134</v>
      </c>
      <c r="B39" s="54">
        <v>0.8</v>
      </c>
      <c r="C39" s="54">
        <v>0.92</v>
      </c>
      <c r="D39" s="54">
        <v>0.66</v>
      </c>
      <c r="E39" s="60">
        <v>3.8307351622317376</v>
      </c>
    </row>
    <row r="40" spans="1:5" ht="14.4" thickTop="1" thickBot="1" x14ac:dyDescent="0.3">
      <c r="A40" s="27" t="s">
        <v>462</v>
      </c>
      <c r="B40" s="54">
        <v>1</v>
      </c>
      <c r="C40" s="54">
        <v>1</v>
      </c>
      <c r="D40" s="54">
        <v>0.39</v>
      </c>
      <c r="E40" s="60">
        <v>3.8620874107366827</v>
      </c>
    </row>
    <row r="41" spans="1:5" ht="14.4" thickTop="1" thickBot="1" x14ac:dyDescent="0.3">
      <c r="A41" s="27" t="s">
        <v>314</v>
      </c>
      <c r="B41" s="54">
        <v>0.85</v>
      </c>
      <c r="C41" s="54">
        <v>0.92</v>
      </c>
      <c r="D41" s="54">
        <v>0.35</v>
      </c>
      <c r="E41" s="60">
        <v>3.9661498081937783</v>
      </c>
    </row>
    <row r="42" spans="1:5" ht="14.4" thickTop="1" thickBot="1" x14ac:dyDescent="0.3">
      <c r="A42" s="32" t="s">
        <v>141</v>
      </c>
      <c r="B42" s="56">
        <v>0.79</v>
      </c>
      <c r="C42" s="56">
        <v>1</v>
      </c>
      <c r="D42" s="56">
        <v>0.86</v>
      </c>
      <c r="E42" s="60">
        <v>3.4962725920791899</v>
      </c>
    </row>
    <row r="43" spans="1:5" ht="14.4" thickTop="1" thickBot="1" x14ac:dyDescent="0.3">
      <c r="A43" s="27" t="s">
        <v>142</v>
      </c>
      <c r="B43" s="54">
        <v>0.42</v>
      </c>
      <c r="C43" s="54">
        <v>0.72</v>
      </c>
      <c r="D43" s="54">
        <v>0.84</v>
      </c>
      <c r="E43" s="60">
        <v>3.2578119619698596</v>
      </c>
    </row>
    <row r="44" spans="1:5" ht="14.4" thickTop="1" thickBot="1" x14ac:dyDescent="0.3">
      <c r="A44" s="27" t="s">
        <v>147</v>
      </c>
      <c r="B44" s="54">
        <v>0.74</v>
      </c>
      <c r="C44" s="54">
        <v>0.78</v>
      </c>
      <c r="D44" s="54">
        <v>0.7</v>
      </c>
      <c r="E44" s="60">
        <v>3.2813524905228522</v>
      </c>
    </row>
    <row r="45" spans="1:5" ht="14.4" thickTop="1" thickBot="1" x14ac:dyDescent="0.3">
      <c r="A45" s="32" t="s">
        <v>148</v>
      </c>
      <c r="B45" s="56">
        <v>0.63</v>
      </c>
      <c r="C45" s="56">
        <v>1</v>
      </c>
      <c r="D45" s="56">
        <v>0.76</v>
      </c>
      <c r="E45" s="60">
        <v>3.2283161610677071</v>
      </c>
    </row>
    <row r="46" spans="1:5" ht="14.4" thickTop="1" thickBot="1" x14ac:dyDescent="0.3">
      <c r="A46" s="27" t="s">
        <v>151</v>
      </c>
      <c r="B46" s="54">
        <v>0.22</v>
      </c>
      <c r="C46" s="54">
        <v>0.68</v>
      </c>
      <c r="D46" s="54">
        <v>0.73</v>
      </c>
      <c r="E46" s="60">
        <v>3.4413521196171111</v>
      </c>
    </row>
    <row r="47" spans="1:5" ht="14.4" thickTop="1" thickBot="1" x14ac:dyDescent="0.3">
      <c r="A47" s="32" t="s">
        <v>158</v>
      </c>
      <c r="B47" s="56">
        <v>0.95</v>
      </c>
      <c r="C47" s="56">
        <v>0.92</v>
      </c>
      <c r="D47" s="56">
        <v>0.65</v>
      </c>
      <c r="E47" s="60">
        <v>4.3846887829282499</v>
      </c>
    </row>
    <row r="48" spans="1:5" ht="14.4" thickTop="1" thickBot="1" x14ac:dyDescent="0.3">
      <c r="A48" s="32" t="s">
        <v>318</v>
      </c>
      <c r="B48" s="56">
        <v>1</v>
      </c>
      <c r="C48" s="56">
        <v>1</v>
      </c>
      <c r="D48" s="56">
        <v>0.51</v>
      </c>
      <c r="E48" s="60">
        <v>4.2385554601865296</v>
      </c>
    </row>
    <row r="49" spans="1:5" ht="14.4" thickTop="1" thickBot="1" x14ac:dyDescent="0.3">
      <c r="A49" s="27" t="s">
        <v>161</v>
      </c>
      <c r="B49" s="54">
        <v>0.99</v>
      </c>
      <c r="C49" s="54">
        <v>1</v>
      </c>
      <c r="D49" s="54">
        <v>0.68</v>
      </c>
      <c r="E49" s="60">
        <v>4.2524563317151278</v>
      </c>
    </row>
    <row r="50" spans="1:5" ht="14.4" thickTop="1" thickBot="1" x14ac:dyDescent="0.3">
      <c r="A50" s="32" t="s">
        <v>162</v>
      </c>
      <c r="B50" s="56">
        <v>0.99</v>
      </c>
      <c r="C50" s="56">
        <v>0.88</v>
      </c>
      <c r="D50" s="56">
        <v>0.61</v>
      </c>
      <c r="E50" s="60">
        <v>4.4772274556873741</v>
      </c>
    </row>
    <row r="51" spans="1:5" ht="14.4" thickTop="1" thickBot="1" x14ac:dyDescent="0.3">
      <c r="A51" s="32" t="s">
        <v>165</v>
      </c>
      <c r="B51" s="56">
        <v>0.59</v>
      </c>
      <c r="C51" s="56">
        <v>1</v>
      </c>
      <c r="D51" s="56">
        <v>0.72</v>
      </c>
      <c r="E51" s="60">
        <v>3.2213378057217188</v>
      </c>
    </row>
    <row r="52" spans="1:5" ht="14.4" thickTop="1" thickBot="1" x14ac:dyDescent="0.3">
      <c r="A52" s="27" t="s">
        <v>167</v>
      </c>
      <c r="B52" s="54">
        <v>0.91</v>
      </c>
      <c r="C52" s="54">
        <v>1</v>
      </c>
      <c r="D52" s="54">
        <v>0.86</v>
      </c>
      <c r="E52" s="60">
        <v>4.0549900836522248</v>
      </c>
    </row>
    <row r="53" spans="1:5" ht="14.4" thickTop="1" thickBot="1" x14ac:dyDescent="0.3">
      <c r="A53" s="27" t="s">
        <v>169</v>
      </c>
      <c r="B53" s="54">
        <v>0.68</v>
      </c>
      <c r="C53" s="54">
        <v>0.77</v>
      </c>
      <c r="D53" s="54">
        <v>0.49</v>
      </c>
      <c r="E53" s="60">
        <v>3.7120707616024902</v>
      </c>
    </row>
    <row r="54" spans="1:5" ht="14.4" thickTop="1" thickBot="1" x14ac:dyDescent="0.3">
      <c r="A54" s="39" t="s">
        <v>174</v>
      </c>
      <c r="B54" s="57">
        <v>0.3</v>
      </c>
      <c r="C54" s="57">
        <v>0.75</v>
      </c>
      <c r="D54" s="57">
        <v>0.56999999999999995</v>
      </c>
      <c r="E54" s="60">
        <v>3.2611029237861042</v>
      </c>
    </row>
    <row r="55" spans="1:5" ht="14.4" thickTop="1" thickBot="1" x14ac:dyDescent="0.3">
      <c r="A55" s="32" t="s">
        <v>175</v>
      </c>
      <c r="B55" s="56">
        <v>0.56999999999999995</v>
      </c>
      <c r="C55" s="56">
        <v>0.8</v>
      </c>
      <c r="D55" s="56">
        <v>0.54</v>
      </c>
      <c r="E55" s="60">
        <v>3.8039147955956332</v>
      </c>
    </row>
    <row r="56" spans="1:5" ht="14.4" thickTop="1" thickBot="1" x14ac:dyDescent="0.3">
      <c r="A56" s="32" t="s">
        <v>182</v>
      </c>
      <c r="B56" s="56">
        <v>0.53</v>
      </c>
      <c r="C56" s="56">
        <v>0.45</v>
      </c>
      <c r="D56" s="56">
        <v>0.31</v>
      </c>
      <c r="E56" s="60">
        <v>3.8149722359887384</v>
      </c>
    </row>
    <row r="57" spans="1:5" ht="14.4" thickTop="1" thickBot="1" x14ac:dyDescent="0.3">
      <c r="A57" s="27" t="s">
        <v>187</v>
      </c>
      <c r="B57" s="54">
        <v>0.94</v>
      </c>
      <c r="C57" s="54">
        <v>0.92</v>
      </c>
      <c r="D57" s="54">
        <v>0.83</v>
      </c>
      <c r="E57" s="60">
        <v>4.2005518863700324</v>
      </c>
    </row>
    <row r="58" spans="1:5" ht="14.4" thickTop="1" thickBot="1" x14ac:dyDescent="0.3">
      <c r="A58" s="27" t="s">
        <v>188</v>
      </c>
      <c r="B58" s="54">
        <v>0.94</v>
      </c>
      <c r="C58" s="54">
        <v>0.75</v>
      </c>
      <c r="D58" s="54">
        <v>0.83</v>
      </c>
      <c r="E58" s="60">
        <v>4.2310782177755577</v>
      </c>
    </row>
    <row r="59" spans="1:5" ht="14.4" thickTop="1" thickBot="1" x14ac:dyDescent="0.3">
      <c r="A59" s="32" t="s">
        <v>189</v>
      </c>
      <c r="B59" s="56">
        <v>0.96</v>
      </c>
      <c r="C59" s="56">
        <v>0.98</v>
      </c>
      <c r="D59" s="56">
        <v>0.75</v>
      </c>
      <c r="E59" s="60">
        <v>4.0523621126794902</v>
      </c>
    </row>
    <row r="60" spans="1:5" ht="14.4" thickTop="1" thickBot="1" x14ac:dyDescent="0.3">
      <c r="A60" s="27" t="s">
        <v>200</v>
      </c>
      <c r="B60" s="54">
        <v>0.73</v>
      </c>
      <c r="C60" s="54">
        <v>0.91</v>
      </c>
      <c r="D60" s="54">
        <v>0.6</v>
      </c>
      <c r="E60" s="60">
        <v>3.5453876576317436</v>
      </c>
    </row>
    <row r="61" spans="1:5" ht="14.4" thickTop="1" thickBot="1" x14ac:dyDescent="0.3">
      <c r="A61" s="32" t="s">
        <v>212</v>
      </c>
      <c r="B61" s="56">
        <v>0.51</v>
      </c>
      <c r="C61" s="56">
        <v>0.8</v>
      </c>
      <c r="D61" s="56">
        <v>0.9</v>
      </c>
      <c r="E61" s="60">
        <v>3.6800176095829329</v>
      </c>
    </row>
    <row r="62" spans="1:5" ht="14.4" thickTop="1" thickBot="1" x14ac:dyDescent="0.3">
      <c r="A62" s="27" t="s">
        <v>213</v>
      </c>
      <c r="B62" s="54">
        <v>0.99</v>
      </c>
      <c r="C62" s="54">
        <v>0.88</v>
      </c>
      <c r="D62" s="54">
        <v>0.67</v>
      </c>
      <c r="E62" s="60">
        <v>4.4343026733781343</v>
      </c>
    </row>
    <row r="63" spans="1:5" ht="14.4" thickTop="1" thickBot="1" x14ac:dyDescent="0.3">
      <c r="A63" s="32" t="s">
        <v>215</v>
      </c>
      <c r="B63" s="56">
        <v>0.41</v>
      </c>
      <c r="C63" s="56">
        <v>0.78</v>
      </c>
      <c r="D63" s="56">
        <v>0.75</v>
      </c>
      <c r="E63" s="60">
        <v>3.5262955872354858</v>
      </c>
    </row>
    <row r="64" spans="1:5" ht="14.4" thickTop="1" thickBot="1" x14ac:dyDescent="0.3">
      <c r="A64" s="32" t="s">
        <v>222</v>
      </c>
      <c r="B64" s="56">
        <v>0.94</v>
      </c>
      <c r="C64" s="56">
        <v>0.98</v>
      </c>
      <c r="D64" s="56">
        <v>0.77</v>
      </c>
      <c r="E64" s="60">
        <v>4.188185640957836</v>
      </c>
    </row>
    <row r="65" spans="1:5" ht="14.4" thickTop="1" thickBot="1" x14ac:dyDescent="0.3">
      <c r="A65" s="32" t="s">
        <v>227</v>
      </c>
      <c r="B65" s="56">
        <v>0.94</v>
      </c>
      <c r="C65" s="56">
        <v>0.89</v>
      </c>
      <c r="D65" s="56">
        <v>0.9</v>
      </c>
      <c r="E65" s="60">
        <v>4.3141682549632705</v>
      </c>
    </row>
    <row r="66" spans="1:5" ht="14.4" thickTop="1" thickBot="1" x14ac:dyDescent="0.3">
      <c r="A66" s="32" t="s">
        <v>232</v>
      </c>
      <c r="B66" s="56">
        <v>1</v>
      </c>
      <c r="C66" s="56">
        <v>0.83</v>
      </c>
      <c r="D66" s="56">
        <v>0.19</v>
      </c>
      <c r="E66" s="60">
        <v>3.7116338983092518</v>
      </c>
    </row>
    <row r="67" spans="1:5" ht="14.4" thickTop="1" thickBot="1" x14ac:dyDescent="0.3">
      <c r="A67" s="27" t="s">
        <v>325</v>
      </c>
      <c r="B67" s="54">
        <v>0.8</v>
      </c>
      <c r="C67" s="54">
        <v>0.85</v>
      </c>
      <c r="D67" s="54">
        <v>0.45</v>
      </c>
      <c r="E67" s="60">
        <v>3.5959078348744753</v>
      </c>
    </row>
    <row r="68" spans="1:5" ht="14.4" thickTop="1" thickBot="1" x14ac:dyDescent="0.3">
      <c r="A68" s="32" t="s">
        <v>233</v>
      </c>
      <c r="B68" s="56">
        <v>0.93</v>
      </c>
      <c r="C68" s="56">
        <v>0.97</v>
      </c>
      <c r="D68" s="56">
        <v>0.45</v>
      </c>
      <c r="E68" s="60">
        <v>4.3798710378223715</v>
      </c>
    </row>
    <row r="69" spans="1:5" ht="14.4" thickTop="1" thickBot="1" x14ac:dyDescent="0.3">
      <c r="A69" s="27" t="s">
        <v>234</v>
      </c>
      <c r="B69" s="54">
        <v>0.66</v>
      </c>
      <c r="C69" s="54">
        <v>0.89</v>
      </c>
      <c r="D69" s="54">
        <v>0.88</v>
      </c>
      <c r="E69" s="60">
        <v>3.711978551824632</v>
      </c>
    </row>
    <row r="70" spans="1:5" ht="14.4" thickTop="1" thickBot="1" x14ac:dyDescent="0.3">
      <c r="A70" s="27" t="s">
        <v>235</v>
      </c>
      <c r="B70" s="54">
        <v>0.62</v>
      </c>
      <c r="C70" s="54">
        <v>0.98</v>
      </c>
      <c r="D70" s="54">
        <v>0.73</v>
      </c>
      <c r="E70" s="60">
        <v>3.4948804559709807</v>
      </c>
    </row>
    <row r="71" spans="1:5" ht="14.4" thickTop="1" thickBot="1" x14ac:dyDescent="0.3">
      <c r="A71" s="50" t="s">
        <v>239</v>
      </c>
      <c r="B71" s="56">
        <v>0.81</v>
      </c>
      <c r="C71" s="56">
        <v>0.83</v>
      </c>
      <c r="D71" s="56">
        <v>0.33</v>
      </c>
      <c r="E71" s="60">
        <v>4.1427933160894117</v>
      </c>
    </row>
    <row r="72" spans="1:5" ht="14.4" thickTop="1" thickBot="1" x14ac:dyDescent="0.3">
      <c r="A72" s="32" t="s">
        <v>240</v>
      </c>
      <c r="B72" s="56">
        <v>0.96</v>
      </c>
      <c r="C72" s="56">
        <v>0.78</v>
      </c>
      <c r="D72" s="56">
        <v>0.33</v>
      </c>
      <c r="E72" s="60">
        <v>4.5842288477352557</v>
      </c>
    </row>
    <row r="73" spans="1:5" ht="14.4" thickTop="1" thickBot="1" x14ac:dyDescent="0.3">
      <c r="A73" s="27" t="s">
        <v>251</v>
      </c>
      <c r="B73" s="54">
        <v>0.99</v>
      </c>
      <c r="C73" s="54">
        <v>1</v>
      </c>
      <c r="D73" s="54">
        <v>0.88</v>
      </c>
      <c r="E73" s="60">
        <v>4.5146008342799409</v>
      </c>
    </row>
    <row r="74" spans="1:5" ht="14.4" thickTop="1" thickBot="1" x14ac:dyDescent="0.3">
      <c r="A74" s="27" t="s">
        <v>330</v>
      </c>
      <c r="B74" s="54">
        <v>0.95</v>
      </c>
      <c r="C74" s="54">
        <v>0.54</v>
      </c>
      <c r="D74" s="54">
        <v>0.33</v>
      </c>
      <c r="E74" s="60">
        <v>4.1755610093576916</v>
      </c>
    </row>
    <row r="75" spans="1:5" ht="14.4" thickTop="1" thickBot="1" x14ac:dyDescent="0.3">
      <c r="A75" s="32" t="s">
        <v>259</v>
      </c>
      <c r="B75" s="56">
        <v>0.86</v>
      </c>
      <c r="C75" s="56">
        <v>1</v>
      </c>
      <c r="D75" s="56">
        <v>0.66</v>
      </c>
      <c r="E75" s="60">
        <v>3.6138614756341831</v>
      </c>
    </row>
    <row r="76" spans="1:5" ht="13.8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GDP cap</vt:lpstr>
      <vt:lpstr>GG</vt:lpstr>
      <vt:lpstr>GRI(2007-2017)</vt:lpstr>
      <vt:lpstr>Exp GDP</vt:lpstr>
      <vt:lpstr>Sheet2</vt:lpstr>
      <vt:lpstr>good sheet</vt:lpstr>
      <vt:lpstr>Sheet1</vt:lpstr>
      <vt:lpstr>clean</vt:lpstr>
      <vt:lpstr>Database</vt:lpstr>
    </vt:vector>
  </TitlesOfParts>
  <Company>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UIS.Stat</dc:creator>
  <cp:lastModifiedBy>Frederic BOMBA</cp:lastModifiedBy>
  <dcterms:created xsi:type="dcterms:W3CDTF">2024-11-27T18:49:29Z</dcterms:created>
  <dcterms:modified xsi:type="dcterms:W3CDTF">2024-12-06T03:57:18Z</dcterms:modified>
</cp:coreProperties>
</file>